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1C1BD6E2-3130-44C8-8681-8A68359DBE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edia Maquinas 2026" sheetId="1" r:id="rId1"/>
  </sheets>
  <definedNames>
    <definedName name="_xlnm._FilterDatabase" localSheetId="0" hidden="1">'Media Maquinas 2026'!$A$1:$I$361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6" i="1" l="1"/>
  <c r="G397" i="1"/>
  <c r="F397" i="1"/>
  <c r="G54" i="1"/>
  <c r="G399" i="1"/>
  <c r="F399" i="1"/>
  <c r="G398" i="1"/>
  <c r="F398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G400" i="1" s="1"/>
  <c r="F389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F364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G320" i="1" s="1"/>
  <c r="F290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G82" i="1"/>
  <c r="F82" i="1"/>
  <c r="G81" i="1"/>
  <c r="F81" i="1"/>
  <c r="G80" i="1"/>
  <c r="F80" i="1"/>
  <c r="G79" i="1"/>
  <c r="F79" i="1"/>
  <c r="G78" i="1"/>
  <c r="F78" i="1"/>
  <c r="G77" i="1"/>
  <c r="F77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F54" i="1"/>
  <c r="G53" i="1"/>
  <c r="F53" i="1"/>
  <c r="G52" i="1"/>
  <c r="F52" i="1"/>
  <c r="G51" i="1"/>
  <c r="F51" i="1"/>
  <c r="G50" i="1"/>
  <c r="F50" i="1"/>
  <c r="G49" i="1"/>
  <c r="F49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6" i="1"/>
  <c r="F16" i="1"/>
  <c r="G15" i="1"/>
  <c r="F15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G83" i="1" l="1"/>
  <c r="G48" i="1"/>
  <c r="G210" i="1"/>
  <c r="G17" i="1"/>
  <c r="G102" i="1"/>
  <c r="G353" i="1"/>
  <c r="G75" i="1"/>
  <c r="G136" i="1"/>
  <c r="G237" i="1"/>
  <c r="G13" i="1"/>
  <c r="G176" i="1"/>
  <c r="G288" i="1"/>
  <c r="G341" i="1"/>
  <c r="G387" i="1"/>
  <c r="G33" i="1"/>
  <c r="G363" i="1"/>
  <c r="G65" i="1"/>
</calcChain>
</file>

<file path=xl/sharedStrings.xml><?xml version="1.0" encoding="utf-8"?>
<sst xmlns="http://schemas.openxmlformats.org/spreadsheetml/2006/main" count="1345" uniqueCount="669">
  <si>
    <t>MÁQUINAS</t>
  </si>
  <si>
    <t>DATA E HORA</t>
  </si>
  <si>
    <t>CUSTO TOTAL</t>
  </si>
  <si>
    <t>HORÍMETRO</t>
  </si>
  <si>
    <t>HORAS TRABALHADAS</t>
  </si>
  <si>
    <t>MÉDIA CONSUMO (L/H)</t>
  </si>
  <si>
    <t>VALOR MÍNIMO</t>
  </si>
  <si>
    <t>VALOR MÁXIMO</t>
  </si>
  <si>
    <t>EHH0002</t>
  </si>
  <si>
    <t>03/01/2026</t>
  </si>
  <si>
    <t>94,50</t>
  </si>
  <si>
    <t>R$517,86</t>
  </si>
  <si>
    <t>9.999,6</t>
  </si>
  <si>
    <t>(0,3) = 18min</t>
  </si>
  <si>
    <t>-</t>
  </si>
  <si>
    <t>26/01/2026</t>
  </si>
  <si>
    <t>16/04/2026</t>
  </si>
  <si>
    <t>28/05/2026</t>
  </si>
  <si>
    <t>03/06/2026</t>
  </si>
  <si>
    <t>05/06/2026</t>
  </si>
  <si>
    <t>08/06/2026</t>
  </si>
  <si>
    <t>09/06/2026</t>
  </si>
  <si>
    <t>MÉDIA GERAL =</t>
  </si>
  <si>
    <t>EHH0003</t>
  </si>
  <si>
    <t>12/01/2026</t>
  </si>
  <si>
    <t>175,50</t>
  </si>
  <si>
    <t>R$979,29</t>
  </si>
  <si>
    <t>13.491,5</t>
  </si>
  <si>
    <t>(16,3) = 16h18min</t>
  </si>
  <si>
    <t>10.846</t>
  </si>
  <si>
    <t>28/03/2026</t>
  </si>
  <si>
    <t>314,00</t>
  </si>
  <si>
    <t>R$2.251,38</t>
  </si>
  <si>
    <t>13.543,6</t>
  </si>
  <si>
    <t>21/04/2026</t>
  </si>
  <si>
    <t>EHH0004</t>
  </si>
  <si>
    <t>09/12/2025</t>
  </si>
  <si>
    <t>152,00</t>
  </si>
  <si>
    <t>R$848,16</t>
  </si>
  <si>
    <t>9.137,7</t>
  </si>
  <si>
    <t>0,0</t>
  </si>
  <si>
    <t>10/12/2025</t>
  </si>
  <si>
    <t>241,00</t>
  </si>
  <si>
    <t>R$1.344,78</t>
  </si>
  <si>
    <t>09/01/2026</t>
  </si>
  <si>
    <t>211,50</t>
  </si>
  <si>
    <t>R$1.159,02</t>
  </si>
  <si>
    <t>9.178,0</t>
  </si>
  <si>
    <t>21/01/2026</t>
  </si>
  <si>
    <t>287,50</t>
  </si>
  <si>
    <t>R$1.543,88</t>
  </si>
  <si>
    <t>9.203,6</t>
  </si>
  <si>
    <t>23/01/2026</t>
  </si>
  <si>
    <t>224,00</t>
  </si>
  <si>
    <t>R$1.202,88</t>
  </si>
  <si>
    <t>9.207,6</t>
  </si>
  <si>
    <t>04/02/2026</t>
  </si>
  <si>
    <t>363,00</t>
  </si>
  <si>
    <t>R$1.938,42</t>
  </si>
  <si>
    <t>9.238,9</t>
  </si>
  <si>
    <t>20/02/2026</t>
  </si>
  <si>
    <t>444,00</t>
  </si>
  <si>
    <t>R$2.3484,28</t>
  </si>
  <si>
    <t>9.269,9</t>
  </si>
  <si>
    <t>04/03/2026</t>
  </si>
  <si>
    <t>447,50</t>
  </si>
  <si>
    <t>26/03/2026</t>
  </si>
  <si>
    <t>10/04/2026</t>
  </si>
  <si>
    <t>23/04/2026</t>
  </si>
  <si>
    <t>27/04/2026</t>
  </si>
  <si>
    <t>30/04/2026</t>
  </si>
  <si>
    <t>05/05/2026</t>
  </si>
  <si>
    <t>EHH0006</t>
  </si>
  <si>
    <t>170,50</t>
  </si>
  <si>
    <t>9.417,6</t>
  </si>
  <si>
    <t>0h</t>
  </si>
  <si>
    <t>13/03/2026</t>
  </si>
  <si>
    <t>209,50</t>
  </si>
  <si>
    <t>9.433,8</t>
  </si>
  <si>
    <t>18/03/2026</t>
  </si>
  <si>
    <t>234,00</t>
  </si>
  <si>
    <t>9.448,1</t>
  </si>
  <si>
    <t>25/03/2026</t>
  </si>
  <si>
    <t>270,00</t>
  </si>
  <si>
    <t>9.466,0</t>
  </si>
  <si>
    <t>30/03/2026</t>
  </si>
  <si>
    <t>233,00</t>
  </si>
  <si>
    <t>9.481,3</t>
  </si>
  <si>
    <t>02/04/2026</t>
  </si>
  <si>
    <t>13/04/2026</t>
  </si>
  <si>
    <t>15/04/2026</t>
  </si>
  <si>
    <t>07/05/2026</t>
  </si>
  <si>
    <t>01/06/2026</t>
  </si>
  <si>
    <t>10/06/2026</t>
  </si>
  <si>
    <t>EHH0007</t>
  </si>
  <si>
    <t>14/01/2026</t>
  </si>
  <si>
    <t>229,50</t>
  </si>
  <si>
    <t>R$1.273,72</t>
  </si>
  <si>
    <t>10,4</t>
  </si>
  <si>
    <t>22/01/2026</t>
  </si>
  <si>
    <t>197,50</t>
  </si>
  <si>
    <t>R$1.064,33</t>
  </si>
  <si>
    <t>09/02/2026</t>
  </si>
  <si>
    <t>155,00</t>
  </si>
  <si>
    <t>R$835,29</t>
  </si>
  <si>
    <t>37,5</t>
  </si>
  <si>
    <t>12/02/2026</t>
  </si>
  <si>
    <t>160,50</t>
  </si>
  <si>
    <t>R$863,17</t>
  </si>
  <si>
    <t>37,6</t>
  </si>
  <si>
    <t>25/02/2026</t>
  </si>
  <si>
    <t>276,50</t>
  </si>
  <si>
    <t>R$1.487,57</t>
  </si>
  <si>
    <t>41,1</t>
  </si>
  <si>
    <t>39,50</t>
  </si>
  <si>
    <t>R$279,02</t>
  </si>
  <si>
    <t>51,8</t>
  </si>
  <si>
    <t>04/05/2026</t>
  </si>
  <si>
    <t>08/05/2026</t>
  </si>
  <si>
    <t>13/05/2026</t>
  </si>
  <si>
    <t>25/05/2026</t>
  </si>
  <si>
    <t>EHH0008</t>
  </si>
  <si>
    <t>13/01/2026</t>
  </si>
  <si>
    <t>R$1.239,30</t>
  </si>
  <si>
    <t>(21) = 21h12min</t>
  </si>
  <si>
    <t>03/02/2026</t>
  </si>
  <si>
    <t>251,50</t>
  </si>
  <si>
    <t>R$1.332,95</t>
  </si>
  <si>
    <t>24/02/2026</t>
  </si>
  <si>
    <t>246,00</t>
  </si>
  <si>
    <t>R$1.316,10</t>
  </si>
  <si>
    <t>12/03/2026</t>
  </si>
  <si>
    <t>211,00</t>
  </si>
  <si>
    <t>R$1.128,85</t>
  </si>
  <si>
    <t>01/04/2026</t>
  </si>
  <si>
    <t>14/05/2026</t>
  </si>
  <si>
    <t>EHH0009</t>
  </si>
  <si>
    <t xml:space="preserve">16/12/2025 </t>
  </si>
  <si>
    <t>232,50</t>
  </si>
  <si>
    <t>R$1.474,22</t>
  </si>
  <si>
    <t>(13,5) = 13h30min</t>
  </si>
  <si>
    <t>17.481</t>
  </si>
  <si>
    <t>22/12/2025</t>
  </si>
  <si>
    <t>261,50</t>
  </si>
  <si>
    <t>R$1.438,25</t>
  </si>
  <si>
    <t>27/12/2025</t>
  </si>
  <si>
    <t>265,00</t>
  </si>
  <si>
    <t>R$1.457,50</t>
  </si>
  <si>
    <t>02/01/2026</t>
  </si>
  <si>
    <t>285,00</t>
  </si>
  <si>
    <t>R$1.567,50</t>
  </si>
  <si>
    <t>06/01/2026</t>
  </si>
  <si>
    <t>R$1.578,97</t>
  </si>
  <si>
    <t>28/01/2026</t>
  </si>
  <si>
    <t>268,50</t>
  </si>
  <si>
    <t>R$1.447,21</t>
  </si>
  <si>
    <t>13/02/2026</t>
  </si>
  <si>
    <t>263,00</t>
  </si>
  <si>
    <t>R$1.414,41</t>
  </si>
  <si>
    <t xml:space="preserve">EHH0019 </t>
  </si>
  <si>
    <t>284,00</t>
  </si>
  <si>
    <t>R$1.530,76</t>
  </si>
  <si>
    <t>12.972,8</t>
  </si>
  <si>
    <t>EHH0019</t>
  </si>
  <si>
    <t>11/02/2026</t>
  </si>
  <si>
    <t>341,00</t>
  </si>
  <si>
    <t>R$1.865,27</t>
  </si>
  <si>
    <t>13.000,5</t>
  </si>
  <si>
    <t>283,50</t>
  </si>
  <si>
    <t>R$1.550,74</t>
  </si>
  <si>
    <t>13.021,2</t>
  </si>
  <si>
    <t>26/02/2026</t>
  </si>
  <si>
    <t>286,50</t>
  </si>
  <si>
    <t>R$1.575,75</t>
  </si>
  <si>
    <t>13.037,2</t>
  </si>
  <si>
    <t>275,00</t>
  </si>
  <si>
    <t>R$1.512,50</t>
  </si>
  <si>
    <t>13.055,0</t>
  </si>
  <si>
    <t>10/03/2026</t>
  </si>
  <si>
    <t>366,00</t>
  </si>
  <si>
    <t>R$2.013,00</t>
  </si>
  <si>
    <t>13.073,3</t>
  </si>
  <si>
    <t>16/03/2026</t>
  </si>
  <si>
    <t>317,00</t>
  </si>
  <si>
    <t>R$2.282,40</t>
  </si>
  <si>
    <t>13.094,1</t>
  </si>
  <si>
    <t>19/03/2026</t>
  </si>
  <si>
    <t>330,50</t>
  </si>
  <si>
    <t>R$2.379,60</t>
  </si>
  <si>
    <t>13.115,2</t>
  </si>
  <si>
    <t>185,50</t>
  </si>
  <si>
    <t>R$1.335,60</t>
  </si>
  <si>
    <t>13.132,3</t>
  </si>
  <si>
    <t>210,00</t>
  </si>
  <si>
    <t>R$1.512,00</t>
  </si>
  <si>
    <t>13.143,6</t>
  </si>
  <si>
    <t>07/04/2026</t>
  </si>
  <si>
    <t>09/04/2026</t>
  </si>
  <si>
    <t>22/04/2026</t>
  </si>
  <si>
    <t>20/05/2026</t>
  </si>
  <si>
    <t>EHH0036</t>
  </si>
  <si>
    <t>24/11/2025</t>
  </si>
  <si>
    <t>347,50</t>
  </si>
  <si>
    <t>R$1.893,88</t>
  </si>
  <si>
    <t>08/12/2025</t>
  </si>
  <si>
    <t>350,50</t>
  </si>
  <si>
    <t>R$1.990,84</t>
  </si>
  <si>
    <t>15/12/2025</t>
  </si>
  <si>
    <t>344,00</t>
  </si>
  <si>
    <t>R$1.953,92</t>
  </si>
  <si>
    <t>08/01/2026</t>
  </si>
  <si>
    <t>340,50</t>
  </si>
  <si>
    <t>R$1.899,99</t>
  </si>
  <si>
    <t>245,50</t>
  </si>
  <si>
    <t>R$1.927,89</t>
  </si>
  <si>
    <t>29/01/2026</t>
  </si>
  <si>
    <t>341,50</t>
  </si>
  <si>
    <t>R$2.278,05</t>
  </si>
  <si>
    <t>353,00</t>
  </si>
  <si>
    <t>R$2.354,77</t>
  </si>
  <si>
    <t>352,00</t>
  </si>
  <si>
    <t>R$2.348,10</t>
  </si>
  <si>
    <t>331,00</t>
  </si>
  <si>
    <t>R$1.820,50</t>
  </si>
  <si>
    <t>23/02/2026</t>
  </si>
  <si>
    <t>356,50</t>
  </si>
  <si>
    <t>R$1.960,75</t>
  </si>
  <si>
    <t>325,50</t>
  </si>
  <si>
    <t>R$1.790,25</t>
  </si>
  <si>
    <t>28/02/2026</t>
  </si>
  <si>
    <t>200,50</t>
  </si>
  <si>
    <t>R$1.102,75</t>
  </si>
  <si>
    <t>353,50</t>
  </si>
  <si>
    <t>R$1.961,93</t>
  </si>
  <si>
    <t>06/03/2026</t>
  </si>
  <si>
    <t>303,00</t>
  </si>
  <si>
    <t>R$1.681,65</t>
  </si>
  <si>
    <t>331,50</t>
  </si>
  <si>
    <t>R$1.839,82</t>
  </si>
  <si>
    <t>17/03/2026</t>
  </si>
  <si>
    <t>311,50</t>
  </si>
  <si>
    <t>R$1.728,82</t>
  </si>
  <si>
    <t>20/03/2026</t>
  </si>
  <si>
    <t>315,50</t>
  </si>
  <si>
    <t>R$2.262,14</t>
  </si>
  <si>
    <t>23/03/2026</t>
  </si>
  <si>
    <t>338,00</t>
  </si>
  <si>
    <t>R$2.423,46</t>
  </si>
  <si>
    <t>27/03/2026</t>
  </si>
  <si>
    <t>344,50</t>
  </si>
  <si>
    <t>R$2.470,06</t>
  </si>
  <si>
    <t>08/04/2026</t>
  </si>
  <si>
    <t>14/04/2026</t>
  </si>
  <si>
    <t>25/04/2026</t>
  </si>
  <si>
    <t>29/04/2026</t>
  </si>
  <si>
    <t>06/05/2026</t>
  </si>
  <si>
    <t>11/05/2026</t>
  </si>
  <si>
    <t>15/05/2026</t>
  </si>
  <si>
    <t>22/05/2026</t>
  </si>
  <si>
    <t>EHH0038</t>
  </si>
  <si>
    <t>327,00</t>
  </si>
  <si>
    <t>R$1.824,66</t>
  </si>
  <si>
    <t>4.942,6</t>
  </si>
  <si>
    <t>(43) = 42h48min</t>
  </si>
  <si>
    <t>330,00</t>
  </si>
  <si>
    <t>R$1.841,40</t>
  </si>
  <si>
    <t>4.966,0</t>
  </si>
  <si>
    <t>325,00</t>
  </si>
  <si>
    <t>R$1.813,50</t>
  </si>
  <si>
    <t>4.986,7</t>
  </si>
  <si>
    <t xml:space="preserve">20/01/2026 </t>
  </si>
  <si>
    <t>327,50</t>
  </si>
  <si>
    <t>R$1.827,45</t>
  </si>
  <si>
    <t>5.008,0</t>
  </si>
  <si>
    <t>318,50</t>
  </si>
  <si>
    <t>R$1.777,23</t>
  </si>
  <si>
    <t>5.026,5</t>
  </si>
  <si>
    <t>27/01/2026</t>
  </si>
  <si>
    <t>290,50</t>
  </si>
  <si>
    <t>R$1.589,04</t>
  </si>
  <si>
    <t>5.043,2</t>
  </si>
  <si>
    <t>163,50</t>
  </si>
  <si>
    <t>R$894,34</t>
  </si>
  <si>
    <t>5.051,9</t>
  </si>
  <si>
    <t>02/02/2026</t>
  </si>
  <si>
    <t>313,00</t>
  </si>
  <si>
    <t>R$1.712,11</t>
  </si>
  <si>
    <t>5.069,6</t>
  </si>
  <si>
    <t>05/02/2026</t>
  </si>
  <si>
    <t>292,50</t>
  </si>
  <si>
    <t>R$1.599,97</t>
  </si>
  <si>
    <t>5.086,0</t>
  </si>
  <si>
    <t>R$1.791,43</t>
  </si>
  <si>
    <t>5.105,5</t>
  </si>
  <si>
    <t>319,50</t>
  </si>
  <si>
    <t>R$1.747,67</t>
  </si>
  <si>
    <t>5.122,4</t>
  </si>
  <si>
    <t>320,50</t>
  </si>
  <si>
    <t>R$1.753,14</t>
  </si>
  <si>
    <t>5.138,3</t>
  </si>
  <si>
    <t>15/02/2026</t>
  </si>
  <si>
    <t>255,00</t>
  </si>
  <si>
    <t>R$1.394,85</t>
  </si>
  <si>
    <t>5.150,6</t>
  </si>
  <si>
    <t>16/02/2026</t>
  </si>
  <si>
    <t>187,50</t>
  </si>
  <si>
    <t>R$1.548,01</t>
  </si>
  <si>
    <t>5.160,6</t>
  </si>
  <si>
    <t>18/02/2026</t>
  </si>
  <si>
    <t>283,00</t>
  </si>
  <si>
    <t>5.175,1</t>
  </si>
  <si>
    <t>36,50</t>
  </si>
  <si>
    <t>R$200,75</t>
  </si>
  <si>
    <t>5.175,2</t>
  </si>
  <si>
    <t>321,00</t>
  </si>
  <si>
    <t>R$1.765,50</t>
  </si>
  <si>
    <t>5.195,8</t>
  </si>
  <si>
    <t>275,50</t>
  </si>
  <si>
    <t>R$1.515,25</t>
  </si>
  <si>
    <t>5.213,7</t>
  </si>
  <si>
    <t>03/03/2026</t>
  </si>
  <si>
    <t>R$1.798,50</t>
  </si>
  <si>
    <t>5.234,9</t>
  </si>
  <si>
    <t>300,00</t>
  </si>
  <si>
    <t>R$1.650,00</t>
  </si>
  <si>
    <t>5.255,9</t>
  </si>
  <si>
    <t>278,00</t>
  </si>
  <si>
    <t>R$1.529,00</t>
  </si>
  <si>
    <t>5.273,1</t>
  </si>
  <si>
    <t>311,00</t>
  </si>
  <si>
    <t>R$2.239,20</t>
  </si>
  <si>
    <t>5.293,6</t>
  </si>
  <si>
    <t>R$2.001,60</t>
  </si>
  <si>
    <t>5.310,2</t>
  </si>
  <si>
    <t>24/03/2026</t>
  </si>
  <si>
    <t>R$2.354,40</t>
  </si>
  <si>
    <t>5.330,9</t>
  </si>
  <si>
    <t>09/05/2026</t>
  </si>
  <si>
    <t>19/05/2026</t>
  </si>
  <si>
    <t>27/05/2026</t>
  </si>
  <si>
    <t>02/06/2026</t>
  </si>
  <si>
    <t>EHH0039</t>
  </si>
  <si>
    <t>01/12/2025</t>
  </si>
  <si>
    <t>R$1.534,50</t>
  </si>
  <si>
    <t>1.121,5</t>
  </si>
  <si>
    <t>(36,3) = 36h18min</t>
  </si>
  <si>
    <t>11/12/2025</t>
  </si>
  <si>
    <t>348,50</t>
  </si>
  <si>
    <t>R$1.909,78</t>
  </si>
  <si>
    <t>1.161,2</t>
  </si>
  <si>
    <t>262,50</t>
  </si>
  <si>
    <t>R$1.438,50</t>
  </si>
  <si>
    <t>1.183,3</t>
  </si>
  <si>
    <t>473,50</t>
  </si>
  <si>
    <t>R$2.594,78</t>
  </si>
  <si>
    <t>1.202,2</t>
  </si>
  <si>
    <t>R$1.522,40</t>
  </si>
  <si>
    <t>1.225,2</t>
  </si>
  <si>
    <t>15/01/2026</t>
  </si>
  <si>
    <t>272,50</t>
  </si>
  <si>
    <t>R$1.463,32</t>
  </si>
  <si>
    <t>1.245,5</t>
  </si>
  <si>
    <t>240,00</t>
  </si>
  <si>
    <t>R$1.288,80</t>
  </si>
  <si>
    <t>1.270,6</t>
  </si>
  <si>
    <t>25/01/2026</t>
  </si>
  <si>
    <t>R$1.596,00</t>
  </si>
  <si>
    <t>1.292,7</t>
  </si>
  <si>
    <t>255,50</t>
  </si>
  <si>
    <t>R$1.364,37</t>
  </si>
  <si>
    <t>1.321,9</t>
  </si>
  <si>
    <t>07/02/2026</t>
  </si>
  <si>
    <t>248,00</t>
  </si>
  <si>
    <t>R$1.324,32</t>
  </si>
  <si>
    <t>1.350,2</t>
  </si>
  <si>
    <t>10/02/2026</t>
  </si>
  <si>
    <t>237,50</t>
  </si>
  <si>
    <t>R$1.268,25</t>
  </si>
  <si>
    <t>1.375,5</t>
  </si>
  <si>
    <t>R$1.476,75</t>
  </si>
  <si>
    <t>1.408,0</t>
  </si>
  <si>
    <t>292,00</t>
  </si>
  <si>
    <t>R$1.568,04</t>
  </si>
  <si>
    <t>1.427,9</t>
  </si>
  <si>
    <t>291,00</t>
  </si>
  <si>
    <t>R$1.562,67</t>
  </si>
  <si>
    <t>1.459,5</t>
  </si>
  <si>
    <t>07/03/2026</t>
  </si>
  <si>
    <t>230,50</t>
  </si>
  <si>
    <t>R$1.288,49</t>
  </si>
  <si>
    <t>1.485,8</t>
  </si>
  <si>
    <t>323,50</t>
  </si>
  <si>
    <t>R$1.808,36</t>
  </si>
  <si>
    <t>1.516,2</t>
  </si>
  <si>
    <t>22/03/2026</t>
  </si>
  <si>
    <t>31/03/2026</t>
  </si>
  <si>
    <t>20/04/26</t>
  </si>
  <si>
    <t>12/05/2026</t>
  </si>
  <si>
    <t>EHH0040</t>
  </si>
  <si>
    <t>295,50</t>
  </si>
  <si>
    <t>R$1.595,70</t>
  </si>
  <si>
    <t>5.733,4</t>
  </si>
  <si>
    <t>(23) = 23h24min</t>
  </si>
  <si>
    <t>298,50</t>
  </si>
  <si>
    <t>R$1.611,90</t>
  </si>
  <si>
    <t>5.756,7</t>
  </si>
  <si>
    <t>R$1.782,00</t>
  </si>
  <si>
    <t>5.782,3</t>
  </si>
  <si>
    <t>271,00</t>
  </si>
  <si>
    <t>R$1.463,40</t>
  </si>
  <si>
    <t>5.804,5</t>
  </si>
  <si>
    <t>R$1.714,55</t>
  </si>
  <si>
    <t>5.830,6</t>
  </si>
  <si>
    <t>250,00</t>
  </si>
  <si>
    <t>R$1.352,00</t>
  </si>
  <si>
    <t>5.850,3</t>
  </si>
  <si>
    <t>320,00</t>
  </si>
  <si>
    <t>R$1.696,00</t>
  </si>
  <si>
    <t>5.878,9</t>
  </si>
  <si>
    <t>R$1.621,05</t>
  </si>
  <si>
    <t>5.904,3</t>
  </si>
  <si>
    <t>17/02/2026</t>
  </si>
  <si>
    <t>294,00</t>
  </si>
  <si>
    <t>R$1.572,90</t>
  </si>
  <si>
    <t>5.927,7</t>
  </si>
  <si>
    <t>21/02/2026</t>
  </si>
  <si>
    <t>268,00</t>
  </si>
  <si>
    <t>R$1.433,80</t>
  </si>
  <si>
    <t>5.949,5</t>
  </si>
  <si>
    <t>326,00</t>
  </si>
  <si>
    <t>R$1.744,10</t>
  </si>
  <si>
    <t>5.973,0</t>
  </si>
  <si>
    <t>05/03/2026</t>
  </si>
  <si>
    <t>287,00</t>
  </si>
  <si>
    <t>R$1.535,45</t>
  </si>
  <si>
    <t>5.997,2</t>
  </si>
  <si>
    <t>09/03/2026</t>
  </si>
  <si>
    <t>291,50</t>
  </si>
  <si>
    <t>R$1.559,53</t>
  </si>
  <si>
    <t>6.019,4</t>
  </si>
  <si>
    <t>R$2.025,00</t>
  </si>
  <si>
    <t>6.044,6</t>
  </si>
  <si>
    <t>24/05/2026</t>
  </si>
  <si>
    <t>31/05/2026</t>
  </si>
  <si>
    <t>07/06/2026</t>
  </si>
  <si>
    <t>EHL0014</t>
  </si>
  <si>
    <t>310,00</t>
  </si>
  <si>
    <t>R$1.664,70</t>
  </si>
  <si>
    <t>15.668,0</t>
  </si>
  <si>
    <t>20h</t>
  </si>
  <si>
    <t>16/01/2026</t>
  </si>
  <si>
    <t>289,00</t>
  </si>
  <si>
    <t>R$1.551,93</t>
  </si>
  <si>
    <t>15.685,0</t>
  </si>
  <si>
    <t>19/01/2026</t>
  </si>
  <si>
    <t>234,50</t>
  </si>
  <si>
    <t>R$1.259,27</t>
  </si>
  <si>
    <t>15.698,0</t>
  </si>
  <si>
    <t>240,50</t>
  </si>
  <si>
    <t>R$1.291,48</t>
  </si>
  <si>
    <t>15.713,4</t>
  </si>
  <si>
    <t>242,00</t>
  </si>
  <si>
    <t>R$1.287,44</t>
  </si>
  <si>
    <t>15.731,6</t>
  </si>
  <si>
    <t>R$1.356,60</t>
  </si>
  <si>
    <t>15.750,9</t>
  </si>
  <si>
    <t>30/01/2026</t>
  </si>
  <si>
    <t>247,00</t>
  </si>
  <si>
    <t>R$1.318,98</t>
  </si>
  <si>
    <t>15.768,4</t>
  </si>
  <si>
    <t>244,50</t>
  </si>
  <si>
    <t>R$1.305,63</t>
  </si>
  <si>
    <t>15.784,6</t>
  </si>
  <si>
    <t>06/02/2026</t>
  </si>
  <si>
    <t>R$1.292,28</t>
  </si>
  <si>
    <t>203,00</t>
  </si>
  <si>
    <t>R$1.084,02</t>
  </si>
  <si>
    <t>248,50</t>
  </si>
  <si>
    <t>R$1.326,99</t>
  </si>
  <si>
    <t>217,50</t>
  </si>
  <si>
    <t>R$1.167,97</t>
  </si>
  <si>
    <t>R$1.294,17</t>
  </si>
  <si>
    <t>230,00</t>
  </si>
  <si>
    <t>R$1.235,10</t>
  </si>
  <si>
    <t>226,50</t>
  </si>
  <si>
    <t>R$1.216,31</t>
  </si>
  <si>
    <t>267,50</t>
  </si>
  <si>
    <t>R$1.436,47</t>
  </si>
  <si>
    <t>R$1.248,53</t>
  </si>
  <si>
    <t>R$1.8389,11</t>
  </si>
  <si>
    <t>08/03/2026</t>
  </si>
  <si>
    <t>317,50</t>
  </si>
  <si>
    <t>R$1.774,82</t>
  </si>
  <si>
    <t>243,00</t>
  </si>
  <si>
    <t>R$1.358,37</t>
  </si>
  <si>
    <t>244,00</t>
  </si>
  <si>
    <t>R$1.363,96</t>
  </si>
  <si>
    <t>14/03/2026</t>
  </si>
  <si>
    <t>238,00</t>
  </si>
  <si>
    <t>R$1.330,42</t>
  </si>
  <si>
    <t>295,00</t>
  </si>
  <si>
    <t>R$1.649,05</t>
  </si>
  <si>
    <t>262,00</t>
  </si>
  <si>
    <t>R$1.886,40</t>
  </si>
  <si>
    <t>305,50</t>
  </si>
  <si>
    <t>R$2.199,60</t>
  </si>
  <si>
    <t>256,00</t>
  </si>
  <si>
    <t>R$1.843,20</t>
  </si>
  <si>
    <t>261,00</t>
  </si>
  <si>
    <t>R$1.879,20</t>
  </si>
  <si>
    <t>R$1.789,20</t>
  </si>
  <si>
    <t>R$1.728,00</t>
  </si>
  <si>
    <t>06/04/2026</t>
  </si>
  <si>
    <t>08/04/2026.</t>
  </si>
  <si>
    <t>11/04/2026</t>
  </si>
  <si>
    <t>02/05/2026</t>
  </si>
  <si>
    <t>16/05/2026</t>
  </si>
  <si>
    <t>18/05/2026</t>
  </si>
  <si>
    <t>26/05/2026</t>
  </si>
  <si>
    <t>04/06/2026</t>
  </si>
  <si>
    <t>EHL0028</t>
  </si>
  <si>
    <t>27/11/2025</t>
  </si>
  <si>
    <t>300,50</t>
  </si>
  <si>
    <t>R$1.673,79</t>
  </si>
  <si>
    <t>11.492,0</t>
  </si>
  <si>
    <t>22,0</t>
  </si>
  <si>
    <t>04/12/2025</t>
  </si>
  <si>
    <t>R$1.579,09</t>
  </si>
  <si>
    <t>11.512,0</t>
  </si>
  <si>
    <t>R$1.637,58</t>
  </si>
  <si>
    <t>11.532,2</t>
  </si>
  <si>
    <t>19/12/2025</t>
  </si>
  <si>
    <t>242,50</t>
  </si>
  <si>
    <t>R$1.333,75</t>
  </si>
  <si>
    <t>11.550,1</t>
  </si>
  <si>
    <t>23/12/2025</t>
  </si>
  <si>
    <t>270,50</t>
  </si>
  <si>
    <t>R$1.487,50</t>
  </si>
  <si>
    <t>11.568,4</t>
  </si>
  <si>
    <t>29/12/2025</t>
  </si>
  <si>
    <t>285,50</t>
  </si>
  <si>
    <t>R$1.570,25</t>
  </si>
  <si>
    <t>11.587,6</t>
  </si>
  <si>
    <t>05/01/2026</t>
  </si>
  <si>
    <t>302,00</t>
  </si>
  <si>
    <t>R$1.661,00</t>
  </si>
  <si>
    <t>11.608,4</t>
  </si>
  <si>
    <t>83,50</t>
  </si>
  <si>
    <t>R$463,42</t>
  </si>
  <si>
    <t>11.634,0</t>
  </si>
  <si>
    <t>R$1.348,65</t>
  </si>
  <si>
    <t>308,50</t>
  </si>
  <si>
    <t>R$1.712,18</t>
  </si>
  <si>
    <t>11.654,0</t>
  </si>
  <si>
    <t>R$1.451,32</t>
  </si>
  <si>
    <t>11.671,0</t>
  </si>
  <si>
    <t>309,00</t>
  </si>
  <si>
    <t>R$1.665,51</t>
  </si>
  <si>
    <t>11.691,1</t>
  </si>
  <si>
    <t>252,50</t>
  </si>
  <si>
    <t>R$1.360,97</t>
  </si>
  <si>
    <t>11.710,1</t>
  </si>
  <si>
    <t>256,50</t>
  </si>
  <si>
    <t>R$1.382,28</t>
  </si>
  <si>
    <t>11.728,0</t>
  </si>
  <si>
    <t>R$1.454,75</t>
  </si>
  <si>
    <t>11.747,0</t>
  </si>
  <si>
    <t>253,00</t>
  </si>
  <si>
    <t>R$1.360,63</t>
  </si>
  <si>
    <t>11.764,0</t>
  </si>
  <si>
    <t>14/02/2026</t>
  </si>
  <si>
    <t>R$1.406,35</t>
  </si>
  <si>
    <t>19/02/2026</t>
  </si>
  <si>
    <t>R$1.589,20</t>
  </si>
  <si>
    <t>R$1.565,58</t>
  </si>
  <si>
    <t>27/02/2026</t>
  </si>
  <si>
    <t>274,00</t>
  </si>
  <si>
    <t>R$1.474,12</t>
  </si>
  <si>
    <t>R$1.441,12</t>
  </si>
  <si>
    <t>249,50</t>
  </si>
  <si>
    <t>R$1.369,76</t>
  </si>
  <si>
    <t>11/03/2026</t>
  </si>
  <si>
    <t>R$1.797,97</t>
  </si>
  <si>
    <t>R$1.084,28</t>
  </si>
  <si>
    <t>R$1.702,40</t>
  </si>
  <si>
    <t>11/06/2026</t>
  </si>
  <si>
    <t>EHL0042</t>
  </si>
  <si>
    <t>306,00</t>
  </si>
  <si>
    <t>R$1.707,48</t>
  </si>
  <si>
    <t>(26) = 26h</t>
  </si>
  <si>
    <t>R$1.690,74</t>
  </si>
  <si>
    <t>281,00</t>
  </si>
  <si>
    <t>R$1.874,48</t>
  </si>
  <si>
    <t>R$1.947,85</t>
  </si>
  <si>
    <t>252,00</t>
  </si>
  <si>
    <t>R$1.681,02</t>
  </si>
  <si>
    <t>R$1.597,75</t>
  </si>
  <si>
    <t>25/0/2026</t>
  </si>
  <si>
    <t>296,00</t>
  </si>
  <si>
    <t>R$1.628,00</t>
  </si>
  <si>
    <t>307,00</t>
  </si>
  <si>
    <t>R$1.703,85</t>
  </si>
  <si>
    <t>R$1.617,82</t>
  </si>
  <si>
    <t>R$1.570,65</t>
  </si>
  <si>
    <t>281,50</t>
  </si>
  <si>
    <t>R$2.081,35</t>
  </si>
  <si>
    <t>R$2.090,05</t>
  </si>
  <si>
    <t>EHL0043</t>
  </si>
  <si>
    <t>(37) = 37h06min</t>
  </si>
  <si>
    <t>28/04/2026</t>
  </si>
  <si>
    <t>06/06/2026</t>
  </si>
  <si>
    <t>GDU0275</t>
  </si>
  <si>
    <t>807,50</t>
  </si>
  <si>
    <t>R$4.279,75</t>
  </si>
  <si>
    <t>(54) = 54h</t>
  </si>
  <si>
    <t>500,50</t>
  </si>
  <si>
    <t>R$2.697,19</t>
  </si>
  <si>
    <t>1.125,50</t>
  </si>
  <si>
    <t>R$6.156,48</t>
  </si>
  <si>
    <t>934,00</t>
  </si>
  <si>
    <t>R$5.183,70</t>
  </si>
  <si>
    <t>12/04/2026</t>
  </si>
  <si>
    <t>PHH0062</t>
  </si>
  <si>
    <t>04/01/2026</t>
  </si>
  <si>
    <t>435,50</t>
  </si>
  <si>
    <t>R$2.386,54</t>
  </si>
  <si>
    <t>28,0</t>
  </si>
  <si>
    <t>17,420</t>
  </si>
  <si>
    <t>380,50</t>
  </si>
  <si>
    <t>R$2.085,14</t>
  </si>
  <si>
    <t>52,0</t>
  </si>
  <si>
    <t>11/01/2026</t>
  </si>
  <si>
    <t>R$1.578,78</t>
  </si>
  <si>
    <t>69,0</t>
  </si>
  <si>
    <t>504,50</t>
  </si>
  <si>
    <t>R$2.799,98</t>
  </si>
  <si>
    <t>98,0</t>
  </si>
  <si>
    <t>535,00</t>
  </si>
  <si>
    <t>R$2.846,20</t>
  </si>
  <si>
    <t>129,00</t>
  </si>
  <si>
    <t>499,50</t>
  </si>
  <si>
    <t>R$2.691,81</t>
  </si>
  <si>
    <t>160,0</t>
  </si>
  <si>
    <t>271,50</t>
  </si>
  <si>
    <t>R$1.449,81</t>
  </si>
  <si>
    <t>178,0</t>
  </si>
  <si>
    <t>464,50</t>
  </si>
  <si>
    <t>R$2.461,85</t>
  </si>
  <si>
    <t>205,0</t>
  </si>
  <si>
    <t>461,50</t>
  </si>
  <si>
    <t>R$2.478,25</t>
  </si>
  <si>
    <t>234,0</t>
  </si>
  <si>
    <t>673,00</t>
  </si>
  <si>
    <t>R$3.762,07</t>
  </si>
  <si>
    <t>274,0</t>
  </si>
  <si>
    <t>702,50</t>
  </si>
  <si>
    <t>R$3.758,38</t>
  </si>
  <si>
    <t>316,1</t>
  </si>
  <si>
    <t>158,00</t>
  </si>
  <si>
    <t>R$1.185,00</t>
  </si>
  <si>
    <t>326,0</t>
  </si>
  <si>
    <t>449,00</t>
  </si>
  <si>
    <t>R$3.232,80</t>
  </si>
  <si>
    <t>355,0</t>
  </si>
  <si>
    <t>700,50</t>
  </si>
  <si>
    <t>R$5.043,60</t>
  </si>
  <si>
    <t>399,0</t>
  </si>
  <si>
    <t>EHL0070</t>
  </si>
  <si>
    <t>VOLUME ABASTECIDO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</si>
</sst>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R$&quot;\ #,##0.00"/>
    <numFmt numFmtId="165" formatCode="0.0"/>
    <numFmt numFmtId="166" formatCode="_-* #,##0.0_-;\-* #,##0.0_-;_-* &quot;-&quot;??_-;_-@_-"/>
    <numFmt numFmtId="167" formatCode="#,##0.000"/>
    <numFmt numFmtId="168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omic Sans MS"/>
      <family val="4"/>
    </font>
    <font>
      <sz val="10"/>
      <color theme="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F4FF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rgb="FFA6FFB3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2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1" fillId="0" borderId="0" xfId="0" applyFont="1"/>
    <xf numFmtId="21" fontId="2" fillId="4" borderId="0" xfId="0" applyNumberFormat="1" applyFont="1" applyFill="1" applyAlignment="1">
      <alignment horizontal="left"/>
    </xf>
    <xf numFmtId="21" fontId="2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0" fontId="0" fillId="7" borderId="0" xfId="0" applyFill="1"/>
    <xf numFmtId="0" fontId="6" fillId="7" borderId="0" xfId="0" applyFont="1" applyFill="1"/>
    <xf numFmtId="0" fontId="7" fillId="4" borderId="0" xfId="0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3" fillId="0" borderId="0" xfId="0" applyFont="1" applyAlignment="1"/>
    <xf numFmtId="166" fontId="12" fillId="0" borderId="2" xfId="1" applyNumberFormat="1" applyFont="1" applyBorder="1" applyAlignment="1">
      <alignment horizontal="left" vertical="center"/>
    </xf>
    <xf numFmtId="0" fontId="13" fillId="0" borderId="3" xfId="0" applyFont="1" applyBorder="1" applyAlignment="1"/>
    <xf numFmtId="164" fontId="12" fillId="0" borderId="2" xfId="0" applyNumberFormat="1" applyFont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9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4" fontId="3" fillId="4" borderId="0" xfId="1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0" fillId="4" borderId="0" xfId="0" applyNumberForma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5" fontId="12" fillId="0" borderId="2" xfId="0" applyNumberFormat="1" applyFont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165" fontId="5" fillId="4" borderId="0" xfId="1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167" fontId="12" fillId="2" borderId="2" xfId="1" applyNumberFormat="1" applyFont="1" applyFill="1" applyBorder="1" applyAlignment="1">
      <alignment horizontal="center" vertical="center"/>
    </xf>
    <xf numFmtId="167" fontId="5" fillId="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4" borderId="0" xfId="0" applyNumberFormat="1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167" fontId="6" fillId="5" borderId="0" xfId="0" applyNumberFormat="1" applyFont="1" applyFill="1" applyAlignment="1">
      <alignment horizontal="center"/>
    </xf>
    <xf numFmtId="167" fontId="5" fillId="6" borderId="0" xfId="0" applyNumberFormat="1" applyFont="1" applyFill="1" applyAlignment="1">
      <alignment horizontal="center"/>
    </xf>
    <xf numFmtId="167" fontId="5" fillId="5" borderId="0" xfId="1" applyNumberFormat="1" applyFont="1" applyFill="1" applyAlignment="1">
      <alignment horizontal="center"/>
    </xf>
    <xf numFmtId="167" fontId="5" fillId="4" borderId="0" xfId="1" applyNumberFormat="1" applyFont="1" applyFill="1" applyAlignment="1">
      <alignment horizontal="center"/>
    </xf>
    <xf numFmtId="167" fontId="3" fillId="5" borderId="0" xfId="0" applyNumberFormat="1" applyFont="1" applyFill="1" applyAlignment="1">
      <alignment horizontal="center"/>
    </xf>
    <xf numFmtId="167" fontId="3" fillId="6" borderId="0" xfId="0" applyNumberFormat="1" applyFont="1" applyFill="1" applyAlignment="1">
      <alignment horizontal="center"/>
    </xf>
    <xf numFmtId="168" fontId="5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7" fontId="0" fillId="5" borderId="0" xfId="0" applyNumberFormat="1" applyFill="1" applyAlignment="1">
      <alignment horizontal="center"/>
    </xf>
    <xf numFmtId="4" fontId="12" fillId="0" borderId="2" xfId="0" applyNumberFormat="1" applyFont="1" applyBorder="1" applyAlignment="1">
      <alignment horizontal="center" vertical="center"/>
    </xf>
    <xf numFmtId="4" fontId="0" fillId="3" borderId="0" xfId="0" applyNumberFormat="1" applyFill="1" applyAlignment="1">
      <alignment horizontal="center"/>
    </xf>
    <xf numFmtId="4" fontId="6" fillId="3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4" fontId="5" fillId="0" borderId="0" xfId="1" applyNumberFormat="1" applyFont="1" applyAlignment="1">
      <alignment horizontal="center"/>
    </xf>
    <xf numFmtId="4" fontId="3" fillId="4" borderId="0" xfId="1" applyNumberFormat="1" applyFont="1" applyFill="1" applyAlignment="1">
      <alignment horizontal="center"/>
    </xf>
    <xf numFmtId="4" fontId="3" fillId="3" borderId="0" xfId="1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4" fontId="3" fillId="0" borderId="0" xfId="1" applyNumberFormat="1" applyFont="1" applyAlignment="1">
      <alignment horizontal="center"/>
    </xf>
    <xf numFmtId="4" fontId="3" fillId="5" borderId="0" xfId="1" applyNumberFormat="1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4" borderId="0" xfId="1" applyNumberFormat="1" applyFont="1" applyFill="1" applyAlignment="1">
      <alignment horizontal="center"/>
    </xf>
    <xf numFmtId="4" fontId="5" fillId="4" borderId="0" xfId="0" applyNumberFormat="1" applyFont="1" applyFill="1" applyAlignment="1">
      <alignment horizontal="center"/>
    </xf>
    <xf numFmtId="166" fontId="5" fillId="0" borderId="0" xfId="1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4" fontId="5" fillId="3" borderId="0" xfId="1" applyNumberFormat="1" applyFont="1" applyFill="1" applyAlignment="1">
      <alignment horizontal="center"/>
    </xf>
    <xf numFmtId="4" fontId="5" fillId="3" borderId="0" xfId="0" applyNumberFormat="1" applyFont="1" applyFill="1" applyAlignment="1">
      <alignment horizontal="center"/>
    </xf>
    <xf numFmtId="4" fontId="12" fillId="0" borderId="2" xfId="1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4" fontId="0" fillId="5" borderId="0" xfId="0" applyNumberFormat="1" applyFill="1" applyAlignment="1">
      <alignment horizontal="center"/>
    </xf>
    <xf numFmtId="4" fontId="6" fillId="5" borderId="0" xfId="0" applyNumberFormat="1" applyFont="1" applyFill="1" applyAlignment="1">
      <alignment horizontal="center"/>
    </xf>
    <xf numFmtId="4" fontId="0" fillId="4" borderId="0" xfId="0" applyNumberFormat="1" applyFill="1" applyAlignment="1">
      <alignment horizontal="center"/>
    </xf>
    <xf numFmtId="4" fontId="6" fillId="4" borderId="0" xfId="0" applyNumberFormat="1" applyFont="1" applyFill="1" applyAlignment="1">
      <alignment horizontal="center"/>
    </xf>
    <xf numFmtId="49" fontId="12" fillId="0" borderId="2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6" fillId="5" borderId="0" xfId="0" applyNumberFormat="1" applyFon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" max="1" width="15.5703125" customWidth="1"/>
    <col min="2" max="2" width="19.42578125" style="31" bestFit="1" customWidth="1"/>
    <col min="3" max="3" width="30.7109375" style="31" bestFit="1" customWidth="1"/>
    <col min="4" max="4" width="21.140625" style="31" customWidth="1"/>
    <col min="5" max="5" width="17.7109375" style="31" customWidth="1"/>
    <col min="6" max="6" width="27.28515625" customWidth="1"/>
    <col min="7" max="7" width="31.28515625" style="31" customWidth="1"/>
    <col min="8" max="8" width="23" style="31" customWidth="1"/>
    <col min="9" max="9" width="23.5703125" style="31" customWidth="1"/>
  </cols>
  <sheetData>
    <row r="1" spans="1:10" s="25" customFormat="1" ht="16.5" x14ac:dyDescent="0.3">
      <c r="A1" s="24" t="s">
        <v>0</v>
      </c>
      <c r="B1" s="101" t="s">
        <v>1</v>
      </c>
      <c r="C1" s="95" t="s">
        <v>668</v>
      </c>
      <c r="D1" s="28" t="s">
        <v>2</v>
      </c>
      <c r="E1" s="46" t="s">
        <v>3</v>
      </c>
      <c r="F1" s="26" t="s">
        <v>4</v>
      </c>
      <c r="G1" s="61" t="s">
        <v>5</v>
      </c>
      <c r="H1" s="76" t="s">
        <v>6</v>
      </c>
      <c r="I1" s="76" t="s">
        <v>7</v>
      </c>
      <c r="J1" s="27"/>
    </row>
    <row r="2" spans="1:10" x14ac:dyDescent="0.25">
      <c r="A2" s="1" t="s">
        <v>8</v>
      </c>
      <c r="B2" s="102" t="s">
        <v>9</v>
      </c>
      <c r="C2" s="82" t="s">
        <v>10</v>
      </c>
      <c r="D2" s="29" t="s">
        <v>11</v>
      </c>
      <c r="E2" s="47" t="s">
        <v>12</v>
      </c>
      <c r="F2" s="2" t="s">
        <v>13</v>
      </c>
      <c r="G2" s="62">
        <f>C2/0.3</f>
        <v>315</v>
      </c>
      <c r="H2" s="77" t="s">
        <v>14</v>
      </c>
      <c r="I2" s="93">
        <v>11</v>
      </c>
    </row>
    <row r="3" spans="1:10" x14ac:dyDescent="0.25">
      <c r="A3" s="1" t="s">
        <v>8</v>
      </c>
      <c r="B3" s="102" t="s">
        <v>15</v>
      </c>
      <c r="C3" s="82">
        <v>203.5</v>
      </c>
      <c r="D3" s="29">
        <v>1098.9000000000001</v>
      </c>
      <c r="E3" s="47">
        <v>9999.7000000000007</v>
      </c>
      <c r="F3" s="2" t="str">
        <f t="shared" ref="F3:F12" si="0">IF(E3="", "", "(" &amp; TEXT(E3-E2, "0.0") &amp; ") = " &amp; IF(INT(E3-E2)&gt;0, INT(E3-E2) &amp; "h", "") &amp; IF(ROUND((E3-E2-INT(E3-E2))*60, 0)&gt;0, ROUND((E3-E2-INT(E3-E2))*60, 0) &amp; "min", ""))</f>
        <v>(00) = 6min</v>
      </c>
      <c r="G3" s="62">
        <f>IF((E3-E2)&gt;0, C3/(E3-E2), "")</f>
        <v>2034.9999999925967</v>
      </c>
      <c r="H3" s="77" t="s">
        <v>14</v>
      </c>
      <c r="I3" s="93">
        <v>11</v>
      </c>
    </row>
    <row r="4" spans="1:10" x14ac:dyDescent="0.25">
      <c r="A4" s="1" t="s">
        <v>8</v>
      </c>
      <c r="B4" s="102" t="s">
        <v>16</v>
      </c>
      <c r="C4" s="82">
        <v>224</v>
      </c>
      <c r="D4" s="30">
        <v>1601.6</v>
      </c>
      <c r="E4" s="47">
        <v>9999.7999999999993</v>
      </c>
      <c r="F4" s="2" t="str">
        <f t="shared" si="0"/>
        <v>(00) = 6min</v>
      </c>
      <c r="G4" s="62">
        <f t="shared" ref="G4:G12" si="1">IF((E4-E3)&gt;0, C4/(E4-E3), "")</f>
        <v>2240.0000000325963</v>
      </c>
      <c r="H4" s="77"/>
      <c r="I4" s="93">
        <v>11</v>
      </c>
    </row>
    <row r="5" spans="1:10" x14ac:dyDescent="0.25">
      <c r="A5" s="1" t="s">
        <v>8</v>
      </c>
      <c r="B5" s="102" t="s">
        <v>17</v>
      </c>
      <c r="C5" s="83">
        <v>2.5</v>
      </c>
      <c r="D5" s="30">
        <v>15.12</v>
      </c>
      <c r="E5" s="47">
        <v>9999.9</v>
      </c>
      <c r="F5" s="2" t="str">
        <f t="shared" si="0"/>
        <v>(00) = 6min</v>
      </c>
      <c r="G5" s="62">
        <f>IF((E5-E4)&gt;0, C5/(E5-E4), "")</f>
        <v>24.999999999909051</v>
      </c>
      <c r="H5" s="78"/>
      <c r="I5" s="94">
        <v>11</v>
      </c>
    </row>
    <row r="6" spans="1:10" x14ac:dyDescent="0.25">
      <c r="A6" s="1" t="s">
        <v>8</v>
      </c>
      <c r="B6" s="102" t="s">
        <v>17</v>
      </c>
      <c r="C6" s="83">
        <v>158.5</v>
      </c>
      <c r="D6" s="30">
        <v>958.92</v>
      </c>
      <c r="E6" s="47">
        <v>10000</v>
      </c>
      <c r="F6" s="2" t="str">
        <f t="shared" si="0"/>
        <v>(00) = 6min</v>
      </c>
      <c r="G6" s="62">
        <f>IF((E6-E5)&gt;0, C6/(E6-E5), "")</f>
        <v>1584.9999999942338</v>
      </c>
      <c r="H6" s="78"/>
      <c r="I6" s="94">
        <v>11</v>
      </c>
    </row>
    <row r="7" spans="1:10" x14ac:dyDescent="0.25">
      <c r="A7" s="1" t="s">
        <v>8</v>
      </c>
      <c r="B7" s="102" t="s">
        <v>18</v>
      </c>
      <c r="C7" s="83">
        <v>62.5</v>
      </c>
      <c r="D7" s="30">
        <v>349.38</v>
      </c>
      <c r="E7" s="47">
        <v>10446.799999999999</v>
      </c>
      <c r="F7" s="2" t="str">
        <f t="shared" si="0"/>
        <v>(447) = 446h48min</v>
      </c>
      <c r="G7" s="62">
        <f t="shared" si="1"/>
        <v>0.139883616830797</v>
      </c>
      <c r="H7" s="78"/>
      <c r="I7" s="94">
        <v>11</v>
      </c>
    </row>
    <row r="8" spans="1:10" x14ac:dyDescent="0.25">
      <c r="A8" s="1" t="s">
        <v>8</v>
      </c>
      <c r="B8" s="102" t="s">
        <v>19</v>
      </c>
      <c r="C8" s="83">
        <v>65</v>
      </c>
      <c r="D8" s="30">
        <v>363.35</v>
      </c>
      <c r="E8" s="47">
        <v>10455.799999999999</v>
      </c>
      <c r="F8" s="2" t="str">
        <f t="shared" si="0"/>
        <v>(09) = 9h</v>
      </c>
      <c r="G8" s="62">
        <f t="shared" si="1"/>
        <v>7.2222222222222223</v>
      </c>
      <c r="H8" s="78"/>
      <c r="I8" s="94">
        <v>11</v>
      </c>
    </row>
    <row r="9" spans="1:10" x14ac:dyDescent="0.25">
      <c r="A9" s="1" t="s">
        <v>8</v>
      </c>
      <c r="B9" s="102" t="s">
        <v>20</v>
      </c>
      <c r="C9" s="83">
        <v>67</v>
      </c>
      <c r="D9" s="30">
        <v>374.53</v>
      </c>
      <c r="E9" s="47">
        <v>10459.200000000001</v>
      </c>
      <c r="F9" s="2" t="str">
        <f t="shared" si="0"/>
        <v>(03) = 3h24min</v>
      </c>
      <c r="G9" s="62">
        <f t="shared" si="1"/>
        <v>19.705882352932743</v>
      </c>
      <c r="H9" s="78"/>
      <c r="I9" s="94">
        <v>11</v>
      </c>
    </row>
    <row r="10" spans="1:10" x14ac:dyDescent="0.25">
      <c r="A10" s="1" t="s">
        <v>8</v>
      </c>
      <c r="B10" s="102" t="s">
        <v>20</v>
      </c>
      <c r="C10" s="83">
        <v>65.5</v>
      </c>
      <c r="D10" s="30">
        <v>366.14</v>
      </c>
      <c r="E10" s="47">
        <v>10463.9</v>
      </c>
      <c r="F10" s="2" t="str">
        <f t="shared" si="0"/>
        <v>(05) = 4h42min</v>
      </c>
      <c r="G10" s="62">
        <f t="shared" si="1"/>
        <v>13.936170212769193</v>
      </c>
      <c r="H10" s="78"/>
      <c r="I10" s="94">
        <v>11</v>
      </c>
    </row>
    <row r="11" spans="1:10" x14ac:dyDescent="0.25">
      <c r="A11" s="1" t="s">
        <v>8</v>
      </c>
      <c r="B11" s="102" t="s">
        <v>21</v>
      </c>
      <c r="C11" s="83">
        <v>40</v>
      </c>
      <c r="D11" s="30">
        <v>223.6</v>
      </c>
      <c r="E11" s="47">
        <v>10633.9</v>
      </c>
      <c r="F11" s="2" t="str">
        <f t="shared" si="0"/>
        <v>(170) = 170h</v>
      </c>
      <c r="G11" s="62">
        <f t="shared" si="1"/>
        <v>0.23529411764705882</v>
      </c>
      <c r="H11" s="78"/>
      <c r="I11" s="94">
        <v>11</v>
      </c>
    </row>
    <row r="12" spans="1:10" x14ac:dyDescent="0.25">
      <c r="A12" s="1" t="s">
        <v>8</v>
      </c>
      <c r="B12" s="102" t="s">
        <v>21</v>
      </c>
      <c r="C12" s="83">
        <v>106.5</v>
      </c>
      <c r="D12" s="30">
        <v>595.34</v>
      </c>
      <c r="E12" s="47">
        <v>10721</v>
      </c>
      <c r="F12" s="2" t="str">
        <f t="shared" si="0"/>
        <v>(87) = 87h6min</v>
      </c>
      <c r="G12" s="62">
        <f t="shared" si="1"/>
        <v>1.2227324913892026</v>
      </c>
      <c r="H12" s="78"/>
      <c r="I12" s="94">
        <v>11</v>
      </c>
    </row>
    <row r="13" spans="1:10" x14ac:dyDescent="0.25">
      <c r="A13" s="3"/>
      <c r="B13" s="103"/>
      <c r="C13" s="79"/>
      <c r="E13" s="48"/>
      <c r="F13" s="112" t="s">
        <v>22</v>
      </c>
      <c r="G13" s="63">
        <f>AVERAGE(G2:G12)</f>
        <v>567.49656227573882</v>
      </c>
      <c r="H13" s="79"/>
      <c r="I13" s="79"/>
    </row>
    <row r="14" spans="1:10" x14ac:dyDescent="0.25">
      <c r="A14" s="6" t="s">
        <v>23</v>
      </c>
      <c r="B14" s="104" t="s">
        <v>24</v>
      </c>
      <c r="C14" s="80" t="s">
        <v>25</v>
      </c>
      <c r="D14" s="32" t="s">
        <v>26</v>
      </c>
      <c r="E14" s="49" t="s">
        <v>27</v>
      </c>
      <c r="F14" s="7" t="s">
        <v>28</v>
      </c>
      <c r="G14" s="64" t="s">
        <v>29</v>
      </c>
      <c r="H14" s="80" t="s">
        <v>14</v>
      </c>
      <c r="I14" s="80">
        <v>11</v>
      </c>
    </row>
    <row r="15" spans="1:10" x14ac:dyDescent="0.25">
      <c r="A15" s="6" t="s">
        <v>23</v>
      </c>
      <c r="B15" s="104" t="s">
        <v>30</v>
      </c>
      <c r="C15" s="80" t="s">
        <v>31</v>
      </c>
      <c r="D15" s="32" t="s">
        <v>32</v>
      </c>
      <c r="E15" s="49" t="s">
        <v>33</v>
      </c>
      <c r="F15" s="7" t="str">
        <f>IF(E15="", "", "(" &amp; TEXT(E15-E14, "0.0") &amp; ") = " &amp; IF(INT(E15-E14)&gt;0, INT(E15-E14) &amp; "h", "") &amp; IF(ROUND((E15-E14-INT(E15-E14))*60, 0)&gt;0, ROUND((E15-E14-INT(E15-E14))*60, 0) &amp; "min", ""))</f>
        <v>(52) = 52h6min</v>
      </c>
      <c r="G15" s="64">
        <f>IF((E15-E14)&gt;0, C15/(E15-E14), "")</f>
        <v>6.0268714011515891</v>
      </c>
      <c r="H15" s="80" t="s">
        <v>14</v>
      </c>
      <c r="I15" s="80">
        <v>11</v>
      </c>
    </row>
    <row r="16" spans="1:10" x14ac:dyDescent="0.25">
      <c r="A16" s="6" t="s">
        <v>23</v>
      </c>
      <c r="B16" s="104" t="s">
        <v>34</v>
      </c>
      <c r="C16" s="80">
        <v>329.5</v>
      </c>
      <c r="D16" s="32">
        <v>2290.02</v>
      </c>
      <c r="E16" s="49">
        <v>13562</v>
      </c>
      <c r="F16" s="7" t="str">
        <f>IF(E16="", "", "(" &amp; TEXT(E16-E15, "0.0") &amp; ") = " &amp; IF(INT(E16-E15)&gt;0, INT(E16-E15) &amp; "h", "") &amp; IF(ROUND((E16-E15-INT(E16-E15))*60, 0)&gt;0, ROUND((E16-E15-INT(E16-E15))*60, 0) &amp; "min", ""))</f>
        <v>(18) = 18h24min</v>
      </c>
      <c r="G16" s="64">
        <f>IF((E16-E15)&gt;0, C16/(E16-E15), "")</f>
        <v>17.907608695652527</v>
      </c>
      <c r="H16" s="80"/>
      <c r="I16" s="80">
        <v>11</v>
      </c>
    </row>
    <row r="17" spans="1:9" x14ac:dyDescent="0.25">
      <c r="A17" s="6"/>
      <c r="B17" s="104"/>
      <c r="C17" s="80"/>
      <c r="D17" s="33"/>
      <c r="E17" s="49"/>
      <c r="F17" s="112" t="s">
        <v>22</v>
      </c>
      <c r="G17" s="63">
        <f>AVERAGE(G14:G16)</f>
        <v>11.967240048402058</v>
      </c>
      <c r="H17" s="80"/>
      <c r="I17" s="80"/>
    </row>
    <row r="18" spans="1:9" x14ac:dyDescent="0.25">
      <c r="A18" s="8" t="s">
        <v>35</v>
      </c>
      <c r="B18" s="105" t="s">
        <v>36</v>
      </c>
      <c r="C18" s="81" t="s">
        <v>37</v>
      </c>
      <c r="D18" s="34" t="s">
        <v>38</v>
      </c>
      <c r="E18" s="50" t="s">
        <v>39</v>
      </c>
      <c r="F18" s="9" t="s">
        <v>40</v>
      </c>
      <c r="G18" s="65" t="s">
        <v>40</v>
      </c>
      <c r="H18" s="81">
        <v>9.5</v>
      </c>
      <c r="I18" s="81">
        <v>11</v>
      </c>
    </row>
    <row r="19" spans="1:9" x14ac:dyDescent="0.25">
      <c r="A19" s="8" t="s">
        <v>35</v>
      </c>
      <c r="B19" s="105" t="s">
        <v>41</v>
      </c>
      <c r="C19" s="81" t="s">
        <v>42</v>
      </c>
      <c r="D19" s="34" t="s">
        <v>43</v>
      </c>
      <c r="E19" s="50" t="s">
        <v>39</v>
      </c>
      <c r="F19" s="9" t="str">
        <f t="shared" ref="F19:F32" si="2">IF(E19="", "", "(" &amp; TEXT(E19-E18, "0.0") &amp; ") = " &amp; IF(INT(E19-E18)&gt;0, INT(E19-E18) &amp; "h", "") &amp; IF(ROUND((E19-E18-INT(E19-E18))*60, 0)&gt;0, ROUND((E19-E18-INT(E19-E18))*60, 0) &amp; "min", ""))</f>
        <v xml:space="preserve">(00) = </v>
      </c>
      <c r="G19" s="65" t="str">
        <f>IF((E19-E18)&gt;0, C19/(E19-E18), "")</f>
        <v/>
      </c>
      <c r="H19" s="81">
        <v>9.5</v>
      </c>
      <c r="I19" s="81">
        <v>11</v>
      </c>
    </row>
    <row r="20" spans="1:9" x14ac:dyDescent="0.25">
      <c r="A20" s="8" t="s">
        <v>35</v>
      </c>
      <c r="B20" s="105" t="s">
        <v>44</v>
      </c>
      <c r="C20" s="81" t="s">
        <v>45</v>
      </c>
      <c r="D20" s="34" t="s">
        <v>46</v>
      </c>
      <c r="E20" s="50" t="s">
        <v>47</v>
      </c>
      <c r="F20" s="9" t="str">
        <f t="shared" si="2"/>
        <v>(40) = 40h18min</v>
      </c>
      <c r="G20" s="65">
        <f>IF((E20-E19)&gt;0, C20/(E20-E19), "")</f>
        <v>5.2481389578164723</v>
      </c>
      <c r="H20" s="81">
        <v>9.5</v>
      </c>
      <c r="I20" s="81">
        <v>11</v>
      </c>
    </row>
    <row r="21" spans="1:9" x14ac:dyDescent="0.25">
      <c r="A21" s="8" t="s">
        <v>35</v>
      </c>
      <c r="B21" s="105" t="s">
        <v>48</v>
      </c>
      <c r="C21" s="81" t="s">
        <v>49</v>
      </c>
      <c r="D21" s="34" t="s">
        <v>50</v>
      </c>
      <c r="E21" s="50" t="s">
        <v>51</v>
      </c>
      <c r="F21" s="9" t="str">
        <f t="shared" si="2"/>
        <v>(26) = 25h36min</v>
      </c>
      <c r="G21" s="65">
        <f t="shared" ref="G21:G32" si="3">IF((E21-E20)&gt;0, C21/(E21-E20), "")</f>
        <v>11.23046874999984</v>
      </c>
      <c r="H21" s="81">
        <v>9.5</v>
      </c>
      <c r="I21" s="81">
        <v>11</v>
      </c>
    </row>
    <row r="22" spans="1:9" x14ac:dyDescent="0.25">
      <c r="A22" s="8" t="s">
        <v>35</v>
      </c>
      <c r="B22" s="105" t="s">
        <v>52</v>
      </c>
      <c r="C22" s="81" t="s">
        <v>53</v>
      </c>
      <c r="D22" s="34" t="s">
        <v>54</v>
      </c>
      <c r="E22" s="50" t="s">
        <v>55</v>
      </c>
      <c r="F22" s="9" t="str">
        <f t="shared" si="2"/>
        <v>(04) = 4h</v>
      </c>
      <c r="G22" s="65">
        <f t="shared" si="3"/>
        <v>56</v>
      </c>
      <c r="H22" s="81">
        <v>9.5</v>
      </c>
      <c r="I22" s="81">
        <v>11</v>
      </c>
    </row>
    <row r="23" spans="1:9" x14ac:dyDescent="0.25">
      <c r="A23" s="8" t="s">
        <v>35</v>
      </c>
      <c r="B23" s="105" t="s">
        <v>56</v>
      </c>
      <c r="C23" s="81" t="s">
        <v>57</v>
      </c>
      <c r="D23" s="34" t="s">
        <v>58</v>
      </c>
      <c r="E23" s="50" t="s">
        <v>59</v>
      </c>
      <c r="F23" s="9" t="str">
        <f t="shared" si="2"/>
        <v>(31) = 31h18min</v>
      </c>
      <c r="G23" s="65">
        <f t="shared" si="3"/>
        <v>11.597444089457138</v>
      </c>
      <c r="H23" s="81">
        <v>9.5</v>
      </c>
      <c r="I23" s="81">
        <v>11</v>
      </c>
    </row>
    <row r="24" spans="1:9" x14ac:dyDescent="0.25">
      <c r="A24" s="8" t="s">
        <v>35</v>
      </c>
      <c r="B24" s="105" t="s">
        <v>60</v>
      </c>
      <c r="C24" s="81" t="s">
        <v>61</v>
      </c>
      <c r="D24" s="34" t="s">
        <v>62</v>
      </c>
      <c r="E24" s="50" t="s">
        <v>63</v>
      </c>
      <c r="F24" s="9" t="str">
        <f t="shared" si="2"/>
        <v>(31) = 31h</v>
      </c>
      <c r="G24" s="65">
        <f t="shared" si="3"/>
        <v>14.32258064516129</v>
      </c>
      <c r="H24" s="81">
        <v>9.5</v>
      </c>
      <c r="I24" s="81">
        <v>11</v>
      </c>
    </row>
    <row r="25" spans="1:9" x14ac:dyDescent="0.25">
      <c r="A25" s="8" t="s">
        <v>35</v>
      </c>
      <c r="B25" s="105" t="s">
        <v>64</v>
      </c>
      <c r="C25" s="81" t="s">
        <v>65</v>
      </c>
      <c r="D25" s="34">
        <v>2501.52</v>
      </c>
      <c r="E25" s="50">
        <v>9269.9</v>
      </c>
      <c r="F25" s="9" t="str">
        <f t="shared" si="2"/>
        <v xml:space="preserve">(00) = </v>
      </c>
      <c r="G25" s="65" t="str">
        <f t="shared" si="3"/>
        <v/>
      </c>
      <c r="H25" s="81">
        <v>9.5</v>
      </c>
      <c r="I25" s="81">
        <v>11</v>
      </c>
    </row>
    <row r="26" spans="1:9" x14ac:dyDescent="0.25">
      <c r="A26" s="8" t="s">
        <v>35</v>
      </c>
      <c r="B26" s="105" t="s">
        <v>66</v>
      </c>
      <c r="C26" s="81">
        <v>453</v>
      </c>
      <c r="D26" s="34">
        <v>3261.6</v>
      </c>
      <c r="E26" s="50">
        <v>9314.2000000000007</v>
      </c>
      <c r="F26" s="9" t="str">
        <f t="shared" si="2"/>
        <v>(44) = 44h18min</v>
      </c>
      <c r="G26" s="65">
        <f t="shared" si="3"/>
        <v>10.225733634311261</v>
      </c>
      <c r="H26" s="81">
        <v>9.5</v>
      </c>
      <c r="I26" s="81">
        <v>11</v>
      </c>
    </row>
    <row r="27" spans="1:9" x14ac:dyDescent="0.25">
      <c r="A27" s="8" t="s">
        <v>35</v>
      </c>
      <c r="B27" s="105" t="s">
        <v>67</v>
      </c>
      <c r="C27" s="81">
        <v>424</v>
      </c>
      <c r="D27" s="34">
        <v>3010.4</v>
      </c>
      <c r="E27" s="50">
        <v>9355.2000000000007</v>
      </c>
      <c r="F27" s="9" t="str">
        <f t="shared" si="2"/>
        <v>(41) = 41h</v>
      </c>
      <c r="G27" s="65">
        <f t="shared" si="3"/>
        <v>10.341463414634147</v>
      </c>
      <c r="H27" s="81">
        <v>9.5</v>
      </c>
      <c r="I27" s="81">
        <v>11</v>
      </c>
    </row>
    <row r="28" spans="1:9" x14ac:dyDescent="0.25">
      <c r="A28" s="8" t="s">
        <v>35</v>
      </c>
      <c r="B28" s="105" t="s">
        <v>68</v>
      </c>
      <c r="C28" s="81">
        <v>114</v>
      </c>
      <c r="D28" s="34">
        <v>762.66</v>
      </c>
      <c r="E28" s="51">
        <v>9409.2999999999993</v>
      </c>
      <c r="F28" s="9" t="str">
        <f t="shared" si="2"/>
        <v>(54) = 54h6min</v>
      </c>
      <c r="G28" s="65">
        <f t="shared" si="3"/>
        <v>2.1072088724584672</v>
      </c>
      <c r="H28" s="81">
        <v>9.5</v>
      </c>
      <c r="I28" s="81">
        <v>11</v>
      </c>
    </row>
    <row r="29" spans="1:9" x14ac:dyDescent="0.25">
      <c r="A29" s="8" t="s">
        <v>35</v>
      </c>
      <c r="B29" s="105" t="s">
        <v>69</v>
      </c>
      <c r="C29" s="81">
        <v>241</v>
      </c>
      <c r="D29" s="34">
        <v>1535.17</v>
      </c>
      <c r="E29" s="50">
        <v>9420.7000000000007</v>
      </c>
      <c r="F29" s="9" t="str">
        <f t="shared" si="2"/>
        <v>(11) = 11h24min</v>
      </c>
      <c r="G29" s="65">
        <f t="shared" si="3"/>
        <v>21.140350877190283</v>
      </c>
      <c r="H29" s="81">
        <v>9.5</v>
      </c>
      <c r="I29" s="81">
        <v>11</v>
      </c>
    </row>
    <row r="30" spans="1:9" x14ac:dyDescent="0.25">
      <c r="A30" s="8" t="s">
        <v>35</v>
      </c>
      <c r="B30" s="105" t="s">
        <v>70</v>
      </c>
      <c r="C30" s="81">
        <v>2.5</v>
      </c>
      <c r="D30" s="34">
        <v>15.93</v>
      </c>
      <c r="E30" s="50">
        <v>9520</v>
      </c>
      <c r="F30" s="9" t="str">
        <f t="shared" si="2"/>
        <v>(99) = 99h18min</v>
      </c>
      <c r="G30" s="65">
        <f t="shared" si="3"/>
        <v>2.5176233635448322E-2</v>
      </c>
      <c r="H30" s="81">
        <v>9.5</v>
      </c>
      <c r="I30" s="81">
        <v>11</v>
      </c>
    </row>
    <row r="31" spans="1:9" x14ac:dyDescent="0.25">
      <c r="A31" s="8" t="s">
        <v>35</v>
      </c>
      <c r="B31" s="105" t="s">
        <v>71</v>
      </c>
      <c r="C31" s="81">
        <v>0.5</v>
      </c>
      <c r="D31" s="34">
        <v>3.18</v>
      </c>
      <c r="E31" s="50">
        <v>9520.7000000000007</v>
      </c>
      <c r="F31" s="9" t="str">
        <f t="shared" si="2"/>
        <v>(01) = 42min</v>
      </c>
      <c r="G31" s="65">
        <f t="shared" si="3"/>
        <v>0.7142857142849719</v>
      </c>
      <c r="H31" s="81">
        <v>9.5</v>
      </c>
      <c r="I31" s="81">
        <v>11</v>
      </c>
    </row>
    <row r="32" spans="1:9" x14ac:dyDescent="0.25">
      <c r="A32" s="8" t="s">
        <v>35</v>
      </c>
      <c r="B32" s="105" t="s">
        <v>71</v>
      </c>
      <c r="C32" s="81">
        <v>1</v>
      </c>
      <c r="D32" s="34">
        <v>6.37</v>
      </c>
      <c r="E32" s="50">
        <v>9520.7000000000007</v>
      </c>
      <c r="F32" s="9" t="str">
        <f t="shared" si="2"/>
        <v xml:space="preserve">(00) = </v>
      </c>
      <c r="G32" s="65" t="str">
        <f t="shared" si="3"/>
        <v/>
      </c>
      <c r="H32" s="81">
        <v>9.5</v>
      </c>
      <c r="I32" s="81">
        <v>11</v>
      </c>
    </row>
    <row r="33" spans="1:9" x14ac:dyDescent="0.25">
      <c r="A33" s="3"/>
      <c r="B33" s="103"/>
      <c r="C33" s="79"/>
      <c r="E33" s="48"/>
      <c r="F33" s="112" t="s">
        <v>22</v>
      </c>
      <c r="G33" s="63">
        <f>AVERAGE(G18:G32)</f>
        <v>12.995713744449942</v>
      </c>
      <c r="H33" s="79"/>
      <c r="I33" s="79"/>
    </row>
    <row r="34" spans="1:9" x14ac:dyDescent="0.25">
      <c r="A34" s="10" t="s">
        <v>72</v>
      </c>
      <c r="B34" s="106" t="s">
        <v>60</v>
      </c>
      <c r="C34" s="84" t="s">
        <v>73</v>
      </c>
      <c r="D34" s="35">
        <v>917.29</v>
      </c>
      <c r="E34" s="49" t="s">
        <v>74</v>
      </c>
      <c r="F34" s="7" t="s">
        <v>75</v>
      </c>
      <c r="G34" s="64">
        <f>IF((E34-E33)&gt;0, C34/(E34-E33), "")</f>
        <v>1.8104400271831463E-2</v>
      </c>
      <c r="H34" s="82" t="s">
        <v>14</v>
      </c>
      <c r="I34" s="82">
        <v>11</v>
      </c>
    </row>
    <row r="35" spans="1:9" x14ac:dyDescent="0.25">
      <c r="A35" s="10" t="s">
        <v>72</v>
      </c>
      <c r="B35" s="106" t="s">
        <v>76</v>
      </c>
      <c r="C35" s="84" t="s">
        <v>77</v>
      </c>
      <c r="D35" s="35">
        <v>1150.1600000000001</v>
      </c>
      <c r="E35" s="49" t="s">
        <v>78</v>
      </c>
      <c r="F35" s="7" t="str">
        <f t="shared" ref="F35:F47" si="4">IF(E35="", "", "(" &amp; TEXT(E35-E34, "0.0") &amp; ") = " &amp; IF(INT(E35-E34)&gt;0, INT(E35-E34) &amp; "h", "") &amp; IF(ROUND((E35-E34-INT(E35-E34))*60, 0)&gt;0, ROUND((E35-E34-INT(E35-E34))*60, 0) &amp; "min", ""))</f>
        <v>(16) = 16h12min</v>
      </c>
      <c r="G35" s="64">
        <f>IF((E35-E34)&gt;0, C35/(E35-E34), "")</f>
        <v>12.93209876543297</v>
      </c>
      <c r="H35" s="82" t="s">
        <v>14</v>
      </c>
      <c r="I35" s="82">
        <v>11</v>
      </c>
    </row>
    <row r="36" spans="1:9" x14ac:dyDescent="0.25">
      <c r="A36" s="10" t="s">
        <v>72</v>
      </c>
      <c r="B36" s="106" t="s">
        <v>79</v>
      </c>
      <c r="C36" s="84" t="s">
        <v>80</v>
      </c>
      <c r="D36" s="35">
        <v>1284.6600000000001</v>
      </c>
      <c r="E36" s="49" t="s">
        <v>81</v>
      </c>
      <c r="F36" s="7" t="str">
        <f t="shared" si="4"/>
        <v>(14) = 14h18min</v>
      </c>
      <c r="G36" s="64">
        <f t="shared" ref="G36:G47" si="5">IF((E36-E35)&gt;0, C36/(E36-E35), "")</f>
        <v>16.363636363635116</v>
      </c>
      <c r="H36" s="82" t="s">
        <v>14</v>
      </c>
      <c r="I36" s="82">
        <v>11</v>
      </c>
    </row>
    <row r="37" spans="1:9" x14ac:dyDescent="0.25">
      <c r="A37" s="10" t="s">
        <v>72</v>
      </c>
      <c r="B37" s="106" t="s">
        <v>82</v>
      </c>
      <c r="C37" s="84" t="s">
        <v>83</v>
      </c>
      <c r="D37" s="35">
        <v>1907.25</v>
      </c>
      <c r="E37" s="49" t="s">
        <v>84</v>
      </c>
      <c r="F37" s="7" t="str">
        <f t="shared" si="4"/>
        <v>(18) = 17h54min</v>
      </c>
      <c r="G37" s="64">
        <f t="shared" si="5"/>
        <v>15.083798882681871</v>
      </c>
      <c r="H37" s="82" t="s">
        <v>14</v>
      </c>
      <c r="I37" s="82">
        <v>11</v>
      </c>
    </row>
    <row r="38" spans="1:9" x14ac:dyDescent="0.25">
      <c r="A38" s="10" t="s">
        <v>72</v>
      </c>
      <c r="B38" s="106" t="s">
        <v>85</v>
      </c>
      <c r="C38" s="84" t="s">
        <v>86</v>
      </c>
      <c r="D38" s="35">
        <v>1645.89</v>
      </c>
      <c r="E38" s="49" t="s">
        <v>87</v>
      </c>
      <c r="F38" s="7" t="str">
        <f t="shared" si="4"/>
        <v>(15) = 15h18min</v>
      </c>
      <c r="G38" s="64">
        <f t="shared" si="5"/>
        <v>15.228758169935364</v>
      </c>
      <c r="H38" s="82" t="s">
        <v>14</v>
      </c>
      <c r="I38" s="82">
        <v>11</v>
      </c>
    </row>
    <row r="39" spans="1:9" x14ac:dyDescent="0.25">
      <c r="A39" s="10" t="s">
        <v>72</v>
      </c>
      <c r="B39" s="106" t="s">
        <v>88</v>
      </c>
      <c r="C39" s="84">
        <v>198.5</v>
      </c>
      <c r="D39" s="35">
        <v>1402.18</v>
      </c>
      <c r="E39" s="49">
        <v>9493.2000000000007</v>
      </c>
      <c r="F39" s="7" t="str">
        <f t="shared" si="4"/>
        <v>(12) = 11h54min</v>
      </c>
      <c r="G39" s="64">
        <f t="shared" si="5"/>
        <v>16.680672268905525</v>
      </c>
      <c r="H39" s="82" t="s">
        <v>14</v>
      </c>
      <c r="I39" s="82">
        <v>11</v>
      </c>
    </row>
    <row r="40" spans="1:9" x14ac:dyDescent="0.25">
      <c r="A40" s="10" t="s">
        <v>72</v>
      </c>
      <c r="B40" s="106" t="s">
        <v>67</v>
      </c>
      <c r="C40" s="84">
        <v>255.5</v>
      </c>
      <c r="D40" s="35">
        <v>1814.05</v>
      </c>
      <c r="E40" s="49">
        <v>9506</v>
      </c>
      <c r="F40" s="7" t="str">
        <f t="shared" si="4"/>
        <v>(13) = 12h48min</v>
      </c>
      <c r="G40" s="64">
        <f t="shared" si="5"/>
        <v>19.960937500001133</v>
      </c>
      <c r="H40" s="82" t="s">
        <v>14</v>
      </c>
      <c r="I40" s="82">
        <v>11</v>
      </c>
    </row>
    <row r="41" spans="1:9" x14ac:dyDescent="0.25">
      <c r="A41" s="10" t="s">
        <v>72</v>
      </c>
      <c r="B41" s="106" t="s">
        <v>89</v>
      </c>
      <c r="C41" s="84">
        <v>263.5</v>
      </c>
      <c r="D41" s="35">
        <v>1839.23</v>
      </c>
      <c r="E41" s="49">
        <v>9520.7000000000007</v>
      </c>
      <c r="F41" s="7" t="str">
        <f t="shared" si="4"/>
        <v>(15) = 14h42min</v>
      </c>
      <c r="G41" s="64">
        <f>IF((E41-E40)&gt;0, C41/(E41-E40), "")</f>
        <v>17.925170068026322</v>
      </c>
      <c r="H41" s="82"/>
      <c r="I41" s="82">
        <v>11</v>
      </c>
    </row>
    <row r="42" spans="1:9" x14ac:dyDescent="0.25">
      <c r="A42" s="10" t="s">
        <v>72</v>
      </c>
      <c r="B42" s="106" t="s">
        <v>90</v>
      </c>
      <c r="C42" s="84">
        <v>281</v>
      </c>
      <c r="D42" s="35">
        <v>1961.38</v>
      </c>
      <c r="E42" s="49">
        <v>9538</v>
      </c>
      <c r="F42" s="7" t="str">
        <f t="shared" si="4"/>
        <v>(17) = 17h18min</v>
      </c>
      <c r="G42" s="64">
        <f t="shared" si="5"/>
        <v>16.242774566474672</v>
      </c>
      <c r="H42" s="82"/>
      <c r="I42" s="82"/>
    </row>
    <row r="43" spans="1:9" x14ac:dyDescent="0.25">
      <c r="A43" s="10" t="s">
        <v>72</v>
      </c>
      <c r="B43" s="106" t="s">
        <v>91</v>
      </c>
      <c r="C43" s="96">
        <v>0.5</v>
      </c>
      <c r="D43" s="35">
        <v>3.19</v>
      </c>
      <c r="E43" s="49">
        <v>9552.2000000000007</v>
      </c>
      <c r="F43" s="7" t="str">
        <f t="shared" si="4"/>
        <v>(14) = 14h12min</v>
      </c>
      <c r="G43" s="64">
        <f t="shared" si="5"/>
        <v>3.5211267605632E-2</v>
      </c>
      <c r="H43" s="83"/>
      <c r="I43" s="83">
        <v>11</v>
      </c>
    </row>
    <row r="44" spans="1:9" x14ac:dyDescent="0.25">
      <c r="A44" s="10" t="s">
        <v>72</v>
      </c>
      <c r="B44" s="106" t="s">
        <v>91</v>
      </c>
      <c r="C44" s="96">
        <v>2</v>
      </c>
      <c r="D44" s="35">
        <v>12.74</v>
      </c>
      <c r="E44" s="49">
        <v>9552.2000000000007</v>
      </c>
      <c r="F44" s="7" t="str">
        <f t="shared" si="4"/>
        <v xml:space="preserve">(00) = </v>
      </c>
      <c r="G44" s="64" t="str">
        <f t="shared" si="5"/>
        <v/>
      </c>
      <c r="H44" s="83"/>
      <c r="I44" s="83">
        <v>11</v>
      </c>
    </row>
    <row r="45" spans="1:9" x14ac:dyDescent="0.25">
      <c r="A45" s="10" t="s">
        <v>72</v>
      </c>
      <c r="B45" s="106" t="s">
        <v>92</v>
      </c>
      <c r="C45" s="96">
        <v>224.5</v>
      </c>
      <c r="D45" s="35">
        <v>1398.63</v>
      </c>
      <c r="E45" s="49">
        <v>9588.1</v>
      </c>
      <c r="F45" s="7" t="str">
        <f t="shared" si="4"/>
        <v>(36) = 35h54min</v>
      </c>
      <c r="G45" s="64">
        <f t="shared" si="5"/>
        <v>6.2534818941504815</v>
      </c>
      <c r="H45" s="83"/>
      <c r="I45" s="83">
        <v>11</v>
      </c>
    </row>
    <row r="46" spans="1:9" x14ac:dyDescent="0.25">
      <c r="A46" s="10" t="s">
        <v>72</v>
      </c>
      <c r="B46" s="106" t="s">
        <v>18</v>
      </c>
      <c r="C46" s="96">
        <v>232.5</v>
      </c>
      <c r="D46" s="35">
        <v>1299.67</v>
      </c>
      <c r="E46" s="49">
        <v>9602.1</v>
      </c>
      <c r="F46" s="7" t="str">
        <f t="shared" si="4"/>
        <v>(14) = 14h</v>
      </c>
      <c r="G46" s="64">
        <f t="shared" si="5"/>
        <v>16.607142857142858</v>
      </c>
      <c r="H46" s="83"/>
      <c r="I46" s="83">
        <v>11</v>
      </c>
    </row>
    <row r="47" spans="1:9" x14ac:dyDescent="0.25">
      <c r="A47" s="10" t="s">
        <v>72</v>
      </c>
      <c r="B47" s="106" t="s">
        <v>93</v>
      </c>
      <c r="C47" s="96">
        <v>263</v>
      </c>
      <c r="D47" s="35">
        <v>1470.17</v>
      </c>
      <c r="E47" s="49">
        <v>9616</v>
      </c>
      <c r="F47" s="7" t="str">
        <f t="shared" si="4"/>
        <v>(14) = 13h54min</v>
      </c>
      <c r="G47" s="64">
        <f t="shared" si="5"/>
        <v>18.920863309353013</v>
      </c>
      <c r="H47" s="83"/>
      <c r="I47" s="83">
        <v>11</v>
      </c>
    </row>
    <row r="48" spans="1:9" x14ac:dyDescent="0.25">
      <c r="A48" s="10"/>
      <c r="B48" s="106"/>
      <c r="C48" s="84"/>
      <c r="E48" s="49"/>
      <c r="F48" s="112" t="s">
        <v>22</v>
      </c>
      <c r="G48" s="63">
        <f>AVERAGE(G34:G47)</f>
        <v>13.250203870278215</v>
      </c>
      <c r="H48" s="84"/>
      <c r="I48" s="84"/>
    </row>
    <row r="49" spans="1:9" x14ac:dyDescent="0.25">
      <c r="A49" s="12" t="s">
        <v>94</v>
      </c>
      <c r="B49" s="107" t="s">
        <v>95</v>
      </c>
      <c r="C49" s="85" t="s">
        <v>96</v>
      </c>
      <c r="D49" s="36" t="s">
        <v>97</v>
      </c>
      <c r="E49" s="52" t="s">
        <v>98</v>
      </c>
      <c r="F49" s="13" t="str">
        <f t="shared" ref="F49:F56" si="6">IF(E49="", "", "(" &amp; TEXT(E49-E48, "0.0") &amp; ") = " &amp; IF(INT(E49-E48)&gt;0, INT(E49-E48) &amp; "h", "") &amp; IF(ROUND((E49-E48-INT(E49-E48))*60, 0)&gt;0, ROUND((E49-E48-INT(E49-E48))*60, 0) &amp; "min", ""))</f>
        <v>(10) = 10h24min</v>
      </c>
      <c r="G49" s="66">
        <f>IF((E49-E48)&gt;0, C49/(E49-E48), "")</f>
        <v>22.06730769230769</v>
      </c>
      <c r="H49" s="85">
        <v>9.5</v>
      </c>
      <c r="I49" s="85">
        <v>11</v>
      </c>
    </row>
    <row r="50" spans="1:9" x14ac:dyDescent="0.25">
      <c r="A50" s="12" t="s">
        <v>94</v>
      </c>
      <c r="B50" s="107" t="s">
        <v>99</v>
      </c>
      <c r="C50" s="85">
        <v>122</v>
      </c>
      <c r="D50" s="36">
        <v>657.58</v>
      </c>
      <c r="E50" s="52">
        <v>19.2</v>
      </c>
      <c r="F50" s="13" t="str">
        <f t="shared" si="6"/>
        <v>(09) = 8h48min</v>
      </c>
      <c r="G50" s="67">
        <f t="shared" ref="G50:G60" si="7">IF((E50-E49)&gt;0, C50/(E50-E49), "")</f>
        <v>13.863636363636365</v>
      </c>
      <c r="H50" s="85">
        <v>9.5</v>
      </c>
      <c r="I50" s="85">
        <v>11</v>
      </c>
    </row>
    <row r="51" spans="1:9" x14ac:dyDescent="0.25">
      <c r="A51" s="12" t="s">
        <v>94</v>
      </c>
      <c r="B51" s="107" t="s">
        <v>56</v>
      </c>
      <c r="C51" s="85">
        <v>80</v>
      </c>
      <c r="D51" s="36">
        <v>431.12</v>
      </c>
      <c r="E51" s="52">
        <v>30</v>
      </c>
      <c r="F51" s="13" t="str">
        <f t="shared" si="6"/>
        <v>(11) = 10h48min</v>
      </c>
      <c r="G51" s="67">
        <f t="shared" si="7"/>
        <v>7.4074074074074066</v>
      </c>
      <c r="H51" s="85">
        <v>9.5</v>
      </c>
      <c r="I51" s="85">
        <v>11</v>
      </c>
    </row>
    <row r="52" spans="1:9" x14ac:dyDescent="0.25">
      <c r="A52" s="12" t="s">
        <v>94</v>
      </c>
      <c r="B52" s="107" t="s">
        <v>56</v>
      </c>
      <c r="C52" s="85" t="s">
        <v>100</v>
      </c>
      <c r="D52" s="36" t="s">
        <v>101</v>
      </c>
      <c r="E52" s="52">
        <v>31.2</v>
      </c>
      <c r="F52" s="13" t="str">
        <f t="shared" si="6"/>
        <v>(01) = 1h12min</v>
      </c>
      <c r="G52" s="67">
        <f t="shared" si="7"/>
        <v>164.58333333333343</v>
      </c>
      <c r="H52" s="85">
        <v>9.5</v>
      </c>
      <c r="I52" s="85">
        <v>11</v>
      </c>
    </row>
    <row r="53" spans="1:9" x14ac:dyDescent="0.25">
      <c r="A53" s="12" t="s">
        <v>94</v>
      </c>
      <c r="B53" s="107" t="s">
        <v>102</v>
      </c>
      <c r="C53" s="85" t="s">
        <v>103</v>
      </c>
      <c r="D53" s="36" t="s">
        <v>104</v>
      </c>
      <c r="E53" s="52" t="s">
        <v>105</v>
      </c>
      <c r="F53" s="13" t="str">
        <f t="shared" si="6"/>
        <v>(06) = 6h18min</v>
      </c>
      <c r="G53" s="67">
        <f t="shared" si="7"/>
        <v>24.603174603174601</v>
      </c>
      <c r="H53" s="85">
        <v>9.5</v>
      </c>
      <c r="I53" s="85">
        <v>11</v>
      </c>
    </row>
    <row r="54" spans="1:9" x14ac:dyDescent="0.25">
      <c r="A54" s="12" t="s">
        <v>94</v>
      </c>
      <c r="B54" s="107" t="s">
        <v>106</v>
      </c>
      <c r="C54" s="85" t="s">
        <v>107</v>
      </c>
      <c r="D54" s="36" t="s">
        <v>108</v>
      </c>
      <c r="E54" s="52" t="s">
        <v>109</v>
      </c>
      <c r="F54" s="13" t="str">
        <f t="shared" si="6"/>
        <v>(00) = 6min</v>
      </c>
      <c r="G54" s="67">
        <f>IF((E54-E53)&gt;0, C54/(E54-E53), "")</f>
        <v>1604.9999999999773</v>
      </c>
      <c r="H54" s="85">
        <v>9.5</v>
      </c>
      <c r="I54" s="85">
        <v>11</v>
      </c>
    </row>
    <row r="55" spans="1:9" x14ac:dyDescent="0.25">
      <c r="A55" s="12" t="s">
        <v>94</v>
      </c>
      <c r="B55" s="107" t="s">
        <v>110</v>
      </c>
      <c r="C55" s="85" t="s">
        <v>111</v>
      </c>
      <c r="D55" s="36" t="s">
        <v>112</v>
      </c>
      <c r="E55" s="52" t="s">
        <v>113</v>
      </c>
      <c r="F55" s="13" t="str">
        <f t="shared" si="6"/>
        <v>(04) = 3h30min</v>
      </c>
      <c r="G55" s="67">
        <f t="shared" si="7"/>
        <v>79</v>
      </c>
      <c r="H55" s="85">
        <v>9.5</v>
      </c>
      <c r="I55" s="85">
        <v>11</v>
      </c>
    </row>
    <row r="56" spans="1:9" x14ac:dyDescent="0.25">
      <c r="A56" s="12" t="s">
        <v>94</v>
      </c>
      <c r="B56" s="108" t="s">
        <v>66</v>
      </c>
      <c r="C56" s="97" t="s">
        <v>114</v>
      </c>
      <c r="D56" s="37" t="s">
        <v>115</v>
      </c>
      <c r="E56" s="53" t="s">
        <v>116</v>
      </c>
      <c r="F56" s="14" t="str">
        <f t="shared" si="6"/>
        <v>(11) = 10h42min</v>
      </c>
      <c r="G56" s="67">
        <f t="shared" si="7"/>
        <v>3.6915887850467306</v>
      </c>
      <c r="H56" s="85">
        <v>9.5</v>
      </c>
      <c r="I56" s="85">
        <v>11</v>
      </c>
    </row>
    <row r="57" spans="1:9" x14ac:dyDescent="0.25">
      <c r="A57" s="12" t="s">
        <v>94</v>
      </c>
      <c r="B57" s="108" t="s">
        <v>16</v>
      </c>
      <c r="C57" s="97">
        <v>107</v>
      </c>
      <c r="D57" s="37">
        <v>727.6</v>
      </c>
      <c r="E57" s="53">
        <v>51.8</v>
      </c>
      <c r="F57" s="14" t="str">
        <f t="shared" ref="F57:F63" si="8">IF(E57="", "", "(" &amp; TEXT(E57-E56, "0.0") &amp; ") = " &amp; IF(INT(E57-E56)&gt;0, INT(E57-E56) &amp; "h", "") &amp; IF(ROUND((E57-E56-INT(E57-E56))*60, 0)&gt;0, ROUND((E57-E56-INT(E57-E56))*60, 0) &amp; "min", ""))</f>
        <v xml:space="preserve">(00) = </v>
      </c>
      <c r="G57" s="67" t="str">
        <f t="shared" si="7"/>
        <v/>
      </c>
      <c r="H57" s="85"/>
      <c r="I57" s="85">
        <v>11</v>
      </c>
    </row>
    <row r="58" spans="1:9" x14ac:dyDescent="0.25">
      <c r="A58" s="12" t="s">
        <v>94</v>
      </c>
      <c r="B58" s="108" t="s">
        <v>68</v>
      </c>
      <c r="C58" s="97">
        <v>81</v>
      </c>
      <c r="D58" s="37">
        <v>550.79999999999995</v>
      </c>
      <c r="E58" s="53">
        <v>51.8</v>
      </c>
      <c r="F58" s="14" t="str">
        <f t="shared" si="8"/>
        <v xml:space="preserve">(00) = </v>
      </c>
      <c r="G58" s="67" t="str">
        <f t="shared" si="7"/>
        <v/>
      </c>
      <c r="H58" s="85"/>
      <c r="I58" s="85"/>
    </row>
    <row r="59" spans="1:9" x14ac:dyDescent="0.25">
      <c r="A59" s="12" t="s">
        <v>94</v>
      </c>
      <c r="B59" s="109" t="s">
        <v>117</v>
      </c>
      <c r="C59" s="98">
        <v>189</v>
      </c>
      <c r="D59" s="38">
        <v>1194.48</v>
      </c>
      <c r="E59" s="54">
        <v>5.5</v>
      </c>
      <c r="F59" s="14" t="str">
        <f>IF(E59="", "", "(" &amp; TEXT(E59-0, "0.0") &amp; ") = " &amp; IF(INT(E59-0)&gt;0, INT(E59-0) &amp; "h", "") &amp; IF(ROUND((E59-0-INT(E59-0))*60, 0)&gt;0, ROUND((E59-0-INT(E59-0))*60, 0) &amp; "min", ""))</f>
        <v>(06) = 5h30min</v>
      </c>
      <c r="G59" s="67">
        <f>IF((E59-0)&gt;0, C59/(E59-0), "")</f>
        <v>34.363636363636367</v>
      </c>
      <c r="H59" s="86"/>
      <c r="I59" s="86">
        <v>11</v>
      </c>
    </row>
    <row r="60" spans="1:9" x14ac:dyDescent="0.25">
      <c r="A60" s="12" t="s">
        <v>94</v>
      </c>
      <c r="B60" s="109" t="s">
        <v>118</v>
      </c>
      <c r="C60" s="98">
        <v>141</v>
      </c>
      <c r="D60" s="38">
        <v>891.12</v>
      </c>
      <c r="E60" s="54">
        <v>22.3</v>
      </c>
      <c r="F60" s="14" t="str">
        <f t="shared" si="8"/>
        <v>(17) = 16h48min</v>
      </c>
      <c r="G60" s="67">
        <f t="shared" si="7"/>
        <v>8.3928571428571423</v>
      </c>
      <c r="H60" s="86"/>
      <c r="I60" s="86">
        <v>11</v>
      </c>
    </row>
    <row r="61" spans="1:9" x14ac:dyDescent="0.25">
      <c r="A61" s="12" t="s">
        <v>94</v>
      </c>
      <c r="B61" s="109" t="s">
        <v>119</v>
      </c>
      <c r="C61" s="98">
        <v>148.5</v>
      </c>
      <c r="D61" s="38">
        <v>896.94</v>
      </c>
      <c r="E61" s="54">
        <v>33.9</v>
      </c>
      <c r="F61" s="14" t="str">
        <f t="shared" si="8"/>
        <v>(12) = 11h36min</v>
      </c>
      <c r="G61" s="67">
        <f>IF((E61-E60)&gt;0, C61/(E61-E60), "")</f>
        <v>12.801724137931037</v>
      </c>
      <c r="H61" s="86"/>
      <c r="I61" s="86">
        <v>11</v>
      </c>
    </row>
    <row r="62" spans="1:9" x14ac:dyDescent="0.25">
      <c r="A62" s="12" t="s">
        <v>94</v>
      </c>
      <c r="B62" s="109" t="s">
        <v>120</v>
      </c>
      <c r="C62" s="98">
        <v>229.5</v>
      </c>
      <c r="D62" s="38">
        <v>1386.18</v>
      </c>
      <c r="E62" s="54">
        <v>66.099999999999994</v>
      </c>
      <c r="F62" s="14" t="str">
        <f t="shared" si="8"/>
        <v>(32) = 32h12min</v>
      </c>
      <c r="G62" s="67">
        <f>IF((E62-E61)&gt;0, C62/(E62-E61), "")</f>
        <v>7.1273291925465845</v>
      </c>
      <c r="H62" s="86"/>
      <c r="I62" s="86">
        <v>11</v>
      </c>
    </row>
    <row r="63" spans="1:9" x14ac:dyDescent="0.25">
      <c r="A63" s="12" t="s">
        <v>94</v>
      </c>
      <c r="B63" s="109" t="s">
        <v>92</v>
      </c>
      <c r="C63" s="98">
        <v>170</v>
      </c>
      <c r="D63" s="38">
        <v>1026.8</v>
      </c>
      <c r="E63" s="54">
        <v>88.9</v>
      </c>
      <c r="F63" s="14" t="str">
        <f t="shared" si="8"/>
        <v>(23) = 22h48min</v>
      </c>
      <c r="G63" s="67">
        <f>IF((E63-E62)&gt;0, C63/(E63-E62), "")</f>
        <v>7.4561403508771891</v>
      </c>
      <c r="H63" s="86"/>
      <c r="I63" s="86">
        <v>11</v>
      </c>
    </row>
    <row r="64" spans="1:9" x14ac:dyDescent="0.25">
      <c r="A64" s="12" t="s">
        <v>94</v>
      </c>
      <c r="B64" s="109" t="s">
        <v>21</v>
      </c>
      <c r="C64" s="98">
        <v>140</v>
      </c>
      <c r="D64" s="38">
        <v>845.6</v>
      </c>
      <c r="E64" s="54">
        <v>105</v>
      </c>
      <c r="F64" s="15" t="str">
        <f>IF(E64="", "", "(" &amp; TEXT(E64-E63, "0.0") &amp; ") = " &amp; IF(INT(E64-E63)&gt;0, INT(E64-E63) &amp; "h", "") &amp; IF(ROUND((E64-E63-INT(E64-E63))*60, 0)&gt;0, ROUND((E64-E63-INT(E64-E63))*60, 0) &amp; "min", ""))</f>
        <v>(16) = 16h6min</v>
      </c>
      <c r="G64" s="67">
        <f>IF((E64-E63)&gt;0, C64/(E64-E63), "")</f>
        <v>8.6956521739130466</v>
      </c>
      <c r="H64" s="86"/>
      <c r="I64" s="86">
        <v>11</v>
      </c>
    </row>
    <row r="65" spans="1:9" x14ac:dyDescent="0.25">
      <c r="A65" s="10"/>
      <c r="B65" s="103"/>
      <c r="C65" s="84"/>
      <c r="E65" s="49"/>
      <c r="F65" s="112" t="s">
        <v>22</v>
      </c>
      <c r="G65" s="63">
        <f>AVERAGE(G49:G64)</f>
        <v>142.78955625333174</v>
      </c>
      <c r="H65" s="84"/>
      <c r="I65" s="84"/>
    </row>
    <row r="66" spans="1:9" x14ac:dyDescent="0.25">
      <c r="A66" s="8" t="s">
        <v>121</v>
      </c>
      <c r="B66" s="105" t="s">
        <v>122</v>
      </c>
      <c r="C66" s="81" t="s">
        <v>96</v>
      </c>
      <c r="D66" s="34" t="s">
        <v>123</v>
      </c>
      <c r="E66" s="50">
        <v>4421.2</v>
      </c>
      <c r="F66" s="9" t="s">
        <v>124</v>
      </c>
      <c r="G66" s="68">
        <f>IF((E66-E65)&gt;0, C66/(21), "")</f>
        <v>10.928571428571429</v>
      </c>
      <c r="H66" s="81">
        <v>9.5</v>
      </c>
      <c r="I66" s="81">
        <v>11</v>
      </c>
    </row>
    <row r="67" spans="1:9" x14ac:dyDescent="0.25">
      <c r="A67" s="8" t="s">
        <v>121</v>
      </c>
      <c r="B67" s="105" t="s">
        <v>125</v>
      </c>
      <c r="C67" s="81" t="s">
        <v>126</v>
      </c>
      <c r="D67" s="34" t="s">
        <v>127</v>
      </c>
      <c r="E67" s="50">
        <v>4443.5</v>
      </c>
      <c r="F67" s="9" t="str">
        <f t="shared" ref="F67:F74" si="9">IF(E67="", "", "(" &amp; TEXT(E67-E66, "0.0") &amp; ") = " &amp; IF(INT(E67-E66)&gt;0, INT(E67-E66) &amp; "h", "") &amp; IF(ROUND((E67-E66-INT(E67-E66))*60, 0)&gt;0, ROUND((E67-E66-INT(E67-E66))*60, 0) &amp; "min", ""))</f>
        <v>(22) = 22h18min</v>
      </c>
      <c r="G67" s="68">
        <f t="shared" ref="G67" si="10">IF((E67-E66)&gt;0, C67/(E67-E66), "")</f>
        <v>11.278026905829504</v>
      </c>
      <c r="H67" s="81">
        <v>9.5</v>
      </c>
      <c r="I67" s="81">
        <v>11</v>
      </c>
    </row>
    <row r="68" spans="1:9" x14ac:dyDescent="0.25">
      <c r="A68" s="8" t="s">
        <v>121</v>
      </c>
      <c r="B68" s="105" t="s">
        <v>128</v>
      </c>
      <c r="C68" s="81" t="s">
        <v>129</v>
      </c>
      <c r="D68" s="34" t="s">
        <v>130</v>
      </c>
      <c r="E68" s="50">
        <v>4467.1000000000004</v>
      </c>
      <c r="F68" s="9" t="str">
        <f t="shared" si="9"/>
        <v>(24) = 23h36min</v>
      </c>
      <c r="G68" s="68">
        <f t="shared" ref="G68:G74" si="11">IF((E68-E67)&gt;0, C68/(E68-E67), "")</f>
        <v>10.423728813559162</v>
      </c>
      <c r="H68" s="81">
        <v>9.5</v>
      </c>
      <c r="I68" s="81">
        <v>11</v>
      </c>
    </row>
    <row r="69" spans="1:9" x14ac:dyDescent="0.25">
      <c r="A69" s="8" t="s">
        <v>121</v>
      </c>
      <c r="B69" s="105" t="s">
        <v>131</v>
      </c>
      <c r="C69" s="81" t="s">
        <v>132</v>
      </c>
      <c r="D69" s="39" t="s">
        <v>133</v>
      </c>
      <c r="E69" s="50">
        <v>4489.2</v>
      </c>
      <c r="F69" s="9" t="str">
        <f t="shared" si="9"/>
        <v>(22) = 22h6min</v>
      </c>
      <c r="G69" s="68">
        <f t="shared" si="11"/>
        <v>9.5475113122174307</v>
      </c>
      <c r="H69" s="81">
        <v>9.5</v>
      </c>
      <c r="I69" s="81">
        <v>11</v>
      </c>
    </row>
    <row r="70" spans="1:9" x14ac:dyDescent="0.25">
      <c r="A70" s="8" t="s">
        <v>121</v>
      </c>
      <c r="B70" s="105" t="s">
        <v>134</v>
      </c>
      <c r="C70" s="81">
        <v>263</v>
      </c>
      <c r="D70" s="39">
        <v>1972.5</v>
      </c>
      <c r="E70" s="50">
        <v>4507.8</v>
      </c>
      <c r="F70" s="9" t="str">
        <f t="shared" si="9"/>
        <v>(19) = 18h36min</v>
      </c>
      <c r="G70" s="68">
        <f t="shared" si="11"/>
        <v>14.139784946236283</v>
      </c>
      <c r="H70" s="81">
        <v>9.5</v>
      </c>
      <c r="I70" s="81">
        <v>11</v>
      </c>
    </row>
    <row r="71" spans="1:9" x14ac:dyDescent="0.25">
      <c r="A71" s="8" t="s">
        <v>121</v>
      </c>
      <c r="B71" s="105" t="s">
        <v>68</v>
      </c>
      <c r="C71" s="81">
        <v>247.5</v>
      </c>
      <c r="D71" s="39">
        <v>1586.47</v>
      </c>
      <c r="E71" s="50">
        <v>4530.5</v>
      </c>
      <c r="F71" s="9" t="str">
        <f t="shared" si="9"/>
        <v>(23) = 22h42min</v>
      </c>
      <c r="G71" s="68">
        <f t="shared" si="11"/>
        <v>10.903083700440616</v>
      </c>
      <c r="H71" s="81">
        <v>9.5</v>
      </c>
      <c r="I71" s="81">
        <v>11</v>
      </c>
    </row>
    <row r="72" spans="1:9" x14ac:dyDescent="0.25">
      <c r="A72" s="8" t="s">
        <v>121</v>
      </c>
      <c r="B72" s="105" t="s">
        <v>135</v>
      </c>
      <c r="C72" s="87">
        <v>252.5</v>
      </c>
      <c r="D72" s="40">
        <v>1618.53</v>
      </c>
      <c r="E72" s="50">
        <v>4552.3999999999996</v>
      </c>
      <c r="F72" s="9" t="str">
        <f t="shared" si="9"/>
        <v>(22) = 21h54min</v>
      </c>
      <c r="G72" s="68">
        <f t="shared" si="11"/>
        <v>11.529680365296995</v>
      </c>
      <c r="H72" s="87">
        <v>9.5</v>
      </c>
      <c r="I72" s="87">
        <v>11</v>
      </c>
    </row>
    <row r="73" spans="1:9" x14ac:dyDescent="0.25">
      <c r="A73" s="8" t="s">
        <v>121</v>
      </c>
      <c r="B73" s="105" t="s">
        <v>92</v>
      </c>
      <c r="C73" s="87">
        <v>237.5</v>
      </c>
      <c r="D73" s="40">
        <v>1436.88</v>
      </c>
      <c r="E73" s="50">
        <v>4574.3</v>
      </c>
      <c r="F73" s="9" t="str">
        <f t="shared" si="9"/>
        <v>(22) = 21h54min</v>
      </c>
      <c r="G73" s="68">
        <f t="shared" si="11"/>
        <v>10.844748858447218</v>
      </c>
      <c r="H73" s="87">
        <v>9.5</v>
      </c>
      <c r="I73" s="87">
        <v>11</v>
      </c>
    </row>
    <row r="74" spans="1:9" x14ac:dyDescent="0.25">
      <c r="A74" s="8" t="s">
        <v>121</v>
      </c>
      <c r="B74" s="105" t="s">
        <v>20</v>
      </c>
      <c r="C74" s="87">
        <v>237</v>
      </c>
      <c r="D74" s="40">
        <v>1433.85</v>
      </c>
      <c r="E74" s="50">
        <v>4593.6000000000004</v>
      </c>
      <c r="F74" s="9" t="str">
        <f t="shared" si="9"/>
        <v>(19) = 19h18min</v>
      </c>
      <c r="G74" s="68">
        <f t="shared" si="11"/>
        <v>12.279792746113873</v>
      </c>
      <c r="H74" s="87">
        <v>9.5</v>
      </c>
      <c r="I74" s="87">
        <v>11</v>
      </c>
    </row>
    <row r="75" spans="1:9" x14ac:dyDescent="0.25">
      <c r="A75" s="10"/>
      <c r="B75" s="106"/>
      <c r="C75" s="84"/>
      <c r="E75" s="49"/>
      <c r="F75" s="112" t="s">
        <v>22</v>
      </c>
      <c r="G75" s="63">
        <f>AVERAGE(G66:G74)</f>
        <v>11.319436564079167</v>
      </c>
      <c r="H75" s="84"/>
      <c r="I75" s="84"/>
    </row>
    <row r="76" spans="1:9" x14ac:dyDescent="0.25">
      <c r="A76" s="10" t="s">
        <v>136</v>
      </c>
      <c r="B76" s="106" t="s">
        <v>137</v>
      </c>
      <c r="C76" s="84" t="s">
        <v>138</v>
      </c>
      <c r="D76" s="35" t="s">
        <v>139</v>
      </c>
      <c r="E76" s="49">
        <v>5521.3</v>
      </c>
      <c r="F76" s="7" t="s">
        <v>140</v>
      </c>
      <c r="G76" s="66" t="s">
        <v>141</v>
      </c>
      <c r="H76" s="84">
        <v>9.5</v>
      </c>
      <c r="I76" s="84">
        <v>11</v>
      </c>
    </row>
    <row r="77" spans="1:9" x14ac:dyDescent="0.25">
      <c r="A77" s="10" t="s">
        <v>136</v>
      </c>
      <c r="B77" s="106" t="s">
        <v>142</v>
      </c>
      <c r="C77" s="84" t="s">
        <v>143</v>
      </c>
      <c r="D77" s="35" t="s">
        <v>144</v>
      </c>
      <c r="E77" s="49">
        <v>5535.8</v>
      </c>
      <c r="F77" s="7" t="str">
        <f t="shared" ref="F77:F82" si="12">IF(E77="", "", "(" &amp; TEXT(E77-E76, "0.0") &amp; ") = " &amp; IF(INT(E77-E76)&gt;0, INT(E77-E76) &amp; "h", "") &amp; IF(ROUND((E77-E76-INT(E77-E76))*60, 0)&gt;0, ROUND((E77-E76-INT(E77-E76))*60, 0) &amp; "min", ""))</f>
        <v>(15) = 14h30min</v>
      </c>
      <c r="G77" s="66">
        <f t="shared" ref="G77:G82" si="13">IF((E77-E76)&gt;0, C77/(E77-E76), "")</f>
        <v>18.03448275862069</v>
      </c>
      <c r="H77" s="84">
        <v>9.5</v>
      </c>
      <c r="I77" s="84">
        <v>11</v>
      </c>
    </row>
    <row r="78" spans="1:9" x14ac:dyDescent="0.25">
      <c r="A78" s="10" t="s">
        <v>136</v>
      </c>
      <c r="B78" s="106" t="s">
        <v>145</v>
      </c>
      <c r="C78" s="84" t="s">
        <v>146</v>
      </c>
      <c r="D78" s="35" t="s">
        <v>147</v>
      </c>
      <c r="E78" s="49">
        <v>5549.6</v>
      </c>
      <c r="F78" s="7" t="str">
        <f t="shared" si="12"/>
        <v>(14) = 13h48min</v>
      </c>
      <c r="G78" s="69">
        <f t="shared" si="13"/>
        <v>19.202898550724385</v>
      </c>
      <c r="H78" s="84">
        <v>9.5</v>
      </c>
      <c r="I78" s="84">
        <v>11</v>
      </c>
    </row>
    <row r="79" spans="1:9" x14ac:dyDescent="0.25">
      <c r="A79" s="10" t="s">
        <v>136</v>
      </c>
      <c r="B79" s="106" t="s">
        <v>148</v>
      </c>
      <c r="C79" s="84" t="s">
        <v>149</v>
      </c>
      <c r="D79" s="35" t="s">
        <v>150</v>
      </c>
      <c r="E79" s="49">
        <v>5564.4</v>
      </c>
      <c r="F79" s="7" t="str">
        <f t="shared" si="12"/>
        <v>(15) = 14h48min</v>
      </c>
      <c r="G79" s="69">
        <f t="shared" si="13"/>
        <v>19.256756756757703</v>
      </c>
      <c r="H79" s="84">
        <v>9.5</v>
      </c>
      <c r="I79" s="84">
        <v>11</v>
      </c>
    </row>
    <row r="80" spans="1:9" x14ac:dyDescent="0.25">
      <c r="A80" s="10" t="s">
        <v>136</v>
      </c>
      <c r="B80" s="106" t="s">
        <v>151</v>
      </c>
      <c r="C80" s="84" t="s">
        <v>49</v>
      </c>
      <c r="D80" s="35" t="s">
        <v>152</v>
      </c>
      <c r="E80" s="49">
        <v>5579</v>
      </c>
      <c r="F80" s="7" t="str">
        <f t="shared" si="12"/>
        <v>(15) = 14h36min</v>
      </c>
      <c r="G80" s="69">
        <f t="shared" si="13"/>
        <v>19.691780821917316</v>
      </c>
      <c r="H80" s="84">
        <v>9.5</v>
      </c>
      <c r="I80" s="84">
        <v>11</v>
      </c>
    </row>
    <row r="81" spans="1:9" x14ac:dyDescent="0.25">
      <c r="A81" s="10" t="s">
        <v>136</v>
      </c>
      <c r="B81" s="106" t="s">
        <v>153</v>
      </c>
      <c r="C81" s="84" t="s">
        <v>154</v>
      </c>
      <c r="D81" s="35" t="s">
        <v>155</v>
      </c>
      <c r="E81" s="49">
        <v>5591.4</v>
      </c>
      <c r="F81" s="7" t="str">
        <f t="shared" si="12"/>
        <v>(12) = 12h24min</v>
      </c>
      <c r="G81" s="69">
        <f t="shared" si="13"/>
        <v>21.653225806452248</v>
      </c>
      <c r="H81" s="84">
        <v>9.5</v>
      </c>
      <c r="I81" s="84">
        <v>11</v>
      </c>
    </row>
    <row r="82" spans="1:9" x14ac:dyDescent="0.25">
      <c r="A82" s="10" t="s">
        <v>136</v>
      </c>
      <c r="B82" s="106" t="s">
        <v>156</v>
      </c>
      <c r="C82" s="84" t="s">
        <v>157</v>
      </c>
      <c r="D82" s="35" t="s">
        <v>158</v>
      </c>
      <c r="E82" s="49">
        <v>5605.6</v>
      </c>
      <c r="F82" s="7" t="str">
        <f t="shared" si="12"/>
        <v>(14) = 14h12min</v>
      </c>
      <c r="G82" s="69">
        <f t="shared" si="13"/>
        <v>18.521126760562431</v>
      </c>
      <c r="H82" s="84">
        <v>9.5</v>
      </c>
      <c r="I82" s="84">
        <v>11</v>
      </c>
    </row>
    <row r="83" spans="1:9" x14ac:dyDescent="0.25">
      <c r="A83" s="10"/>
      <c r="B83" s="106"/>
      <c r="C83" s="84"/>
      <c r="E83" s="49"/>
      <c r="F83" s="112" t="s">
        <v>22</v>
      </c>
      <c r="G83" s="63">
        <f>AVERAGE(G76:G82)</f>
        <v>19.393378575839126</v>
      </c>
      <c r="H83" s="84"/>
      <c r="I83" s="84"/>
    </row>
    <row r="84" spans="1:9" x14ac:dyDescent="0.25">
      <c r="A84" s="8" t="s">
        <v>159</v>
      </c>
      <c r="B84" s="105" t="s">
        <v>153</v>
      </c>
      <c r="C84" s="81" t="s">
        <v>160</v>
      </c>
      <c r="D84" s="34" t="s">
        <v>161</v>
      </c>
      <c r="E84" s="50" t="s">
        <v>162</v>
      </c>
      <c r="F84" s="9">
        <v>0</v>
      </c>
      <c r="G84" s="70">
        <f t="shared" ref="G84:G101" si="14">IF((E84-E83)&gt;0, C84/(E84-E83), "")</f>
        <v>2.189195855944746E-2</v>
      </c>
      <c r="H84" s="82" t="s">
        <v>14</v>
      </c>
      <c r="I84" s="82">
        <v>11</v>
      </c>
    </row>
    <row r="85" spans="1:9" x14ac:dyDescent="0.25">
      <c r="A85" s="8" t="s">
        <v>163</v>
      </c>
      <c r="B85" s="105" t="s">
        <v>164</v>
      </c>
      <c r="C85" s="81" t="s">
        <v>165</v>
      </c>
      <c r="D85" s="34" t="s">
        <v>166</v>
      </c>
      <c r="E85" s="50" t="s">
        <v>167</v>
      </c>
      <c r="F85" s="9" t="str">
        <f t="shared" ref="F85:F101" si="15">IF(E85="", "", "(" &amp; TEXT(E85-E84, "0.0") &amp; ") = " &amp; IF(INT(E85-E84)&gt;0, INT(E85-E84) &amp; "h", "") &amp; IF(ROUND((E85-E84-INT(E85-E84))*60, 0)&gt;0, ROUND((E85-E84-INT(E85-E84))*60, 0) &amp; "min", ""))</f>
        <v>(28) = 27h42min</v>
      </c>
      <c r="G85" s="70">
        <f t="shared" si="14"/>
        <v>12.310469314079098</v>
      </c>
      <c r="H85" s="82" t="s">
        <v>14</v>
      </c>
      <c r="I85" s="82">
        <v>11</v>
      </c>
    </row>
    <row r="86" spans="1:9" x14ac:dyDescent="0.25">
      <c r="A86" s="8" t="s">
        <v>163</v>
      </c>
      <c r="B86" s="105" t="s">
        <v>60</v>
      </c>
      <c r="C86" s="81" t="s">
        <v>168</v>
      </c>
      <c r="D86" s="34" t="s">
        <v>169</v>
      </c>
      <c r="E86" s="50" t="s">
        <v>170</v>
      </c>
      <c r="F86" s="9" t="str">
        <f t="shared" si="15"/>
        <v>(21) = 20h42min</v>
      </c>
      <c r="G86" s="70">
        <f t="shared" si="14"/>
        <v>13.695652173912562</v>
      </c>
      <c r="H86" s="82" t="s">
        <v>14</v>
      </c>
      <c r="I86" s="82">
        <v>11</v>
      </c>
    </row>
    <row r="87" spans="1:9" x14ac:dyDescent="0.25">
      <c r="A87" s="8" t="s">
        <v>163</v>
      </c>
      <c r="B87" s="105" t="s">
        <v>171</v>
      </c>
      <c r="C87" s="81" t="s">
        <v>172</v>
      </c>
      <c r="D87" s="34" t="s">
        <v>173</v>
      </c>
      <c r="E87" s="50" t="s">
        <v>174</v>
      </c>
      <c r="F87" s="9" t="str">
        <f t="shared" si="15"/>
        <v>(16) = 16h</v>
      </c>
      <c r="G87" s="70">
        <f t="shared" si="14"/>
        <v>17.90625</v>
      </c>
      <c r="H87" s="82" t="s">
        <v>14</v>
      </c>
      <c r="I87" s="82">
        <v>11</v>
      </c>
    </row>
    <row r="88" spans="1:9" x14ac:dyDescent="0.25">
      <c r="A88" s="8" t="s">
        <v>163</v>
      </c>
      <c r="B88" s="105" t="s">
        <v>64</v>
      </c>
      <c r="C88" s="81" t="s">
        <v>175</v>
      </c>
      <c r="D88" s="34" t="s">
        <v>176</v>
      </c>
      <c r="E88" s="50" t="s">
        <v>177</v>
      </c>
      <c r="F88" s="9" t="str">
        <f t="shared" si="15"/>
        <v>(18) = 17h48min</v>
      </c>
      <c r="G88" s="70">
        <f t="shared" si="14"/>
        <v>15.449438202247823</v>
      </c>
      <c r="H88" s="82" t="s">
        <v>14</v>
      </c>
      <c r="I88" s="82">
        <v>11</v>
      </c>
    </row>
    <row r="89" spans="1:9" x14ac:dyDescent="0.25">
      <c r="A89" s="8" t="s">
        <v>163</v>
      </c>
      <c r="B89" s="105" t="s">
        <v>178</v>
      </c>
      <c r="C89" s="81" t="s">
        <v>179</v>
      </c>
      <c r="D89" s="34" t="s">
        <v>180</v>
      </c>
      <c r="E89" s="50" t="s">
        <v>181</v>
      </c>
      <c r="F89" s="9" t="str">
        <f t="shared" si="15"/>
        <v>(18) = 18h18min</v>
      </c>
      <c r="G89" s="70">
        <f t="shared" si="14"/>
        <v>20.000000000000796</v>
      </c>
      <c r="H89" s="82" t="s">
        <v>14</v>
      </c>
      <c r="I89" s="82">
        <v>11</v>
      </c>
    </row>
    <row r="90" spans="1:9" x14ac:dyDescent="0.25">
      <c r="A90" s="8" t="s">
        <v>163</v>
      </c>
      <c r="B90" s="105" t="s">
        <v>182</v>
      </c>
      <c r="C90" s="81" t="s">
        <v>183</v>
      </c>
      <c r="D90" s="34" t="s">
        <v>184</v>
      </c>
      <c r="E90" s="50" t="s">
        <v>185</v>
      </c>
      <c r="F90" s="9" t="str">
        <f t="shared" si="15"/>
        <v>(21) = 20h48min</v>
      </c>
      <c r="G90" s="70">
        <f t="shared" si="14"/>
        <v>15.240384615383816</v>
      </c>
      <c r="H90" s="82" t="s">
        <v>14</v>
      </c>
      <c r="I90" s="82">
        <v>11</v>
      </c>
    </row>
    <row r="91" spans="1:9" x14ac:dyDescent="0.25">
      <c r="A91" s="8" t="s">
        <v>163</v>
      </c>
      <c r="B91" s="105" t="s">
        <v>186</v>
      </c>
      <c r="C91" s="81" t="s">
        <v>187</v>
      </c>
      <c r="D91" s="34" t="s">
        <v>188</v>
      </c>
      <c r="E91" s="50" t="s">
        <v>189</v>
      </c>
      <c r="F91" s="9" t="str">
        <f t="shared" si="15"/>
        <v>(21) = 21h6min</v>
      </c>
      <c r="G91" s="70">
        <f t="shared" si="14"/>
        <v>15.663507109004469</v>
      </c>
      <c r="H91" s="82" t="s">
        <v>14</v>
      </c>
      <c r="I91" s="82">
        <v>11</v>
      </c>
    </row>
    <row r="92" spans="1:9" x14ac:dyDescent="0.25">
      <c r="A92" s="8" t="s">
        <v>163</v>
      </c>
      <c r="B92" s="105" t="s">
        <v>82</v>
      </c>
      <c r="C92" s="81" t="s">
        <v>190</v>
      </c>
      <c r="D92" s="34" t="s">
        <v>191</v>
      </c>
      <c r="E92" s="55" t="s">
        <v>192</v>
      </c>
      <c r="F92" s="9" t="str">
        <f t="shared" si="15"/>
        <v>(17) = 17h6min</v>
      </c>
      <c r="G92" s="70">
        <f t="shared" si="14"/>
        <v>10.847953216375192</v>
      </c>
      <c r="H92" s="82" t="s">
        <v>14</v>
      </c>
      <c r="I92" s="82">
        <v>11</v>
      </c>
    </row>
    <row r="93" spans="1:9" x14ac:dyDescent="0.25">
      <c r="A93" s="8" t="s">
        <v>163</v>
      </c>
      <c r="B93" s="105" t="s">
        <v>85</v>
      </c>
      <c r="C93" s="81" t="s">
        <v>193</v>
      </c>
      <c r="D93" s="34" t="s">
        <v>194</v>
      </c>
      <c r="E93" s="55" t="s">
        <v>195</v>
      </c>
      <c r="F93" s="9" t="str">
        <f t="shared" si="15"/>
        <v>(11) = 11h18min</v>
      </c>
      <c r="G93" s="70">
        <f t="shared" si="14"/>
        <v>18.584070796458381</v>
      </c>
      <c r="H93" s="82" t="s">
        <v>14</v>
      </c>
      <c r="I93" s="82">
        <v>11</v>
      </c>
    </row>
    <row r="94" spans="1:9" x14ac:dyDescent="0.25">
      <c r="A94" s="8" t="s">
        <v>163</v>
      </c>
      <c r="B94" s="105" t="s">
        <v>196</v>
      </c>
      <c r="C94" s="81">
        <v>225.5</v>
      </c>
      <c r="D94" s="34">
        <v>1623.6</v>
      </c>
      <c r="E94" s="55">
        <v>13157.8</v>
      </c>
      <c r="F94" s="9" t="str">
        <f t="shared" si="15"/>
        <v>(14) = 14h12min</v>
      </c>
      <c r="G94" s="70">
        <f t="shared" si="14"/>
        <v>15.880281690142066</v>
      </c>
      <c r="H94" s="82" t="s">
        <v>14</v>
      </c>
      <c r="I94" s="82">
        <v>11</v>
      </c>
    </row>
    <row r="95" spans="1:9" x14ac:dyDescent="0.25">
      <c r="A95" s="8" t="s">
        <v>163</v>
      </c>
      <c r="B95" s="105" t="s">
        <v>197</v>
      </c>
      <c r="C95" s="81">
        <v>189</v>
      </c>
      <c r="D95" s="34">
        <v>1360.8</v>
      </c>
      <c r="E95" s="55">
        <v>13164.2</v>
      </c>
      <c r="F95" s="9" t="str">
        <f t="shared" si="15"/>
        <v>(06) = 6h24min</v>
      </c>
      <c r="G95" s="70">
        <f t="shared" si="14"/>
        <v>29.531249999993285</v>
      </c>
      <c r="H95" s="82" t="s">
        <v>14</v>
      </c>
      <c r="I95" s="82">
        <v>11</v>
      </c>
    </row>
    <row r="96" spans="1:9" x14ac:dyDescent="0.25">
      <c r="A96" s="8" t="s">
        <v>163</v>
      </c>
      <c r="B96" s="105" t="s">
        <v>90</v>
      </c>
      <c r="C96" s="81">
        <v>239</v>
      </c>
      <c r="D96" s="34">
        <v>1661.05</v>
      </c>
      <c r="E96" s="55">
        <v>13178.4</v>
      </c>
      <c r="F96" s="9" t="str">
        <f t="shared" si="15"/>
        <v>(14) = 14h12min</v>
      </c>
      <c r="G96" s="70">
        <f t="shared" si="14"/>
        <v>16.830985915494253</v>
      </c>
      <c r="H96" s="82" t="s">
        <v>14</v>
      </c>
      <c r="I96" s="82">
        <v>11</v>
      </c>
    </row>
    <row r="97" spans="1:9" x14ac:dyDescent="0.25">
      <c r="A97" s="8" t="s">
        <v>163</v>
      </c>
      <c r="B97" s="105" t="s">
        <v>198</v>
      </c>
      <c r="C97" s="81">
        <v>244.5</v>
      </c>
      <c r="D97" s="34">
        <v>1699.28</v>
      </c>
      <c r="E97" s="55">
        <v>13196.1</v>
      </c>
      <c r="F97" s="9" t="str">
        <f t="shared" si="15"/>
        <v>(18) = 17h42min</v>
      </c>
      <c r="G97" s="70">
        <f t="shared" si="14"/>
        <v>13.813559322033331</v>
      </c>
      <c r="H97" s="82"/>
      <c r="I97" s="82">
        <v>11</v>
      </c>
    </row>
    <row r="98" spans="1:9" x14ac:dyDescent="0.25">
      <c r="A98" s="8" t="s">
        <v>163</v>
      </c>
      <c r="B98" s="105" t="s">
        <v>91</v>
      </c>
      <c r="C98" s="87">
        <v>248</v>
      </c>
      <c r="D98" s="34">
        <v>1723.6</v>
      </c>
      <c r="E98" s="50">
        <v>13214.2</v>
      </c>
      <c r="F98" s="9" t="str">
        <f t="shared" si="15"/>
        <v>(18) = 18h6min</v>
      </c>
      <c r="G98" s="65">
        <f t="shared" si="14"/>
        <v>13.701657458563261</v>
      </c>
      <c r="H98" s="83"/>
      <c r="I98" s="83">
        <v>11</v>
      </c>
    </row>
    <row r="99" spans="1:9" x14ac:dyDescent="0.25">
      <c r="A99" s="8" t="s">
        <v>163</v>
      </c>
      <c r="B99" s="105" t="s">
        <v>199</v>
      </c>
      <c r="C99" s="87">
        <v>68</v>
      </c>
      <c r="D99" s="34">
        <v>422.28</v>
      </c>
      <c r="E99" s="50">
        <v>13229.7</v>
      </c>
      <c r="F99" s="9" t="str">
        <f t="shared" si="15"/>
        <v>(16) = 15h30min</v>
      </c>
      <c r="G99" s="65">
        <f t="shared" si="14"/>
        <v>4.387096774193548</v>
      </c>
      <c r="H99" s="83"/>
      <c r="I99" s="83">
        <v>11</v>
      </c>
    </row>
    <row r="100" spans="1:9" x14ac:dyDescent="0.25">
      <c r="A100" s="8" t="s">
        <v>163</v>
      </c>
      <c r="B100" s="105" t="s">
        <v>199</v>
      </c>
      <c r="C100" s="87">
        <v>196.5</v>
      </c>
      <c r="D100" s="34">
        <v>1220.27</v>
      </c>
      <c r="E100" s="50">
        <v>13229.8</v>
      </c>
      <c r="F100" s="9" t="str">
        <f t="shared" si="15"/>
        <v>(00) = 6min</v>
      </c>
      <c r="G100" s="65">
        <f t="shared" si="14"/>
        <v>1965.0000000285945</v>
      </c>
      <c r="H100" s="83"/>
      <c r="I100" s="83">
        <v>11</v>
      </c>
    </row>
    <row r="101" spans="1:9" x14ac:dyDescent="0.25">
      <c r="A101" s="8" t="s">
        <v>163</v>
      </c>
      <c r="B101" s="105" t="s">
        <v>19</v>
      </c>
      <c r="C101" s="87">
        <v>258.5</v>
      </c>
      <c r="D101" s="34">
        <v>1605.29</v>
      </c>
      <c r="E101" s="50">
        <v>13247.8</v>
      </c>
      <c r="F101" s="9" t="str">
        <f t="shared" si="15"/>
        <v>(18) = 18h</v>
      </c>
      <c r="G101" s="65">
        <f t="shared" si="14"/>
        <v>14.361111111111111</v>
      </c>
      <c r="H101" s="83"/>
      <c r="I101" s="83">
        <v>11</v>
      </c>
    </row>
    <row r="102" spans="1:9" x14ac:dyDescent="0.25">
      <c r="A102" s="11"/>
      <c r="B102" s="42"/>
      <c r="C102" s="42"/>
      <c r="E102" s="48"/>
      <c r="F102" s="112" t="s">
        <v>22</v>
      </c>
      <c r="G102" s="63">
        <f>AVERAGE(G84:G101)</f>
        <v>122.95697553811929</v>
      </c>
      <c r="H102" s="79"/>
      <c r="I102" s="79"/>
    </row>
    <row r="103" spans="1:9" x14ac:dyDescent="0.25">
      <c r="A103" s="10" t="s">
        <v>200</v>
      </c>
      <c r="B103" s="106" t="s">
        <v>201</v>
      </c>
      <c r="C103" s="96" t="s">
        <v>202</v>
      </c>
      <c r="D103" s="41" t="s">
        <v>203</v>
      </c>
      <c r="E103" s="56">
        <v>5108.2</v>
      </c>
      <c r="F103" s="16">
        <v>20.8</v>
      </c>
      <c r="G103" s="66">
        <f t="shared" ref="G103:G106" si="16">IF((E103-E102)&gt;0, C103/(E103-E102), "")</f>
        <v>6.8027876747190796E-2</v>
      </c>
      <c r="H103" s="80">
        <v>12</v>
      </c>
      <c r="I103" s="80">
        <v>11</v>
      </c>
    </row>
    <row r="104" spans="1:9" x14ac:dyDescent="0.25">
      <c r="A104" s="10" t="s">
        <v>200</v>
      </c>
      <c r="B104" s="106" t="s">
        <v>204</v>
      </c>
      <c r="C104" s="96" t="s">
        <v>205</v>
      </c>
      <c r="D104" s="41" t="s">
        <v>206</v>
      </c>
      <c r="E104" s="56">
        <v>5151.3999999999996</v>
      </c>
      <c r="F104" s="16" t="str">
        <f t="shared" ref="F104:F135" si="17">IF(E104="", "", "(" &amp; TEXT(E104-E103, "0.0") &amp; ") = " &amp; IF(INT(E104-E103)&gt;0, INT(E104-E103) &amp; "h", "") &amp; IF(ROUND((E104-E103-INT(E104-E103))*60, 0)&gt;0, ROUND((E104-E103-INT(E104-E103))*60, 0) &amp; "min", ""))</f>
        <v>(43) = 43h12min</v>
      </c>
      <c r="G104" s="66">
        <f t="shared" si="16"/>
        <v>8.1134259259259593</v>
      </c>
      <c r="H104" s="80">
        <v>12</v>
      </c>
      <c r="I104" s="80">
        <v>11</v>
      </c>
    </row>
    <row r="105" spans="1:9" x14ac:dyDescent="0.25">
      <c r="A105" s="10" t="s">
        <v>200</v>
      </c>
      <c r="B105" s="106" t="s">
        <v>207</v>
      </c>
      <c r="C105" s="96" t="s">
        <v>208</v>
      </c>
      <c r="D105" s="41" t="s">
        <v>209</v>
      </c>
      <c r="E105" s="56">
        <v>5172.2</v>
      </c>
      <c r="F105" s="16" t="str">
        <f t="shared" si="17"/>
        <v>(21) = 20h48min</v>
      </c>
      <c r="G105" s="66">
        <f t="shared" si="16"/>
        <v>16.538461538461394</v>
      </c>
      <c r="H105" s="80">
        <v>12</v>
      </c>
      <c r="I105" s="80">
        <v>11</v>
      </c>
    </row>
    <row r="106" spans="1:9" x14ac:dyDescent="0.25">
      <c r="A106" s="10" t="s">
        <v>200</v>
      </c>
      <c r="B106" s="106" t="s">
        <v>210</v>
      </c>
      <c r="C106" s="96" t="s">
        <v>211</v>
      </c>
      <c r="D106" s="41" t="s">
        <v>212</v>
      </c>
      <c r="E106" s="56">
        <v>5194.3999999999996</v>
      </c>
      <c r="F106" s="16" t="str">
        <f t="shared" si="17"/>
        <v>(22) = 22h12min</v>
      </c>
      <c r="G106" s="66">
        <f t="shared" si="16"/>
        <v>15.337837837837963</v>
      </c>
      <c r="H106" s="80">
        <v>12</v>
      </c>
      <c r="I106" s="80">
        <v>11</v>
      </c>
    </row>
    <row r="107" spans="1:9" x14ac:dyDescent="0.25">
      <c r="A107" s="10" t="s">
        <v>200</v>
      </c>
      <c r="B107" s="106" t="s">
        <v>99</v>
      </c>
      <c r="C107" s="96" t="s">
        <v>213</v>
      </c>
      <c r="D107" s="41" t="s">
        <v>214</v>
      </c>
      <c r="E107" s="56">
        <v>5216</v>
      </c>
      <c r="F107" s="16" t="str">
        <f t="shared" si="17"/>
        <v>(22) = 21h36min</v>
      </c>
      <c r="G107" s="66">
        <f t="shared" ref="G107:G135" si="18">IF((E107-E106)&gt;0, C107/(E107-E106), "")</f>
        <v>11.365740740740549</v>
      </c>
      <c r="H107" s="80">
        <v>12</v>
      </c>
      <c r="I107" s="80">
        <v>11</v>
      </c>
    </row>
    <row r="108" spans="1:9" x14ac:dyDescent="0.25">
      <c r="A108" s="10" t="s">
        <v>200</v>
      </c>
      <c r="B108" s="106" t="s">
        <v>215</v>
      </c>
      <c r="C108" s="96" t="s">
        <v>216</v>
      </c>
      <c r="D108" s="41" t="s">
        <v>217</v>
      </c>
      <c r="E108" s="56">
        <v>5238.1000000000004</v>
      </c>
      <c r="F108" s="16" t="str">
        <f t="shared" si="17"/>
        <v>(22) = 22h6min</v>
      </c>
      <c r="G108" s="66">
        <f t="shared" si="18"/>
        <v>15.452488687782552</v>
      </c>
      <c r="H108" s="80">
        <v>12</v>
      </c>
      <c r="I108" s="80">
        <v>11</v>
      </c>
    </row>
    <row r="109" spans="1:9" x14ac:dyDescent="0.25">
      <c r="A109" s="10" t="s">
        <v>200</v>
      </c>
      <c r="B109" s="106" t="s">
        <v>125</v>
      </c>
      <c r="C109" s="96" t="s">
        <v>218</v>
      </c>
      <c r="D109" s="41" t="s">
        <v>219</v>
      </c>
      <c r="E109" s="56">
        <v>5260.5</v>
      </c>
      <c r="F109" s="16" t="str">
        <f t="shared" si="17"/>
        <v>(22) = 22h24min</v>
      </c>
      <c r="G109" s="66">
        <f t="shared" si="18"/>
        <v>15.758928571428827</v>
      </c>
      <c r="H109" s="80">
        <v>12</v>
      </c>
      <c r="I109" s="80">
        <v>11</v>
      </c>
    </row>
    <row r="110" spans="1:9" x14ac:dyDescent="0.25">
      <c r="A110" s="10" t="s">
        <v>200</v>
      </c>
      <c r="B110" s="106" t="s">
        <v>102</v>
      </c>
      <c r="C110" s="96" t="s">
        <v>220</v>
      </c>
      <c r="D110" s="41" t="s">
        <v>221</v>
      </c>
      <c r="E110" s="56">
        <v>5282.4</v>
      </c>
      <c r="F110" s="16" t="str">
        <f t="shared" si="17"/>
        <v>(22) = 21h54min</v>
      </c>
      <c r="G110" s="66">
        <f t="shared" si="18"/>
        <v>16.073059360730859</v>
      </c>
      <c r="H110" s="80">
        <v>12</v>
      </c>
      <c r="I110" s="80">
        <v>11</v>
      </c>
    </row>
    <row r="111" spans="1:9" x14ac:dyDescent="0.25">
      <c r="A111" s="10" t="s">
        <v>200</v>
      </c>
      <c r="B111" s="106" t="s">
        <v>106</v>
      </c>
      <c r="C111" s="96" t="s">
        <v>222</v>
      </c>
      <c r="D111" s="41" t="s">
        <v>223</v>
      </c>
      <c r="E111" s="56">
        <v>5304.2</v>
      </c>
      <c r="F111" s="16" t="str">
        <f t="shared" si="17"/>
        <v>(22) = 21h48min</v>
      </c>
      <c r="G111" s="66">
        <f t="shared" si="18"/>
        <v>15.183486238531984</v>
      </c>
      <c r="H111" s="80">
        <v>12</v>
      </c>
      <c r="I111" s="80">
        <v>11</v>
      </c>
    </row>
    <row r="112" spans="1:9" x14ac:dyDescent="0.25">
      <c r="A112" s="10" t="s">
        <v>200</v>
      </c>
      <c r="B112" s="106" t="s">
        <v>224</v>
      </c>
      <c r="C112" s="96" t="s">
        <v>225</v>
      </c>
      <c r="D112" s="41" t="s">
        <v>226</v>
      </c>
      <c r="E112" s="56">
        <v>5327.1</v>
      </c>
      <c r="F112" s="16" t="str">
        <f t="shared" si="17"/>
        <v>(23) = 22h54min</v>
      </c>
      <c r="G112" s="66">
        <f t="shared" si="18"/>
        <v>15.56768558951928</v>
      </c>
      <c r="H112" s="80">
        <v>12</v>
      </c>
      <c r="I112" s="80">
        <v>11</v>
      </c>
    </row>
    <row r="113" spans="1:9" x14ac:dyDescent="0.25">
      <c r="A113" s="10" t="s">
        <v>200</v>
      </c>
      <c r="B113" s="106" t="s">
        <v>171</v>
      </c>
      <c r="C113" s="96" t="s">
        <v>227</v>
      </c>
      <c r="D113" s="41" t="s">
        <v>228</v>
      </c>
      <c r="E113" s="56">
        <v>5349.2</v>
      </c>
      <c r="F113" s="16" t="str">
        <f t="shared" si="17"/>
        <v>(22) = 22h6min</v>
      </c>
      <c r="G113" s="66">
        <f t="shared" si="18"/>
        <v>14.72850678733068</v>
      </c>
      <c r="H113" s="80">
        <v>12</v>
      </c>
      <c r="I113" s="80">
        <v>11</v>
      </c>
    </row>
    <row r="114" spans="1:9" x14ac:dyDescent="0.25">
      <c r="A114" s="10" t="s">
        <v>200</v>
      </c>
      <c r="B114" s="106" t="s">
        <v>229</v>
      </c>
      <c r="C114" s="96" t="s">
        <v>230</v>
      </c>
      <c r="D114" s="41" t="s">
        <v>231</v>
      </c>
      <c r="E114" s="56">
        <v>5361</v>
      </c>
      <c r="F114" s="16" t="str">
        <f t="shared" si="17"/>
        <v>(12) = 11h48min</v>
      </c>
      <c r="G114" s="66">
        <f t="shared" si="18"/>
        <v>16.99152542372855</v>
      </c>
      <c r="H114" s="80">
        <v>12</v>
      </c>
      <c r="I114" s="80">
        <v>11</v>
      </c>
    </row>
    <row r="115" spans="1:9" x14ac:dyDescent="0.25">
      <c r="A115" s="10" t="s">
        <v>200</v>
      </c>
      <c r="B115" s="106" t="s">
        <v>64</v>
      </c>
      <c r="C115" s="96" t="s">
        <v>232</v>
      </c>
      <c r="D115" s="41" t="s">
        <v>233</v>
      </c>
      <c r="E115" s="56">
        <v>5384.2</v>
      </c>
      <c r="F115" s="16" t="str">
        <f t="shared" si="17"/>
        <v>(23) = 23h12min</v>
      </c>
      <c r="G115" s="66">
        <f t="shared" si="18"/>
        <v>15.237068965517361</v>
      </c>
      <c r="H115" s="80">
        <v>12</v>
      </c>
      <c r="I115" s="80">
        <v>11</v>
      </c>
    </row>
    <row r="116" spans="1:9" x14ac:dyDescent="0.25">
      <c r="A116" s="10" t="s">
        <v>200</v>
      </c>
      <c r="B116" s="106" t="s">
        <v>234</v>
      </c>
      <c r="C116" s="96" t="s">
        <v>235</v>
      </c>
      <c r="D116" s="41" t="s">
        <v>236</v>
      </c>
      <c r="E116" s="56">
        <v>5403</v>
      </c>
      <c r="F116" s="16" t="str">
        <f t="shared" si="17"/>
        <v>(19) = 18h48min</v>
      </c>
      <c r="G116" s="66">
        <f t="shared" si="18"/>
        <v>16.11702127659559</v>
      </c>
      <c r="H116" s="80">
        <v>12</v>
      </c>
      <c r="I116" s="80">
        <v>11</v>
      </c>
    </row>
    <row r="117" spans="1:9" x14ac:dyDescent="0.25">
      <c r="A117" s="10" t="s">
        <v>200</v>
      </c>
      <c r="B117" s="106" t="s">
        <v>131</v>
      </c>
      <c r="C117" s="96" t="s">
        <v>237</v>
      </c>
      <c r="D117" s="41" t="s">
        <v>238</v>
      </c>
      <c r="E117" s="56">
        <v>5440.1</v>
      </c>
      <c r="F117" s="16" t="str">
        <f t="shared" si="17"/>
        <v>(37) = 37h6min</v>
      </c>
      <c r="G117" s="66">
        <f t="shared" si="18"/>
        <v>8.9353099730457348</v>
      </c>
      <c r="H117" s="80">
        <v>12</v>
      </c>
      <c r="I117" s="80">
        <v>11</v>
      </c>
    </row>
    <row r="118" spans="1:9" x14ac:dyDescent="0.25">
      <c r="A118" s="10" t="s">
        <v>200</v>
      </c>
      <c r="B118" s="106" t="s">
        <v>239</v>
      </c>
      <c r="C118" s="96" t="s">
        <v>240</v>
      </c>
      <c r="D118" s="41" t="s">
        <v>241</v>
      </c>
      <c r="E118" s="56">
        <v>5548.2</v>
      </c>
      <c r="F118" s="16" t="str">
        <f t="shared" si="17"/>
        <v>(108) = 108h6min</v>
      </c>
      <c r="G118" s="66">
        <f t="shared" si="18"/>
        <v>2.8815911193339647</v>
      </c>
      <c r="H118" s="80">
        <v>12</v>
      </c>
      <c r="I118" s="80">
        <v>11</v>
      </c>
    </row>
    <row r="119" spans="1:9" x14ac:dyDescent="0.25">
      <c r="A119" s="10" t="s">
        <v>200</v>
      </c>
      <c r="B119" s="106" t="s">
        <v>242</v>
      </c>
      <c r="C119" s="96" t="s">
        <v>243</v>
      </c>
      <c r="D119" s="41" t="s">
        <v>244</v>
      </c>
      <c r="E119" s="56">
        <v>5479.1</v>
      </c>
      <c r="F119" s="17" t="str">
        <f t="shared" si="17"/>
        <v>(-69) = 54min</v>
      </c>
      <c r="G119" s="66" t="str">
        <f t="shared" si="18"/>
        <v/>
      </c>
      <c r="H119" s="80">
        <v>12</v>
      </c>
      <c r="I119" s="80">
        <v>11</v>
      </c>
    </row>
    <row r="120" spans="1:9" x14ac:dyDescent="0.25">
      <c r="A120" s="10" t="s">
        <v>200</v>
      </c>
      <c r="B120" s="106" t="s">
        <v>245</v>
      </c>
      <c r="C120" s="96" t="s">
        <v>246</v>
      </c>
      <c r="D120" s="41" t="s">
        <v>247</v>
      </c>
      <c r="E120" s="56">
        <v>5500</v>
      </c>
      <c r="F120" s="17" t="str">
        <f t="shared" si="17"/>
        <v>(21) = 20h54min</v>
      </c>
      <c r="G120" s="66">
        <f t="shared" si="18"/>
        <v>16.172248803828033</v>
      </c>
      <c r="H120" s="80">
        <v>12</v>
      </c>
      <c r="I120" s="80">
        <v>11</v>
      </c>
    </row>
    <row r="121" spans="1:9" x14ac:dyDescent="0.25">
      <c r="A121" s="10" t="s">
        <v>200</v>
      </c>
      <c r="B121" s="106" t="s">
        <v>248</v>
      </c>
      <c r="C121" s="96" t="s">
        <v>249</v>
      </c>
      <c r="D121" s="41" t="s">
        <v>250</v>
      </c>
      <c r="E121" s="56">
        <v>5522.5</v>
      </c>
      <c r="F121" s="17" t="str">
        <f t="shared" si="17"/>
        <v>(23) = 22h30min</v>
      </c>
      <c r="G121" s="66">
        <f t="shared" si="18"/>
        <v>15.311111111111112</v>
      </c>
      <c r="H121" s="80">
        <v>12</v>
      </c>
      <c r="I121" s="80">
        <v>11</v>
      </c>
    </row>
    <row r="122" spans="1:9" x14ac:dyDescent="0.25">
      <c r="A122" s="10" t="s">
        <v>200</v>
      </c>
      <c r="B122" s="106" t="s">
        <v>88</v>
      </c>
      <c r="C122" s="96">
        <v>332</v>
      </c>
      <c r="D122" s="41">
        <v>2380.44</v>
      </c>
      <c r="E122" s="56">
        <v>5564</v>
      </c>
      <c r="F122" s="17" t="str">
        <f t="shared" si="17"/>
        <v>(42) = 41h30min</v>
      </c>
      <c r="G122" s="66">
        <f t="shared" si="18"/>
        <v>8</v>
      </c>
      <c r="H122" s="80">
        <v>12</v>
      </c>
      <c r="I122" s="80">
        <v>11</v>
      </c>
    </row>
    <row r="123" spans="1:9" x14ac:dyDescent="0.25">
      <c r="A123" s="10" t="s">
        <v>200</v>
      </c>
      <c r="B123" s="106" t="s">
        <v>251</v>
      </c>
      <c r="C123" s="96">
        <v>342</v>
      </c>
      <c r="D123" s="41">
        <v>2452.14</v>
      </c>
      <c r="E123" s="56">
        <v>5564</v>
      </c>
      <c r="F123" s="17" t="str">
        <f t="shared" si="17"/>
        <v xml:space="preserve">(00) = </v>
      </c>
      <c r="G123" s="68" t="str">
        <f t="shared" si="18"/>
        <v/>
      </c>
      <c r="H123" s="80">
        <v>12</v>
      </c>
      <c r="I123" s="80">
        <v>11</v>
      </c>
    </row>
    <row r="124" spans="1:9" x14ac:dyDescent="0.25">
      <c r="A124" s="10" t="s">
        <v>200</v>
      </c>
      <c r="B124" s="106" t="s">
        <v>252</v>
      </c>
      <c r="C124" s="96">
        <v>328.5</v>
      </c>
      <c r="D124" s="41">
        <v>2283.0700000000002</v>
      </c>
      <c r="E124" s="56">
        <v>5583.3</v>
      </c>
      <c r="F124" s="17" t="str">
        <f t="shared" si="17"/>
        <v>(19) = 19h18min</v>
      </c>
      <c r="G124" s="66">
        <f t="shared" si="18"/>
        <v>17.020725388600876</v>
      </c>
      <c r="H124" s="80">
        <v>12</v>
      </c>
      <c r="I124" s="80">
        <v>11</v>
      </c>
    </row>
    <row r="125" spans="1:9" x14ac:dyDescent="0.25">
      <c r="A125" s="10" t="s">
        <v>200</v>
      </c>
      <c r="B125" s="106" t="s">
        <v>198</v>
      </c>
      <c r="C125" s="96">
        <v>345</v>
      </c>
      <c r="D125" s="41">
        <v>2397.75</v>
      </c>
      <c r="E125" s="56">
        <v>5606.1</v>
      </c>
      <c r="F125" s="17" t="str">
        <f t="shared" si="17"/>
        <v>(23) = 22h48min</v>
      </c>
      <c r="G125" s="66">
        <f t="shared" si="18"/>
        <v>15.1315789473683</v>
      </c>
      <c r="H125" s="80">
        <v>12</v>
      </c>
      <c r="I125" s="80">
        <v>11</v>
      </c>
    </row>
    <row r="126" spans="1:9" x14ac:dyDescent="0.25">
      <c r="A126" s="10" t="s">
        <v>200</v>
      </c>
      <c r="B126" s="106" t="s">
        <v>253</v>
      </c>
      <c r="C126" s="96">
        <v>313.5</v>
      </c>
      <c r="D126" s="41">
        <v>2178.8200000000002</v>
      </c>
      <c r="E126" s="56">
        <v>5625</v>
      </c>
      <c r="F126" s="17" t="str">
        <f t="shared" si="17"/>
        <v>(19) = 18h54min</v>
      </c>
      <c r="G126" s="66">
        <f t="shared" si="18"/>
        <v>16.587301587301905</v>
      </c>
      <c r="H126" s="80">
        <v>12</v>
      </c>
      <c r="I126" s="80">
        <v>11</v>
      </c>
    </row>
    <row r="127" spans="1:9" x14ac:dyDescent="0.25">
      <c r="A127" s="10" t="s">
        <v>200</v>
      </c>
      <c r="B127" s="106" t="s">
        <v>254</v>
      </c>
      <c r="C127" s="96">
        <v>345.5</v>
      </c>
      <c r="D127" s="41">
        <v>2401.23</v>
      </c>
      <c r="E127" s="56">
        <v>5645.3</v>
      </c>
      <c r="F127" s="17" t="str">
        <f t="shared" si="17"/>
        <v>(20) = 20h18min</v>
      </c>
      <c r="G127" s="66">
        <f t="shared" si="18"/>
        <v>17.019704433497385</v>
      </c>
      <c r="H127" s="80">
        <v>12</v>
      </c>
      <c r="I127" s="80">
        <v>11</v>
      </c>
    </row>
    <row r="128" spans="1:9" x14ac:dyDescent="0.25">
      <c r="A128" s="10" t="s">
        <v>200</v>
      </c>
      <c r="B128" s="106" t="s">
        <v>255</v>
      </c>
      <c r="C128" s="96">
        <v>294.5</v>
      </c>
      <c r="D128" s="41">
        <v>1881.85</v>
      </c>
      <c r="E128" s="56">
        <v>5665.3</v>
      </c>
      <c r="F128" s="17" t="str">
        <f t="shared" si="17"/>
        <v>(20) = 20h</v>
      </c>
      <c r="G128" s="66">
        <f t="shared" si="18"/>
        <v>14.725</v>
      </c>
      <c r="H128" s="80">
        <v>12</v>
      </c>
      <c r="I128" s="80">
        <v>11</v>
      </c>
    </row>
    <row r="129" spans="1:9" x14ac:dyDescent="0.25">
      <c r="A129" s="10" t="s">
        <v>200</v>
      </c>
      <c r="B129" s="106" t="s">
        <v>256</v>
      </c>
      <c r="C129" s="96">
        <v>276</v>
      </c>
      <c r="D129" s="41">
        <v>1763.64</v>
      </c>
      <c r="E129" s="56">
        <v>5684.1</v>
      </c>
      <c r="F129" s="17" t="str">
        <f t="shared" si="17"/>
        <v>(19) = 18h48min</v>
      </c>
      <c r="G129" s="66">
        <f t="shared" si="18"/>
        <v>14.680851063829644</v>
      </c>
      <c r="H129" s="88">
        <v>12</v>
      </c>
      <c r="I129" s="88">
        <v>11</v>
      </c>
    </row>
    <row r="130" spans="1:9" x14ac:dyDescent="0.25">
      <c r="A130" s="10" t="s">
        <v>200</v>
      </c>
      <c r="B130" s="106" t="s">
        <v>257</v>
      </c>
      <c r="C130" s="96">
        <v>329</v>
      </c>
      <c r="D130" s="41">
        <v>2102.31</v>
      </c>
      <c r="E130" s="56">
        <v>5704.4</v>
      </c>
      <c r="F130" s="17" t="str">
        <f t="shared" si="17"/>
        <v>(20) = 20h18min</v>
      </c>
      <c r="G130" s="66">
        <f t="shared" si="18"/>
        <v>16.206896551724718</v>
      </c>
      <c r="H130" s="88">
        <v>12</v>
      </c>
      <c r="I130" s="88">
        <v>11</v>
      </c>
    </row>
    <row r="131" spans="1:9" x14ac:dyDescent="0.25">
      <c r="A131" s="10" t="s">
        <v>200</v>
      </c>
      <c r="B131" s="106" t="s">
        <v>258</v>
      </c>
      <c r="C131" s="96">
        <v>310</v>
      </c>
      <c r="D131" s="41">
        <v>1959.2</v>
      </c>
      <c r="E131" s="56">
        <v>5726.4</v>
      </c>
      <c r="F131" s="17" t="str">
        <f t="shared" si="17"/>
        <v>(22) = 22h</v>
      </c>
      <c r="G131" s="66">
        <f t="shared" si="18"/>
        <v>14.090909090909092</v>
      </c>
      <c r="H131" s="88">
        <v>12</v>
      </c>
      <c r="I131" s="88">
        <v>11</v>
      </c>
    </row>
    <row r="132" spans="1:9" x14ac:dyDescent="0.25">
      <c r="A132" s="10" t="s">
        <v>200</v>
      </c>
      <c r="B132" s="106" t="s">
        <v>120</v>
      </c>
      <c r="C132" s="96">
        <v>281</v>
      </c>
      <c r="D132" s="41">
        <v>1775.92</v>
      </c>
      <c r="E132" s="56">
        <v>5745.1</v>
      </c>
      <c r="F132" s="17" t="str">
        <f t="shared" si="17"/>
        <v>(19) = 18h42min</v>
      </c>
      <c r="G132" s="66">
        <f t="shared" si="18"/>
        <v>15.026737967913855</v>
      </c>
      <c r="H132" s="88">
        <v>12</v>
      </c>
      <c r="I132" s="88">
        <v>11</v>
      </c>
    </row>
    <row r="133" spans="1:9" x14ac:dyDescent="0.25">
      <c r="A133" s="10" t="s">
        <v>200</v>
      </c>
      <c r="B133" s="106" t="s">
        <v>17</v>
      </c>
      <c r="C133" s="96">
        <v>239.5</v>
      </c>
      <c r="D133" s="41">
        <v>1513.64</v>
      </c>
      <c r="E133" s="56">
        <v>5760.2</v>
      </c>
      <c r="F133" s="17" t="str">
        <f t="shared" si="17"/>
        <v>(15) = 15h6min</v>
      </c>
      <c r="G133" s="66">
        <f t="shared" si="18"/>
        <v>15.860927152318453</v>
      </c>
      <c r="H133" s="88">
        <v>12</v>
      </c>
      <c r="I133" s="88">
        <v>11</v>
      </c>
    </row>
    <row r="134" spans="1:9" x14ac:dyDescent="0.25">
      <c r="A134" s="10" t="s">
        <v>200</v>
      </c>
      <c r="B134" s="106" t="s">
        <v>19</v>
      </c>
      <c r="C134" s="96">
        <v>326</v>
      </c>
      <c r="D134" s="41">
        <v>2060.3200000000002</v>
      </c>
      <c r="E134" s="56">
        <v>5782</v>
      </c>
      <c r="F134" s="17" t="str">
        <f t="shared" si="17"/>
        <v>(22) = 21h48min</v>
      </c>
      <c r="G134" s="66">
        <f t="shared" si="18"/>
        <v>14.954128440366848</v>
      </c>
      <c r="H134" s="88">
        <v>12</v>
      </c>
      <c r="I134" s="88">
        <v>11</v>
      </c>
    </row>
    <row r="135" spans="1:9" x14ac:dyDescent="0.25">
      <c r="A135" s="10" t="s">
        <v>200</v>
      </c>
      <c r="B135" s="106" t="s">
        <v>93</v>
      </c>
      <c r="C135" s="96">
        <v>293.5</v>
      </c>
      <c r="D135" s="41">
        <v>1854.92</v>
      </c>
      <c r="E135" s="56">
        <v>5798.4</v>
      </c>
      <c r="F135" s="17" t="str">
        <f t="shared" si="17"/>
        <v>(16) = 16h24min</v>
      </c>
      <c r="G135" s="66">
        <f t="shared" si="18"/>
        <v>17.89634146341503</v>
      </c>
      <c r="H135" s="88">
        <v>12</v>
      </c>
      <c r="I135" s="88">
        <v>11</v>
      </c>
    </row>
    <row r="136" spans="1:9" x14ac:dyDescent="0.25">
      <c r="A136" s="10"/>
      <c r="B136" s="106"/>
      <c r="C136" s="96"/>
      <c r="E136" s="56"/>
      <c r="F136" s="112" t="s">
        <v>22</v>
      </c>
      <c r="G136" s="63">
        <f>AVERAGE(G103:G135)</f>
        <v>13.968858965014311</v>
      </c>
      <c r="H136" s="80"/>
      <c r="I136" s="80"/>
    </row>
    <row r="137" spans="1:9" x14ac:dyDescent="0.25">
      <c r="A137" s="8" t="s">
        <v>259</v>
      </c>
      <c r="B137" s="105" t="s">
        <v>151</v>
      </c>
      <c r="C137" s="81" t="s">
        <v>260</v>
      </c>
      <c r="D137" s="34" t="s">
        <v>261</v>
      </c>
      <c r="E137" s="50" t="s">
        <v>262</v>
      </c>
      <c r="F137" s="9" t="s">
        <v>263</v>
      </c>
      <c r="G137" s="66">
        <f>7.64</f>
        <v>7.64</v>
      </c>
      <c r="H137" s="89">
        <v>12</v>
      </c>
      <c r="I137" s="89">
        <v>11</v>
      </c>
    </row>
    <row r="138" spans="1:9" x14ac:dyDescent="0.25">
      <c r="A138" s="8" t="s">
        <v>259</v>
      </c>
      <c r="B138" s="105" t="s">
        <v>24</v>
      </c>
      <c r="C138" s="81" t="s">
        <v>264</v>
      </c>
      <c r="D138" s="34" t="s">
        <v>265</v>
      </c>
      <c r="E138" s="50" t="s">
        <v>266</v>
      </c>
      <c r="F138" s="9" t="str">
        <f t="shared" ref="F138:F165" si="19">IF(E138="", "", "(" &amp; TEXT(E138-E137, "0.0") &amp; ") = " &amp; IF(INT(E138-E137)&gt;0, INT(E138-E137) &amp; "h", "") &amp; IF(ROUND((E138-E137-INT(E138-E137))*60, 0)&gt;0, ROUND((E138-E137-INT(E138-E137))*60, 0) &amp; "min", ""))</f>
        <v>(23) = 23h24min</v>
      </c>
      <c r="G138" s="66">
        <f t="shared" ref="G138:G164" si="20">IF((E138-E137)&gt;0, C138/(E138-E137), "")</f>
        <v>14.102564102564322</v>
      </c>
      <c r="H138" s="89">
        <v>12</v>
      </c>
      <c r="I138" s="89">
        <v>11</v>
      </c>
    </row>
    <row r="139" spans="1:9" x14ac:dyDescent="0.25">
      <c r="A139" s="8" t="s">
        <v>259</v>
      </c>
      <c r="B139" s="105" t="s">
        <v>95</v>
      </c>
      <c r="C139" s="81" t="s">
        <v>267</v>
      </c>
      <c r="D139" s="34" t="s">
        <v>268</v>
      </c>
      <c r="E139" s="50" t="s">
        <v>269</v>
      </c>
      <c r="F139" s="9" t="str">
        <f t="shared" si="19"/>
        <v>(21) = 20h42min</v>
      </c>
      <c r="G139" s="66">
        <f t="shared" si="20"/>
        <v>15.700483091787577</v>
      </c>
      <c r="H139" s="89">
        <v>12</v>
      </c>
      <c r="I139" s="89">
        <v>11</v>
      </c>
    </row>
    <row r="140" spans="1:9" x14ac:dyDescent="0.25">
      <c r="A140" s="18" t="s">
        <v>259</v>
      </c>
      <c r="B140" s="105" t="s">
        <v>270</v>
      </c>
      <c r="C140" s="81" t="s">
        <v>271</v>
      </c>
      <c r="D140" s="34" t="s">
        <v>272</v>
      </c>
      <c r="E140" s="50" t="s">
        <v>273</v>
      </c>
      <c r="F140" s="9" t="str">
        <f t="shared" si="19"/>
        <v>(21) = 21h18min</v>
      </c>
      <c r="G140" s="66">
        <f t="shared" si="20"/>
        <v>15.375586854459963</v>
      </c>
      <c r="H140" s="89">
        <v>12</v>
      </c>
      <c r="I140" s="89">
        <v>11</v>
      </c>
    </row>
    <row r="141" spans="1:9" x14ac:dyDescent="0.25">
      <c r="A141" s="8" t="s">
        <v>259</v>
      </c>
      <c r="B141" s="105" t="s">
        <v>99</v>
      </c>
      <c r="C141" s="81" t="s">
        <v>274</v>
      </c>
      <c r="D141" s="34" t="s">
        <v>275</v>
      </c>
      <c r="E141" s="50" t="s">
        <v>276</v>
      </c>
      <c r="F141" s="9" t="str">
        <f t="shared" si="19"/>
        <v>(19) = 18h30min</v>
      </c>
      <c r="G141" s="66">
        <f t="shared" si="20"/>
        <v>17.216216216216218</v>
      </c>
      <c r="H141" s="89">
        <v>12</v>
      </c>
      <c r="I141" s="89">
        <v>11</v>
      </c>
    </row>
    <row r="142" spans="1:9" x14ac:dyDescent="0.25">
      <c r="A142" s="8" t="s">
        <v>259</v>
      </c>
      <c r="B142" s="105" t="s">
        <v>277</v>
      </c>
      <c r="C142" s="81" t="s">
        <v>278</v>
      </c>
      <c r="D142" s="34" t="s">
        <v>279</v>
      </c>
      <c r="E142" s="50" t="s">
        <v>280</v>
      </c>
      <c r="F142" s="9" t="str">
        <f t="shared" si="19"/>
        <v>(17) = 16h42min</v>
      </c>
      <c r="G142" s="66">
        <f t="shared" si="20"/>
        <v>17.395209580838515</v>
      </c>
      <c r="H142" s="89">
        <v>12</v>
      </c>
      <c r="I142" s="89">
        <v>11</v>
      </c>
    </row>
    <row r="143" spans="1:9" x14ac:dyDescent="0.25">
      <c r="A143" s="8" t="s">
        <v>259</v>
      </c>
      <c r="B143" s="105" t="s">
        <v>215</v>
      </c>
      <c r="C143" s="81" t="s">
        <v>281</v>
      </c>
      <c r="D143" s="34" t="s">
        <v>282</v>
      </c>
      <c r="E143" s="50" t="s">
        <v>283</v>
      </c>
      <c r="F143" s="9" t="str">
        <f t="shared" si="19"/>
        <v>(09) = 8h42min</v>
      </c>
      <c r="G143" s="66">
        <f t="shared" si="20"/>
        <v>18.793103448276256</v>
      </c>
      <c r="H143" s="89">
        <v>12</v>
      </c>
      <c r="I143" s="89">
        <v>11</v>
      </c>
    </row>
    <row r="144" spans="1:9" x14ac:dyDescent="0.25">
      <c r="A144" s="8" t="s">
        <v>259</v>
      </c>
      <c r="B144" s="105" t="s">
        <v>284</v>
      </c>
      <c r="C144" s="81" t="s">
        <v>285</v>
      </c>
      <c r="D144" s="34" t="s">
        <v>286</v>
      </c>
      <c r="E144" s="50" t="s">
        <v>287</v>
      </c>
      <c r="F144" s="9" t="str">
        <f t="shared" si="19"/>
        <v>(18) = 17h42min</v>
      </c>
      <c r="G144" s="66">
        <f t="shared" si="20"/>
        <v>17.683615819208313</v>
      </c>
      <c r="H144" s="89">
        <v>12</v>
      </c>
      <c r="I144" s="89">
        <v>11</v>
      </c>
    </row>
    <row r="145" spans="1:9" x14ac:dyDescent="0.25">
      <c r="A145" s="18" t="s">
        <v>259</v>
      </c>
      <c r="B145" s="105" t="s">
        <v>288</v>
      </c>
      <c r="C145" s="81" t="s">
        <v>289</v>
      </c>
      <c r="D145" s="34" t="s">
        <v>290</v>
      </c>
      <c r="E145" s="50" t="s">
        <v>291</v>
      </c>
      <c r="F145" s="9" t="str">
        <f t="shared" si="19"/>
        <v>(16) = 16h24min</v>
      </c>
      <c r="G145" s="66">
        <f t="shared" si="20"/>
        <v>17.835365853658931</v>
      </c>
      <c r="H145" s="89">
        <v>12</v>
      </c>
      <c r="I145" s="89">
        <v>11</v>
      </c>
    </row>
    <row r="146" spans="1:9" x14ac:dyDescent="0.25">
      <c r="A146" s="18" t="s">
        <v>259</v>
      </c>
      <c r="B146" s="105" t="s">
        <v>102</v>
      </c>
      <c r="C146" s="81" t="s">
        <v>271</v>
      </c>
      <c r="D146" s="34" t="s">
        <v>292</v>
      </c>
      <c r="E146" s="50" t="s">
        <v>293</v>
      </c>
      <c r="F146" s="9" t="str">
        <f t="shared" si="19"/>
        <v>(20) = 19h30min</v>
      </c>
      <c r="G146" s="66">
        <f t="shared" si="20"/>
        <v>16.794871794871796</v>
      </c>
      <c r="H146" s="89">
        <v>12</v>
      </c>
      <c r="I146" s="89">
        <v>11</v>
      </c>
    </row>
    <row r="147" spans="1:9" x14ac:dyDescent="0.25">
      <c r="A147" s="8" t="s">
        <v>259</v>
      </c>
      <c r="B147" s="105" t="s">
        <v>164</v>
      </c>
      <c r="C147" s="81" t="s">
        <v>294</v>
      </c>
      <c r="D147" s="34" t="s">
        <v>295</v>
      </c>
      <c r="E147" s="50" t="s">
        <v>296</v>
      </c>
      <c r="F147" s="9" t="str">
        <f t="shared" si="19"/>
        <v>(17) = 16h54min</v>
      </c>
      <c r="G147" s="66">
        <f t="shared" si="20"/>
        <v>18.90532544378739</v>
      </c>
      <c r="H147" s="89">
        <v>12</v>
      </c>
      <c r="I147" s="89">
        <v>11</v>
      </c>
    </row>
    <row r="148" spans="1:9" x14ac:dyDescent="0.25">
      <c r="A148" s="8" t="s">
        <v>259</v>
      </c>
      <c r="B148" s="105" t="s">
        <v>156</v>
      </c>
      <c r="C148" s="81" t="s">
        <v>297</v>
      </c>
      <c r="D148" s="34" t="s">
        <v>298</v>
      </c>
      <c r="E148" s="50" t="s">
        <v>299</v>
      </c>
      <c r="F148" s="9" t="str">
        <f t="shared" si="19"/>
        <v>(16) = 15h54min</v>
      </c>
      <c r="G148" s="66">
        <f t="shared" si="20"/>
        <v>20.157232704401824</v>
      </c>
      <c r="H148" s="89">
        <v>12</v>
      </c>
      <c r="I148" s="89">
        <v>11</v>
      </c>
    </row>
    <row r="149" spans="1:9" x14ac:dyDescent="0.25">
      <c r="A149" s="8" t="s">
        <v>259</v>
      </c>
      <c r="B149" s="105" t="s">
        <v>300</v>
      </c>
      <c r="C149" s="81" t="s">
        <v>301</v>
      </c>
      <c r="D149" s="34" t="s">
        <v>302</v>
      </c>
      <c r="E149" s="50" t="s">
        <v>303</v>
      </c>
      <c r="F149" s="9" t="str">
        <f t="shared" si="19"/>
        <v>(12) = 12h18min</v>
      </c>
      <c r="G149" s="66">
        <f t="shared" si="20"/>
        <v>20.731707317072864</v>
      </c>
      <c r="H149" s="89">
        <v>12</v>
      </c>
      <c r="I149" s="89">
        <v>11</v>
      </c>
    </row>
    <row r="150" spans="1:9" x14ac:dyDescent="0.25">
      <c r="A150" s="8" t="s">
        <v>259</v>
      </c>
      <c r="B150" s="105" t="s">
        <v>304</v>
      </c>
      <c r="C150" s="81" t="s">
        <v>305</v>
      </c>
      <c r="D150" s="34" t="s">
        <v>306</v>
      </c>
      <c r="E150" s="50" t="s">
        <v>307</v>
      </c>
      <c r="F150" s="9" t="str">
        <f t="shared" si="19"/>
        <v>(10) = 10h</v>
      </c>
      <c r="G150" s="66">
        <f t="shared" si="20"/>
        <v>18.75</v>
      </c>
      <c r="H150" s="89">
        <v>12</v>
      </c>
      <c r="I150" s="89">
        <v>11</v>
      </c>
    </row>
    <row r="151" spans="1:9" x14ac:dyDescent="0.25">
      <c r="A151" s="8" t="s">
        <v>259</v>
      </c>
      <c r="B151" s="105" t="s">
        <v>308</v>
      </c>
      <c r="C151" s="81" t="s">
        <v>309</v>
      </c>
      <c r="D151" s="34" t="s">
        <v>306</v>
      </c>
      <c r="E151" s="50" t="s">
        <v>310</v>
      </c>
      <c r="F151" s="9" t="str">
        <f t="shared" si="19"/>
        <v>(15) = 14h30min</v>
      </c>
      <c r="G151" s="66">
        <f t="shared" si="20"/>
        <v>19.517241379310345</v>
      </c>
      <c r="H151" s="89">
        <v>12</v>
      </c>
      <c r="I151" s="89">
        <v>11</v>
      </c>
    </row>
    <row r="152" spans="1:9" x14ac:dyDescent="0.25">
      <c r="A152" s="8" t="s">
        <v>259</v>
      </c>
      <c r="B152" s="105" t="s">
        <v>60</v>
      </c>
      <c r="C152" s="81" t="s">
        <v>311</v>
      </c>
      <c r="D152" s="34" t="s">
        <v>312</v>
      </c>
      <c r="E152" s="50" t="s">
        <v>313</v>
      </c>
      <c r="F152" s="9" t="str">
        <f t="shared" si="19"/>
        <v>(00) = 6min</v>
      </c>
      <c r="G152" s="66">
        <f t="shared" si="20"/>
        <v>365.00000000199179</v>
      </c>
      <c r="H152" s="89">
        <v>12</v>
      </c>
      <c r="I152" s="89">
        <v>11</v>
      </c>
    </row>
    <row r="153" spans="1:9" x14ac:dyDescent="0.25">
      <c r="A153" s="8" t="s">
        <v>259</v>
      </c>
      <c r="B153" s="105" t="s">
        <v>224</v>
      </c>
      <c r="C153" s="81" t="s">
        <v>314</v>
      </c>
      <c r="D153" s="34" t="s">
        <v>315</v>
      </c>
      <c r="E153" s="50" t="s">
        <v>316</v>
      </c>
      <c r="F153" s="9" t="str">
        <f t="shared" si="19"/>
        <v>(21) = 20h36min</v>
      </c>
      <c r="G153" s="66">
        <f t="shared" si="20"/>
        <v>15.582524271844385</v>
      </c>
      <c r="H153" s="89">
        <v>12</v>
      </c>
      <c r="I153" s="89">
        <v>11</v>
      </c>
    </row>
    <row r="154" spans="1:9" x14ac:dyDescent="0.25">
      <c r="A154" s="8" t="s">
        <v>259</v>
      </c>
      <c r="B154" s="105" t="s">
        <v>110</v>
      </c>
      <c r="C154" s="81" t="s">
        <v>317</v>
      </c>
      <c r="D154" s="34" t="s">
        <v>318</v>
      </c>
      <c r="E154" s="50" t="s">
        <v>319</v>
      </c>
      <c r="F154" s="9" t="str">
        <f t="shared" si="19"/>
        <v>(18) = 17h54min</v>
      </c>
      <c r="G154" s="66">
        <f t="shared" si="20"/>
        <v>15.391061452514279</v>
      </c>
      <c r="H154" s="89">
        <v>12</v>
      </c>
      <c r="I154" s="89">
        <v>11</v>
      </c>
    </row>
    <row r="155" spans="1:9" x14ac:dyDescent="0.25">
      <c r="A155" s="8" t="s">
        <v>259</v>
      </c>
      <c r="B155" s="105" t="s">
        <v>320</v>
      </c>
      <c r="C155" s="81" t="s">
        <v>260</v>
      </c>
      <c r="D155" s="34" t="s">
        <v>321</v>
      </c>
      <c r="E155" s="50" t="s">
        <v>322</v>
      </c>
      <c r="F155" s="9" t="str">
        <f t="shared" si="19"/>
        <v>(21) = 21h12min</v>
      </c>
      <c r="G155" s="66">
        <f t="shared" si="20"/>
        <v>15.424528301886925</v>
      </c>
      <c r="H155" s="89">
        <v>12</v>
      </c>
      <c r="I155" s="89">
        <v>11</v>
      </c>
    </row>
    <row r="156" spans="1:9" x14ac:dyDescent="0.25">
      <c r="A156" s="8" t="s">
        <v>259</v>
      </c>
      <c r="B156" s="105" t="s">
        <v>234</v>
      </c>
      <c r="C156" s="81" t="s">
        <v>323</v>
      </c>
      <c r="D156" s="34" t="s">
        <v>324</v>
      </c>
      <c r="E156" s="50" t="s">
        <v>325</v>
      </c>
      <c r="F156" s="9" t="str">
        <f t="shared" si="19"/>
        <v>(21) = 21h</v>
      </c>
      <c r="G156" s="66">
        <f t="shared" si="20"/>
        <v>14.285714285714286</v>
      </c>
      <c r="H156" s="89">
        <v>12</v>
      </c>
      <c r="I156" s="89">
        <v>11</v>
      </c>
    </row>
    <row r="157" spans="1:9" x14ac:dyDescent="0.25">
      <c r="A157" s="8" t="s">
        <v>259</v>
      </c>
      <c r="B157" s="105" t="s">
        <v>178</v>
      </c>
      <c r="C157" s="81" t="s">
        <v>326</v>
      </c>
      <c r="D157" s="34" t="s">
        <v>327</v>
      </c>
      <c r="E157" s="50" t="s">
        <v>328</v>
      </c>
      <c r="F157" s="9" t="str">
        <f t="shared" si="19"/>
        <v>(17) = 17h12min</v>
      </c>
      <c r="G157" s="66">
        <f t="shared" si="20"/>
        <v>16.162790697673735</v>
      </c>
      <c r="H157" s="89">
        <v>12</v>
      </c>
      <c r="I157" s="89">
        <v>11</v>
      </c>
    </row>
    <row r="158" spans="1:9" x14ac:dyDescent="0.25">
      <c r="A158" s="8" t="s">
        <v>259</v>
      </c>
      <c r="B158" s="105" t="s">
        <v>182</v>
      </c>
      <c r="C158" s="81" t="s">
        <v>329</v>
      </c>
      <c r="D158" s="34" t="s">
        <v>330</v>
      </c>
      <c r="E158" s="50" t="s">
        <v>331</v>
      </c>
      <c r="F158" s="9" t="str">
        <f t="shared" si="19"/>
        <v>(21) = 20h30min</v>
      </c>
      <c r="G158" s="66">
        <f t="shared" si="20"/>
        <v>15.170731707317072</v>
      </c>
      <c r="H158" s="89">
        <v>12</v>
      </c>
      <c r="I158" s="89">
        <v>11</v>
      </c>
    </row>
    <row r="159" spans="1:9" x14ac:dyDescent="0.25">
      <c r="A159" s="8" t="s">
        <v>259</v>
      </c>
      <c r="B159" s="105" t="s">
        <v>186</v>
      </c>
      <c r="C159" s="81" t="s">
        <v>326</v>
      </c>
      <c r="D159" s="34" t="s">
        <v>332</v>
      </c>
      <c r="E159" s="50" t="s">
        <v>333</v>
      </c>
      <c r="F159" s="9" t="str">
        <f t="shared" si="19"/>
        <v>(17) = 16h36min</v>
      </c>
      <c r="G159" s="66">
        <f t="shared" si="20"/>
        <v>16.746987951807778</v>
      </c>
      <c r="H159" s="89">
        <v>12</v>
      </c>
      <c r="I159" s="89">
        <v>11</v>
      </c>
    </row>
    <row r="160" spans="1:9" x14ac:dyDescent="0.25">
      <c r="A160" s="8" t="s">
        <v>259</v>
      </c>
      <c r="B160" s="105" t="s">
        <v>334</v>
      </c>
      <c r="C160" s="81" t="s">
        <v>260</v>
      </c>
      <c r="D160" s="34" t="s">
        <v>335</v>
      </c>
      <c r="E160" s="50" t="s">
        <v>336</v>
      </c>
      <c r="F160" s="9" t="str">
        <f t="shared" si="19"/>
        <v>(21) = 20h42min</v>
      </c>
      <c r="G160" s="66">
        <f t="shared" si="20"/>
        <v>15.797101449275502</v>
      </c>
      <c r="H160" s="89">
        <v>12</v>
      </c>
      <c r="I160" s="89">
        <v>11</v>
      </c>
    </row>
    <row r="161" spans="1:9" x14ac:dyDescent="0.25">
      <c r="A161" s="8" t="s">
        <v>259</v>
      </c>
      <c r="B161" s="105" t="s">
        <v>248</v>
      </c>
      <c r="C161" s="81">
        <v>327.5</v>
      </c>
      <c r="D161" s="34">
        <v>2358</v>
      </c>
      <c r="E161" s="50">
        <v>5351.6</v>
      </c>
      <c r="F161" s="9" t="str">
        <f t="shared" si="19"/>
        <v>(21) = 20h42min</v>
      </c>
      <c r="G161" s="66">
        <f t="shared" si="20"/>
        <v>15.821256038646787</v>
      </c>
      <c r="H161" s="89">
        <v>12</v>
      </c>
      <c r="I161" s="89">
        <v>11</v>
      </c>
    </row>
    <row r="162" spans="1:9" x14ac:dyDescent="0.25">
      <c r="A162" s="8" t="s">
        <v>259</v>
      </c>
      <c r="B162" s="105" t="s">
        <v>134</v>
      </c>
      <c r="C162" s="81">
        <v>285</v>
      </c>
      <c r="D162" s="34">
        <v>2052</v>
      </c>
      <c r="E162" s="50">
        <v>5369.2</v>
      </c>
      <c r="F162" s="9" t="str">
        <f t="shared" si="19"/>
        <v>(18) = 17h36min</v>
      </c>
      <c r="G162" s="66">
        <f t="shared" si="20"/>
        <v>16.193181818182321</v>
      </c>
      <c r="H162" s="89">
        <v>12</v>
      </c>
      <c r="I162" s="89">
        <v>11</v>
      </c>
    </row>
    <row r="163" spans="1:9" x14ac:dyDescent="0.25">
      <c r="A163" s="8" t="s">
        <v>259</v>
      </c>
      <c r="B163" s="105" t="s">
        <v>196</v>
      </c>
      <c r="C163" s="81">
        <v>328</v>
      </c>
      <c r="D163" s="34">
        <v>2361.6</v>
      </c>
      <c r="E163" s="50">
        <v>5390.8</v>
      </c>
      <c r="F163" s="9" t="str">
        <f t="shared" si="19"/>
        <v>(22) = 21h36min</v>
      </c>
      <c r="G163" s="66">
        <f t="shared" si="20"/>
        <v>15.185185185184929</v>
      </c>
      <c r="H163" s="89">
        <v>12</v>
      </c>
      <c r="I163" s="89">
        <v>11</v>
      </c>
    </row>
    <row r="164" spans="1:9" x14ac:dyDescent="0.25">
      <c r="A164" s="8" t="s">
        <v>259</v>
      </c>
      <c r="B164" s="105" t="s">
        <v>89</v>
      </c>
      <c r="C164" s="81">
        <v>328</v>
      </c>
      <c r="D164" s="34">
        <v>2631.6</v>
      </c>
      <c r="E164" s="50">
        <v>5416.5</v>
      </c>
      <c r="F164" s="9" t="str">
        <f t="shared" si="19"/>
        <v>(26) = 25h42min</v>
      </c>
      <c r="G164" s="68">
        <f t="shared" si="20"/>
        <v>12.762645914396977</v>
      </c>
      <c r="H164" s="89">
        <v>12</v>
      </c>
      <c r="I164" s="89">
        <v>11</v>
      </c>
    </row>
    <row r="165" spans="1:9" x14ac:dyDescent="0.25">
      <c r="A165" s="8" t="s">
        <v>259</v>
      </c>
      <c r="B165" s="105" t="s">
        <v>16</v>
      </c>
      <c r="C165" s="81">
        <v>330.5</v>
      </c>
      <c r="D165" s="34">
        <v>2296.98</v>
      </c>
      <c r="E165" s="50">
        <v>5441.8</v>
      </c>
      <c r="F165" s="9" t="str">
        <f t="shared" si="19"/>
        <v>(25) = 25h18min</v>
      </c>
      <c r="G165" s="68">
        <f t="shared" ref="G165:G171" si="21">IF((E165-E164)&gt;0, C165/(E165-E164), "")</f>
        <v>13.063241106719273</v>
      </c>
      <c r="H165" s="89">
        <v>12</v>
      </c>
      <c r="I165" s="89">
        <v>11</v>
      </c>
    </row>
    <row r="166" spans="1:9" x14ac:dyDescent="0.25">
      <c r="A166" s="8" t="s">
        <v>259</v>
      </c>
      <c r="B166" s="105" t="s">
        <v>68</v>
      </c>
      <c r="C166" s="81">
        <v>326.5</v>
      </c>
      <c r="D166" s="34">
        <v>2269.1799999999998</v>
      </c>
      <c r="E166" s="50">
        <v>5470.1</v>
      </c>
      <c r="F166" s="9" t="str">
        <f t="shared" ref="F166:F170" si="22">IF(E166="", "", "(" &amp; TEXT(E166-E165, "0.0") &amp; ") = " &amp; IF(INT(E166-E165)&gt;0, INT(E166-E165) &amp; "h", "") &amp; IF(ROUND((E166-E165-INT(E166-E165))*60, 0)&gt;0, ROUND((E166-E165-INT(E166-E165))*60, 0) &amp; "min", ""))</f>
        <v>(28) = 28h18min</v>
      </c>
      <c r="G166" s="68">
        <f t="shared" si="21"/>
        <v>11.537102473498159</v>
      </c>
      <c r="H166" s="89">
        <v>12</v>
      </c>
      <c r="I166" s="89">
        <v>11</v>
      </c>
    </row>
    <row r="167" spans="1:9" x14ac:dyDescent="0.25">
      <c r="A167" s="8" t="s">
        <v>259</v>
      </c>
      <c r="B167" s="105" t="s">
        <v>254</v>
      </c>
      <c r="C167" s="81">
        <v>315</v>
      </c>
      <c r="D167" s="34">
        <v>2189.25</v>
      </c>
      <c r="E167" s="50">
        <v>5494.2</v>
      </c>
      <c r="F167" s="9" t="str">
        <f t="shared" si="22"/>
        <v>(24) = 24h6min</v>
      </c>
      <c r="G167" s="68">
        <f t="shared" si="21"/>
        <v>13.070539419087433</v>
      </c>
      <c r="H167" s="89">
        <v>12</v>
      </c>
      <c r="I167" s="89">
        <v>11</v>
      </c>
    </row>
    <row r="168" spans="1:9" x14ac:dyDescent="0.25">
      <c r="A168" s="8" t="s">
        <v>259</v>
      </c>
      <c r="B168" s="105" t="s">
        <v>71</v>
      </c>
      <c r="C168" s="81">
        <v>328.5</v>
      </c>
      <c r="D168" s="34">
        <v>2283.0700000000002</v>
      </c>
      <c r="E168" s="50">
        <v>5519.6</v>
      </c>
      <c r="F168" s="9" t="str">
        <f t="shared" si="22"/>
        <v>(25) = 25h24min</v>
      </c>
      <c r="G168" s="68">
        <f t="shared" si="21"/>
        <v>12.933070866141454</v>
      </c>
      <c r="H168" s="89">
        <v>12</v>
      </c>
      <c r="I168" s="89">
        <v>11</v>
      </c>
    </row>
    <row r="169" spans="1:9" x14ac:dyDescent="0.25">
      <c r="A169" s="8" t="s">
        <v>259</v>
      </c>
      <c r="B169" s="105" t="s">
        <v>337</v>
      </c>
      <c r="C169" s="87">
        <v>310</v>
      </c>
      <c r="D169" s="34">
        <v>2154.5</v>
      </c>
      <c r="E169" s="50">
        <v>5541.8</v>
      </c>
      <c r="F169" s="9" t="str">
        <f t="shared" si="22"/>
        <v>(22) = 22h12min</v>
      </c>
      <c r="G169" s="68">
        <f t="shared" si="21"/>
        <v>13.963963963964078</v>
      </c>
      <c r="H169" s="90">
        <v>12</v>
      </c>
      <c r="I169" s="90">
        <v>11</v>
      </c>
    </row>
    <row r="170" spans="1:9" x14ac:dyDescent="0.25">
      <c r="A170" s="8" t="s">
        <v>259</v>
      </c>
      <c r="B170" s="105" t="s">
        <v>119</v>
      </c>
      <c r="C170" s="87">
        <v>317</v>
      </c>
      <c r="D170" s="34">
        <v>2203.15</v>
      </c>
      <c r="E170" s="50">
        <v>5562.3</v>
      </c>
      <c r="F170" s="9" t="str">
        <f t="shared" si="22"/>
        <v>(21) = 20h30min</v>
      </c>
      <c r="G170" s="68">
        <f t="shared" si="21"/>
        <v>15.463414634146341</v>
      </c>
      <c r="H170" s="90">
        <v>12</v>
      </c>
      <c r="I170" s="90">
        <v>11</v>
      </c>
    </row>
    <row r="171" spans="1:9" x14ac:dyDescent="0.25">
      <c r="A171" s="8" t="s">
        <v>259</v>
      </c>
      <c r="B171" s="105" t="s">
        <v>338</v>
      </c>
      <c r="C171" s="87">
        <v>331</v>
      </c>
      <c r="D171" s="34">
        <v>2055.5100000000002</v>
      </c>
      <c r="E171" s="50">
        <v>5585</v>
      </c>
      <c r="F171" s="9" t="str">
        <f>IF(E171="", "", "(" &amp; TEXT(E171-E170, "0.0") &amp; ") = " &amp; IF(INT(E171-E170)&gt;0, INT(E171-E170) &amp; "h", "") &amp; IF(ROUND((E171-E170-INT(E171-E170))*60, 0)&gt;0, ROUND((E171-E170-INT(E171-E170))*60, 0) &amp; "min", ""))</f>
        <v>(23) = 22h42min</v>
      </c>
      <c r="G171" s="68">
        <f t="shared" si="21"/>
        <v>14.581497797356946</v>
      </c>
      <c r="H171" s="90">
        <v>12</v>
      </c>
      <c r="I171" s="90">
        <v>11</v>
      </c>
    </row>
    <row r="172" spans="1:9" x14ac:dyDescent="0.25">
      <c r="A172" s="8" t="s">
        <v>259</v>
      </c>
      <c r="B172" s="105" t="s">
        <v>339</v>
      </c>
      <c r="C172" s="87">
        <v>328</v>
      </c>
      <c r="D172" s="34">
        <v>2036.88</v>
      </c>
      <c r="E172" s="50">
        <v>5608</v>
      </c>
      <c r="F172" s="9" t="str">
        <f>IF(E172="", "", "(" &amp; TEXT(E172-E171, "0.0") &amp; ") = " &amp; IF(INT(E172-E171)&gt;0, INT(E172-E171) &amp; "h", "") &amp; IF(ROUND((E172-E171-INT(E172-E171))*60, 0)&gt;0, ROUND((E172-E171-INT(E172-E171))*60, 0) &amp; "min", ""))</f>
        <v>(23) = 23h</v>
      </c>
      <c r="G172" s="68">
        <f>IF((E172-E171)&gt;0, C172/(E172-E171), "")</f>
        <v>14.260869565217391</v>
      </c>
      <c r="H172" s="90">
        <v>12</v>
      </c>
      <c r="I172" s="90">
        <v>11</v>
      </c>
    </row>
    <row r="173" spans="1:9" x14ac:dyDescent="0.25">
      <c r="A173" s="8" t="s">
        <v>259</v>
      </c>
      <c r="B173" s="105" t="s">
        <v>340</v>
      </c>
      <c r="C173" s="87">
        <v>326</v>
      </c>
      <c r="D173" s="34">
        <v>2024.46</v>
      </c>
      <c r="E173" s="50">
        <v>5630.4</v>
      </c>
      <c r="F173" s="9" t="str">
        <f>IF(E173="", "", "(" &amp; TEXT(E173-E172, "0.0") &amp; ") = " &amp; IF(INT(E173-E172)&gt;0, INT(E173-E172) &amp; "h", "") &amp; IF(ROUND((E173-E172-INT(E173-E172))*60, 0)&gt;0, ROUND((E173-E172-INT(E173-E172))*60, 0) &amp; "min", ""))</f>
        <v>(22) = 22h24min</v>
      </c>
      <c r="G173" s="68">
        <f>IF((E173-E172)&gt;0, C173/(E173-E172), "")</f>
        <v>14.553571428571665</v>
      </c>
      <c r="H173" s="90">
        <v>12</v>
      </c>
      <c r="I173" s="90">
        <v>11</v>
      </c>
    </row>
    <row r="174" spans="1:9" x14ac:dyDescent="0.25">
      <c r="A174" s="8" t="s">
        <v>259</v>
      </c>
      <c r="B174" s="105" t="s">
        <v>19</v>
      </c>
      <c r="C174" s="87">
        <v>296.5</v>
      </c>
      <c r="D174" s="34">
        <v>1841.27</v>
      </c>
      <c r="E174" s="50">
        <v>5650.7</v>
      </c>
      <c r="F174" s="9" t="str">
        <f>IF(E174="", "", "(" &amp; TEXT(E174-E173, "0.0") &amp; ") = " &amp; IF(INT(E174-E173)&gt;0, INT(E174-E173) &amp; "h", "") &amp; IF(ROUND((E174-E173-INT(E174-E173))*60, 0)&gt;0, ROUND((E174-E173-INT(E174-E173))*60, 0) &amp; "min", ""))</f>
        <v>(20) = 20h18min</v>
      </c>
      <c r="G174" s="68">
        <f>IF((E174-E173)&gt;0, C174/(E174-E173), "")</f>
        <v>14.60591133004913</v>
      </c>
      <c r="H174" s="90">
        <v>12</v>
      </c>
      <c r="I174" s="90">
        <v>11</v>
      </c>
    </row>
    <row r="175" spans="1:9" x14ac:dyDescent="0.25">
      <c r="A175" s="8" t="s">
        <v>259</v>
      </c>
      <c r="B175" s="105" t="s">
        <v>93</v>
      </c>
      <c r="C175" s="87">
        <v>303.5</v>
      </c>
      <c r="D175" s="34">
        <v>1884.73</v>
      </c>
      <c r="E175" s="50">
        <v>5671.7</v>
      </c>
      <c r="F175" s="9" t="str">
        <f>IF(E175="", "", "(" &amp; TEXT(E175-E174, "0.0") &amp; ") = " &amp; IF(INT(E175-E174)&gt;0, INT(E175-E174) &amp; "h", "") &amp; IF(ROUND((E175-E174-INT(E175-E174))*60, 0)&gt;0, ROUND((E175-E174-INT(E175-E174))*60, 0) &amp; "min", ""))</f>
        <v>(21) = 21h</v>
      </c>
      <c r="G175" s="68">
        <f>IF((E175-E174)&gt;0, C175/(E175-E174), "")</f>
        <v>14.452380952380953</v>
      </c>
      <c r="H175" s="90">
        <v>12</v>
      </c>
      <c r="I175" s="90">
        <v>11</v>
      </c>
    </row>
    <row r="176" spans="1:9" x14ac:dyDescent="0.25">
      <c r="A176" s="19"/>
      <c r="B176" s="106"/>
      <c r="C176" s="84"/>
      <c r="E176" s="49"/>
      <c r="F176" s="112" t="s">
        <v>22</v>
      </c>
      <c r="G176" s="63">
        <f>AVERAGE(G137:G175)</f>
        <v>24.579687082564714</v>
      </c>
      <c r="H176" s="80"/>
      <c r="I176" s="80"/>
    </row>
    <row r="177" spans="1:9" x14ac:dyDescent="0.25">
      <c r="A177" s="19" t="s">
        <v>341</v>
      </c>
      <c r="B177" s="106" t="s">
        <v>342</v>
      </c>
      <c r="C177" s="96" t="s">
        <v>175</v>
      </c>
      <c r="D177" s="41" t="s">
        <v>343</v>
      </c>
      <c r="E177" s="56" t="s">
        <v>344</v>
      </c>
      <c r="F177" s="16" t="s">
        <v>345</v>
      </c>
      <c r="G177" s="68">
        <f>C140/(E140-E139)</f>
        <v>15.375586854459963</v>
      </c>
      <c r="H177" s="80">
        <v>12</v>
      </c>
      <c r="I177" s="80">
        <v>11</v>
      </c>
    </row>
    <row r="178" spans="1:9" x14ac:dyDescent="0.25">
      <c r="A178" s="19" t="s">
        <v>341</v>
      </c>
      <c r="B178" s="106" t="s">
        <v>346</v>
      </c>
      <c r="C178" s="96" t="s">
        <v>347</v>
      </c>
      <c r="D178" s="41" t="s">
        <v>348</v>
      </c>
      <c r="E178" s="56" t="s">
        <v>349</v>
      </c>
      <c r="F178" s="16" t="str">
        <f t="shared" ref="F178:F201" si="23">IF(E178="", "", "(" &amp; TEXT(E178-E177, "0.0") &amp; ") = " &amp; IF(INT(E178-E177)&gt;0, INT(E178-E177) &amp; "h", "") &amp; IF(ROUND((E178-E177-INT(E178-E177))*60, 0)&gt;0, ROUND((E178-E177-INT(E178-E177))*60, 0) &amp; "min", ""))</f>
        <v>(40) = 39h42min</v>
      </c>
      <c r="G178" s="68">
        <f t="shared" ref="G178:G201" si="24">IF((E178-E177)&gt;0, C178/(E178-E177), "")</f>
        <v>8.7783375314861356</v>
      </c>
      <c r="H178" s="80">
        <v>12</v>
      </c>
      <c r="I178" s="80">
        <v>11</v>
      </c>
    </row>
    <row r="179" spans="1:9" x14ac:dyDescent="0.25">
      <c r="A179" s="19" t="s">
        <v>341</v>
      </c>
      <c r="B179" s="106" t="s">
        <v>145</v>
      </c>
      <c r="C179" s="96" t="s">
        <v>350</v>
      </c>
      <c r="D179" s="41" t="s">
        <v>351</v>
      </c>
      <c r="E179" s="56" t="s">
        <v>352</v>
      </c>
      <c r="F179" s="16" t="str">
        <f t="shared" si="23"/>
        <v>(22) = 22h6min</v>
      </c>
      <c r="G179" s="68">
        <f t="shared" si="24"/>
        <v>11.877828054298691</v>
      </c>
      <c r="H179" s="80">
        <v>12</v>
      </c>
      <c r="I179" s="80">
        <v>11</v>
      </c>
    </row>
    <row r="180" spans="1:9" x14ac:dyDescent="0.25">
      <c r="A180" s="19" t="s">
        <v>341</v>
      </c>
      <c r="B180" s="106" t="s">
        <v>9</v>
      </c>
      <c r="C180" s="96" t="s">
        <v>353</v>
      </c>
      <c r="D180" s="41" t="s">
        <v>354</v>
      </c>
      <c r="E180" s="56" t="s">
        <v>355</v>
      </c>
      <c r="F180" s="16" t="str">
        <f t="shared" si="23"/>
        <v>(19) = 18h54min</v>
      </c>
      <c r="G180" s="68">
        <f t="shared" si="24"/>
        <v>25.052910052909933</v>
      </c>
      <c r="H180" s="80">
        <v>12</v>
      </c>
      <c r="I180" s="80">
        <v>11</v>
      </c>
    </row>
    <row r="181" spans="1:9" x14ac:dyDescent="0.25">
      <c r="A181" s="19" t="s">
        <v>341</v>
      </c>
      <c r="B181" s="106" t="s">
        <v>44</v>
      </c>
      <c r="C181" s="96" t="s">
        <v>168</v>
      </c>
      <c r="D181" s="41" t="s">
        <v>356</v>
      </c>
      <c r="E181" s="56" t="s">
        <v>357</v>
      </c>
      <c r="F181" s="16" t="str">
        <f t="shared" si="23"/>
        <v>(23) = 23h</v>
      </c>
      <c r="G181" s="68">
        <f t="shared" si="24"/>
        <v>12.326086956521738</v>
      </c>
      <c r="H181" s="80">
        <v>12</v>
      </c>
      <c r="I181" s="80">
        <v>11</v>
      </c>
    </row>
    <row r="182" spans="1:9" x14ac:dyDescent="0.25">
      <c r="A182" s="19" t="s">
        <v>341</v>
      </c>
      <c r="B182" s="106" t="s">
        <v>358</v>
      </c>
      <c r="C182" s="96" t="s">
        <v>359</v>
      </c>
      <c r="D182" s="41" t="s">
        <v>360</v>
      </c>
      <c r="E182" s="56" t="s">
        <v>361</v>
      </c>
      <c r="F182" s="16" t="str">
        <f t="shared" si="23"/>
        <v>(20) = 20h18min</v>
      </c>
      <c r="G182" s="68">
        <f t="shared" si="24"/>
        <v>13.423645320197075</v>
      </c>
      <c r="H182" s="80">
        <v>12</v>
      </c>
      <c r="I182" s="80">
        <v>11</v>
      </c>
    </row>
    <row r="183" spans="1:9" x14ac:dyDescent="0.25">
      <c r="A183" s="19" t="s">
        <v>341</v>
      </c>
      <c r="B183" s="106" t="s">
        <v>99</v>
      </c>
      <c r="C183" s="96" t="s">
        <v>362</v>
      </c>
      <c r="D183" s="41" t="s">
        <v>363</v>
      </c>
      <c r="E183" s="56" t="s">
        <v>364</v>
      </c>
      <c r="F183" s="16" t="str">
        <f t="shared" si="23"/>
        <v>(25) = 25h6min</v>
      </c>
      <c r="G183" s="68">
        <f t="shared" si="24"/>
        <v>9.5617529880478429</v>
      </c>
      <c r="H183" s="80">
        <v>12</v>
      </c>
      <c r="I183" s="80">
        <v>11</v>
      </c>
    </row>
    <row r="184" spans="1:9" x14ac:dyDescent="0.25">
      <c r="A184" s="19" t="s">
        <v>341</v>
      </c>
      <c r="B184" s="106" t="s">
        <v>365</v>
      </c>
      <c r="C184" s="96" t="s">
        <v>323</v>
      </c>
      <c r="D184" s="41" t="s">
        <v>366</v>
      </c>
      <c r="E184" s="56" t="s">
        <v>367</v>
      </c>
      <c r="F184" s="16" t="str">
        <f t="shared" si="23"/>
        <v>(22) = 22h6min</v>
      </c>
      <c r="G184" s="68">
        <f t="shared" si="24"/>
        <v>13.574660633484079</v>
      </c>
      <c r="H184" s="80">
        <v>12</v>
      </c>
      <c r="I184" s="80">
        <v>11</v>
      </c>
    </row>
    <row r="185" spans="1:9" x14ac:dyDescent="0.25">
      <c r="A185" s="19" t="s">
        <v>341</v>
      </c>
      <c r="B185" s="106" t="s">
        <v>125</v>
      </c>
      <c r="C185" s="96" t="s">
        <v>368</v>
      </c>
      <c r="D185" s="41" t="s">
        <v>369</v>
      </c>
      <c r="E185" s="56" t="s">
        <v>370</v>
      </c>
      <c r="F185" s="16" t="str">
        <f t="shared" si="23"/>
        <v>(29) = 29h12min</v>
      </c>
      <c r="G185" s="68">
        <f t="shared" si="24"/>
        <v>8.7499999999999858</v>
      </c>
      <c r="H185" s="80">
        <v>12</v>
      </c>
      <c r="I185" s="80">
        <v>11</v>
      </c>
    </row>
    <row r="186" spans="1:9" x14ac:dyDescent="0.25">
      <c r="A186" s="19" t="s">
        <v>341</v>
      </c>
      <c r="B186" s="106" t="s">
        <v>371</v>
      </c>
      <c r="C186" s="96" t="s">
        <v>372</v>
      </c>
      <c r="D186" s="41" t="s">
        <v>373</v>
      </c>
      <c r="E186" s="56" t="s">
        <v>374</v>
      </c>
      <c r="F186" s="16" t="str">
        <f t="shared" si="23"/>
        <v>(28) = 28h18min</v>
      </c>
      <c r="G186" s="68">
        <f t="shared" si="24"/>
        <v>8.7632508833922405</v>
      </c>
      <c r="H186" s="80">
        <v>12</v>
      </c>
      <c r="I186" s="80">
        <v>11</v>
      </c>
    </row>
    <row r="187" spans="1:9" x14ac:dyDescent="0.25">
      <c r="A187" s="19" t="s">
        <v>341</v>
      </c>
      <c r="B187" s="106" t="s">
        <v>375</v>
      </c>
      <c r="C187" s="96" t="s">
        <v>376</v>
      </c>
      <c r="D187" s="41" t="s">
        <v>377</v>
      </c>
      <c r="E187" s="56" t="s">
        <v>378</v>
      </c>
      <c r="F187" s="16" t="str">
        <f t="shared" si="23"/>
        <v>(25) = 25h18min</v>
      </c>
      <c r="G187" s="68">
        <f t="shared" si="24"/>
        <v>9.3873517786561429</v>
      </c>
      <c r="H187" s="80">
        <v>12</v>
      </c>
      <c r="I187" s="80">
        <v>11</v>
      </c>
    </row>
    <row r="188" spans="1:9" x14ac:dyDescent="0.25">
      <c r="A188" s="19" t="s">
        <v>341</v>
      </c>
      <c r="B188" s="106" t="s">
        <v>60</v>
      </c>
      <c r="C188" s="96" t="s">
        <v>175</v>
      </c>
      <c r="D188" s="41" t="s">
        <v>379</v>
      </c>
      <c r="E188" s="56" t="s">
        <v>380</v>
      </c>
      <c r="F188" s="16" t="str">
        <f t="shared" si="23"/>
        <v>(33) = 32h30min</v>
      </c>
      <c r="G188" s="68">
        <f t="shared" si="24"/>
        <v>8.4615384615384617</v>
      </c>
      <c r="H188" s="80">
        <v>12</v>
      </c>
      <c r="I188" s="80">
        <v>11</v>
      </c>
    </row>
    <row r="189" spans="1:9" x14ac:dyDescent="0.25">
      <c r="A189" s="19" t="s">
        <v>341</v>
      </c>
      <c r="B189" s="106" t="s">
        <v>224</v>
      </c>
      <c r="C189" s="96" t="s">
        <v>381</v>
      </c>
      <c r="D189" s="41" t="s">
        <v>382</v>
      </c>
      <c r="E189" s="56" t="s">
        <v>383</v>
      </c>
      <c r="F189" s="16" t="str">
        <f t="shared" si="23"/>
        <v>(20) = 19h54min</v>
      </c>
      <c r="G189" s="68">
        <f t="shared" si="24"/>
        <v>14.673366834170787</v>
      </c>
      <c r="H189" s="80">
        <v>12</v>
      </c>
      <c r="I189" s="80">
        <v>11</v>
      </c>
    </row>
    <row r="190" spans="1:9" x14ac:dyDescent="0.25">
      <c r="A190" s="19" t="s">
        <v>341</v>
      </c>
      <c r="B190" s="106" t="s">
        <v>320</v>
      </c>
      <c r="C190" s="96" t="s">
        <v>384</v>
      </c>
      <c r="D190" s="41" t="s">
        <v>385</v>
      </c>
      <c r="E190" s="56" t="s">
        <v>386</v>
      </c>
      <c r="F190" s="16" t="str">
        <f t="shared" si="23"/>
        <v>(32) = 31h36min</v>
      </c>
      <c r="G190" s="68">
        <f t="shared" si="24"/>
        <v>9.2088607594936978</v>
      </c>
      <c r="H190" s="80">
        <v>12</v>
      </c>
      <c r="I190" s="80">
        <v>11</v>
      </c>
    </row>
    <row r="191" spans="1:9" x14ac:dyDescent="0.25">
      <c r="A191" s="19" t="s">
        <v>341</v>
      </c>
      <c r="B191" s="106" t="s">
        <v>387</v>
      </c>
      <c r="C191" s="96" t="s">
        <v>388</v>
      </c>
      <c r="D191" s="41" t="s">
        <v>389</v>
      </c>
      <c r="E191" s="56" t="s">
        <v>390</v>
      </c>
      <c r="F191" s="16" t="str">
        <f t="shared" si="23"/>
        <v>(26) = 26h18min</v>
      </c>
      <c r="G191" s="68">
        <f t="shared" si="24"/>
        <v>8.7642585551330949</v>
      </c>
      <c r="H191" s="80">
        <v>12</v>
      </c>
      <c r="I191" s="80">
        <v>11</v>
      </c>
    </row>
    <row r="192" spans="1:9" x14ac:dyDescent="0.25">
      <c r="A192" s="19" t="s">
        <v>341</v>
      </c>
      <c r="B192" s="106" t="s">
        <v>131</v>
      </c>
      <c r="C192" s="96" t="s">
        <v>391</v>
      </c>
      <c r="D192" s="41" t="s">
        <v>392</v>
      </c>
      <c r="E192" s="56" t="s">
        <v>393</v>
      </c>
      <c r="F192" s="16" t="str">
        <f t="shared" si="23"/>
        <v>(30) = 30h24min</v>
      </c>
      <c r="G192" s="68">
        <f t="shared" si="24"/>
        <v>10.641447368421021</v>
      </c>
      <c r="H192" s="80">
        <v>12</v>
      </c>
      <c r="I192" s="80">
        <v>11</v>
      </c>
    </row>
    <row r="193" spans="1:9" x14ac:dyDescent="0.25">
      <c r="A193" s="19" t="s">
        <v>341</v>
      </c>
      <c r="B193" s="106" t="s">
        <v>186</v>
      </c>
      <c r="C193" s="96">
        <v>268.5</v>
      </c>
      <c r="D193" s="41">
        <v>1933.2</v>
      </c>
      <c r="E193" s="56">
        <v>1543.3</v>
      </c>
      <c r="F193" s="16" t="str">
        <f t="shared" si="23"/>
        <v>(27) = 27h6min</v>
      </c>
      <c r="G193" s="68">
        <f t="shared" si="24"/>
        <v>9.9077490774908075</v>
      </c>
      <c r="H193" s="80">
        <v>12</v>
      </c>
      <c r="I193" s="80">
        <v>11</v>
      </c>
    </row>
    <row r="194" spans="1:9" x14ac:dyDescent="0.25">
      <c r="A194" s="19" t="s">
        <v>341</v>
      </c>
      <c r="B194" s="106" t="s">
        <v>394</v>
      </c>
      <c r="C194" s="96">
        <v>306.5</v>
      </c>
      <c r="D194" s="41">
        <v>2206.8000000000002</v>
      </c>
      <c r="E194" s="56">
        <v>1565.8</v>
      </c>
      <c r="F194" s="16" t="str">
        <f t="shared" si="23"/>
        <v>(23) = 22h30min</v>
      </c>
      <c r="G194" s="68">
        <f t="shared" si="24"/>
        <v>13.622222222222222</v>
      </c>
      <c r="H194" s="80">
        <v>12</v>
      </c>
      <c r="I194" s="80">
        <v>11</v>
      </c>
    </row>
    <row r="195" spans="1:9" x14ac:dyDescent="0.25">
      <c r="A195" s="19" t="s">
        <v>341</v>
      </c>
      <c r="B195" s="106" t="s">
        <v>66</v>
      </c>
      <c r="C195" s="96">
        <v>262.5</v>
      </c>
      <c r="D195" s="41">
        <v>1890</v>
      </c>
      <c r="E195" s="56">
        <v>1590.4</v>
      </c>
      <c r="F195" s="16" t="str">
        <f t="shared" si="23"/>
        <v>(25) = 24h36min</v>
      </c>
      <c r="G195" s="68">
        <f t="shared" si="24"/>
        <v>10.670731707317014</v>
      </c>
      <c r="H195" s="80">
        <v>12</v>
      </c>
      <c r="I195" s="80">
        <v>11</v>
      </c>
    </row>
    <row r="196" spans="1:9" x14ac:dyDescent="0.25">
      <c r="A196" s="19" t="s">
        <v>341</v>
      </c>
      <c r="B196" s="106" t="s">
        <v>395</v>
      </c>
      <c r="C196" s="96">
        <v>283.5</v>
      </c>
      <c r="D196" s="41">
        <v>2012.85</v>
      </c>
      <c r="E196" s="56">
        <v>1615</v>
      </c>
      <c r="F196" s="16" t="str">
        <f t="shared" si="23"/>
        <v>(25) = 24h36min</v>
      </c>
      <c r="G196" s="68">
        <f t="shared" si="24"/>
        <v>11.524390243902481</v>
      </c>
      <c r="H196" s="80">
        <v>12</v>
      </c>
      <c r="I196" s="80">
        <v>11</v>
      </c>
    </row>
    <row r="197" spans="1:9" x14ac:dyDescent="0.25">
      <c r="A197" s="19" t="s">
        <v>341</v>
      </c>
      <c r="B197" s="106" t="s">
        <v>196</v>
      </c>
      <c r="C197" s="96">
        <v>316</v>
      </c>
      <c r="D197" s="41">
        <v>2243.6</v>
      </c>
      <c r="E197" s="56">
        <v>1637.1</v>
      </c>
      <c r="F197" s="16" t="str">
        <f t="shared" si="23"/>
        <v>(22) = 22h6min</v>
      </c>
      <c r="G197" s="68">
        <f t="shared" si="24"/>
        <v>14.298642533936711</v>
      </c>
      <c r="H197" s="80">
        <v>12</v>
      </c>
      <c r="I197" s="80">
        <v>11</v>
      </c>
    </row>
    <row r="198" spans="1:9" x14ac:dyDescent="0.25">
      <c r="A198" s="19" t="s">
        <v>341</v>
      </c>
      <c r="B198" s="106" t="s">
        <v>67</v>
      </c>
      <c r="C198" s="96">
        <v>284</v>
      </c>
      <c r="D198" s="41">
        <v>1982.32</v>
      </c>
      <c r="E198" s="56">
        <v>1660.2</v>
      </c>
      <c r="F198" s="16" t="str">
        <f t="shared" si="23"/>
        <v>(23) = 23h6min</v>
      </c>
      <c r="G198" s="68">
        <f t="shared" si="24"/>
        <v>12.294372294372222</v>
      </c>
      <c r="H198" s="80">
        <v>12</v>
      </c>
      <c r="I198" s="80">
        <v>11</v>
      </c>
    </row>
    <row r="199" spans="1:9" x14ac:dyDescent="0.25">
      <c r="A199" s="19" t="s">
        <v>341</v>
      </c>
      <c r="B199" s="106" t="s">
        <v>89</v>
      </c>
      <c r="C199" s="96">
        <v>277.5</v>
      </c>
      <c r="D199" s="41">
        <v>1936.95</v>
      </c>
      <c r="E199" s="56">
        <v>1678.3</v>
      </c>
      <c r="F199" s="16" t="str">
        <f t="shared" si="23"/>
        <v>(18) = 18h6min</v>
      </c>
      <c r="G199" s="68">
        <f t="shared" si="24"/>
        <v>15.33149171270726</v>
      </c>
      <c r="H199" s="80">
        <v>12</v>
      </c>
      <c r="I199" s="80">
        <v>11</v>
      </c>
    </row>
    <row r="200" spans="1:9" x14ac:dyDescent="0.25">
      <c r="A200" s="19" t="s">
        <v>341</v>
      </c>
      <c r="B200" s="106" t="s">
        <v>90</v>
      </c>
      <c r="C200" s="96">
        <v>265</v>
      </c>
      <c r="D200" s="41">
        <v>1849.7</v>
      </c>
      <c r="E200" s="56">
        <v>1697.1</v>
      </c>
      <c r="F200" s="16" t="str">
        <f t="shared" si="23"/>
        <v>(19) = 18h48min</v>
      </c>
      <c r="G200" s="68">
        <f t="shared" si="24"/>
        <v>14.095744680851098</v>
      </c>
      <c r="H200" s="80">
        <v>12</v>
      </c>
      <c r="I200" s="80">
        <v>11</v>
      </c>
    </row>
    <row r="201" spans="1:9" x14ac:dyDescent="0.25">
      <c r="A201" s="19" t="s">
        <v>341</v>
      </c>
      <c r="B201" s="106" t="s">
        <v>396</v>
      </c>
      <c r="C201" s="96">
        <v>289.5</v>
      </c>
      <c r="D201" s="41">
        <v>1936.76</v>
      </c>
      <c r="E201" s="56">
        <v>1936.76</v>
      </c>
      <c r="F201" s="16" t="str">
        <f t="shared" si="23"/>
        <v>(240) = 239h40min</v>
      </c>
      <c r="G201" s="68">
        <f t="shared" si="24"/>
        <v>1.2079612784778433</v>
      </c>
      <c r="H201" s="80">
        <v>12</v>
      </c>
      <c r="I201" s="80">
        <v>11</v>
      </c>
    </row>
    <row r="202" spans="1:9" x14ac:dyDescent="0.25">
      <c r="A202" s="19" t="s">
        <v>341</v>
      </c>
      <c r="B202" s="106" t="s">
        <v>253</v>
      </c>
      <c r="C202" s="96">
        <v>303.5</v>
      </c>
      <c r="D202" s="41">
        <v>2030.41</v>
      </c>
      <c r="E202" s="56">
        <v>1750.3</v>
      </c>
      <c r="F202" s="16" t="str">
        <f t="shared" ref="F202:F207" si="25">IF(E202="", "", "(" &amp; TEXT(E202-E201, "0.0") &amp; ") = " &amp; IF(INT(E202-E201)&gt;0, INT(E202-E201) &amp; "h", "") &amp; IF(ROUND((E202-E201-INT(E202-E201))*60, 0)&gt;0, ROUND((E202-E201-INT(E202-E201))*60, 0) &amp; "min", ""))</f>
        <v>(-186) = 32min</v>
      </c>
      <c r="G202" s="68" t="str">
        <f t="shared" ref="G202:G205" si="26">IF((E202-E201)&gt;0, C202/(E202-E201), "")</f>
        <v/>
      </c>
      <c r="H202" s="80">
        <v>12</v>
      </c>
      <c r="I202" s="88">
        <v>11</v>
      </c>
    </row>
    <row r="203" spans="1:9" x14ac:dyDescent="0.25">
      <c r="A203" s="19" t="s">
        <v>341</v>
      </c>
      <c r="B203" s="106" t="s">
        <v>254</v>
      </c>
      <c r="C203" s="96">
        <v>309</v>
      </c>
      <c r="D203" s="41">
        <v>1968.33</v>
      </c>
      <c r="E203" s="56">
        <v>1777.8</v>
      </c>
      <c r="F203" s="16" t="str">
        <f t="shared" si="25"/>
        <v>(28) = 27h30min</v>
      </c>
      <c r="G203" s="68">
        <f t="shared" si="26"/>
        <v>11.236363636363636</v>
      </c>
      <c r="H203" s="80">
        <v>12</v>
      </c>
      <c r="I203" s="88">
        <v>11</v>
      </c>
    </row>
    <row r="204" spans="1:9" x14ac:dyDescent="0.25">
      <c r="A204" s="19" t="s">
        <v>341</v>
      </c>
      <c r="B204" s="106" t="s">
        <v>91</v>
      </c>
      <c r="C204" s="96">
        <v>1</v>
      </c>
      <c r="D204" s="41">
        <v>6.37</v>
      </c>
      <c r="E204" s="56">
        <v>1807.5</v>
      </c>
      <c r="F204" s="16" t="str">
        <f t="shared" si="25"/>
        <v>(30) = 29h42min</v>
      </c>
      <c r="G204" s="68">
        <f t="shared" si="26"/>
        <v>3.3670033670033621E-2</v>
      </c>
      <c r="H204" s="80">
        <v>12</v>
      </c>
      <c r="I204" s="88">
        <v>11</v>
      </c>
    </row>
    <row r="205" spans="1:9" x14ac:dyDescent="0.25">
      <c r="A205" s="19" t="s">
        <v>341</v>
      </c>
      <c r="B205" s="106" t="s">
        <v>91</v>
      </c>
      <c r="C205" s="96">
        <v>1.5</v>
      </c>
      <c r="D205" s="41">
        <v>9.5500000000000007</v>
      </c>
      <c r="E205" s="56">
        <v>1807.5</v>
      </c>
      <c r="F205" s="16" t="str">
        <f>IF(E205="", "", "(" &amp; TEXT(E205-E204, "0.0") &amp; ") = " &amp; IF(INT(E205-E204)&gt;0, INT(E205-E204) &amp; "h", "") &amp; IF(ROUND((E205-E204-INT(E205-E204))*60, 0)&gt;0, ROUND((E205-E204-INT(E205-E204))*60, 0) &amp; "min", ""))</f>
        <v xml:space="preserve">(00) = </v>
      </c>
      <c r="G205" s="68" t="str">
        <f t="shared" si="26"/>
        <v/>
      </c>
      <c r="H205" s="80">
        <v>12</v>
      </c>
      <c r="I205" s="88">
        <v>11</v>
      </c>
    </row>
    <row r="206" spans="1:9" x14ac:dyDescent="0.25">
      <c r="A206" s="19" t="s">
        <v>341</v>
      </c>
      <c r="B206" s="106" t="s">
        <v>397</v>
      </c>
      <c r="C206" s="96">
        <v>0.5</v>
      </c>
      <c r="D206" s="41">
        <v>3.19</v>
      </c>
      <c r="E206" s="56">
        <v>1826.2</v>
      </c>
      <c r="F206" s="16" t="str">
        <f t="shared" si="25"/>
        <v>(19) = 18h42min</v>
      </c>
      <c r="G206" s="68">
        <f>IF((E206-E205)&gt;0, C206/(E206-E205), "")</f>
        <v>2.6737967914438436E-2</v>
      </c>
      <c r="H206" s="80">
        <v>12</v>
      </c>
      <c r="I206" s="88">
        <v>11</v>
      </c>
    </row>
    <row r="207" spans="1:9" x14ac:dyDescent="0.25">
      <c r="A207" s="19" t="s">
        <v>341</v>
      </c>
      <c r="B207" s="106" t="s">
        <v>340</v>
      </c>
      <c r="C207" s="96">
        <v>305.5</v>
      </c>
      <c r="D207" s="41">
        <v>1707.74</v>
      </c>
      <c r="E207" s="56">
        <v>1941.6</v>
      </c>
      <c r="F207" s="16" t="str">
        <f t="shared" si="25"/>
        <v>(115) = 115h24min</v>
      </c>
      <c r="G207" s="68">
        <f>IF((E207-E206)&gt;0, C207/(E207-E206), "")</f>
        <v>2.6473136915078022</v>
      </c>
      <c r="H207" s="80">
        <v>12</v>
      </c>
      <c r="I207" s="88">
        <v>11</v>
      </c>
    </row>
    <row r="208" spans="1:9" x14ac:dyDescent="0.25">
      <c r="A208" s="19" t="s">
        <v>341</v>
      </c>
      <c r="B208" s="106" t="s">
        <v>19</v>
      </c>
      <c r="C208" s="96">
        <v>299</v>
      </c>
      <c r="D208" s="41">
        <v>1671.41</v>
      </c>
      <c r="E208" s="56">
        <v>1962.1</v>
      </c>
      <c r="F208" s="16" t="str">
        <f>IF(E208="", "", "(" &amp; TEXT(E208-E207, "0.0") &amp; ") = " &amp; IF(INT(E208-E207)&gt;0, INT(E208-E207) &amp; "h", "") &amp; IF(ROUND((E208-E207-INT(E208-E207))*60, 0)&gt;0, ROUND((E208-E207-INT(E208-E207))*60, 0) &amp; "min", ""))</f>
        <v>(21) = 20h30min</v>
      </c>
      <c r="G208" s="68">
        <f>IF((E208-E207)&gt;0, C208/(E208-E207), "")</f>
        <v>14.585365853658537</v>
      </c>
      <c r="H208" s="80">
        <v>12</v>
      </c>
      <c r="I208" s="88">
        <v>11</v>
      </c>
    </row>
    <row r="209" spans="1:9" x14ac:dyDescent="0.25">
      <c r="A209" s="19" t="s">
        <v>341</v>
      </c>
      <c r="B209" s="106" t="s">
        <v>21</v>
      </c>
      <c r="C209" s="96">
        <v>256.5</v>
      </c>
      <c r="D209" s="41">
        <v>1433.84</v>
      </c>
      <c r="E209" s="56">
        <v>1980.5</v>
      </c>
      <c r="F209" s="16" t="str">
        <f>IF(E209="", "", "(" &amp; TEXT(E209-E208, "0.0") &amp; ") = " &amp; IF(INT(E209-E208)&gt;0, INT(E209-E208) &amp; "h", "") &amp; IF(ROUND((E209-E208-INT(E209-E208))*60, 0)&gt;0, ROUND((E209-E208-INT(E209-E208))*60, 0) &amp; "min", ""))</f>
        <v>(18) = 18h24min</v>
      </c>
      <c r="G209" s="68">
        <f>IF((E209-E208)&gt;0, C209/(E209-E208), "")</f>
        <v>13.940217391304278</v>
      </c>
      <c r="H209" s="80">
        <v>12</v>
      </c>
      <c r="I209" s="88">
        <v>11</v>
      </c>
    </row>
    <row r="210" spans="1:9" x14ac:dyDescent="0.25">
      <c r="A210" s="19"/>
      <c r="B210" s="106"/>
      <c r="C210" s="96"/>
      <c r="E210" s="56"/>
      <c r="F210" s="112" t="s">
        <v>22</v>
      </c>
      <c r="G210" s="63">
        <f>AVERAGE(G177:G209)</f>
        <v>10.775608301867976</v>
      </c>
      <c r="H210" s="80"/>
      <c r="I210" s="80"/>
    </row>
    <row r="211" spans="1:9" x14ac:dyDescent="0.25">
      <c r="A211" s="8" t="s">
        <v>398</v>
      </c>
      <c r="B211" s="105" t="s">
        <v>151</v>
      </c>
      <c r="C211" s="81" t="s">
        <v>399</v>
      </c>
      <c r="D211" s="34" t="s">
        <v>400</v>
      </c>
      <c r="E211" s="50" t="s">
        <v>401</v>
      </c>
      <c r="F211" s="9" t="s">
        <v>402</v>
      </c>
      <c r="G211" s="68">
        <v>12.628</v>
      </c>
      <c r="H211" s="89">
        <v>12</v>
      </c>
      <c r="I211" s="89">
        <v>11</v>
      </c>
    </row>
    <row r="212" spans="1:9" x14ac:dyDescent="0.25">
      <c r="A212" s="8" t="s">
        <v>398</v>
      </c>
      <c r="B212" s="105" t="s">
        <v>95</v>
      </c>
      <c r="C212" s="81" t="s">
        <v>403</v>
      </c>
      <c r="D212" s="34" t="s">
        <v>404</v>
      </c>
      <c r="E212" s="50" t="s">
        <v>405</v>
      </c>
      <c r="F212" s="9" t="str">
        <f t="shared" ref="F212:F222" si="27">IF(E212="", "", "(" &amp; TEXT(E212-E211, "0.0") &amp; ") = " &amp; IF(INT(E212-E211)&gt;0, INT(E212-E211) &amp; "h", "") &amp; IF(ROUND((E212-E211-INT(E212-E211))*60, 0)&gt;0, ROUND((E212-E211-INT(E212-E211))*60, 0) &amp; "min", ""))</f>
        <v>(23) = 23h18min</v>
      </c>
      <c r="G212" s="68">
        <f t="shared" ref="G212:G224" si="28">IF((E212-E211)&gt;0, C212/(E212-E211), "")</f>
        <v>12.811158798283161</v>
      </c>
      <c r="H212" s="89">
        <v>12</v>
      </c>
      <c r="I212" s="89">
        <v>11</v>
      </c>
    </row>
    <row r="213" spans="1:9" x14ac:dyDescent="0.25">
      <c r="A213" s="8" t="s">
        <v>398</v>
      </c>
      <c r="B213" s="105" t="s">
        <v>99</v>
      </c>
      <c r="C213" s="81" t="s">
        <v>264</v>
      </c>
      <c r="D213" s="34" t="s">
        <v>406</v>
      </c>
      <c r="E213" s="50" t="s">
        <v>407</v>
      </c>
      <c r="F213" s="9" t="str">
        <f t="shared" si="27"/>
        <v>(26) = 25h36min</v>
      </c>
      <c r="G213" s="68">
        <f t="shared" si="28"/>
        <v>12.890624999999817</v>
      </c>
      <c r="H213" s="89">
        <v>12</v>
      </c>
      <c r="I213" s="89">
        <v>11</v>
      </c>
    </row>
    <row r="214" spans="1:9" x14ac:dyDescent="0.25">
      <c r="A214" s="8" t="s">
        <v>398</v>
      </c>
      <c r="B214" s="105" t="s">
        <v>215</v>
      </c>
      <c r="C214" s="81" t="s">
        <v>408</v>
      </c>
      <c r="D214" s="34" t="s">
        <v>409</v>
      </c>
      <c r="E214" s="50" t="s">
        <v>410</v>
      </c>
      <c r="F214" s="9" t="str">
        <f t="shared" si="27"/>
        <v>(22) = 22h12min</v>
      </c>
      <c r="G214" s="68">
        <f t="shared" si="28"/>
        <v>12.207207207207308</v>
      </c>
      <c r="H214" s="89">
        <v>12</v>
      </c>
      <c r="I214" s="89">
        <v>11</v>
      </c>
    </row>
    <row r="215" spans="1:9" x14ac:dyDescent="0.25">
      <c r="A215" s="8" t="s">
        <v>398</v>
      </c>
      <c r="B215" s="105" t="s">
        <v>284</v>
      </c>
      <c r="C215" s="81" t="s">
        <v>391</v>
      </c>
      <c r="D215" s="34" t="s">
        <v>411</v>
      </c>
      <c r="E215" s="50" t="s">
        <v>412</v>
      </c>
      <c r="F215" s="9" t="str">
        <f t="shared" si="27"/>
        <v>(26) = 26h6min</v>
      </c>
      <c r="G215" s="68">
        <f t="shared" si="28"/>
        <v>12.394636015325498</v>
      </c>
      <c r="H215" s="89">
        <v>12</v>
      </c>
      <c r="I215" s="89">
        <v>11</v>
      </c>
    </row>
    <row r="216" spans="1:9" x14ac:dyDescent="0.25">
      <c r="A216" s="8" t="s">
        <v>398</v>
      </c>
      <c r="B216" s="105" t="s">
        <v>56</v>
      </c>
      <c r="C216" s="81" t="s">
        <v>413</v>
      </c>
      <c r="D216" s="34" t="s">
        <v>414</v>
      </c>
      <c r="E216" s="50" t="s">
        <v>415</v>
      </c>
      <c r="F216" s="9" t="str">
        <f t="shared" si="27"/>
        <v>(20) = 19h42min</v>
      </c>
      <c r="G216" s="68">
        <f t="shared" si="28"/>
        <v>12.690355329949355</v>
      </c>
      <c r="H216" s="89">
        <v>12</v>
      </c>
      <c r="I216" s="89">
        <v>11</v>
      </c>
    </row>
    <row r="217" spans="1:9" x14ac:dyDescent="0.25">
      <c r="A217" s="8" t="s">
        <v>398</v>
      </c>
      <c r="B217" s="105" t="s">
        <v>102</v>
      </c>
      <c r="C217" s="81" t="s">
        <v>416</v>
      </c>
      <c r="D217" s="34" t="s">
        <v>417</v>
      </c>
      <c r="E217" s="50" t="s">
        <v>418</v>
      </c>
      <c r="F217" s="9" t="str">
        <f t="shared" si="27"/>
        <v>(29) = 28h36min</v>
      </c>
      <c r="G217" s="66">
        <f t="shared" si="28"/>
        <v>11.188811188811401</v>
      </c>
      <c r="H217" s="89">
        <v>12</v>
      </c>
      <c r="I217" s="89">
        <v>11</v>
      </c>
    </row>
    <row r="218" spans="1:9" x14ac:dyDescent="0.25">
      <c r="A218" s="8" t="s">
        <v>398</v>
      </c>
      <c r="B218" s="105" t="s">
        <v>156</v>
      </c>
      <c r="C218" s="81" t="s">
        <v>235</v>
      </c>
      <c r="D218" s="34" t="s">
        <v>419</v>
      </c>
      <c r="E218" s="50" t="s">
        <v>420</v>
      </c>
      <c r="F218" s="9" t="str">
        <f t="shared" si="27"/>
        <v>(25) = 25h24min</v>
      </c>
      <c r="G218" s="68">
        <f t="shared" si="28"/>
        <v>11.929133858267461</v>
      </c>
      <c r="H218" s="89">
        <v>12</v>
      </c>
      <c r="I218" s="89">
        <v>11</v>
      </c>
    </row>
    <row r="219" spans="1:9" x14ac:dyDescent="0.25">
      <c r="A219" s="8" t="s">
        <v>398</v>
      </c>
      <c r="B219" s="105" t="s">
        <v>421</v>
      </c>
      <c r="C219" s="81" t="s">
        <v>422</v>
      </c>
      <c r="D219" s="34" t="s">
        <v>423</v>
      </c>
      <c r="E219" s="50" t="s">
        <v>424</v>
      </c>
      <c r="F219" s="9" t="str">
        <f t="shared" si="27"/>
        <v>(23) = 23h24min</v>
      </c>
      <c r="G219" s="68">
        <f t="shared" si="28"/>
        <v>12.564102564102759</v>
      </c>
      <c r="H219" s="89">
        <v>12</v>
      </c>
      <c r="I219" s="89">
        <v>11</v>
      </c>
    </row>
    <row r="220" spans="1:9" x14ac:dyDescent="0.25">
      <c r="A220" s="8" t="s">
        <v>398</v>
      </c>
      <c r="B220" s="105" t="s">
        <v>425</v>
      </c>
      <c r="C220" s="81" t="s">
        <v>426</v>
      </c>
      <c r="D220" s="34" t="s">
        <v>427</v>
      </c>
      <c r="E220" s="50" t="s">
        <v>428</v>
      </c>
      <c r="F220" s="9" t="str">
        <f t="shared" si="27"/>
        <v>(22) = 21h48min</v>
      </c>
      <c r="G220" s="68">
        <f t="shared" si="28"/>
        <v>12.293577981651273</v>
      </c>
      <c r="H220" s="89">
        <v>12</v>
      </c>
      <c r="I220" s="89">
        <v>11</v>
      </c>
    </row>
    <row r="221" spans="1:9" x14ac:dyDescent="0.25">
      <c r="A221" s="8" t="s">
        <v>398</v>
      </c>
      <c r="B221" s="105" t="s">
        <v>171</v>
      </c>
      <c r="C221" s="81" t="s">
        <v>429</v>
      </c>
      <c r="D221" s="34" t="s">
        <v>430</v>
      </c>
      <c r="E221" s="50" t="s">
        <v>431</v>
      </c>
      <c r="F221" s="9" t="str">
        <f t="shared" si="27"/>
        <v>(24) = 23h30min</v>
      </c>
      <c r="G221" s="68">
        <f t="shared" si="28"/>
        <v>13.872340425531915</v>
      </c>
      <c r="H221" s="89">
        <v>12</v>
      </c>
      <c r="I221" s="89">
        <v>11</v>
      </c>
    </row>
    <row r="222" spans="1:9" x14ac:dyDescent="0.25">
      <c r="A222" s="8" t="s">
        <v>398</v>
      </c>
      <c r="B222" s="105" t="s">
        <v>432</v>
      </c>
      <c r="C222" s="81" t="s">
        <v>433</v>
      </c>
      <c r="D222" s="34" t="s">
        <v>434</v>
      </c>
      <c r="E222" s="50" t="s">
        <v>435</v>
      </c>
      <c r="F222" s="9" t="str">
        <f t="shared" si="27"/>
        <v>(24) = 24h12min</v>
      </c>
      <c r="G222" s="66">
        <f t="shared" si="28"/>
        <v>11.859504132231494</v>
      </c>
      <c r="H222" s="89">
        <v>12</v>
      </c>
      <c r="I222" s="89">
        <v>11</v>
      </c>
    </row>
    <row r="223" spans="1:9" x14ac:dyDescent="0.25">
      <c r="A223" s="8" t="s">
        <v>398</v>
      </c>
      <c r="B223" s="105" t="s">
        <v>436</v>
      </c>
      <c r="C223" s="81" t="s">
        <v>437</v>
      </c>
      <c r="D223" s="34" t="s">
        <v>438</v>
      </c>
      <c r="E223" s="50" t="s">
        <v>439</v>
      </c>
      <c r="F223" s="9" t="str">
        <f t="shared" ref="F223:F230" si="29">IF(E223="", "", "(" &amp; TEXT(E223-E222, "0.0") &amp; ") = " &amp; IF(INT(E223-E222)&gt;0, INT(E223-E222) &amp; "h", "") &amp; IF(ROUND((E223-E222-INT(E223-E222))*60, 0)&gt;0, ROUND((E223-E222-INT(E223-E222))*60, 0) &amp; "min", ""))</f>
        <v>(22) = 22h12min</v>
      </c>
      <c r="G223" s="68">
        <f t="shared" si="28"/>
        <v>13.130630630630739</v>
      </c>
      <c r="H223" s="89">
        <v>12</v>
      </c>
      <c r="I223" s="89">
        <v>11</v>
      </c>
    </row>
    <row r="224" spans="1:9" x14ac:dyDescent="0.25">
      <c r="A224" s="8" t="s">
        <v>398</v>
      </c>
      <c r="B224" s="105" t="s">
        <v>76</v>
      </c>
      <c r="C224" s="81">
        <v>270</v>
      </c>
      <c r="D224" s="34" t="s">
        <v>440</v>
      </c>
      <c r="E224" s="50" t="s">
        <v>441</v>
      </c>
      <c r="F224" s="9" t="str">
        <f t="shared" si="29"/>
        <v>(25) = 25h12min</v>
      </c>
      <c r="G224" s="66">
        <f t="shared" si="28"/>
        <v>10.714285714285404</v>
      </c>
      <c r="H224" s="89">
        <v>12</v>
      </c>
      <c r="I224" s="89">
        <v>11</v>
      </c>
    </row>
    <row r="225" spans="1:9" x14ac:dyDescent="0.25">
      <c r="A225" s="8" t="s">
        <v>398</v>
      </c>
      <c r="B225" s="105" t="s">
        <v>186</v>
      </c>
      <c r="C225" s="81">
        <v>313.5</v>
      </c>
      <c r="D225" s="34">
        <v>2531.25</v>
      </c>
      <c r="E225" s="50">
        <v>6066.7</v>
      </c>
      <c r="F225" s="9" t="str">
        <f t="shared" si="29"/>
        <v>(22) = 22h6min</v>
      </c>
      <c r="G225" s="68">
        <f t="shared" ref="G225:G230" si="30">IF((E225-E224)&gt;0, C225/(E225-E224), "")</f>
        <v>14.185520361991301</v>
      </c>
      <c r="H225" s="89">
        <v>12</v>
      </c>
      <c r="I225" s="89">
        <v>11</v>
      </c>
    </row>
    <row r="226" spans="1:9" x14ac:dyDescent="0.25">
      <c r="A226" s="8" t="s">
        <v>398</v>
      </c>
      <c r="B226" s="105" t="s">
        <v>82</v>
      </c>
      <c r="C226" s="81">
        <v>333</v>
      </c>
      <c r="D226" s="34">
        <v>2497.5</v>
      </c>
      <c r="E226" s="50">
        <v>6095.4</v>
      </c>
      <c r="F226" s="9" t="str">
        <f t="shared" si="29"/>
        <v>(29) = 28h42min</v>
      </c>
      <c r="G226" s="68">
        <f t="shared" si="30"/>
        <v>11.602787456446066</v>
      </c>
      <c r="H226" s="89">
        <v>12</v>
      </c>
      <c r="I226" s="89">
        <v>11</v>
      </c>
    </row>
    <row r="227" spans="1:9" x14ac:dyDescent="0.25">
      <c r="A227" s="8" t="s">
        <v>398</v>
      </c>
      <c r="B227" s="105" t="s">
        <v>134</v>
      </c>
      <c r="C227" s="81">
        <v>308.5</v>
      </c>
      <c r="D227" s="34">
        <v>2313.75</v>
      </c>
      <c r="E227" s="50">
        <v>6120.9</v>
      </c>
      <c r="F227" s="9" t="str">
        <f t="shared" si="29"/>
        <v>(26) = 25h30min</v>
      </c>
      <c r="G227" s="68">
        <f t="shared" si="30"/>
        <v>12.098039215686274</v>
      </c>
      <c r="H227" s="89">
        <v>12</v>
      </c>
      <c r="I227" s="89">
        <v>11</v>
      </c>
    </row>
    <row r="228" spans="1:9" x14ac:dyDescent="0.25">
      <c r="A228" s="8" t="s">
        <v>398</v>
      </c>
      <c r="B228" s="105" t="s">
        <v>67</v>
      </c>
      <c r="C228" s="81">
        <v>324</v>
      </c>
      <c r="D228" s="34">
        <v>2316.6</v>
      </c>
      <c r="E228" s="50">
        <v>6147.2</v>
      </c>
      <c r="F228" s="9" t="str">
        <f>IF(E228="", "", "(" &amp; TEXT(E228-E227, "0.0") &amp; ") = " &amp; IF(INT(E228-E227)&gt;0, INT(E228-E227) &amp; "h", "") &amp; IF(ROUND((E228-E227-INT(E228-E227))*60, 0)&gt;0, ROUND((E228-E227-INT(E228-E227))*60, 0) &amp; "min", ""))</f>
        <v>(26) = 26h18min</v>
      </c>
      <c r="G228" s="68">
        <f t="shared" si="30"/>
        <v>12.319391634980903</v>
      </c>
      <c r="H228" s="89">
        <v>12</v>
      </c>
      <c r="I228" s="89">
        <v>11</v>
      </c>
    </row>
    <row r="229" spans="1:9" x14ac:dyDescent="0.25">
      <c r="A229" s="8" t="s">
        <v>398</v>
      </c>
      <c r="B229" s="105" t="s">
        <v>117</v>
      </c>
      <c r="C229" s="87">
        <v>315.5</v>
      </c>
      <c r="D229" s="34">
        <v>2022.36</v>
      </c>
      <c r="E229" s="50">
        <v>6226.5</v>
      </c>
      <c r="F229" s="9" t="str">
        <f t="shared" si="29"/>
        <v>(79) = 79h18min</v>
      </c>
      <c r="G229" s="68">
        <f t="shared" si="30"/>
        <v>3.9785624211853627</v>
      </c>
      <c r="H229" s="90">
        <v>12</v>
      </c>
      <c r="I229" s="90">
        <v>11</v>
      </c>
    </row>
    <row r="230" spans="1:9" x14ac:dyDescent="0.25">
      <c r="A230" s="8" t="s">
        <v>398</v>
      </c>
      <c r="B230" s="105" t="s">
        <v>397</v>
      </c>
      <c r="C230" s="87">
        <v>335</v>
      </c>
      <c r="D230" s="34">
        <v>2147.35</v>
      </c>
      <c r="E230" s="50">
        <v>6250.7</v>
      </c>
      <c r="F230" s="9" t="str">
        <f t="shared" si="29"/>
        <v>(24) = 24h12min</v>
      </c>
      <c r="G230" s="68">
        <f t="shared" si="30"/>
        <v>13.842975206611674</v>
      </c>
      <c r="H230" s="90">
        <v>12</v>
      </c>
      <c r="I230" s="90">
        <v>11</v>
      </c>
    </row>
    <row r="231" spans="1:9" x14ac:dyDescent="0.25">
      <c r="A231" s="8" t="s">
        <v>398</v>
      </c>
      <c r="B231" s="105" t="s">
        <v>338</v>
      </c>
      <c r="C231" s="87">
        <v>336</v>
      </c>
      <c r="D231" s="34">
        <v>2153.7600000000002</v>
      </c>
      <c r="E231" s="50">
        <v>6277.2</v>
      </c>
      <c r="F231" s="9" t="str">
        <f t="shared" ref="F231:F236" si="31">IF(E231="", "", "(" &amp; TEXT(E231-E230, "0.0") &amp; ") = " &amp; IF(INT(E231-E230)&gt;0, INT(E231-E230) &amp; "h", "") &amp; IF(ROUND((E231-E230-INT(E231-E230))*60, 0)&gt;0, ROUND((E231-E230-INT(E231-E230))*60, 0) &amp; "min", ""))</f>
        <v>(27) = 26h30min</v>
      </c>
      <c r="G231" s="68">
        <f t="shared" ref="G231:G236" si="32">IF((E231-E230)&gt;0, C231/(E231-E230), "")</f>
        <v>12.679245283018869</v>
      </c>
      <c r="H231" s="90">
        <v>12</v>
      </c>
      <c r="I231" s="90">
        <v>11</v>
      </c>
    </row>
    <row r="232" spans="1:9" x14ac:dyDescent="0.25">
      <c r="A232" s="8" t="s">
        <v>398</v>
      </c>
      <c r="B232" s="105" t="s">
        <v>442</v>
      </c>
      <c r="C232" s="87">
        <v>322</v>
      </c>
      <c r="D232" s="34">
        <v>2064.02</v>
      </c>
      <c r="E232" s="50">
        <v>6303</v>
      </c>
      <c r="F232" s="9" t="str">
        <f t="shared" si="31"/>
        <v>(26) = 25h48min</v>
      </c>
      <c r="G232" s="68">
        <f t="shared" si="32"/>
        <v>12.480620155038672</v>
      </c>
      <c r="H232" s="90">
        <v>12</v>
      </c>
      <c r="I232" s="90">
        <v>11</v>
      </c>
    </row>
    <row r="233" spans="1:9" x14ac:dyDescent="0.25">
      <c r="A233" s="8" t="s">
        <v>398</v>
      </c>
      <c r="B233" s="105" t="s">
        <v>339</v>
      </c>
      <c r="C233" s="87">
        <v>323</v>
      </c>
      <c r="D233" s="34">
        <v>1954.15</v>
      </c>
      <c r="E233" s="50">
        <v>6329.5</v>
      </c>
      <c r="F233" s="9" t="str">
        <f t="shared" si="31"/>
        <v>(27) = 26h30min</v>
      </c>
      <c r="G233" s="68">
        <f t="shared" si="32"/>
        <v>12.188679245283019</v>
      </c>
      <c r="H233" s="90">
        <v>12</v>
      </c>
      <c r="I233" s="90">
        <v>11</v>
      </c>
    </row>
    <row r="234" spans="1:9" x14ac:dyDescent="0.25">
      <c r="A234" s="8" t="s">
        <v>398</v>
      </c>
      <c r="B234" s="105" t="s">
        <v>443</v>
      </c>
      <c r="C234" s="87">
        <v>338.5</v>
      </c>
      <c r="D234" s="34">
        <v>2047.92</v>
      </c>
      <c r="E234" s="50">
        <v>6355.2</v>
      </c>
      <c r="F234" s="9" t="str">
        <f t="shared" si="31"/>
        <v>(26) = 25h42min</v>
      </c>
      <c r="G234" s="68">
        <f t="shared" si="32"/>
        <v>13.171206225681027</v>
      </c>
      <c r="H234" s="90">
        <v>12</v>
      </c>
      <c r="I234" s="90">
        <v>11</v>
      </c>
    </row>
    <row r="235" spans="1:9" x14ac:dyDescent="0.25">
      <c r="A235" s="8" t="s">
        <v>398</v>
      </c>
      <c r="B235" s="105" t="s">
        <v>18</v>
      </c>
      <c r="C235" s="87">
        <v>319.5</v>
      </c>
      <c r="D235" s="34">
        <v>1932.97</v>
      </c>
      <c r="E235" s="50">
        <v>6379.9</v>
      </c>
      <c r="F235" s="9" t="str">
        <f t="shared" si="31"/>
        <v>(25) = 24h42min</v>
      </c>
      <c r="G235" s="68">
        <f t="shared" si="32"/>
        <v>12.935222672064873</v>
      </c>
      <c r="H235" s="90">
        <v>12</v>
      </c>
      <c r="I235" s="90">
        <v>11</v>
      </c>
    </row>
    <row r="236" spans="1:9" x14ac:dyDescent="0.25">
      <c r="A236" s="8" t="s">
        <v>398</v>
      </c>
      <c r="B236" s="105" t="s">
        <v>444</v>
      </c>
      <c r="C236" s="87">
        <v>336</v>
      </c>
      <c r="D236" s="34">
        <v>2032.8</v>
      </c>
      <c r="E236" s="50">
        <v>6402.1</v>
      </c>
      <c r="F236" s="9" t="str">
        <f t="shared" si="31"/>
        <v>(22) = 22h12min</v>
      </c>
      <c r="G236" s="68">
        <f t="shared" si="32"/>
        <v>15.135135135134639</v>
      </c>
      <c r="H236" s="90">
        <v>12</v>
      </c>
      <c r="I236" s="90">
        <v>11</v>
      </c>
    </row>
    <row r="237" spans="1:9" x14ac:dyDescent="0.25">
      <c r="A237" s="10"/>
      <c r="B237" s="106"/>
      <c r="C237" s="84"/>
      <c r="E237" s="49"/>
      <c r="F237" s="112" t="s">
        <v>22</v>
      </c>
      <c r="G237" s="63">
        <f>AVERAGE(G211:G236)</f>
        <v>12.299682840746165</v>
      </c>
      <c r="H237" s="80"/>
      <c r="I237" s="80"/>
    </row>
    <row r="238" spans="1:9" x14ac:dyDescent="0.25">
      <c r="A238" s="10" t="s">
        <v>445</v>
      </c>
      <c r="B238" s="106" t="s">
        <v>122</v>
      </c>
      <c r="C238" s="84" t="s">
        <v>446</v>
      </c>
      <c r="D238" s="35" t="s">
        <v>447</v>
      </c>
      <c r="E238" s="49" t="s">
        <v>448</v>
      </c>
      <c r="F238" s="7" t="s">
        <v>449</v>
      </c>
      <c r="G238" s="66">
        <f>IF((E238-E237)&gt;0, C238/20, "")</f>
        <v>15.5</v>
      </c>
      <c r="H238" s="88">
        <v>11</v>
      </c>
      <c r="I238" s="88">
        <v>14</v>
      </c>
    </row>
    <row r="239" spans="1:9" x14ac:dyDescent="0.25">
      <c r="A239" s="10" t="s">
        <v>445</v>
      </c>
      <c r="B239" s="106" t="s">
        <v>450</v>
      </c>
      <c r="C239" s="84" t="s">
        <v>451</v>
      </c>
      <c r="D239" s="35" t="s">
        <v>452</v>
      </c>
      <c r="E239" s="49" t="s">
        <v>453</v>
      </c>
      <c r="F239" s="7" t="str">
        <f t="shared" ref="F239:F270" si="33">IF(E239="", "", "(" &amp; TEXT(E239-E238, "0.0") &amp; ") = " &amp; IF(INT(E239-E238)&gt;0, INT(E239-E238) &amp; "h", "") &amp; IF(ROUND((E239-E238-INT(E239-E238))*60, 0)&gt;0, ROUND((E239-E238-INT(E239-E238))*60, 0) &amp; "min", ""))</f>
        <v>(17) = 17h</v>
      </c>
      <c r="G239" s="66">
        <f t="shared" ref="G239" si="34">IF((E239-E238)&gt;0, C239/(E239-E238), "")</f>
        <v>17</v>
      </c>
      <c r="H239" s="88">
        <v>11</v>
      </c>
      <c r="I239" s="88">
        <v>14</v>
      </c>
    </row>
    <row r="240" spans="1:9" x14ac:dyDescent="0.25">
      <c r="A240" s="10" t="s">
        <v>445</v>
      </c>
      <c r="B240" s="106" t="s">
        <v>454</v>
      </c>
      <c r="C240" s="84" t="s">
        <v>455</v>
      </c>
      <c r="D240" s="35" t="s">
        <v>456</v>
      </c>
      <c r="E240" s="49" t="s">
        <v>457</v>
      </c>
      <c r="F240" s="7" t="str">
        <f t="shared" si="33"/>
        <v>(13) = 13h</v>
      </c>
      <c r="G240" s="66">
        <f t="shared" ref="G240:G287" si="35">IF((E240-E239)&gt;0, C240/(E240-E239), "")</f>
        <v>18.03846153846154</v>
      </c>
      <c r="H240" s="88">
        <v>11</v>
      </c>
      <c r="I240" s="88">
        <v>14</v>
      </c>
    </row>
    <row r="241" spans="1:9" x14ac:dyDescent="0.25">
      <c r="A241" s="10" t="s">
        <v>445</v>
      </c>
      <c r="B241" s="106" t="s">
        <v>99</v>
      </c>
      <c r="C241" s="84" t="s">
        <v>458</v>
      </c>
      <c r="D241" s="35" t="s">
        <v>459</v>
      </c>
      <c r="E241" s="49" t="s">
        <v>460</v>
      </c>
      <c r="F241" s="7" t="str">
        <f t="shared" si="33"/>
        <v>(15) = 15h24min</v>
      </c>
      <c r="G241" s="68">
        <f t="shared" si="35"/>
        <v>15.616883116883486</v>
      </c>
      <c r="H241" s="88">
        <v>11</v>
      </c>
      <c r="I241" s="88">
        <v>14</v>
      </c>
    </row>
    <row r="242" spans="1:9" x14ac:dyDescent="0.25">
      <c r="A242" s="10" t="s">
        <v>445</v>
      </c>
      <c r="B242" s="106" t="s">
        <v>365</v>
      </c>
      <c r="C242" s="84" t="s">
        <v>461</v>
      </c>
      <c r="D242" s="35" t="s">
        <v>462</v>
      </c>
      <c r="E242" s="49" t="s">
        <v>463</v>
      </c>
      <c r="F242" s="7" t="str">
        <f t="shared" si="33"/>
        <v>(18) = 18h12min</v>
      </c>
      <c r="G242" s="66">
        <f t="shared" si="35"/>
        <v>13.296703296702765</v>
      </c>
      <c r="H242" s="88">
        <v>11</v>
      </c>
      <c r="I242" s="88">
        <v>14</v>
      </c>
    </row>
    <row r="243" spans="1:9" x14ac:dyDescent="0.25">
      <c r="A243" s="10" t="s">
        <v>445</v>
      </c>
      <c r="B243" s="106" t="s">
        <v>153</v>
      </c>
      <c r="C243" s="84" t="s">
        <v>301</v>
      </c>
      <c r="D243" s="35" t="s">
        <v>464</v>
      </c>
      <c r="E243" s="49" t="s">
        <v>465</v>
      </c>
      <c r="F243" s="7" t="str">
        <f t="shared" si="33"/>
        <v>(19) = 19h18min</v>
      </c>
      <c r="G243" s="66">
        <f t="shared" si="35"/>
        <v>13.21243523316112</v>
      </c>
      <c r="H243" s="88">
        <v>11</v>
      </c>
      <c r="I243" s="88">
        <v>14</v>
      </c>
    </row>
    <row r="244" spans="1:9" x14ac:dyDescent="0.25">
      <c r="A244" s="10" t="s">
        <v>445</v>
      </c>
      <c r="B244" s="106" t="s">
        <v>466</v>
      </c>
      <c r="C244" s="84" t="s">
        <v>467</v>
      </c>
      <c r="D244" s="35" t="s">
        <v>468</v>
      </c>
      <c r="E244" s="49" t="s">
        <v>469</v>
      </c>
      <c r="F244" s="7" t="str">
        <f t="shared" si="33"/>
        <v>(18) = 17h30min</v>
      </c>
      <c r="G244" s="68">
        <f t="shared" si="35"/>
        <v>14.114285714285714</v>
      </c>
      <c r="H244" s="88">
        <v>11</v>
      </c>
      <c r="I244" s="88">
        <v>14</v>
      </c>
    </row>
    <row r="245" spans="1:9" x14ac:dyDescent="0.25">
      <c r="A245" s="10" t="s">
        <v>445</v>
      </c>
      <c r="B245" s="106" t="s">
        <v>56</v>
      </c>
      <c r="C245" s="84" t="s">
        <v>470</v>
      </c>
      <c r="D245" s="35" t="s">
        <v>471</v>
      </c>
      <c r="E245" s="49" t="s">
        <v>472</v>
      </c>
      <c r="F245" s="7" t="str">
        <f t="shared" si="33"/>
        <v>(16) = 16h12min</v>
      </c>
      <c r="G245" s="68">
        <f t="shared" si="35"/>
        <v>15.092592592591915</v>
      </c>
      <c r="H245" s="88">
        <v>11</v>
      </c>
      <c r="I245" s="88">
        <v>14</v>
      </c>
    </row>
    <row r="246" spans="1:9" x14ac:dyDescent="0.25">
      <c r="A246" s="10" t="s">
        <v>445</v>
      </c>
      <c r="B246" s="106" t="s">
        <v>473</v>
      </c>
      <c r="C246" s="84" t="s">
        <v>461</v>
      </c>
      <c r="D246" s="35" t="s">
        <v>474</v>
      </c>
      <c r="E246" s="49">
        <v>15799.7</v>
      </c>
      <c r="F246" s="7" t="str">
        <f t="shared" si="33"/>
        <v>(15) = 15h6min</v>
      </c>
      <c r="G246" s="68">
        <f t="shared" si="35"/>
        <v>16.026490066224781</v>
      </c>
      <c r="H246" s="88">
        <v>11</v>
      </c>
      <c r="I246" s="88">
        <v>14</v>
      </c>
    </row>
    <row r="247" spans="1:9" x14ac:dyDescent="0.25">
      <c r="A247" s="10" t="s">
        <v>445</v>
      </c>
      <c r="B247" s="106" t="s">
        <v>375</v>
      </c>
      <c r="C247" s="84" t="s">
        <v>475</v>
      </c>
      <c r="D247" s="35" t="s">
        <v>476</v>
      </c>
      <c r="E247" s="49">
        <v>15815.9</v>
      </c>
      <c r="F247" s="7" t="str">
        <f t="shared" si="33"/>
        <v>(16) = 16h12min</v>
      </c>
      <c r="G247" s="66">
        <f t="shared" si="35"/>
        <v>12.530864197531708</v>
      </c>
      <c r="H247" s="88">
        <v>11</v>
      </c>
      <c r="I247" s="88">
        <v>14</v>
      </c>
    </row>
    <row r="248" spans="1:9" x14ac:dyDescent="0.25">
      <c r="A248" s="10" t="s">
        <v>445</v>
      </c>
      <c r="B248" s="106" t="s">
        <v>106</v>
      </c>
      <c r="C248" s="84" t="s">
        <v>477</v>
      </c>
      <c r="D248" s="35" t="s">
        <v>478</v>
      </c>
      <c r="E248" s="49">
        <v>15834.3</v>
      </c>
      <c r="F248" s="7" t="str">
        <f t="shared" si="33"/>
        <v>(18) = 18h24min</v>
      </c>
      <c r="G248" s="66">
        <f t="shared" si="35"/>
        <v>13.505434782608962</v>
      </c>
      <c r="H248" s="88">
        <v>11</v>
      </c>
      <c r="I248" s="88">
        <v>14</v>
      </c>
    </row>
    <row r="249" spans="1:9" x14ac:dyDescent="0.25">
      <c r="A249" s="10" t="s">
        <v>445</v>
      </c>
      <c r="B249" s="106" t="s">
        <v>304</v>
      </c>
      <c r="C249" s="84" t="s">
        <v>479</v>
      </c>
      <c r="D249" s="35" t="s">
        <v>480</v>
      </c>
      <c r="E249" s="49">
        <v>15849.6</v>
      </c>
      <c r="F249" s="7" t="str">
        <f t="shared" si="33"/>
        <v>(15) = 15h18min</v>
      </c>
      <c r="G249" s="68">
        <f t="shared" si="35"/>
        <v>14.215686274508791</v>
      </c>
      <c r="H249" s="88">
        <v>11</v>
      </c>
      <c r="I249" s="88">
        <v>14</v>
      </c>
    </row>
    <row r="250" spans="1:9" x14ac:dyDescent="0.25">
      <c r="A250" s="10" t="s">
        <v>445</v>
      </c>
      <c r="B250" s="106" t="s">
        <v>308</v>
      </c>
      <c r="C250" s="84" t="s">
        <v>42</v>
      </c>
      <c r="D250" s="35" t="s">
        <v>481</v>
      </c>
      <c r="E250" s="49">
        <v>15865.7</v>
      </c>
      <c r="F250" s="7" t="str">
        <f t="shared" si="33"/>
        <v>(16) = 16h6min</v>
      </c>
      <c r="G250" s="68">
        <f t="shared" si="35"/>
        <v>14.968944099378543</v>
      </c>
      <c r="H250" s="88">
        <v>11</v>
      </c>
      <c r="I250" s="88">
        <v>14</v>
      </c>
    </row>
    <row r="251" spans="1:9" x14ac:dyDescent="0.25">
      <c r="A251" s="10" t="s">
        <v>445</v>
      </c>
      <c r="B251" s="106" t="s">
        <v>224</v>
      </c>
      <c r="C251" s="84" t="s">
        <v>482</v>
      </c>
      <c r="D251" s="35" t="s">
        <v>483</v>
      </c>
      <c r="E251" s="49">
        <v>15878.5</v>
      </c>
      <c r="F251" s="7" t="str">
        <f t="shared" si="33"/>
        <v>(13) = 12h48min</v>
      </c>
      <c r="G251" s="66">
        <f t="shared" si="35"/>
        <v>17.968750000001023</v>
      </c>
      <c r="H251" s="88">
        <v>11</v>
      </c>
      <c r="I251" s="88">
        <v>14</v>
      </c>
    </row>
    <row r="252" spans="1:9" x14ac:dyDescent="0.25">
      <c r="A252" s="10" t="s">
        <v>445</v>
      </c>
      <c r="B252" s="106" t="s">
        <v>110</v>
      </c>
      <c r="C252" s="84" t="s">
        <v>484</v>
      </c>
      <c r="D252" s="35" t="s">
        <v>485</v>
      </c>
      <c r="E252" s="49">
        <v>15894.7</v>
      </c>
      <c r="F252" s="7" t="str">
        <f t="shared" si="33"/>
        <v>(16) = 16h12min</v>
      </c>
      <c r="G252" s="68">
        <f t="shared" si="35"/>
        <v>13.981481481480854</v>
      </c>
      <c r="H252" s="88">
        <v>11</v>
      </c>
      <c r="I252" s="88">
        <v>14</v>
      </c>
    </row>
    <row r="253" spans="1:9" x14ac:dyDescent="0.25">
      <c r="A253" s="10" t="s">
        <v>445</v>
      </c>
      <c r="B253" s="106" t="s">
        <v>229</v>
      </c>
      <c r="C253" s="84" t="s">
        <v>486</v>
      </c>
      <c r="D253" s="35" t="s">
        <v>487</v>
      </c>
      <c r="E253" s="49">
        <v>15913.9</v>
      </c>
      <c r="F253" s="7" t="str">
        <f t="shared" si="33"/>
        <v>(19) = 19h12min</v>
      </c>
      <c r="G253" s="68">
        <f t="shared" si="35"/>
        <v>13.932291666667458</v>
      </c>
      <c r="H253" s="88">
        <v>11</v>
      </c>
      <c r="I253" s="88">
        <v>14</v>
      </c>
    </row>
    <row r="254" spans="1:9" x14ac:dyDescent="0.25">
      <c r="A254" s="10" t="s">
        <v>445</v>
      </c>
      <c r="B254" s="106" t="s">
        <v>320</v>
      </c>
      <c r="C254" s="84" t="s">
        <v>138</v>
      </c>
      <c r="D254" s="35" t="s">
        <v>488</v>
      </c>
      <c r="E254" s="49">
        <v>15926.3</v>
      </c>
      <c r="F254" s="7" t="str">
        <f t="shared" si="33"/>
        <v>(12) = 12h24min</v>
      </c>
      <c r="G254" s="66">
        <f t="shared" si="35"/>
        <v>18.750000000000551</v>
      </c>
      <c r="H254" s="88">
        <v>11</v>
      </c>
      <c r="I254" s="88">
        <v>14</v>
      </c>
    </row>
    <row r="255" spans="1:9" x14ac:dyDescent="0.25">
      <c r="A255" s="10" t="s">
        <v>445</v>
      </c>
      <c r="B255" s="106" t="s">
        <v>432</v>
      </c>
      <c r="C255" s="84" t="s">
        <v>477</v>
      </c>
      <c r="D255" s="35" t="s">
        <v>489</v>
      </c>
      <c r="E255" s="49">
        <v>15642.7</v>
      </c>
      <c r="F255" s="7" t="str">
        <f t="shared" si="33"/>
        <v>(-284) = 24min</v>
      </c>
      <c r="G255" s="68" t="str">
        <f t="shared" si="35"/>
        <v/>
      </c>
      <c r="H255" s="88">
        <v>11</v>
      </c>
      <c r="I255" s="88">
        <v>14</v>
      </c>
    </row>
    <row r="256" spans="1:9" x14ac:dyDescent="0.25">
      <c r="A256" s="10" t="s">
        <v>445</v>
      </c>
      <c r="B256" s="106" t="s">
        <v>490</v>
      </c>
      <c r="C256" s="84" t="s">
        <v>491</v>
      </c>
      <c r="D256" s="35" t="s">
        <v>492</v>
      </c>
      <c r="E256" s="49">
        <v>15964.4</v>
      </c>
      <c r="F256" s="7" t="str">
        <f t="shared" si="33"/>
        <v>(322) = 321h42min</v>
      </c>
      <c r="G256" s="68">
        <f t="shared" si="35"/>
        <v>0.98694435809760983</v>
      </c>
      <c r="H256" s="88">
        <v>11</v>
      </c>
      <c r="I256" s="88">
        <v>14</v>
      </c>
    </row>
    <row r="257" spans="1:9" x14ac:dyDescent="0.25">
      <c r="A257" s="10" t="s">
        <v>445</v>
      </c>
      <c r="B257" s="106" t="s">
        <v>178</v>
      </c>
      <c r="C257" s="84" t="s">
        <v>493</v>
      </c>
      <c r="D257" s="35" t="s">
        <v>494</v>
      </c>
      <c r="E257" s="49">
        <v>15978.6</v>
      </c>
      <c r="F257" s="7" t="str">
        <f t="shared" si="33"/>
        <v>(14) = 14h12min</v>
      </c>
      <c r="G257" s="66">
        <f t="shared" si="35"/>
        <v>17.11267605633715</v>
      </c>
      <c r="H257" s="88">
        <v>11</v>
      </c>
      <c r="I257" s="88">
        <v>14</v>
      </c>
    </row>
    <row r="258" spans="1:9" x14ac:dyDescent="0.25">
      <c r="A258" s="10" t="s">
        <v>445</v>
      </c>
      <c r="B258" s="106" t="s">
        <v>131</v>
      </c>
      <c r="C258" s="84" t="s">
        <v>495</v>
      </c>
      <c r="D258" s="35" t="s">
        <v>496</v>
      </c>
      <c r="E258" s="49">
        <v>15993.2</v>
      </c>
      <c r="F258" s="7" t="str">
        <f t="shared" si="33"/>
        <v>(15) = 14h36min</v>
      </c>
      <c r="G258" s="66">
        <f t="shared" si="35"/>
        <v>16.71232876712287</v>
      </c>
      <c r="H258" s="88">
        <v>11</v>
      </c>
      <c r="I258" s="88">
        <v>14</v>
      </c>
    </row>
    <row r="259" spans="1:9" x14ac:dyDescent="0.25">
      <c r="A259" s="10" t="s">
        <v>445</v>
      </c>
      <c r="B259" s="106" t="s">
        <v>497</v>
      </c>
      <c r="C259" s="84" t="s">
        <v>498</v>
      </c>
      <c r="D259" s="35" t="s">
        <v>499</v>
      </c>
      <c r="E259" s="49">
        <v>16007.6</v>
      </c>
      <c r="F259" s="7" t="str">
        <f t="shared" si="33"/>
        <v>(14) = 14h24min</v>
      </c>
      <c r="G259" s="66">
        <f t="shared" si="35"/>
        <v>16.527777777778194</v>
      </c>
      <c r="H259" s="88">
        <v>11</v>
      </c>
      <c r="I259" s="88">
        <v>14</v>
      </c>
    </row>
    <row r="260" spans="1:9" x14ac:dyDescent="0.25">
      <c r="A260" s="10" t="s">
        <v>445</v>
      </c>
      <c r="B260" s="106" t="s">
        <v>239</v>
      </c>
      <c r="C260" s="84" t="s">
        <v>500</v>
      </c>
      <c r="D260" s="35" t="s">
        <v>501</v>
      </c>
      <c r="E260" s="49">
        <v>16024</v>
      </c>
      <c r="F260" s="7" t="str">
        <f t="shared" si="33"/>
        <v>(16) = 16h24min</v>
      </c>
      <c r="G260" s="66">
        <f t="shared" si="35"/>
        <v>17.987804878049179</v>
      </c>
      <c r="H260" s="88">
        <v>11</v>
      </c>
      <c r="I260" s="88">
        <v>14</v>
      </c>
    </row>
    <row r="261" spans="1:9" x14ac:dyDescent="0.25">
      <c r="A261" s="10" t="s">
        <v>445</v>
      </c>
      <c r="B261" s="106" t="s">
        <v>186</v>
      </c>
      <c r="C261" s="84" t="s">
        <v>502</v>
      </c>
      <c r="D261" s="35" t="s">
        <v>503</v>
      </c>
      <c r="E261" s="49">
        <v>16040.5</v>
      </c>
      <c r="F261" s="7" t="str">
        <f t="shared" si="33"/>
        <v>(17) = 16h30min</v>
      </c>
      <c r="G261" s="66">
        <f t="shared" si="35"/>
        <v>15.878787878787879</v>
      </c>
      <c r="H261" s="88">
        <v>11</v>
      </c>
      <c r="I261" s="88">
        <v>14</v>
      </c>
    </row>
    <row r="262" spans="1:9" x14ac:dyDescent="0.25">
      <c r="A262" s="10" t="s">
        <v>445</v>
      </c>
      <c r="B262" s="106" t="s">
        <v>394</v>
      </c>
      <c r="C262" s="84" t="s">
        <v>504</v>
      </c>
      <c r="D262" s="35" t="s">
        <v>505</v>
      </c>
      <c r="E262" s="49">
        <v>16058.3</v>
      </c>
      <c r="F262" s="7" t="str">
        <f t="shared" si="33"/>
        <v>(18) = 17h48min</v>
      </c>
      <c r="G262" s="66">
        <f t="shared" si="35"/>
        <v>17.162921348315308</v>
      </c>
      <c r="H262" s="88">
        <v>11</v>
      </c>
      <c r="I262" s="88">
        <v>14</v>
      </c>
    </row>
    <row r="263" spans="1:9" x14ac:dyDescent="0.25">
      <c r="A263" s="10" t="s">
        <v>445</v>
      </c>
      <c r="B263" s="106" t="s">
        <v>245</v>
      </c>
      <c r="C263" s="84" t="s">
        <v>506</v>
      </c>
      <c r="D263" s="35" t="s">
        <v>507</v>
      </c>
      <c r="E263" s="49">
        <v>16073.8</v>
      </c>
      <c r="F263" s="7" t="str">
        <f t="shared" si="33"/>
        <v>(16) = 15h30min</v>
      </c>
      <c r="G263" s="66">
        <f t="shared" si="35"/>
        <v>16.516129032258064</v>
      </c>
      <c r="H263" s="88">
        <v>11</v>
      </c>
      <c r="I263" s="88">
        <v>14</v>
      </c>
    </row>
    <row r="264" spans="1:9" x14ac:dyDescent="0.25">
      <c r="A264" s="10" t="s">
        <v>445</v>
      </c>
      <c r="B264" s="106" t="s">
        <v>82</v>
      </c>
      <c r="C264" s="84" t="s">
        <v>508</v>
      </c>
      <c r="D264" s="35" t="s">
        <v>509</v>
      </c>
      <c r="E264" s="49">
        <v>16086.5</v>
      </c>
      <c r="F264" s="7" t="str">
        <f t="shared" si="33"/>
        <v>(13) = 12h42min</v>
      </c>
      <c r="G264" s="66">
        <f t="shared" si="35"/>
        <v>20.551181102361028</v>
      </c>
      <c r="H264" s="88">
        <v>11</v>
      </c>
      <c r="I264" s="88">
        <v>14</v>
      </c>
    </row>
    <row r="265" spans="1:9" x14ac:dyDescent="0.25">
      <c r="A265" s="10" t="s">
        <v>445</v>
      </c>
      <c r="B265" s="106" t="s">
        <v>248</v>
      </c>
      <c r="C265" s="84" t="s">
        <v>477</v>
      </c>
      <c r="D265" s="35" t="s">
        <v>510</v>
      </c>
      <c r="E265" s="49">
        <v>16097.4</v>
      </c>
      <c r="F265" s="7" t="str">
        <f t="shared" si="33"/>
        <v>(11) = 10h54min</v>
      </c>
      <c r="G265" s="66">
        <f t="shared" si="35"/>
        <v>22.798165137615438</v>
      </c>
      <c r="H265" s="88">
        <v>11</v>
      </c>
      <c r="I265" s="88">
        <v>14</v>
      </c>
    </row>
    <row r="266" spans="1:9" x14ac:dyDescent="0.25">
      <c r="A266" s="10" t="s">
        <v>445</v>
      </c>
      <c r="B266" s="106" t="s">
        <v>85</v>
      </c>
      <c r="C266" s="84" t="s">
        <v>362</v>
      </c>
      <c r="D266" s="35" t="s">
        <v>511</v>
      </c>
      <c r="E266" s="49">
        <v>16109.7</v>
      </c>
      <c r="F266" s="7" t="str">
        <f t="shared" si="33"/>
        <v>(12) = 12h18min</v>
      </c>
      <c r="G266" s="66">
        <f t="shared" si="35"/>
        <v>19.512195121949489</v>
      </c>
      <c r="H266" s="88">
        <v>11</v>
      </c>
      <c r="I266" s="88">
        <v>14</v>
      </c>
    </row>
    <row r="267" spans="1:9" x14ac:dyDescent="0.25">
      <c r="A267" s="10" t="s">
        <v>445</v>
      </c>
      <c r="B267" s="106" t="s">
        <v>134</v>
      </c>
      <c r="C267" s="84">
        <v>278</v>
      </c>
      <c r="D267" s="35">
        <v>1973.8</v>
      </c>
      <c r="E267" s="49">
        <v>16124.8</v>
      </c>
      <c r="F267" s="7" t="str">
        <f t="shared" si="33"/>
        <v>(15) = 15h6min</v>
      </c>
      <c r="G267" s="66">
        <f t="shared" si="35"/>
        <v>18.410596026491842</v>
      </c>
      <c r="H267" s="88">
        <v>11</v>
      </c>
      <c r="I267" s="88">
        <v>14</v>
      </c>
    </row>
    <row r="268" spans="1:9" x14ac:dyDescent="0.25">
      <c r="A268" s="10" t="s">
        <v>445</v>
      </c>
      <c r="B268" s="106" t="s">
        <v>512</v>
      </c>
      <c r="C268" s="84">
        <v>226</v>
      </c>
      <c r="D268" s="35">
        <v>1604.6</v>
      </c>
      <c r="E268" s="49">
        <v>16136.3</v>
      </c>
      <c r="F268" s="7" t="str">
        <f t="shared" si="33"/>
        <v>(12) = 11h30min</v>
      </c>
      <c r="G268" s="66">
        <f t="shared" si="35"/>
        <v>19.652173913043477</v>
      </c>
      <c r="H268" s="88">
        <v>11</v>
      </c>
      <c r="I268" s="88">
        <v>14</v>
      </c>
    </row>
    <row r="269" spans="1:9" x14ac:dyDescent="0.25">
      <c r="A269" s="10" t="s">
        <v>445</v>
      </c>
      <c r="B269" s="106" t="s">
        <v>513</v>
      </c>
      <c r="C269" s="84">
        <v>205.5</v>
      </c>
      <c r="D269" s="35">
        <v>1459.05</v>
      </c>
      <c r="E269" s="49">
        <v>16149.6</v>
      </c>
      <c r="F269" s="7" t="str">
        <f t="shared" si="33"/>
        <v>(13) = 13h18min</v>
      </c>
      <c r="G269" s="68">
        <f t="shared" si="35"/>
        <v>15.451127819547605</v>
      </c>
      <c r="H269" s="88">
        <v>11</v>
      </c>
      <c r="I269" s="88">
        <v>14</v>
      </c>
    </row>
    <row r="270" spans="1:9" x14ac:dyDescent="0.25">
      <c r="A270" s="10" t="s">
        <v>445</v>
      </c>
      <c r="B270" s="106" t="s">
        <v>197</v>
      </c>
      <c r="C270" s="84">
        <v>251.5</v>
      </c>
      <c r="D270" s="35">
        <v>1785.65</v>
      </c>
      <c r="E270" s="49">
        <v>16164.3</v>
      </c>
      <c r="F270" s="7" t="str">
        <f t="shared" si="33"/>
        <v>(15) = 14h42min</v>
      </c>
      <c r="G270" s="66">
        <f t="shared" si="35"/>
        <v>17.108843537416238</v>
      </c>
      <c r="H270" s="88">
        <v>11</v>
      </c>
      <c r="I270" s="88">
        <v>14</v>
      </c>
    </row>
    <row r="271" spans="1:9" x14ac:dyDescent="0.25">
      <c r="A271" s="10" t="s">
        <v>445</v>
      </c>
      <c r="B271" s="106" t="s">
        <v>514</v>
      </c>
      <c r="C271" s="84">
        <v>237.5</v>
      </c>
      <c r="D271" s="35">
        <v>1657.75</v>
      </c>
      <c r="E271" s="49">
        <v>16178.7</v>
      </c>
      <c r="F271" s="7" t="str">
        <f t="shared" ref="F271:F287" si="36">IF(E271="", "", "(" &amp; TEXT(E271-E270, "0.0") &amp; ") = " &amp; IF(INT(E271-E270)&gt;0, INT(E271-E270) &amp; "h", "") &amp; IF(ROUND((E271-E270-INT(E271-E270))*60, 0)&gt;0, ROUND((E271-E270-INT(E271-E270))*60, 0) &amp; "min", ""))</f>
        <v>(14) = 14h24min</v>
      </c>
      <c r="G271" s="66">
        <f t="shared" si="35"/>
        <v>16.493055555553887</v>
      </c>
      <c r="H271" s="88">
        <v>11</v>
      </c>
      <c r="I271" s="88">
        <v>14</v>
      </c>
    </row>
    <row r="272" spans="1:9" x14ac:dyDescent="0.25">
      <c r="A272" s="10" t="s">
        <v>445</v>
      </c>
      <c r="B272" s="106" t="s">
        <v>252</v>
      </c>
      <c r="C272" s="84">
        <v>269.5</v>
      </c>
      <c r="D272" s="35">
        <v>1881.11</v>
      </c>
      <c r="E272" s="49">
        <v>16193.4</v>
      </c>
      <c r="F272" s="7" t="str">
        <f t="shared" si="36"/>
        <v>(15) = 14h42min</v>
      </c>
      <c r="G272" s="66">
        <f t="shared" si="35"/>
        <v>18.333333333334693</v>
      </c>
      <c r="H272" s="88">
        <v>11</v>
      </c>
      <c r="I272" s="88">
        <v>14</v>
      </c>
    </row>
    <row r="273" spans="1:9" x14ac:dyDescent="0.25">
      <c r="A273" s="10" t="s">
        <v>445</v>
      </c>
      <c r="B273" s="106" t="s">
        <v>69</v>
      </c>
      <c r="C273" s="96">
        <v>72.5</v>
      </c>
      <c r="D273" s="35">
        <v>485.02</v>
      </c>
      <c r="E273" s="49">
        <v>16239.5</v>
      </c>
      <c r="F273" s="7" t="str">
        <f t="shared" si="36"/>
        <v>(46) = 46h6min</v>
      </c>
      <c r="G273" s="66">
        <f t="shared" si="35"/>
        <v>1.5726681127982522</v>
      </c>
      <c r="H273" s="88">
        <v>11</v>
      </c>
      <c r="I273" s="88">
        <v>14</v>
      </c>
    </row>
    <row r="274" spans="1:9" x14ac:dyDescent="0.25">
      <c r="A274" s="10" t="s">
        <v>445</v>
      </c>
      <c r="B274" s="106" t="s">
        <v>70</v>
      </c>
      <c r="C274" s="96">
        <v>4</v>
      </c>
      <c r="D274" s="35">
        <v>25.48</v>
      </c>
      <c r="E274" s="49">
        <v>16253.9</v>
      </c>
      <c r="F274" s="7" t="str">
        <f t="shared" si="36"/>
        <v>(14) = 14h24min</v>
      </c>
      <c r="G274" s="66">
        <f t="shared" si="35"/>
        <v>0.27777777777778478</v>
      </c>
      <c r="H274" s="88">
        <v>11</v>
      </c>
      <c r="I274" s="88">
        <v>14</v>
      </c>
    </row>
    <row r="275" spans="1:9" x14ac:dyDescent="0.25">
      <c r="A275" s="10" t="s">
        <v>445</v>
      </c>
      <c r="B275" s="106" t="s">
        <v>70</v>
      </c>
      <c r="C275" s="96">
        <v>160</v>
      </c>
      <c r="D275" s="35">
        <v>1019.2</v>
      </c>
      <c r="E275" s="49">
        <v>16255.2</v>
      </c>
      <c r="F275" s="7" t="str">
        <f t="shared" si="36"/>
        <v>(01) = 1h18min</v>
      </c>
      <c r="G275" s="66">
        <f t="shared" si="35"/>
        <v>123.07692307681975</v>
      </c>
      <c r="H275" s="88">
        <v>11</v>
      </c>
      <c r="I275" s="88">
        <v>14</v>
      </c>
    </row>
    <row r="276" spans="1:9" x14ac:dyDescent="0.25">
      <c r="A276" s="10" t="s">
        <v>445</v>
      </c>
      <c r="B276" s="106" t="s">
        <v>515</v>
      </c>
      <c r="C276" s="96">
        <v>241.5</v>
      </c>
      <c r="D276" s="35">
        <v>1538.36</v>
      </c>
      <c r="E276" s="49">
        <v>16264.6</v>
      </c>
      <c r="F276" s="7" t="str">
        <f t="shared" si="36"/>
        <v>(09) = 9h24min</v>
      </c>
      <c r="G276" s="66">
        <f t="shared" si="35"/>
        <v>25.691489361703123</v>
      </c>
      <c r="H276" s="88">
        <v>11</v>
      </c>
      <c r="I276" s="88">
        <v>14</v>
      </c>
    </row>
    <row r="277" spans="1:9" x14ac:dyDescent="0.25">
      <c r="A277" s="10" t="s">
        <v>445</v>
      </c>
      <c r="B277" s="106" t="s">
        <v>71</v>
      </c>
      <c r="C277" s="96">
        <v>28</v>
      </c>
      <c r="D277" s="35">
        <v>178.36</v>
      </c>
      <c r="E277" s="49">
        <v>16279.8</v>
      </c>
      <c r="F277" s="7" t="str">
        <f t="shared" si="36"/>
        <v>(15) = 15h12min</v>
      </c>
      <c r="G277" s="66">
        <f t="shared" si="35"/>
        <v>1.842105263158027</v>
      </c>
      <c r="H277" s="88">
        <v>11</v>
      </c>
      <c r="I277" s="88">
        <v>14</v>
      </c>
    </row>
    <row r="278" spans="1:9" x14ac:dyDescent="0.25">
      <c r="A278" s="10" t="s">
        <v>445</v>
      </c>
      <c r="B278" s="106" t="s">
        <v>255</v>
      </c>
      <c r="C278" s="96">
        <v>302</v>
      </c>
      <c r="D278" s="35">
        <v>1923.74</v>
      </c>
      <c r="E278" s="49">
        <v>16290.5</v>
      </c>
      <c r="F278" s="7" t="str">
        <f t="shared" si="36"/>
        <v>(11) = 10h42min</v>
      </c>
      <c r="G278" s="66">
        <f t="shared" si="35"/>
        <v>28.224299065418641</v>
      </c>
      <c r="H278" s="88">
        <v>11</v>
      </c>
      <c r="I278" s="88">
        <v>14</v>
      </c>
    </row>
    <row r="279" spans="1:9" x14ac:dyDescent="0.25">
      <c r="A279" s="10" t="s">
        <v>445</v>
      </c>
      <c r="B279" s="106" t="s">
        <v>256</v>
      </c>
      <c r="C279" s="96">
        <v>0.5</v>
      </c>
      <c r="D279" s="35">
        <v>3.19</v>
      </c>
      <c r="E279" s="49">
        <v>16305</v>
      </c>
      <c r="F279" s="7" t="str">
        <f t="shared" si="36"/>
        <v>(15) = 14h30min</v>
      </c>
      <c r="G279" s="66">
        <f t="shared" si="35"/>
        <v>3.4482758620689655E-2</v>
      </c>
      <c r="H279" s="88">
        <v>11</v>
      </c>
      <c r="I279" s="88">
        <v>14</v>
      </c>
    </row>
    <row r="280" spans="1:9" x14ac:dyDescent="0.25">
      <c r="A280" s="10" t="s">
        <v>445</v>
      </c>
      <c r="B280" s="106" t="s">
        <v>516</v>
      </c>
      <c r="C280" s="96">
        <v>0.5</v>
      </c>
      <c r="D280" s="35">
        <v>3.12</v>
      </c>
      <c r="E280" s="49">
        <v>16323.8</v>
      </c>
      <c r="F280" s="7" t="str">
        <f t="shared" si="36"/>
        <v>(19) = 18h48min</v>
      </c>
      <c r="G280" s="66">
        <f t="shared" si="35"/>
        <v>2.6595744680852094E-2</v>
      </c>
      <c r="H280" s="88">
        <v>11</v>
      </c>
      <c r="I280" s="88">
        <v>14</v>
      </c>
    </row>
    <row r="281" spans="1:9" x14ac:dyDescent="0.25">
      <c r="A281" s="10" t="s">
        <v>445</v>
      </c>
      <c r="B281" s="106" t="s">
        <v>517</v>
      </c>
      <c r="C281" s="96">
        <v>41</v>
      </c>
      <c r="D281" s="35">
        <v>256.25</v>
      </c>
      <c r="E281" s="49">
        <v>16345</v>
      </c>
      <c r="F281" s="7" t="str">
        <f t="shared" si="36"/>
        <v>(21) = 21h12min</v>
      </c>
      <c r="G281" s="66">
        <f t="shared" si="35"/>
        <v>1.9339622641508771</v>
      </c>
      <c r="H281" s="88">
        <v>11</v>
      </c>
      <c r="I281" s="88">
        <v>14</v>
      </c>
    </row>
    <row r="282" spans="1:9" x14ac:dyDescent="0.25">
      <c r="A282" s="10" t="s">
        <v>445</v>
      </c>
      <c r="B282" s="106" t="s">
        <v>338</v>
      </c>
      <c r="C282" s="96">
        <v>274</v>
      </c>
      <c r="D282" s="35">
        <v>1712.5</v>
      </c>
      <c r="E282" s="49">
        <v>16346</v>
      </c>
      <c r="F282" s="7" t="str">
        <f t="shared" si="36"/>
        <v>(01) = 1h</v>
      </c>
      <c r="G282" s="66">
        <f t="shared" si="35"/>
        <v>274</v>
      </c>
      <c r="H282" s="88">
        <v>11</v>
      </c>
      <c r="I282" s="88">
        <v>14</v>
      </c>
    </row>
    <row r="283" spans="1:9" x14ac:dyDescent="0.25">
      <c r="A283" s="10" t="s">
        <v>445</v>
      </c>
      <c r="B283" s="106" t="s">
        <v>518</v>
      </c>
      <c r="C283" s="96">
        <v>277</v>
      </c>
      <c r="D283" s="35">
        <v>1725.71</v>
      </c>
      <c r="E283" s="49">
        <v>16377</v>
      </c>
      <c r="F283" s="7" t="str">
        <f t="shared" si="36"/>
        <v>(31) = 31h</v>
      </c>
      <c r="G283" s="66">
        <f t="shared" si="35"/>
        <v>8.935483870967742</v>
      </c>
      <c r="H283" s="88">
        <v>11</v>
      </c>
      <c r="I283" s="88">
        <v>14</v>
      </c>
    </row>
    <row r="284" spans="1:9" x14ac:dyDescent="0.25">
      <c r="A284" s="10" t="s">
        <v>445</v>
      </c>
      <c r="B284" s="106" t="s">
        <v>92</v>
      </c>
      <c r="C284" s="96">
        <v>245.5</v>
      </c>
      <c r="D284" s="35">
        <v>1529.46</v>
      </c>
      <c r="E284" s="49">
        <v>16392.2</v>
      </c>
      <c r="F284" s="7" t="str">
        <f t="shared" si="36"/>
        <v>(15) = 15h12min</v>
      </c>
      <c r="G284" s="66">
        <f t="shared" si="35"/>
        <v>16.15131578947291</v>
      </c>
      <c r="H284" s="88">
        <v>11</v>
      </c>
      <c r="I284" s="88">
        <v>14</v>
      </c>
    </row>
    <row r="285" spans="1:9" x14ac:dyDescent="0.25">
      <c r="A285" s="10" t="s">
        <v>445</v>
      </c>
      <c r="B285" s="106" t="s">
        <v>519</v>
      </c>
      <c r="C285" s="96">
        <v>277.5</v>
      </c>
      <c r="D285" s="35">
        <v>1551.22</v>
      </c>
      <c r="E285" s="49">
        <v>16408.8</v>
      </c>
      <c r="F285" s="7" t="str">
        <f t="shared" si="36"/>
        <v>(17) = 16h36min</v>
      </c>
      <c r="G285" s="66">
        <f t="shared" si="35"/>
        <v>16.716867469880984</v>
      </c>
      <c r="H285" s="88">
        <v>11</v>
      </c>
      <c r="I285" s="88">
        <v>14</v>
      </c>
    </row>
    <row r="286" spans="1:9" x14ac:dyDescent="0.25">
      <c r="A286" s="10" t="s">
        <v>445</v>
      </c>
      <c r="B286" s="106" t="s">
        <v>19</v>
      </c>
      <c r="C286" s="96">
        <v>235.5</v>
      </c>
      <c r="D286" s="35">
        <v>1316.44</v>
      </c>
      <c r="E286" s="49">
        <v>16419.400000000001</v>
      </c>
      <c r="F286" s="7" t="str">
        <f t="shared" si="36"/>
        <v>(11) = 10h36min</v>
      </c>
      <c r="G286" s="66">
        <f t="shared" si="35"/>
        <v>22.216981132070895</v>
      </c>
      <c r="H286" s="88">
        <v>11</v>
      </c>
      <c r="I286" s="88">
        <v>14</v>
      </c>
    </row>
    <row r="287" spans="1:9" x14ac:dyDescent="0.25">
      <c r="A287" s="10" t="s">
        <v>445</v>
      </c>
      <c r="B287" s="106" t="s">
        <v>21</v>
      </c>
      <c r="C287" s="96">
        <v>255</v>
      </c>
      <c r="D287" s="35">
        <v>1425.45</v>
      </c>
      <c r="E287" s="49">
        <v>16432.8</v>
      </c>
      <c r="F287" s="7" t="str">
        <f t="shared" si="36"/>
        <v>(13) = 13h24min</v>
      </c>
      <c r="G287" s="66">
        <f t="shared" si="35"/>
        <v>19.029850746271755</v>
      </c>
      <c r="H287" s="88">
        <v>11</v>
      </c>
      <c r="I287" s="88">
        <v>14</v>
      </c>
    </row>
    <row r="288" spans="1:9" x14ac:dyDescent="0.25">
      <c r="A288" s="10"/>
      <c r="B288" s="106"/>
      <c r="C288" s="84"/>
      <c r="E288" s="49"/>
      <c r="F288" s="112" t="s">
        <v>22</v>
      </c>
      <c r="G288" s="63">
        <f>AVERAGE(G238:G287)</f>
        <v>22.13628873751717</v>
      </c>
      <c r="H288" s="80"/>
      <c r="I288" s="80"/>
    </row>
    <row r="289" spans="1:9" x14ac:dyDescent="0.25">
      <c r="A289" s="18" t="s">
        <v>520</v>
      </c>
      <c r="B289" s="105" t="s">
        <v>521</v>
      </c>
      <c r="C289" s="87" t="s">
        <v>522</v>
      </c>
      <c r="D289" s="40" t="s">
        <v>523</v>
      </c>
      <c r="E289" s="57" t="s">
        <v>524</v>
      </c>
      <c r="F289" s="20" t="s">
        <v>525</v>
      </c>
      <c r="G289" s="71">
        <v>13.659000000000001</v>
      </c>
      <c r="H289" s="89">
        <v>14</v>
      </c>
      <c r="I289" s="89">
        <v>11</v>
      </c>
    </row>
    <row r="290" spans="1:9" x14ac:dyDescent="0.25">
      <c r="A290" s="18" t="s">
        <v>520</v>
      </c>
      <c r="B290" s="105" t="s">
        <v>526</v>
      </c>
      <c r="C290" s="87" t="s">
        <v>168</v>
      </c>
      <c r="D290" s="40" t="s">
        <v>527</v>
      </c>
      <c r="E290" s="57" t="s">
        <v>528</v>
      </c>
      <c r="F290" s="21" t="str">
        <f t="shared" ref="F290:F319" si="37">IF(E290="", "", "(" &amp; TEXT(E290-E289, "0.0") &amp; ") = " &amp; IF(INT(E290-E289)&gt;0, INT(E290-E289) &amp; "h", "") &amp; IF(ROUND((E290-E289-INT(E290-E289))*60, 0)&gt;0, ROUND((E290-E289-INT(E290-E289))*60, 0) &amp; "min", ""))</f>
        <v>(20) = 20h</v>
      </c>
      <c r="G290" s="72">
        <f t="shared" ref="G290:G319" si="38">IF((E290-E289)&gt;0, C290/(E290-E289), "")</f>
        <v>14.175000000000001</v>
      </c>
      <c r="H290" s="89">
        <v>14</v>
      </c>
      <c r="I290" s="89">
        <v>11</v>
      </c>
    </row>
    <row r="291" spans="1:9" x14ac:dyDescent="0.25">
      <c r="A291" s="18" t="s">
        <v>520</v>
      </c>
      <c r="B291" s="105" t="s">
        <v>346</v>
      </c>
      <c r="C291" s="87" t="s">
        <v>422</v>
      </c>
      <c r="D291" s="40" t="s">
        <v>529</v>
      </c>
      <c r="E291" s="57" t="s">
        <v>530</v>
      </c>
      <c r="F291" s="21" t="str">
        <f t="shared" si="37"/>
        <v>(20) = 20h12min</v>
      </c>
      <c r="G291" s="72">
        <f t="shared" si="38"/>
        <v>14.554455445544031</v>
      </c>
      <c r="H291" s="89">
        <v>14</v>
      </c>
      <c r="I291" s="89">
        <v>11</v>
      </c>
    </row>
    <row r="292" spans="1:9" x14ac:dyDescent="0.25">
      <c r="A292" s="18" t="s">
        <v>520</v>
      </c>
      <c r="B292" s="105" t="s">
        <v>531</v>
      </c>
      <c r="C292" s="87" t="s">
        <v>532</v>
      </c>
      <c r="D292" s="40" t="s">
        <v>533</v>
      </c>
      <c r="E292" s="57" t="s">
        <v>534</v>
      </c>
      <c r="F292" s="21" t="str">
        <f t="shared" si="37"/>
        <v>(18) = 17h54min</v>
      </c>
      <c r="G292" s="71">
        <f t="shared" si="38"/>
        <v>13.547486033519828</v>
      </c>
      <c r="H292" s="89">
        <v>14</v>
      </c>
      <c r="I292" s="89">
        <v>11</v>
      </c>
    </row>
    <row r="293" spans="1:9" x14ac:dyDescent="0.25">
      <c r="A293" s="18" t="s">
        <v>520</v>
      </c>
      <c r="B293" s="105" t="s">
        <v>535</v>
      </c>
      <c r="C293" s="87" t="s">
        <v>536</v>
      </c>
      <c r="D293" s="40" t="s">
        <v>537</v>
      </c>
      <c r="E293" s="57" t="s">
        <v>538</v>
      </c>
      <c r="F293" s="21" t="str">
        <f t="shared" si="37"/>
        <v>(18) = 18h18min</v>
      </c>
      <c r="G293" s="72">
        <f t="shared" si="38"/>
        <v>14.78142076502791</v>
      </c>
      <c r="H293" s="89">
        <v>14</v>
      </c>
      <c r="I293" s="89">
        <v>11</v>
      </c>
    </row>
    <row r="294" spans="1:9" x14ac:dyDescent="0.25">
      <c r="A294" s="18" t="s">
        <v>520</v>
      </c>
      <c r="B294" s="105" t="s">
        <v>539</v>
      </c>
      <c r="C294" s="87" t="s">
        <v>540</v>
      </c>
      <c r="D294" s="40" t="s">
        <v>541</v>
      </c>
      <c r="E294" s="57" t="s">
        <v>542</v>
      </c>
      <c r="F294" s="21" t="str">
        <f t="shared" si="37"/>
        <v>(19) = 19h12min</v>
      </c>
      <c r="G294" s="72">
        <f t="shared" si="38"/>
        <v>14.869791666666103</v>
      </c>
      <c r="H294" s="89">
        <v>14</v>
      </c>
      <c r="I294" s="89">
        <v>11</v>
      </c>
    </row>
    <row r="295" spans="1:9" x14ac:dyDescent="0.25">
      <c r="A295" s="18" t="s">
        <v>520</v>
      </c>
      <c r="B295" s="105" t="s">
        <v>543</v>
      </c>
      <c r="C295" s="87" t="s">
        <v>544</v>
      </c>
      <c r="D295" s="40" t="s">
        <v>545</v>
      </c>
      <c r="E295" s="57" t="s">
        <v>546</v>
      </c>
      <c r="F295" s="21" t="str">
        <f t="shared" si="37"/>
        <v>(21) = 20h48min</v>
      </c>
      <c r="G295" s="72">
        <f t="shared" si="38"/>
        <v>14.519230769231276</v>
      </c>
      <c r="H295" s="89">
        <v>14</v>
      </c>
      <c r="I295" s="89">
        <v>11</v>
      </c>
    </row>
    <row r="296" spans="1:9" x14ac:dyDescent="0.25">
      <c r="A296" s="18" t="s">
        <v>520</v>
      </c>
      <c r="B296" s="105" t="s">
        <v>24</v>
      </c>
      <c r="C296" s="87" t="s">
        <v>547</v>
      </c>
      <c r="D296" s="40" t="s">
        <v>548</v>
      </c>
      <c r="E296" s="58" t="s">
        <v>549</v>
      </c>
      <c r="F296" s="21" t="str">
        <f t="shared" si="37"/>
        <v>(26) = 25h36min</v>
      </c>
      <c r="G296" s="71">
        <f t="shared" si="38"/>
        <v>3.2617187499999538</v>
      </c>
      <c r="H296" s="89">
        <v>14</v>
      </c>
      <c r="I296" s="89">
        <v>11</v>
      </c>
    </row>
    <row r="297" spans="1:9" x14ac:dyDescent="0.25">
      <c r="A297" s="18" t="s">
        <v>520</v>
      </c>
      <c r="B297" s="105" t="s">
        <v>122</v>
      </c>
      <c r="C297" s="87" t="s">
        <v>493</v>
      </c>
      <c r="D297" s="40" t="s">
        <v>550</v>
      </c>
      <c r="E297" s="58" t="s">
        <v>549</v>
      </c>
      <c r="F297" s="21" t="str">
        <f t="shared" si="37"/>
        <v xml:space="preserve">(00) = </v>
      </c>
      <c r="G297" s="71" t="str">
        <f t="shared" si="38"/>
        <v/>
      </c>
      <c r="H297" s="89">
        <v>14</v>
      </c>
      <c r="I297" s="89">
        <v>11</v>
      </c>
    </row>
    <row r="298" spans="1:9" x14ac:dyDescent="0.25">
      <c r="A298" s="18" t="s">
        <v>520</v>
      </c>
      <c r="B298" s="105" t="s">
        <v>450</v>
      </c>
      <c r="C298" s="87" t="s">
        <v>551</v>
      </c>
      <c r="D298" s="40" t="s">
        <v>552</v>
      </c>
      <c r="E298" s="57" t="s">
        <v>553</v>
      </c>
      <c r="F298" s="21" t="str">
        <f t="shared" si="37"/>
        <v>(20) = 20h</v>
      </c>
      <c r="G298" s="72">
        <f t="shared" si="38"/>
        <v>15.425000000000001</v>
      </c>
      <c r="H298" s="89">
        <v>14</v>
      </c>
      <c r="I298" s="89">
        <v>11</v>
      </c>
    </row>
    <row r="299" spans="1:9" x14ac:dyDescent="0.25">
      <c r="A299" s="18" t="s">
        <v>520</v>
      </c>
      <c r="B299" s="105" t="s">
        <v>48</v>
      </c>
      <c r="C299" s="87" t="s">
        <v>143</v>
      </c>
      <c r="D299" s="40" t="s">
        <v>554</v>
      </c>
      <c r="E299" s="57" t="s">
        <v>555</v>
      </c>
      <c r="F299" s="21" t="str">
        <f t="shared" si="37"/>
        <v>(17) = 17h</v>
      </c>
      <c r="G299" s="72">
        <f t="shared" si="38"/>
        <v>15.382352941176471</v>
      </c>
      <c r="H299" s="89">
        <v>14</v>
      </c>
      <c r="I299" s="89">
        <v>11</v>
      </c>
    </row>
    <row r="300" spans="1:9" x14ac:dyDescent="0.25">
      <c r="A300" s="18" t="s">
        <v>520</v>
      </c>
      <c r="B300" s="105" t="s">
        <v>52</v>
      </c>
      <c r="C300" s="87" t="s">
        <v>556</v>
      </c>
      <c r="D300" s="40" t="s">
        <v>557</v>
      </c>
      <c r="E300" s="57" t="s">
        <v>558</v>
      </c>
      <c r="F300" s="21" t="str">
        <f t="shared" si="37"/>
        <v>(20) = 20h6min</v>
      </c>
      <c r="G300" s="72">
        <f t="shared" si="38"/>
        <v>15.373134328357931</v>
      </c>
      <c r="H300" s="89">
        <v>14</v>
      </c>
      <c r="I300" s="89">
        <v>11</v>
      </c>
    </row>
    <row r="301" spans="1:9" x14ac:dyDescent="0.25">
      <c r="A301" s="18" t="s">
        <v>520</v>
      </c>
      <c r="B301" s="105" t="s">
        <v>153</v>
      </c>
      <c r="C301" s="87" t="s">
        <v>559</v>
      </c>
      <c r="D301" s="40" t="s">
        <v>560</v>
      </c>
      <c r="E301" s="57" t="s">
        <v>561</v>
      </c>
      <c r="F301" s="21" t="str">
        <f t="shared" si="37"/>
        <v>(19) = 19h</v>
      </c>
      <c r="G301" s="71">
        <f t="shared" si="38"/>
        <v>13.289473684210526</v>
      </c>
      <c r="H301" s="89">
        <v>14</v>
      </c>
      <c r="I301" s="89">
        <v>11</v>
      </c>
    </row>
    <row r="302" spans="1:9" x14ac:dyDescent="0.25">
      <c r="A302" s="18" t="s">
        <v>520</v>
      </c>
      <c r="B302" s="105" t="s">
        <v>56</v>
      </c>
      <c r="C302" s="87" t="s">
        <v>562</v>
      </c>
      <c r="D302" s="40" t="s">
        <v>563</v>
      </c>
      <c r="E302" s="57" t="s">
        <v>564</v>
      </c>
      <c r="F302" s="21" t="str">
        <f t="shared" si="37"/>
        <v>(18) = 17h54min</v>
      </c>
      <c r="G302" s="72">
        <f t="shared" si="38"/>
        <v>14.329608938547777</v>
      </c>
      <c r="H302" s="89">
        <v>14</v>
      </c>
      <c r="I302" s="89">
        <v>11</v>
      </c>
    </row>
    <row r="303" spans="1:9" x14ac:dyDescent="0.25">
      <c r="A303" s="18" t="s">
        <v>520</v>
      </c>
      <c r="B303" s="105" t="s">
        <v>102</v>
      </c>
      <c r="C303" s="87" t="s">
        <v>536</v>
      </c>
      <c r="D303" s="40" t="s">
        <v>565</v>
      </c>
      <c r="E303" s="57" t="s">
        <v>566</v>
      </c>
      <c r="F303" s="21" t="str">
        <f t="shared" si="37"/>
        <v>(19) = 19h</v>
      </c>
      <c r="G303" s="72">
        <f t="shared" si="38"/>
        <v>14.236842105263158</v>
      </c>
      <c r="H303" s="89">
        <v>14</v>
      </c>
      <c r="I303" s="89">
        <v>11</v>
      </c>
    </row>
    <row r="304" spans="1:9" x14ac:dyDescent="0.25">
      <c r="A304" s="18" t="s">
        <v>520</v>
      </c>
      <c r="B304" s="105" t="s">
        <v>164</v>
      </c>
      <c r="C304" s="87" t="s">
        <v>567</v>
      </c>
      <c r="D304" s="40" t="s">
        <v>568</v>
      </c>
      <c r="E304" s="57" t="s">
        <v>569</v>
      </c>
      <c r="F304" s="21" t="str">
        <f t="shared" si="37"/>
        <v>(17) = 17h</v>
      </c>
      <c r="G304" s="72">
        <f t="shared" si="38"/>
        <v>14.882352941176471</v>
      </c>
      <c r="H304" s="89">
        <v>14</v>
      </c>
      <c r="I304" s="89">
        <v>11</v>
      </c>
    </row>
    <row r="305" spans="1:9" x14ac:dyDescent="0.25">
      <c r="A305" s="18" t="s">
        <v>520</v>
      </c>
      <c r="B305" s="105" t="s">
        <v>570</v>
      </c>
      <c r="C305" s="87" t="s">
        <v>143</v>
      </c>
      <c r="D305" s="40" t="s">
        <v>571</v>
      </c>
      <c r="E305" s="57">
        <v>11781</v>
      </c>
      <c r="F305" s="21" t="str">
        <f t="shared" si="37"/>
        <v>(17) = 17h</v>
      </c>
      <c r="G305" s="72">
        <f t="shared" si="38"/>
        <v>15.382352941176471</v>
      </c>
      <c r="H305" s="89">
        <v>14</v>
      </c>
      <c r="I305" s="89">
        <v>11</v>
      </c>
    </row>
    <row r="306" spans="1:9" x14ac:dyDescent="0.25">
      <c r="A306" s="18" t="s">
        <v>520</v>
      </c>
      <c r="B306" s="105" t="s">
        <v>572</v>
      </c>
      <c r="C306" s="87" t="s">
        <v>399</v>
      </c>
      <c r="D306" s="40" t="s">
        <v>573</v>
      </c>
      <c r="E306" s="57">
        <v>11802</v>
      </c>
      <c r="F306" s="21" t="str">
        <f t="shared" si="37"/>
        <v>(21) = 21h</v>
      </c>
      <c r="G306" s="72">
        <f t="shared" si="38"/>
        <v>14.071428571428571</v>
      </c>
      <c r="H306" s="89">
        <v>14</v>
      </c>
      <c r="I306" s="89">
        <v>11</v>
      </c>
    </row>
    <row r="307" spans="1:9" x14ac:dyDescent="0.25">
      <c r="A307" s="18" t="s">
        <v>520</v>
      </c>
      <c r="B307" s="105" t="s">
        <v>128</v>
      </c>
      <c r="C307" s="87" t="s">
        <v>384</v>
      </c>
      <c r="D307" s="40" t="s">
        <v>574</v>
      </c>
      <c r="E307" s="57">
        <v>11823</v>
      </c>
      <c r="F307" s="21" t="str">
        <f t="shared" si="37"/>
        <v>(21) = 21h</v>
      </c>
      <c r="G307" s="71">
        <f t="shared" si="38"/>
        <v>13.857142857142858</v>
      </c>
      <c r="H307" s="89">
        <v>14</v>
      </c>
      <c r="I307" s="89">
        <v>11</v>
      </c>
    </row>
    <row r="308" spans="1:9" x14ac:dyDescent="0.25">
      <c r="A308" s="18" t="s">
        <v>520</v>
      </c>
      <c r="B308" s="105" t="s">
        <v>575</v>
      </c>
      <c r="C308" s="87" t="s">
        <v>576</v>
      </c>
      <c r="D308" s="40" t="s">
        <v>577</v>
      </c>
      <c r="E308" s="57">
        <v>11844</v>
      </c>
      <c r="F308" s="21" t="str">
        <f t="shared" si="37"/>
        <v>(21) = 21h</v>
      </c>
      <c r="G308" s="71">
        <f t="shared" si="38"/>
        <v>13.047619047619047</v>
      </c>
      <c r="H308" s="89">
        <v>14</v>
      </c>
      <c r="I308" s="89">
        <v>11</v>
      </c>
    </row>
    <row r="309" spans="1:9" x14ac:dyDescent="0.25">
      <c r="A309" s="18" t="s">
        <v>520</v>
      </c>
      <c r="B309" s="105" t="s">
        <v>64</v>
      </c>
      <c r="C309" s="87" t="s">
        <v>350</v>
      </c>
      <c r="D309" s="40" t="s">
        <v>578</v>
      </c>
      <c r="E309" s="57">
        <v>11864</v>
      </c>
      <c r="F309" s="21" t="str">
        <f t="shared" si="37"/>
        <v>(20) = 20h</v>
      </c>
      <c r="G309" s="71">
        <f t="shared" si="38"/>
        <v>13.125</v>
      </c>
      <c r="H309" s="89">
        <v>14</v>
      </c>
      <c r="I309" s="89">
        <v>11</v>
      </c>
    </row>
    <row r="310" spans="1:9" x14ac:dyDescent="0.25">
      <c r="A310" s="18" t="s">
        <v>520</v>
      </c>
      <c r="B310" s="105" t="s">
        <v>234</v>
      </c>
      <c r="C310" s="87" t="s">
        <v>579</v>
      </c>
      <c r="D310" s="40" t="s">
        <v>580</v>
      </c>
      <c r="E310" s="57">
        <v>11882</v>
      </c>
      <c r="F310" s="21" t="str">
        <f t="shared" si="37"/>
        <v>(18) = 18h</v>
      </c>
      <c r="G310" s="71">
        <f t="shared" si="38"/>
        <v>13.861111111111111</v>
      </c>
      <c r="H310" s="89">
        <v>14</v>
      </c>
      <c r="I310" s="89">
        <v>11</v>
      </c>
    </row>
    <row r="311" spans="1:9" x14ac:dyDescent="0.25">
      <c r="A311" s="18" t="s">
        <v>520</v>
      </c>
      <c r="B311" s="105" t="s">
        <v>581</v>
      </c>
      <c r="C311" s="87" t="s">
        <v>271</v>
      </c>
      <c r="D311" s="40" t="s">
        <v>582</v>
      </c>
      <c r="E311" s="57">
        <v>11907</v>
      </c>
      <c r="F311" s="21" t="str">
        <f t="shared" si="37"/>
        <v>(25) = 25h</v>
      </c>
      <c r="G311" s="71">
        <f t="shared" si="38"/>
        <v>13.1</v>
      </c>
      <c r="H311" s="89">
        <v>14</v>
      </c>
      <c r="I311" s="89">
        <v>11</v>
      </c>
    </row>
    <row r="312" spans="1:9" x14ac:dyDescent="0.25">
      <c r="A312" s="18" t="s">
        <v>520</v>
      </c>
      <c r="B312" s="105" t="s">
        <v>239</v>
      </c>
      <c r="C312" s="87" t="s">
        <v>100</v>
      </c>
      <c r="D312" s="40" t="s">
        <v>583</v>
      </c>
      <c r="E312" s="57">
        <v>11922</v>
      </c>
      <c r="F312" s="21" t="str">
        <f t="shared" si="37"/>
        <v>(15) = 15h</v>
      </c>
      <c r="G312" s="71">
        <f t="shared" si="38"/>
        <v>13.166666666666666</v>
      </c>
      <c r="H312" s="89">
        <v>14</v>
      </c>
      <c r="I312" s="89">
        <v>11</v>
      </c>
    </row>
    <row r="313" spans="1:9" x14ac:dyDescent="0.25">
      <c r="A313" s="18" t="s">
        <v>520</v>
      </c>
      <c r="B313" s="105" t="s">
        <v>82</v>
      </c>
      <c r="C313" s="87" t="s">
        <v>42</v>
      </c>
      <c r="D313" s="40" t="s">
        <v>584</v>
      </c>
      <c r="E313" s="57">
        <v>11940</v>
      </c>
      <c r="F313" s="21" t="str">
        <f t="shared" si="37"/>
        <v>(18) = 18h</v>
      </c>
      <c r="G313" s="71">
        <f t="shared" si="38"/>
        <v>13.388888888888889</v>
      </c>
      <c r="H313" s="89">
        <v>14</v>
      </c>
      <c r="I313" s="89">
        <v>11</v>
      </c>
    </row>
    <row r="314" spans="1:9" x14ac:dyDescent="0.25">
      <c r="A314" s="18" t="s">
        <v>520</v>
      </c>
      <c r="B314" s="105" t="s">
        <v>512</v>
      </c>
      <c r="C314" s="87">
        <v>305.5</v>
      </c>
      <c r="D314" s="40">
        <v>2158.02</v>
      </c>
      <c r="E314" s="57">
        <v>11693</v>
      </c>
      <c r="F314" s="21" t="str">
        <f t="shared" si="37"/>
        <v xml:space="preserve">(-247) = </v>
      </c>
      <c r="G314" s="71" t="str">
        <f t="shared" si="38"/>
        <v/>
      </c>
      <c r="H314" s="89">
        <v>14</v>
      </c>
      <c r="I314" s="89">
        <v>11</v>
      </c>
    </row>
    <row r="315" spans="1:9" x14ac:dyDescent="0.25">
      <c r="A315" s="18" t="s">
        <v>520</v>
      </c>
      <c r="B315" s="105" t="s">
        <v>197</v>
      </c>
      <c r="C315" s="87">
        <v>254</v>
      </c>
      <c r="D315" s="40">
        <v>1727.2</v>
      </c>
      <c r="E315" s="57">
        <v>11982</v>
      </c>
      <c r="F315" s="21" t="str">
        <f t="shared" si="37"/>
        <v>(289) = 289h</v>
      </c>
      <c r="G315" s="71">
        <f t="shared" si="38"/>
        <v>0.87889273356401387</v>
      </c>
      <c r="H315" s="89">
        <v>14</v>
      </c>
      <c r="I315" s="89">
        <v>11</v>
      </c>
    </row>
    <row r="316" spans="1:9" x14ac:dyDescent="0.25">
      <c r="A316" s="18" t="s">
        <v>520</v>
      </c>
      <c r="B316" s="105" t="s">
        <v>89</v>
      </c>
      <c r="C316" s="87">
        <v>265</v>
      </c>
      <c r="D316" s="40">
        <v>1802</v>
      </c>
      <c r="E316" s="57">
        <v>12002</v>
      </c>
      <c r="F316" s="21" t="str">
        <f t="shared" si="37"/>
        <v>(20) = 20h</v>
      </c>
      <c r="G316" s="71">
        <f t="shared" si="38"/>
        <v>13.25</v>
      </c>
      <c r="H316" s="89">
        <v>14</v>
      </c>
      <c r="I316" s="89">
        <v>11</v>
      </c>
    </row>
    <row r="317" spans="1:9" x14ac:dyDescent="0.25">
      <c r="A317" s="18" t="s">
        <v>520</v>
      </c>
      <c r="B317" s="105" t="s">
        <v>254</v>
      </c>
      <c r="C317" s="87">
        <v>247</v>
      </c>
      <c r="D317" s="40">
        <v>1561.04</v>
      </c>
      <c r="E317" s="57">
        <v>12098</v>
      </c>
      <c r="F317" s="22" t="str">
        <f t="shared" si="37"/>
        <v>(96) = 96h</v>
      </c>
      <c r="G317" s="71">
        <f t="shared" si="38"/>
        <v>2.5729166666666665</v>
      </c>
      <c r="H317" s="90">
        <v>14</v>
      </c>
      <c r="I317" s="90">
        <v>11</v>
      </c>
    </row>
    <row r="318" spans="1:9" x14ac:dyDescent="0.25">
      <c r="A318" s="18" t="s">
        <v>520</v>
      </c>
      <c r="B318" s="105" t="s">
        <v>337</v>
      </c>
      <c r="C318" s="87">
        <v>245.5</v>
      </c>
      <c r="D318" s="40">
        <v>1551.56</v>
      </c>
      <c r="E318" s="57">
        <v>12115</v>
      </c>
      <c r="F318" s="22" t="str">
        <f t="shared" si="37"/>
        <v>(17) = 17h</v>
      </c>
      <c r="G318" s="71">
        <f t="shared" si="38"/>
        <v>14.441176470588236</v>
      </c>
      <c r="H318" s="90">
        <v>14</v>
      </c>
      <c r="I318" s="90">
        <v>11</v>
      </c>
    </row>
    <row r="319" spans="1:9" x14ac:dyDescent="0.25">
      <c r="A319" s="18" t="s">
        <v>520</v>
      </c>
      <c r="B319" s="105" t="s">
        <v>585</v>
      </c>
      <c r="C319" s="87">
        <v>51</v>
      </c>
      <c r="D319" s="40">
        <v>308.04000000000002</v>
      </c>
      <c r="E319" s="57">
        <v>12117.6</v>
      </c>
      <c r="F319" s="22" t="str">
        <f t="shared" si="37"/>
        <v>(03) = 2h36min</v>
      </c>
      <c r="G319" s="71">
        <f t="shared" si="38"/>
        <v>19.615384615381871</v>
      </c>
      <c r="H319" s="90">
        <v>14</v>
      </c>
      <c r="I319" s="90">
        <v>11</v>
      </c>
    </row>
    <row r="320" spans="1:9" x14ac:dyDescent="0.25">
      <c r="A320" s="19"/>
      <c r="B320" s="106"/>
      <c r="C320" s="96"/>
      <c r="D320" s="42"/>
      <c r="E320" s="56"/>
      <c r="F320" s="112" t="s">
        <v>22</v>
      </c>
      <c r="G320" s="63">
        <f>AVERAGE(G289:G319)</f>
        <v>13.105015480653648</v>
      </c>
      <c r="H320" s="80"/>
      <c r="I320" s="80"/>
    </row>
    <row r="321" spans="1:9" x14ac:dyDescent="0.25">
      <c r="A321" s="10" t="s">
        <v>586</v>
      </c>
      <c r="B321" s="106" t="s">
        <v>358</v>
      </c>
      <c r="C321" s="84" t="s">
        <v>587</v>
      </c>
      <c r="D321" s="35" t="s">
        <v>588</v>
      </c>
      <c r="E321" s="49">
        <v>4727</v>
      </c>
      <c r="F321" t="s">
        <v>589</v>
      </c>
      <c r="G321" s="66">
        <v>11.769</v>
      </c>
      <c r="H321" s="80">
        <v>14</v>
      </c>
      <c r="I321" s="80">
        <v>11</v>
      </c>
    </row>
    <row r="322" spans="1:9" x14ac:dyDescent="0.25">
      <c r="A322" s="10" t="s">
        <v>586</v>
      </c>
      <c r="B322" s="106" t="s">
        <v>48</v>
      </c>
      <c r="C322" s="84" t="s">
        <v>235</v>
      </c>
      <c r="D322" s="35" t="s">
        <v>590</v>
      </c>
      <c r="E322" s="49">
        <v>4753.3</v>
      </c>
      <c r="F322" t="str">
        <f>IF(E322="", "", "(" &amp; TEXT(E322-E321, "0.0") &amp; ") = " &amp; IF(INT(E322-E321)&gt;0, INT(E322-E321) &amp; "h", "") &amp; IF(ROUND((E322-E321-INT(E322-E321))*60, 0)&gt;0, ROUND((E322-E321-INT(E322-E321))*60, 0) &amp; "min", ""))</f>
        <v>(26) = 26h18min</v>
      </c>
      <c r="G322" s="66">
        <f>IF((E322-E321)&gt;0, C322/(E322-E321), "")</f>
        <v>11.520912547528438</v>
      </c>
      <c r="H322" s="80">
        <v>14</v>
      </c>
      <c r="I322" s="80">
        <v>11</v>
      </c>
    </row>
    <row r="323" spans="1:9" x14ac:dyDescent="0.25">
      <c r="A323" s="10" t="s">
        <v>586</v>
      </c>
      <c r="B323" s="106" t="s">
        <v>277</v>
      </c>
      <c r="C323" s="84" t="s">
        <v>591</v>
      </c>
      <c r="D323" s="35" t="s">
        <v>592</v>
      </c>
      <c r="E323" s="49">
        <v>4777</v>
      </c>
      <c r="F323" t="str">
        <f>IF(E323="", "", "(" &amp; TEXT(E323-E322, "0.0") &amp; ") = " &amp; IF(INT(E323-E322)&gt;0, INT(E323-E322) &amp; "h", "") &amp; IF(ROUND((E323-E322-INT(E323-E322))*60, 0)&gt;0, ROUND((E323-E322-INT(E323-E322))*60, 0) &amp; "min", ""))</f>
        <v>(24) = 23h42min</v>
      </c>
      <c r="G323" s="66">
        <f>IF((E323-E322)&gt;0, C323/(E323-E322), "")</f>
        <v>11.856540084388277</v>
      </c>
      <c r="H323" s="80">
        <v>14</v>
      </c>
      <c r="I323" s="80">
        <v>11</v>
      </c>
    </row>
    <row r="324" spans="1:9" x14ac:dyDescent="0.25">
      <c r="A324" s="10" t="s">
        <v>586</v>
      </c>
      <c r="B324" s="106" t="s">
        <v>284</v>
      </c>
      <c r="C324" s="84" t="s">
        <v>381</v>
      </c>
      <c r="D324" s="35" t="s">
        <v>593</v>
      </c>
      <c r="E324" s="49">
        <v>4801</v>
      </c>
      <c r="F324" t="str">
        <f t="shared" ref="F324:F337" si="39">IF(E324="", "", "(" &amp; TEXT(E324-E323, "0.0") &amp; ") = " &amp; IF(INT(E324-E323)&gt;0, INT(E324-E323) &amp; "h", "") &amp; IF(ROUND((E324-E323-INT(E324-E323))*60, 0)&gt;0, ROUND((E324-E323-INT(E324-E323))*60, 0) &amp; "min", ""))</f>
        <v>(24) = 24h</v>
      </c>
      <c r="G324" s="66">
        <f>IF((E324-E323)&gt;0, C324/(E324-E323), "")</f>
        <v>12.166666666666666</v>
      </c>
      <c r="H324" s="80">
        <v>14</v>
      </c>
      <c r="I324" s="80">
        <v>11</v>
      </c>
    </row>
    <row r="325" spans="1:9" x14ac:dyDescent="0.25">
      <c r="A325" s="10" t="s">
        <v>586</v>
      </c>
      <c r="B325" s="106" t="s">
        <v>473</v>
      </c>
      <c r="C325" s="84" t="s">
        <v>594</v>
      </c>
      <c r="D325" s="35" t="s">
        <v>595</v>
      </c>
      <c r="E325" s="49">
        <v>4825</v>
      </c>
      <c r="F325" t="str">
        <f t="shared" si="39"/>
        <v>(24) = 24h</v>
      </c>
      <c r="G325" s="66">
        <f>IF((E325-E324)&gt;0, C325/(E325-E324), "")</f>
        <v>10.5</v>
      </c>
      <c r="H325" s="80">
        <v>14</v>
      </c>
      <c r="I325" s="80">
        <v>11</v>
      </c>
    </row>
    <row r="326" spans="1:9" x14ac:dyDescent="0.25">
      <c r="A326" s="10" t="s">
        <v>586</v>
      </c>
      <c r="B326" s="106" t="s">
        <v>570</v>
      </c>
      <c r="C326" s="84" t="s">
        <v>278</v>
      </c>
      <c r="D326" s="35" t="s">
        <v>596</v>
      </c>
      <c r="E326" s="49">
        <v>4849</v>
      </c>
      <c r="F326" t="str">
        <f t="shared" si="39"/>
        <v>(24) = 24h</v>
      </c>
      <c r="G326" s="66">
        <f>IF((E326-E325)&gt;0, C326/(E326-E325), "")</f>
        <v>12.104166666666666</v>
      </c>
      <c r="H326" s="80">
        <v>14</v>
      </c>
      <c r="I326" s="80">
        <v>11</v>
      </c>
    </row>
    <row r="327" spans="1:9" x14ac:dyDescent="0.25">
      <c r="A327" s="10" t="s">
        <v>586</v>
      </c>
      <c r="B327" s="106" t="s">
        <v>597</v>
      </c>
      <c r="C327" s="84" t="s">
        <v>598</v>
      </c>
      <c r="D327" s="35" t="s">
        <v>599</v>
      </c>
      <c r="E327" s="49">
        <v>4875</v>
      </c>
      <c r="F327" t="str">
        <f t="shared" si="39"/>
        <v>(26) = 26h</v>
      </c>
      <c r="G327" s="66">
        <f t="shared" ref="G327:G337" si="40">IF((E327-E326)&gt;0, C327/(E327-E326), "")</f>
        <v>11.384615384615385</v>
      </c>
      <c r="H327" s="80">
        <v>14</v>
      </c>
      <c r="I327" s="80">
        <v>11</v>
      </c>
    </row>
    <row r="328" spans="1:9" x14ac:dyDescent="0.25">
      <c r="A328" s="10" t="s">
        <v>586</v>
      </c>
      <c r="B328" s="106" t="s">
        <v>320</v>
      </c>
      <c r="C328" s="84" t="s">
        <v>600</v>
      </c>
      <c r="D328" s="35" t="s">
        <v>601</v>
      </c>
      <c r="E328" s="49">
        <v>4897</v>
      </c>
      <c r="F328" t="str">
        <f t="shared" si="39"/>
        <v>(22) = 22h</v>
      </c>
      <c r="G328" s="66">
        <f t="shared" si="40"/>
        <v>13.954545454545455</v>
      </c>
      <c r="H328" s="80">
        <v>14</v>
      </c>
      <c r="I328" s="80">
        <v>11</v>
      </c>
    </row>
    <row r="329" spans="1:9" x14ac:dyDescent="0.25">
      <c r="A329" s="10" t="s">
        <v>586</v>
      </c>
      <c r="B329" s="106" t="s">
        <v>178</v>
      </c>
      <c r="C329" s="84" t="s">
        <v>437</v>
      </c>
      <c r="D329" s="35" t="s">
        <v>602</v>
      </c>
      <c r="E329" s="49">
        <v>4917</v>
      </c>
      <c r="F329" t="str">
        <f t="shared" si="39"/>
        <v>(20) = 20h</v>
      </c>
      <c r="G329" s="66">
        <f t="shared" si="40"/>
        <v>14.574999999999999</v>
      </c>
      <c r="H329" s="80">
        <v>14</v>
      </c>
      <c r="I329" s="80">
        <v>11</v>
      </c>
    </row>
    <row r="330" spans="1:9" x14ac:dyDescent="0.25">
      <c r="A330" s="10" t="s">
        <v>586</v>
      </c>
      <c r="B330" s="106" t="s">
        <v>76</v>
      </c>
      <c r="C330" s="84" t="s">
        <v>600</v>
      </c>
      <c r="D330" s="35" t="s">
        <v>601</v>
      </c>
      <c r="E330" s="49">
        <v>4940</v>
      </c>
      <c r="F330" t="str">
        <f t="shared" si="39"/>
        <v>(23) = 23h</v>
      </c>
      <c r="G330" s="66">
        <f t="shared" si="40"/>
        <v>13.347826086956522</v>
      </c>
      <c r="H330" s="80">
        <v>14</v>
      </c>
      <c r="I330" s="80">
        <v>11</v>
      </c>
    </row>
    <row r="331" spans="1:9" x14ac:dyDescent="0.25">
      <c r="A331" s="10" t="s">
        <v>586</v>
      </c>
      <c r="B331" s="106" t="s">
        <v>239</v>
      </c>
      <c r="C331" s="84" t="s">
        <v>309</v>
      </c>
      <c r="D331" s="35" t="s">
        <v>603</v>
      </c>
      <c r="E331" s="49">
        <v>4963</v>
      </c>
      <c r="F331" t="str">
        <f t="shared" si="39"/>
        <v>(23) = 23h</v>
      </c>
      <c r="G331" s="66">
        <f t="shared" si="40"/>
        <v>12.304347826086957</v>
      </c>
      <c r="H331" s="80">
        <v>14</v>
      </c>
      <c r="I331" s="80">
        <v>11</v>
      </c>
    </row>
    <row r="332" spans="1:9" x14ac:dyDescent="0.25">
      <c r="A332" s="10" t="s">
        <v>586</v>
      </c>
      <c r="B332" s="106" t="s">
        <v>394</v>
      </c>
      <c r="C332" s="84" t="s">
        <v>604</v>
      </c>
      <c r="D332" s="35" t="s">
        <v>605</v>
      </c>
      <c r="E332" s="49">
        <v>4985</v>
      </c>
      <c r="F332" t="str">
        <f t="shared" si="39"/>
        <v>(22) = 22h</v>
      </c>
      <c r="G332" s="66">
        <f t="shared" si="40"/>
        <v>12.795454545454545</v>
      </c>
      <c r="H332" s="80">
        <v>14</v>
      </c>
      <c r="I332" s="80">
        <v>11</v>
      </c>
    </row>
    <row r="333" spans="1:9" x14ac:dyDescent="0.25">
      <c r="A333" s="10" t="s">
        <v>586</v>
      </c>
      <c r="B333" s="106" t="s">
        <v>85</v>
      </c>
      <c r="C333" s="84" t="s">
        <v>437</v>
      </c>
      <c r="D333" s="35" t="s">
        <v>606</v>
      </c>
      <c r="E333" s="49">
        <v>5009</v>
      </c>
      <c r="F333" t="str">
        <f t="shared" si="39"/>
        <v>(24) = 24h</v>
      </c>
      <c r="G333" s="66">
        <f t="shared" si="40"/>
        <v>12.145833333333334</v>
      </c>
      <c r="H333" s="80">
        <v>14</v>
      </c>
      <c r="I333" s="80">
        <v>11</v>
      </c>
    </row>
    <row r="334" spans="1:9" x14ac:dyDescent="0.25">
      <c r="A334" s="10" t="s">
        <v>586</v>
      </c>
      <c r="B334" s="106" t="s">
        <v>196</v>
      </c>
      <c r="C334" s="84">
        <v>281.5</v>
      </c>
      <c r="D334" s="35">
        <v>2018.35</v>
      </c>
      <c r="E334" s="49">
        <v>5032</v>
      </c>
      <c r="F334" t="str">
        <f t="shared" si="39"/>
        <v>(23) = 23h</v>
      </c>
      <c r="G334" s="66">
        <f t="shared" si="40"/>
        <v>12.239130434782609</v>
      </c>
      <c r="H334" s="80">
        <v>14</v>
      </c>
      <c r="I334" s="80">
        <v>11</v>
      </c>
    </row>
    <row r="335" spans="1:9" x14ac:dyDescent="0.25">
      <c r="A335" s="10" t="s">
        <v>586</v>
      </c>
      <c r="B335" s="106" t="s">
        <v>254</v>
      </c>
      <c r="C335" s="96">
        <v>35.5</v>
      </c>
      <c r="D335" s="35">
        <v>246.72</v>
      </c>
      <c r="E335" s="49">
        <v>5104</v>
      </c>
      <c r="F335" t="str">
        <f t="shared" si="39"/>
        <v>(72) = 72h</v>
      </c>
      <c r="G335" s="66">
        <f t="shared" si="40"/>
        <v>0.49305555555555558</v>
      </c>
      <c r="H335" s="88">
        <v>14</v>
      </c>
      <c r="I335" s="88">
        <v>11</v>
      </c>
    </row>
    <row r="336" spans="1:9" x14ac:dyDescent="0.25">
      <c r="A336" s="10" t="s">
        <v>586</v>
      </c>
      <c r="B336" s="106" t="s">
        <v>254</v>
      </c>
      <c r="C336" s="96">
        <v>265.5</v>
      </c>
      <c r="D336" s="35">
        <v>1845.22</v>
      </c>
      <c r="E336" s="49">
        <v>5104</v>
      </c>
      <c r="F336" t="str">
        <f t="shared" si="39"/>
        <v xml:space="preserve">(00) = </v>
      </c>
      <c r="G336" s="66" t="str">
        <f t="shared" si="40"/>
        <v/>
      </c>
      <c r="H336" s="88">
        <v>14</v>
      </c>
      <c r="I336" s="88">
        <v>11</v>
      </c>
    </row>
    <row r="337" spans="1:9" x14ac:dyDescent="0.25">
      <c r="A337" s="10" t="s">
        <v>586</v>
      </c>
      <c r="B337" s="106" t="s">
        <v>118</v>
      </c>
      <c r="C337" s="96">
        <v>293</v>
      </c>
      <c r="D337" s="35">
        <v>1872.27</v>
      </c>
      <c r="E337" s="49">
        <v>5126</v>
      </c>
      <c r="F337" t="str">
        <f t="shared" si="39"/>
        <v>(22) = 22h</v>
      </c>
      <c r="G337" s="66">
        <f t="shared" si="40"/>
        <v>13.318181818181818</v>
      </c>
      <c r="H337" s="88">
        <v>14</v>
      </c>
      <c r="I337" s="88">
        <v>11</v>
      </c>
    </row>
    <row r="338" spans="1:9" x14ac:dyDescent="0.25">
      <c r="A338" s="10" t="s">
        <v>586</v>
      </c>
      <c r="B338" s="106" t="s">
        <v>338</v>
      </c>
      <c r="C338" s="96">
        <v>310.5</v>
      </c>
      <c r="D338" s="35">
        <v>1984.1</v>
      </c>
      <c r="E338" s="49">
        <v>5148.7</v>
      </c>
      <c r="F338" t="str">
        <f>IF(E338="", "", "(" &amp; TEXT(E338-E337, "0.0") &amp; ") = " &amp; IF(INT(E338-E337)&gt;0, INT(E338-E337) &amp; "h", "") &amp; IF(ROUND((E338-E337-INT(E338-E337))*60, 0)&gt;0, ROUND((E338-E337-INT(E338-E337))*60, 0) &amp; "min", ""))</f>
        <v>(23) = 22h42min</v>
      </c>
      <c r="G338" s="66">
        <f>IF((E338-E337)&gt;0, C338/(E338-E337), "")</f>
        <v>13.678414096916409</v>
      </c>
      <c r="H338" s="88">
        <v>14</v>
      </c>
      <c r="I338" s="88">
        <v>11</v>
      </c>
    </row>
    <row r="339" spans="1:9" x14ac:dyDescent="0.25">
      <c r="A339" s="10" t="s">
        <v>586</v>
      </c>
      <c r="B339" s="106" t="s">
        <v>18</v>
      </c>
      <c r="C339" s="96">
        <v>297.5</v>
      </c>
      <c r="D339" s="35">
        <v>1880.2</v>
      </c>
      <c r="E339" s="49">
        <v>5173</v>
      </c>
      <c r="F339" t="str">
        <f>IF(E339="", "", "(" &amp; TEXT(E339-E338, "0.0") &amp; ") = " &amp; IF(INT(E339-E338)&gt;0, INT(E339-E338) &amp; "h", "") &amp; IF(ROUND((E339-E338-INT(E339-E338))*60, 0)&gt;0, ROUND((E339-E338-INT(E339-E338))*60, 0) &amp; "min", ""))</f>
        <v>(24) = 24h18min</v>
      </c>
      <c r="G339" s="66">
        <f>IF((E339-E338)&gt;0, C339/(E339-E338), "")</f>
        <v>12.242798353909373</v>
      </c>
      <c r="H339" s="88">
        <v>14</v>
      </c>
      <c r="I339" s="88">
        <v>11</v>
      </c>
    </row>
    <row r="340" spans="1:9" x14ac:dyDescent="0.25">
      <c r="A340" s="10" t="s">
        <v>586</v>
      </c>
      <c r="B340" s="106" t="s">
        <v>93</v>
      </c>
      <c r="C340" s="96">
        <v>289.5</v>
      </c>
      <c r="D340" s="35">
        <v>1829.64</v>
      </c>
      <c r="E340" s="49">
        <v>5194.6000000000004</v>
      </c>
      <c r="F340" t="str">
        <f>IF(E340="", "", "(" &amp; TEXT(E340-E339, "0.0") &amp; ") = " &amp; IF(INT(E340-E339)&gt;0, INT(E340-E339) &amp; "h", "") &amp; IF(ROUND((E340-E339-INT(E340-E339))*60, 0)&gt;0, ROUND((E340-E339-INT(E340-E339))*60, 0) &amp; "min", ""))</f>
        <v>(22) = 21h36min</v>
      </c>
      <c r="G340" s="66">
        <f>IF((E340-E339)&gt;0, C340/(E340-E339), "")</f>
        <v>13.402777777777551</v>
      </c>
      <c r="H340" s="88">
        <v>14</v>
      </c>
      <c r="I340" s="88">
        <v>11</v>
      </c>
    </row>
    <row r="341" spans="1:9" x14ac:dyDescent="0.25">
      <c r="A341" s="10"/>
      <c r="B341" s="106"/>
      <c r="C341" s="84"/>
      <c r="E341" s="49"/>
      <c r="F341" s="112" t="s">
        <v>22</v>
      </c>
      <c r="G341" s="63">
        <f>AVERAGE(G321:G340)</f>
        <v>11.88417192807187</v>
      </c>
      <c r="H341" s="80"/>
      <c r="I341" s="80"/>
    </row>
    <row r="342" spans="1:9" x14ac:dyDescent="0.25">
      <c r="A342" s="18" t="s">
        <v>607</v>
      </c>
      <c r="B342" s="105" t="s">
        <v>76</v>
      </c>
      <c r="C342" s="87">
        <v>242.5</v>
      </c>
      <c r="D342" s="40">
        <v>1355.57</v>
      </c>
      <c r="E342" s="57">
        <v>10690.1</v>
      </c>
      <c r="F342" s="21" t="s">
        <v>608</v>
      </c>
      <c r="G342" s="72">
        <v>6.5359999999999996</v>
      </c>
      <c r="H342" s="89">
        <v>14</v>
      </c>
      <c r="I342" s="89">
        <v>11</v>
      </c>
    </row>
    <row r="343" spans="1:9" x14ac:dyDescent="0.25">
      <c r="A343" s="18" t="s">
        <v>607</v>
      </c>
      <c r="B343" s="105" t="s">
        <v>196</v>
      </c>
      <c r="C343" s="87">
        <v>231.5</v>
      </c>
      <c r="D343" s="40">
        <v>1643.65</v>
      </c>
      <c r="E343" s="57">
        <v>10703</v>
      </c>
      <c r="F343" s="21" t="str">
        <f t="shared" ref="F343:F352" si="41">IF(E343="", "", "(" &amp; TEXT(E343-E342, "0.0") &amp; ") = " &amp; IF(INT(E343-E342)&gt;0, INT(E343-E342) &amp; "h", "") &amp; IF(ROUND((E343-E342-INT(E343-E342))*60, 0)&gt;0, ROUND((E343-E342-INT(E343-E342))*60, 0) &amp; "min", ""))</f>
        <v>(13) = 12h54min</v>
      </c>
      <c r="G343" s="72">
        <f t="shared" ref="G343:G352" si="42">IF((E343-E342)&gt;0, C343/(E343-E342), "")</f>
        <v>17.945736434109033</v>
      </c>
      <c r="H343" s="89">
        <v>14</v>
      </c>
      <c r="I343" s="89">
        <v>11</v>
      </c>
    </row>
    <row r="344" spans="1:9" x14ac:dyDescent="0.25">
      <c r="A344" s="18" t="s">
        <v>607</v>
      </c>
      <c r="B344" s="105" t="s">
        <v>609</v>
      </c>
      <c r="C344" s="87">
        <v>267</v>
      </c>
      <c r="D344" s="40">
        <v>1700.79</v>
      </c>
      <c r="E344" s="57">
        <v>10767</v>
      </c>
      <c r="F344" s="22" t="str">
        <f t="shared" si="41"/>
        <v>(64) = 64h</v>
      </c>
      <c r="G344" s="72">
        <f t="shared" si="42"/>
        <v>4.171875</v>
      </c>
      <c r="H344" s="90">
        <v>14</v>
      </c>
      <c r="I344" s="90">
        <v>11</v>
      </c>
    </row>
    <row r="345" spans="1:9" x14ac:dyDescent="0.25">
      <c r="A345" s="18" t="s">
        <v>607</v>
      </c>
      <c r="B345" s="105" t="s">
        <v>117</v>
      </c>
      <c r="C345" s="87">
        <v>206</v>
      </c>
      <c r="D345" s="40">
        <v>1312.22</v>
      </c>
      <c r="E345" s="57">
        <v>10785</v>
      </c>
      <c r="F345" s="22" t="str">
        <f t="shared" si="41"/>
        <v>(18) = 18h</v>
      </c>
      <c r="G345" s="72">
        <f t="shared" si="42"/>
        <v>11.444444444444445</v>
      </c>
      <c r="H345" s="90">
        <v>14</v>
      </c>
      <c r="I345" s="90">
        <v>11</v>
      </c>
    </row>
    <row r="346" spans="1:9" x14ac:dyDescent="0.25">
      <c r="A346" s="18" t="s">
        <v>607</v>
      </c>
      <c r="B346" s="105" t="s">
        <v>71</v>
      </c>
      <c r="C346" s="87">
        <v>104.5</v>
      </c>
      <c r="D346" s="40">
        <v>665.66</v>
      </c>
      <c r="E346" s="57">
        <v>10796</v>
      </c>
      <c r="F346" s="22" t="str">
        <f t="shared" si="41"/>
        <v>(11) = 11h</v>
      </c>
      <c r="G346" s="72">
        <f t="shared" si="42"/>
        <v>9.5</v>
      </c>
      <c r="H346" s="90">
        <v>14</v>
      </c>
      <c r="I346" s="90">
        <v>11</v>
      </c>
    </row>
    <row r="347" spans="1:9" x14ac:dyDescent="0.25">
      <c r="A347" s="18" t="s">
        <v>607</v>
      </c>
      <c r="B347" s="105" t="s">
        <v>118</v>
      </c>
      <c r="C347" s="87">
        <v>0.5</v>
      </c>
      <c r="D347" s="40">
        <v>3.19</v>
      </c>
      <c r="E347" s="57">
        <v>10815</v>
      </c>
      <c r="F347" s="22" t="str">
        <f t="shared" si="41"/>
        <v>(19) = 19h</v>
      </c>
      <c r="G347" s="72">
        <f t="shared" si="42"/>
        <v>2.6315789473684209E-2</v>
      </c>
      <c r="H347" s="90">
        <v>14</v>
      </c>
      <c r="I347" s="90">
        <v>11</v>
      </c>
    </row>
    <row r="348" spans="1:9" x14ac:dyDescent="0.25">
      <c r="A348" s="18" t="s">
        <v>607</v>
      </c>
      <c r="B348" s="105" t="s">
        <v>17</v>
      </c>
      <c r="C348" s="87">
        <v>304</v>
      </c>
      <c r="D348" s="40">
        <v>1893.92</v>
      </c>
      <c r="E348" s="57">
        <v>10903</v>
      </c>
      <c r="F348" s="22" t="str">
        <f t="shared" si="41"/>
        <v>(88) = 88h</v>
      </c>
      <c r="G348" s="72">
        <f t="shared" si="42"/>
        <v>3.4545454545454546</v>
      </c>
      <c r="H348" s="90">
        <v>14</v>
      </c>
      <c r="I348" s="90">
        <v>11</v>
      </c>
    </row>
    <row r="349" spans="1:9" x14ac:dyDescent="0.25">
      <c r="A349" s="18" t="s">
        <v>607</v>
      </c>
      <c r="B349" s="105" t="s">
        <v>340</v>
      </c>
      <c r="C349" s="87">
        <v>289.5</v>
      </c>
      <c r="D349" s="40">
        <v>1803.59</v>
      </c>
      <c r="E349" s="57">
        <v>10990</v>
      </c>
      <c r="F349" s="22" t="str">
        <f t="shared" si="41"/>
        <v>(87) = 87h</v>
      </c>
      <c r="G349" s="72">
        <f t="shared" si="42"/>
        <v>3.3275862068965516</v>
      </c>
      <c r="H349" s="90">
        <v>14</v>
      </c>
      <c r="I349" s="90">
        <v>11</v>
      </c>
    </row>
    <row r="350" spans="1:9" x14ac:dyDescent="0.25">
      <c r="A350" s="18" t="s">
        <v>607</v>
      </c>
      <c r="B350" s="105" t="s">
        <v>18</v>
      </c>
      <c r="C350" s="87">
        <v>217.5</v>
      </c>
      <c r="D350" s="40">
        <v>1215.83</v>
      </c>
      <c r="E350" s="57">
        <v>10993</v>
      </c>
      <c r="F350" s="22" t="str">
        <f t="shared" si="41"/>
        <v>(03) = 3h</v>
      </c>
      <c r="G350" s="72">
        <f t="shared" si="42"/>
        <v>72.5</v>
      </c>
      <c r="H350" s="90">
        <v>14</v>
      </c>
      <c r="I350" s="90">
        <v>11</v>
      </c>
    </row>
    <row r="351" spans="1:9" x14ac:dyDescent="0.25">
      <c r="A351" s="18" t="s">
        <v>607</v>
      </c>
      <c r="B351" s="105" t="s">
        <v>610</v>
      </c>
      <c r="C351" s="87">
        <v>284</v>
      </c>
      <c r="D351" s="40">
        <v>1587.56</v>
      </c>
      <c r="E351" s="57">
        <v>11000</v>
      </c>
      <c r="F351" s="22" t="str">
        <f t="shared" si="41"/>
        <v>(07) = 7h</v>
      </c>
      <c r="G351" s="72">
        <f t="shared" si="42"/>
        <v>40.571428571428569</v>
      </c>
      <c r="H351" s="90">
        <v>14</v>
      </c>
      <c r="I351" s="90">
        <v>11</v>
      </c>
    </row>
    <row r="352" spans="1:9" x14ac:dyDescent="0.25">
      <c r="A352" s="18" t="s">
        <v>607</v>
      </c>
      <c r="B352" s="105" t="s">
        <v>93</v>
      </c>
      <c r="C352" s="87">
        <v>301.5</v>
      </c>
      <c r="D352" s="40">
        <v>1685.38</v>
      </c>
      <c r="E352" s="57">
        <v>11012</v>
      </c>
      <c r="F352" s="22" t="str">
        <f t="shared" si="41"/>
        <v>(12) = 12h</v>
      </c>
      <c r="G352" s="72">
        <f t="shared" si="42"/>
        <v>25.125</v>
      </c>
      <c r="H352" s="90">
        <v>14</v>
      </c>
      <c r="I352" s="90">
        <v>11</v>
      </c>
    </row>
    <row r="353" spans="1:9" x14ac:dyDescent="0.25">
      <c r="A353" s="19"/>
      <c r="B353" s="106"/>
      <c r="C353" s="96"/>
      <c r="E353" s="56"/>
      <c r="F353" s="112" t="s">
        <v>22</v>
      </c>
      <c r="G353" s="63">
        <f>AVERAGE(G342:G352)</f>
        <v>17.691175627354337</v>
      </c>
      <c r="H353" s="80"/>
      <c r="I353" s="80"/>
    </row>
    <row r="354" spans="1:9" x14ac:dyDescent="0.25">
      <c r="A354" s="19" t="s">
        <v>611</v>
      </c>
      <c r="B354" s="106" t="s">
        <v>284</v>
      </c>
      <c r="C354" s="96" t="s">
        <v>612</v>
      </c>
      <c r="D354" s="41" t="s">
        <v>613</v>
      </c>
      <c r="E354" s="56">
        <v>6264</v>
      </c>
      <c r="F354" t="s">
        <v>614</v>
      </c>
      <c r="G354" s="71">
        <v>14.954000000000001</v>
      </c>
      <c r="H354" s="80">
        <v>20</v>
      </c>
      <c r="I354" s="80">
        <v>11</v>
      </c>
    </row>
    <row r="355" spans="1:9" x14ac:dyDescent="0.25">
      <c r="A355" s="19" t="s">
        <v>611</v>
      </c>
      <c r="B355" s="106" t="s">
        <v>102</v>
      </c>
      <c r="C355" s="96" t="s">
        <v>615</v>
      </c>
      <c r="D355" s="41" t="s">
        <v>616</v>
      </c>
      <c r="E355" s="56">
        <v>6294</v>
      </c>
      <c r="F355" t="str">
        <f t="shared" ref="F355:F361" si="43">IF(E355="", "", "(" &amp; TEXT(E355-E354, "0.0") &amp; ") = " &amp; IF(INT(E355-E354)&gt;0, INT(E355-E354) &amp; "h", "") &amp; IF(ROUND((E355-E354-INT(E355-E354))*60, 0)&gt;0, ROUND((E355-E354-INT(E355-E354))*60, 0) &amp; "min", ""))</f>
        <v>(30) = 30h</v>
      </c>
      <c r="G355" s="71">
        <f t="shared" ref="G355:G361" si="44">IF((E355-E354)&gt;0, C355/(E355-E354), "")</f>
        <v>16.683333333333334</v>
      </c>
      <c r="H355" s="80">
        <v>20</v>
      </c>
      <c r="I355" s="80">
        <v>11</v>
      </c>
    </row>
    <row r="356" spans="1:9" x14ac:dyDescent="0.25">
      <c r="A356" s="19" t="s">
        <v>611</v>
      </c>
      <c r="B356" s="106" t="s">
        <v>572</v>
      </c>
      <c r="C356" s="96" t="s">
        <v>617</v>
      </c>
      <c r="D356" s="41" t="s">
        <v>618</v>
      </c>
      <c r="E356" s="56">
        <v>6351.1</v>
      </c>
      <c r="F356" t="str">
        <f t="shared" si="43"/>
        <v>(57) = 57h6min</v>
      </c>
      <c r="G356" s="71">
        <f t="shared" si="44"/>
        <v>19.71103327495609</v>
      </c>
      <c r="H356" s="80">
        <v>20</v>
      </c>
      <c r="I356" s="80">
        <v>11</v>
      </c>
    </row>
    <row r="357" spans="1:9" x14ac:dyDescent="0.25">
      <c r="A357" s="19" t="s">
        <v>611</v>
      </c>
      <c r="B357" s="106" t="s">
        <v>234</v>
      </c>
      <c r="C357" s="84" t="s">
        <v>619</v>
      </c>
      <c r="D357" s="43" t="s">
        <v>620</v>
      </c>
      <c r="E357" s="56">
        <v>6414</v>
      </c>
      <c r="F357" t="str">
        <f t="shared" si="43"/>
        <v>(63) = 62h54min</v>
      </c>
      <c r="G357" s="73">
        <f t="shared" si="44"/>
        <v>14.848966613672582</v>
      </c>
      <c r="H357" s="91">
        <v>20</v>
      </c>
      <c r="I357" s="91">
        <v>11</v>
      </c>
    </row>
    <row r="358" spans="1:9" x14ac:dyDescent="0.25">
      <c r="A358" s="19" t="s">
        <v>611</v>
      </c>
      <c r="B358" s="106" t="s">
        <v>512</v>
      </c>
      <c r="C358" s="84">
        <v>760.5</v>
      </c>
      <c r="D358" s="43">
        <v>5399.55</v>
      </c>
      <c r="E358" s="56">
        <v>6466</v>
      </c>
      <c r="F358" t="str">
        <f t="shared" si="43"/>
        <v>(52) = 52h</v>
      </c>
      <c r="G358" s="73">
        <f t="shared" si="44"/>
        <v>14.625</v>
      </c>
      <c r="H358" s="91">
        <v>20</v>
      </c>
      <c r="I358" s="91">
        <v>11</v>
      </c>
    </row>
    <row r="359" spans="1:9" x14ac:dyDescent="0.25">
      <c r="A359" s="19" t="s">
        <v>611</v>
      </c>
      <c r="B359" s="106" t="s">
        <v>621</v>
      </c>
      <c r="C359" s="84">
        <v>304</v>
      </c>
      <c r="D359" s="43">
        <v>2121.92</v>
      </c>
      <c r="E359" s="56">
        <v>6483</v>
      </c>
      <c r="F359" t="str">
        <f t="shared" si="43"/>
        <v>(17) = 17h</v>
      </c>
      <c r="G359" s="73">
        <f t="shared" si="44"/>
        <v>17.882352941176471</v>
      </c>
      <c r="H359" s="91">
        <v>20</v>
      </c>
      <c r="I359" s="91">
        <v>11</v>
      </c>
    </row>
    <row r="360" spans="1:9" x14ac:dyDescent="0.25">
      <c r="A360" s="19" t="s">
        <v>611</v>
      </c>
      <c r="B360" s="106" t="s">
        <v>117</v>
      </c>
      <c r="C360" s="96">
        <v>230</v>
      </c>
      <c r="D360" s="41">
        <v>1465.1</v>
      </c>
      <c r="E360" s="56">
        <v>6501</v>
      </c>
      <c r="F360" t="str">
        <f t="shared" si="43"/>
        <v>(18) = 18h</v>
      </c>
      <c r="G360" s="73">
        <f t="shared" si="44"/>
        <v>12.777777777777779</v>
      </c>
      <c r="H360" s="92">
        <v>20</v>
      </c>
      <c r="I360" s="92">
        <v>11</v>
      </c>
    </row>
    <row r="361" spans="1:9" x14ac:dyDescent="0.25">
      <c r="A361" s="19" t="s">
        <v>611</v>
      </c>
      <c r="B361" s="106" t="s">
        <v>518</v>
      </c>
      <c r="C361" s="96">
        <v>857</v>
      </c>
      <c r="D361" s="41">
        <v>5493.37</v>
      </c>
      <c r="E361" s="56">
        <v>6605</v>
      </c>
      <c r="F361" t="str">
        <f t="shared" si="43"/>
        <v>(104) = 104h</v>
      </c>
      <c r="G361" s="73">
        <f t="shared" si="44"/>
        <v>8.240384615384615</v>
      </c>
      <c r="H361" s="92">
        <v>20</v>
      </c>
      <c r="I361" s="92">
        <v>11</v>
      </c>
    </row>
    <row r="362" spans="1:9" x14ac:dyDescent="0.25">
      <c r="A362" s="19"/>
      <c r="B362" s="106"/>
      <c r="C362" s="84"/>
      <c r="D362" s="43"/>
      <c r="E362" s="56"/>
      <c r="F362" s="7"/>
      <c r="G362" s="74"/>
      <c r="H362" s="91"/>
      <c r="I362" s="91"/>
    </row>
    <row r="363" spans="1:9" x14ac:dyDescent="0.25">
      <c r="A363" s="19"/>
      <c r="B363" s="106"/>
      <c r="C363" s="84"/>
      <c r="E363" s="56"/>
      <c r="F363" s="112" t="s">
        <v>22</v>
      </c>
      <c r="G363" s="63">
        <f>AVERAGE(G354:G361)</f>
        <v>14.965356069537609</v>
      </c>
      <c r="H363" s="91"/>
      <c r="I363" s="91"/>
    </row>
    <row r="364" spans="1:9" x14ac:dyDescent="0.25">
      <c r="A364" s="8" t="s">
        <v>622</v>
      </c>
      <c r="B364" s="105" t="s">
        <v>623</v>
      </c>
      <c r="C364" s="87" t="s">
        <v>624</v>
      </c>
      <c r="D364" s="40" t="s">
        <v>625</v>
      </c>
      <c r="E364" s="57" t="s">
        <v>626</v>
      </c>
      <c r="F364" s="21" t="str">
        <f>IF(E287="", "", "(" &amp; TEXT(E287-E286, "0,0") &amp; ") = " &amp; IF(INT(E287-E286)&gt;0, INT(E287-E286) &amp; "h", "") &amp; IF(ROUND((E287-E286-INT(E287-E286))*60, 0)&gt;0, ROUND((E287-E286-INT(E287-E286))*60, 0) &amp; "min", ""))</f>
        <v>(13,4) = 13h24min</v>
      </c>
      <c r="G364" s="66" t="s">
        <v>627</v>
      </c>
      <c r="H364" s="89">
        <v>18</v>
      </c>
      <c r="I364" s="89">
        <v>11</v>
      </c>
    </row>
    <row r="365" spans="1:9" x14ac:dyDescent="0.25">
      <c r="A365" s="8" t="s">
        <v>622</v>
      </c>
      <c r="B365" s="105" t="s">
        <v>210</v>
      </c>
      <c r="C365" s="87" t="s">
        <v>628</v>
      </c>
      <c r="D365" s="40" t="s">
        <v>629</v>
      </c>
      <c r="E365" s="57" t="s">
        <v>630</v>
      </c>
      <c r="F365" s="21" t="str">
        <f t="shared" ref="F365:F385" si="45">IF(E365="", "", "(" &amp; TEXT(E365-E364, "0.0") &amp; ") = " &amp; IF(INT(E365-E364)&gt;0, INT(E365-E364) &amp; "h", "") &amp; IF(ROUND((E365-E364-INT(E365-E364))*60, 0)&gt;0, ROUND((E365-E364-INT(E365-E364))*60, 0) &amp; "min", ""))</f>
        <v>(24) = 24h</v>
      </c>
      <c r="G365" s="66">
        <f t="shared" ref="G365:G386" si="46">IF((E365-E364)&gt;0, C365/(E365-E364), "")</f>
        <v>15.854166666666666</v>
      </c>
      <c r="H365" s="89">
        <v>18</v>
      </c>
      <c r="I365" s="89">
        <v>11</v>
      </c>
    </row>
    <row r="366" spans="1:9" x14ac:dyDescent="0.25">
      <c r="A366" s="8" t="s">
        <v>622</v>
      </c>
      <c r="B366" s="105" t="s">
        <v>631</v>
      </c>
      <c r="C366" s="87" t="s">
        <v>422</v>
      </c>
      <c r="D366" s="40" t="s">
        <v>632</v>
      </c>
      <c r="E366" s="57" t="s">
        <v>633</v>
      </c>
      <c r="F366" s="21" t="str">
        <f t="shared" si="45"/>
        <v>(17) = 17h</v>
      </c>
      <c r="G366" s="66">
        <f t="shared" si="46"/>
        <v>17.294117647058822</v>
      </c>
      <c r="H366" s="89">
        <v>18</v>
      </c>
      <c r="I366" s="89">
        <v>11</v>
      </c>
    </row>
    <row r="367" spans="1:9" x14ac:dyDescent="0.25">
      <c r="A367" s="23" t="s">
        <v>622</v>
      </c>
      <c r="B367" s="105" t="s">
        <v>454</v>
      </c>
      <c r="C367" s="99" t="s">
        <v>634</v>
      </c>
      <c r="D367" s="44" t="s">
        <v>635</v>
      </c>
      <c r="E367" s="59" t="s">
        <v>636</v>
      </c>
      <c r="F367" s="21" t="str">
        <f t="shared" si="45"/>
        <v>(29) = 29h</v>
      </c>
      <c r="G367" s="75">
        <f t="shared" si="46"/>
        <v>17.396551724137932</v>
      </c>
      <c r="H367" s="89">
        <v>18</v>
      </c>
      <c r="I367" s="89">
        <v>11</v>
      </c>
    </row>
    <row r="368" spans="1:9" x14ac:dyDescent="0.25">
      <c r="A368" s="8" t="s">
        <v>622</v>
      </c>
      <c r="B368" s="110" t="s">
        <v>365</v>
      </c>
      <c r="C368" s="99" t="s">
        <v>637</v>
      </c>
      <c r="D368" s="44" t="s">
        <v>638</v>
      </c>
      <c r="E368" s="59" t="s">
        <v>639</v>
      </c>
      <c r="F368" s="21" t="str">
        <f t="shared" si="45"/>
        <v>(31) = 31h</v>
      </c>
      <c r="G368" s="75">
        <f t="shared" si="46"/>
        <v>17.258064516129032</v>
      </c>
      <c r="H368" s="89">
        <v>18</v>
      </c>
      <c r="I368" s="89">
        <v>11</v>
      </c>
    </row>
    <row r="369" spans="1:9" x14ac:dyDescent="0.25">
      <c r="A369" s="8" t="s">
        <v>622</v>
      </c>
      <c r="B369" s="110" t="s">
        <v>284</v>
      </c>
      <c r="C369" s="99" t="s">
        <v>640</v>
      </c>
      <c r="D369" s="44" t="s">
        <v>641</v>
      </c>
      <c r="E369" s="59" t="s">
        <v>642</v>
      </c>
      <c r="F369" s="21" t="str">
        <f t="shared" si="45"/>
        <v>(31) = 31h</v>
      </c>
      <c r="G369" s="75">
        <f t="shared" si="46"/>
        <v>16.112903225806452</v>
      </c>
      <c r="H369" s="89">
        <v>18</v>
      </c>
      <c r="I369" s="89">
        <v>11</v>
      </c>
    </row>
    <row r="370" spans="1:9" x14ac:dyDescent="0.25">
      <c r="A370" s="23" t="s">
        <v>622</v>
      </c>
      <c r="B370" s="110" t="s">
        <v>473</v>
      </c>
      <c r="C370" s="99" t="s">
        <v>643</v>
      </c>
      <c r="D370" s="44" t="s">
        <v>644</v>
      </c>
      <c r="E370" s="59" t="s">
        <v>645</v>
      </c>
      <c r="F370" s="21" t="str">
        <f t="shared" si="45"/>
        <v>(18) = 18h</v>
      </c>
      <c r="G370" s="75">
        <f t="shared" si="46"/>
        <v>15.083333333333334</v>
      </c>
      <c r="H370" s="89">
        <v>18</v>
      </c>
      <c r="I370" s="89">
        <v>11</v>
      </c>
    </row>
    <row r="371" spans="1:9" x14ac:dyDescent="0.25">
      <c r="A371" s="8" t="s">
        <v>622</v>
      </c>
      <c r="B371" s="110" t="s">
        <v>164</v>
      </c>
      <c r="C371" s="99" t="s">
        <v>646</v>
      </c>
      <c r="D371" s="44" t="s">
        <v>647</v>
      </c>
      <c r="E371" s="59" t="s">
        <v>648</v>
      </c>
      <c r="F371" s="21" t="str">
        <f t="shared" si="45"/>
        <v>(27) = 27h</v>
      </c>
      <c r="G371" s="75">
        <f t="shared" si="46"/>
        <v>17.203703703703702</v>
      </c>
      <c r="H371" s="89">
        <v>18</v>
      </c>
      <c r="I371" s="89">
        <v>11</v>
      </c>
    </row>
    <row r="372" spans="1:9" x14ac:dyDescent="0.25">
      <c r="A372" s="8" t="s">
        <v>622</v>
      </c>
      <c r="B372" s="110" t="s">
        <v>425</v>
      </c>
      <c r="C372" s="99" t="s">
        <v>649</v>
      </c>
      <c r="D372" s="44" t="s">
        <v>650</v>
      </c>
      <c r="E372" s="59" t="s">
        <v>651</v>
      </c>
      <c r="F372" s="21" t="str">
        <f t="shared" si="45"/>
        <v>(29) = 29h</v>
      </c>
      <c r="G372" s="75">
        <f t="shared" si="46"/>
        <v>15.913793103448276</v>
      </c>
      <c r="H372" s="89">
        <v>18</v>
      </c>
      <c r="I372" s="89">
        <v>11</v>
      </c>
    </row>
    <row r="373" spans="1:9" x14ac:dyDescent="0.25">
      <c r="A373" s="23" t="s">
        <v>622</v>
      </c>
      <c r="B373" s="110" t="s">
        <v>64</v>
      </c>
      <c r="C373" s="99" t="s">
        <v>652</v>
      </c>
      <c r="D373" s="44" t="s">
        <v>653</v>
      </c>
      <c r="E373" s="59" t="s">
        <v>654</v>
      </c>
      <c r="F373" s="21" t="str">
        <f t="shared" si="45"/>
        <v>(40) = 40h</v>
      </c>
      <c r="G373" s="75">
        <f t="shared" si="46"/>
        <v>16.824999999999999</v>
      </c>
      <c r="H373" s="89">
        <v>18</v>
      </c>
      <c r="I373" s="89">
        <v>11</v>
      </c>
    </row>
    <row r="374" spans="1:9" x14ac:dyDescent="0.25">
      <c r="A374" s="8" t="s">
        <v>622</v>
      </c>
      <c r="B374" s="110" t="s">
        <v>581</v>
      </c>
      <c r="C374" s="99" t="s">
        <v>655</v>
      </c>
      <c r="D374" s="44" t="s">
        <v>656</v>
      </c>
      <c r="E374" s="59" t="s">
        <v>657</v>
      </c>
      <c r="F374" s="21" t="str">
        <f t="shared" si="45"/>
        <v>(42) = 42h6min</v>
      </c>
      <c r="G374" s="75">
        <f t="shared" si="46"/>
        <v>16.686460807600941</v>
      </c>
      <c r="H374" s="89">
        <v>18</v>
      </c>
      <c r="I374" s="89">
        <v>11</v>
      </c>
    </row>
    <row r="375" spans="1:9" x14ac:dyDescent="0.25">
      <c r="A375" s="8" t="s">
        <v>622</v>
      </c>
      <c r="B375" s="110" t="s">
        <v>182</v>
      </c>
      <c r="C375" s="99" t="s">
        <v>658</v>
      </c>
      <c r="D375" s="44" t="s">
        <v>659</v>
      </c>
      <c r="E375" s="59" t="s">
        <v>660</v>
      </c>
      <c r="F375" s="21" t="str">
        <f t="shared" si="45"/>
        <v>(10) = 9h54min</v>
      </c>
      <c r="G375" s="75">
        <f t="shared" si="46"/>
        <v>15.959595959595996</v>
      </c>
      <c r="H375" s="89">
        <v>18</v>
      </c>
      <c r="I375" s="89">
        <v>11</v>
      </c>
    </row>
    <row r="376" spans="1:9" x14ac:dyDescent="0.25">
      <c r="A376" s="8" t="s">
        <v>622</v>
      </c>
      <c r="B376" s="110" t="s">
        <v>394</v>
      </c>
      <c r="C376" s="99" t="s">
        <v>661</v>
      </c>
      <c r="D376" s="44" t="s">
        <v>662</v>
      </c>
      <c r="E376" s="59" t="s">
        <v>663</v>
      </c>
      <c r="F376" s="21" t="str">
        <f t="shared" si="45"/>
        <v>(29) = 29h</v>
      </c>
      <c r="G376" s="75">
        <f t="shared" si="46"/>
        <v>15.482758620689655</v>
      </c>
      <c r="H376" s="89">
        <v>18</v>
      </c>
      <c r="I376" s="89">
        <v>11</v>
      </c>
    </row>
    <row r="377" spans="1:9" x14ac:dyDescent="0.25">
      <c r="A377" s="8" t="s">
        <v>622</v>
      </c>
      <c r="B377" s="110" t="s">
        <v>85</v>
      </c>
      <c r="C377" s="99" t="s">
        <v>664</v>
      </c>
      <c r="D377" s="44" t="s">
        <v>665</v>
      </c>
      <c r="E377" s="59" t="s">
        <v>666</v>
      </c>
      <c r="F377" s="21" t="str">
        <f t="shared" si="45"/>
        <v>(44) = 44h</v>
      </c>
      <c r="G377" s="75">
        <f t="shared" si="46"/>
        <v>15.920454545454545</v>
      </c>
      <c r="H377" s="89">
        <v>18</v>
      </c>
      <c r="I377" s="89">
        <v>11</v>
      </c>
    </row>
    <row r="378" spans="1:9" x14ac:dyDescent="0.25">
      <c r="A378" s="8" t="s">
        <v>622</v>
      </c>
      <c r="B378" s="111" t="s">
        <v>254</v>
      </c>
      <c r="C378" s="100">
        <v>511.5</v>
      </c>
      <c r="D378" s="45">
        <v>3554.93</v>
      </c>
      <c r="E378" s="60">
        <v>521</v>
      </c>
      <c r="F378" s="22" t="str">
        <f t="shared" si="45"/>
        <v>(122) = 122h</v>
      </c>
      <c r="G378" s="67">
        <f t="shared" si="46"/>
        <v>4.192622950819672</v>
      </c>
      <c r="H378" s="90">
        <v>18</v>
      </c>
      <c r="I378" s="90">
        <v>11</v>
      </c>
    </row>
    <row r="379" spans="1:9" x14ac:dyDescent="0.25">
      <c r="A379" s="8" t="s">
        <v>622</v>
      </c>
      <c r="B379" s="111" t="s">
        <v>118</v>
      </c>
      <c r="C379" s="100">
        <v>522</v>
      </c>
      <c r="D379" s="45">
        <v>3627.9</v>
      </c>
      <c r="E379" s="60">
        <v>552</v>
      </c>
      <c r="F379" s="22" t="str">
        <f t="shared" si="45"/>
        <v>(31) = 31h</v>
      </c>
      <c r="G379" s="67">
        <f t="shared" si="46"/>
        <v>16.838709677419356</v>
      </c>
      <c r="H379" s="90">
        <v>18</v>
      </c>
      <c r="I379" s="90">
        <v>11</v>
      </c>
    </row>
    <row r="380" spans="1:9" x14ac:dyDescent="0.25">
      <c r="A380" s="8" t="s">
        <v>622</v>
      </c>
      <c r="B380" s="111" t="s">
        <v>119</v>
      </c>
      <c r="C380" s="100">
        <v>342.5</v>
      </c>
      <c r="D380" s="45">
        <v>2188.5700000000002</v>
      </c>
      <c r="E380" s="60">
        <v>574</v>
      </c>
      <c r="F380" s="22" t="str">
        <f t="shared" si="45"/>
        <v>(22) = 22h</v>
      </c>
      <c r="G380" s="67">
        <f t="shared" si="46"/>
        <v>15.568181818181818</v>
      </c>
      <c r="H380" s="90">
        <v>18</v>
      </c>
      <c r="I380" s="90">
        <v>11</v>
      </c>
    </row>
    <row r="381" spans="1:9" x14ac:dyDescent="0.25">
      <c r="A381" s="8" t="s">
        <v>622</v>
      </c>
      <c r="B381" s="111" t="s">
        <v>517</v>
      </c>
      <c r="C381" s="100">
        <v>412.5</v>
      </c>
      <c r="D381" s="45">
        <v>2491.5</v>
      </c>
      <c r="E381" s="60">
        <v>596</v>
      </c>
      <c r="F381" s="22" t="str">
        <f t="shared" si="45"/>
        <v>(22) = 22h</v>
      </c>
      <c r="G381" s="67">
        <f t="shared" si="46"/>
        <v>18.75</v>
      </c>
      <c r="H381" s="90">
        <v>18</v>
      </c>
      <c r="I381" s="90">
        <v>11</v>
      </c>
    </row>
    <row r="382" spans="1:9" x14ac:dyDescent="0.25">
      <c r="A382" s="8" t="s">
        <v>622</v>
      </c>
      <c r="B382" s="111" t="s">
        <v>442</v>
      </c>
      <c r="C382" s="100">
        <v>660</v>
      </c>
      <c r="D382" s="45">
        <v>3986.4</v>
      </c>
      <c r="E382" s="60">
        <v>633</v>
      </c>
      <c r="F382" s="22" t="str">
        <f t="shared" si="45"/>
        <v>(37) = 37h</v>
      </c>
      <c r="G382" s="67">
        <f t="shared" si="46"/>
        <v>17.837837837837839</v>
      </c>
      <c r="H382" s="90">
        <v>18</v>
      </c>
      <c r="I382" s="90">
        <v>11</v>
      </c>
    </row>
    <row r="383" spans="1:9" x14ac:dyDescent="0.25">
      <c r="A383" s="8" t="s">
        <v>622</v>
      </c>
      <c r="B383" s="111" t="s">
        <v>92</v>
      </c>
      <c r="C383" s="100">
        <v>539.5</v>
      </c>
      <c r="D383" s="45">
        <v>3258.58</v>
      </c>
      <c r="E383" s="60">
        <v>665</v>
      </c>
      <c r="F383" s="22" t="str">
        <f t="shared" si="45"/>
        <v>(32) = 32h</v>
      </c>
      <c r="G383" s="67">
        <f t="shared" si="46"/>
        <v>16.859375</v>
      </c>
      <c r="H383" s="90">
        <v>18</v>
      </c>
      <c r="I383" s="90">
        <v>11</v>
      </c>
    </row>
    <row r="384" spans="1:9" x14ac:dyDescent="0.25">
      <c r="A384" s="8" t="s">
        <v>622</v>
      </c>
      <c r="B384" s="111" t="s">
        <v>19</v>
      </c>
      <c r="C384" s="100">
        <v>457.5</v>
      </c>
      <c r="D384" s="45">
        <v>2557.4299999999998</v>
      </c>
      <c r="E384" s="60">
        <v>690</v>
      </c>
      <c r="F384" s="22" t="str">
        <f t="shared" si="45"/>
        <v>(25) = 25h</v>
      </c>
      <c r="G384" s="67">
        <f t="shared" si="46"/>
        <v>18.3</v>
      </c>
      <c r="H384" s="90">
        <v>18</v>
      </c>
      <c r="I384" s="90">
        <v>11</v>
      </c>
    </row>
    <row r="385" spans="1:9" x14ac:dyDescent="0.25">
      <c r="A385" s="8" t="s">
        <v>622</v>
      </c>
      <c r="B385" s="111" t="s">
        <v>585</v>
      </c>
      <c r="C385" s="100">
        <v>533</v>
      </c>
      <c r="D385" s="45">
        <v>2979.47</v>
      </c>
      <c r="E385" s="60">
        <v>719</v>
      </c>
      <c r="F385" s="22" t="str">
        <f t="shared" si="45"/>
        <v>(29) = 29h</v>
      </c>
      <c r="G385" s="67">
        <f t="shared" si="46"/>
        <v>18.379310344827587</v>
      </c>
      <c r="H385" s="90">
        <v>18</v>
      </c>
      <c r="I385" s="90">
        <v>11</v>
      </c>
    </row>
    <row r="386" spans="1:9" x14ac:dyDescent="0.25">
      <c r="A386" s="8" t="s">
        <v>622</v>
      </c>
      <c r="B386" s="110" t="s">
        <v>67</v>
      </c>
      <c r="C386" s="99">
        <v>611</v>
      </c>
      <c r="D386" s="44">
        <v>4264.78</v>
      </c>
      <c r="E386" s="59">
        <v>436</v>
      </c>
      <c r="F386" s="21" t="str">
        <f>IF(E301="", "", "(" &amp; TEXT(E301-E300, "0,0") &amp; ") = " &amp; IF(INT(E301-E300)&gt;0, INT(E301-E300) &amp; "h", "") &amp; IF(ROUND((E301-E300-INT(E301-E300))*60, 0)&gt;0, ROUND((E301-E300-INT(E301-E300))*60, 0) &amp; "min", ""))</f>
        <v>(19,0) = 19h</v>
      </c>
      <c r="G386" s="67" t="str">
        <f t="shared" si="46"/>
        <v/>
      </c>
      <c r="H386" s="89">
        <v>18</v>
      </c>
      <c r="I386" s="89">
        <v>11</v>
      </c>
    </row>
    <row r="387" spans="1:9" x14ac:dyDescent="0.25">
      <c r="A387" s="3"/>
      <c r="B387" s="103"/>
      <c r="C387" s="79"/>
      <c r="E387" s="48"/>
      <c r="F387" s="112" t="s">
        <v>22</v>
      </c>
      <c r="G387" s="63">
        <f>AVERAGE(G364:G386)</f>
        <v>16.176997213462457</v>
      </c>
      <c r="H387" s="79"/>
      <c r="I387" s="79"/>
    </row>
    <row r="388" spans="1:9" x14ac:dyDescent="0.25">
      <c r="A388" s="4" t="s">
        <v>667</v>
      </c>
      <c r="B388" s="31" t="s">
        <v>397</v>
      </c>
      <c r="C388" s="31">
        <v>213</v>
      </c>
      <c r="D388" s="42">
        <v>1286.52</v>
      </c>
      <c r="E388" s="31">
        <v>18</v>
      </c>
      <c r="F388" s="5"/>
      <c r="G388" s="67"/>
      <c r="H388" s="79"/>
      <c r="I388" s="31">
        <v>11</v>
      </c>
    </row>
    <row r="389" spans="1:9" x14ac:dyDescent="0.25">
      <c r="A389" s="4" t="s">
        <v>667</v>
      </c>
      <c r="B389" s="31" t="s">
        <v>135</v>
      </c>
      <c r="C389" s="31">
        <v>253.5</v>
      </c>
      <c r="D389" s="42">
        <v>1531.14</v>
      </c>
      <c r="E389" s="31">
        <v>33</v>
      </c>
      <c r="F389" t="str">
        <f t="shared" ref="F389:F399" si="47">IF(E389="", "", "(" &amp; TEXT(E389-E388, "0.0") &amp; ") = " &amp; IF(INT(E389-E388)&gt;0, INT(E389-E388) &amp; "h", "") &amp; IF(ROUND((E389-E388-INT(E389-E388))*60, 0)&gt;0, ROUND((E389-E388-INT(E389-E388))*60, 0) &amp; "min", ""))</f>
        <v>(15) = 15h</v>
      </c>
      <c r="G389" s="67">
        <f t="shared" ref="G389:G399" si="48">IF((E389-E388)&gt;0, C389/(E389-E388), "")</f>
        <v>16.899999999999999</v>
      </c>
      <c r="H389" s="79"/>
      <c r="I389" s="31">
        <v>11</v>
      </c>
    </row>
    <row r="390" spans="1:9" x14ac:dyDescent="0.25">
      <c r="A390" s="4" t="s">
        <v>667</v>
      </c>
      <c r="B390" s="31" t="s">
        <v>516</v>
      </c>
      <c r="C390" s="31">
        <v>270</v>
      </c>
      <c r="D390" s="42">
        <v>1630.8</v>
      </c>
      <c r="E390" s="31">
        <v>49</v>
      </c>
      <c r="F390" t="str">
        <f t="shared" si="47"/>
        <v>(16) = 16h</v>
      </c>
      <c r="G390" s="67">
        <f t="shared" si="48"/>
        <v>16.875</v>
      </c>
      <c r="H390" s="79"/>
      <c r="I390" s="31">
        <v>11</v>
      </c>
    </row>
    <row r="391" spans="1:9" x14ac:dyDescent="0.25">
      <c r="A391" s="4" t="s">
        <v>667</v>
      </c>
      <c r="B391" s="31" t="s">
        <v>517</v>
      </c>
      <c r="C391" s="31">
        <v>250</v>
      </c>
      <c r="D391" s="42">
        <v>1510</v>
      </c>
      <c r="E391" s="31">
        <v>65</v>
      </c>
      <c r="F391" t="str">
        <f t="shared" si="47"/>
        <v>(16) = 16h</v>
      </c>
      <c r="G391" s="67">
        <f t="shared" si="48"/>
        <v>15.625</v>
      </c>
      <c r="H391" s="79"/>
      <c r="I391" s="31">
        <v>11</v>
      </c>
    </row>
    <row r="392" spans="1:9" x14ac:dyDescent="0.25">
      <c r="A392" s="4" t="s">
        <v>667</v>
      </c>
      <c r="B392" s="31" t="s">
        <v>199</v>
      </c>
      <c r="C392" s="31">
        <v>257</v>
      </c>
      <c r="D392" s="42">
        <v>1552.28</v>
      </c>
      <c r="E392" s="31">
        <v>82.8</v>
      </c>
      <c r="F392" t="str">
        <f t="shared" si="47"/>
        <v>(18) = 17h48min</v>
      </c>
      <c r="G392" s="67">
        <f t="shared" si="48"/>
        <v>14.438202247191013</v>
      </c>
      <c r="H392" s="79"/>
      <c r="I392" s="31">
        <v>11</v>
      </c>
    </row>
    <row r="393" spans="1:9" x14ac:dyDescent="0.25">
      <c r="A393" s="4" t="s">
        <v>667</v>
      </c>
      <c r="B393" s="31" t="s">
        <v>258</v>
      </c>
      <c r="C393" s="31">
        <v>263</v>
      </c>
      <c r="D393" s="42">
        <v>1588.52</v>
      </c>
      <c r="E393" s="31">
        <v>97</v>
      </c>
      <c r="F393" t="str">
        <f t="shared" si="47"/>
        <v>(14) = 14h12min</v>
      </c>
      <c r="G393" s="67">
        <f t="shared" si="48"/>
        <v>18.521126760563376</v>
      </c>
      <c r="H393" s="79"/>
      <c r="I393" s="31">
        <v>11</v>
      </c>
    </row>
    <row r="394" spans="1:9" x14ac:dyDescent="0.25">
      <c r="A394" s="4" t="s">
        <v>667</v>
      </c>
      <c r="B394" s="31" t="s">
        <v>518</v>
      </c>
      <c r="C394" s="31">
        <v>260.5</v>
      </c>
      <c r="D394" s="42">
        <v>1573.42</v>
      </c>
      <c r="E394" s="31">
        <v>114</v>
      </c>
      <c r="F394" t="str">
        <f t="shared" si="47"/>
        <v>(17) = 17h</v>
      </c>
      <c r="G394" s="67">
        <f t="shared" si="48"/>
        <v>15.323529411764707</v>
      </c>
      <c r="H394" s="79"/>
      <c r="I394" s="31">
        <v>11</v>
      </c>
    </row>
    <row r="395" spans="1:9" x14ac:dyDescent="0.25">
      <c r="A395" s="4" t="s">
        <v>667</v>
      </c>
      <c r="B395" s="31" t="s">
        <v>17</v>
      </c>
      <c r="C395" s="31">
        <v>246</v>
      </c>
      <c r="D395" s="42">
        <v>1485.84</v>
      </c>
      <c r="E395" s="31">
        <v>140</v>
      </c>
      <c r="F395" t="str">
        <f t="shared" si="47"/>
        <v>(26) = 26h</v>
      </c>
      <c r="G395" s="67">
        <f t="shared" si="48"/>
        <v>9.4615384615384617</v>
      </c>
      <c r="H395" s="79"/>
      <c r="I395" s="31">
        <v>11</v>
      </c>
    </row>
    <row r="396" spans="1:9" x14ac:dyDescent="0.25">
      <c r="A396" s="4" t="s">
        <v>667</v>
      </c>
      <c r="B396" s="31" t="s">
        <v>92</v>
      </c>
      <c r="C396" s="31">
        <v>242</v>
      </c>
      <c r="D396" s="42">
        <v>1461.68</v>
      </c>
      <c r="E396" s="31">
        <v>142</v>
      </c>
      <c r="F396" t="str">
        <f t="shared" si="47"/>
        <v>(02) = 2h</v>
      </c>
      <c r="G396" s="67"/>
      <c r="H396" s="79"/>
      <c r="I396" s="31">
        <v>11</v>
      </c>
    </row>
    <row r="397" spans="1:9" x14ac:dyDescent="0.25">
      <c r="A397" s="4" t="s">
        <v>667</v>
      </c>
      <c r="B397" s="31" t="s">
        <v>519</v>
      </c>
      <c r="C397" s="31">
        <v>271</v>
      </c>
      <c r="D397" s="42">
        <v>1636.84</v>
      </c>
      <c r="E397" s="31">
        <v>159</v>
      </c>
      <c r="F397" t="str">
        <f>IF(E397="", "", "(" &amp; TEXT(E397-E396, "0.0") &amp; ") = " &amp; IF(INT(E397-E396)&gt;0, INT(E397-E396) &amp; "h", "") &amp; IF(ROUND((E397-E396-INT(E397-E396))*60, 0)&gt;0, ROUND((E397-E396-INT(E397-E396))*60, 0) &amp; "min", ""))</f>
        <v>(17) = 17h</v>
      </c>
      <c r="G397" s="67">
        <f>IF((E397-E396)&gt;0, C397/(E397-E396), "")</f>
        <v>15.941176470588236</v>
      </c>
      <c r="H397" s="79"/>
      <c r="I397" s="31">
        <v>11</v>
      </c>
    </row>
    <row r="398" spans="1:9" x14ac:dyDescent="0.25">
      <c r="A398" s="4" t="s">
        <v>667</v>
      </c>
      <c r="B398" s="31" t="s">
        <v>20</v>
      </c>
      <c r="C398" s="31">
        <v>246</v>
      </c>
      <c r="D398" s="42">
        <v>1485.84</v>
      </c>
      <c r="E398" s="31">
        <v>173</v>
      </c>
      <c r="F398" t="str">
        <f t="shared" si="47"/>
        <v>(14) = 14h</v>
      </c>
      <c r="G398" s="67">
        <f t="shared" si="48"/>
        <v>17.571428571428573</v>
      </c>
      <c r="H398" s="79"/>
      <c r="I398" s="31">
        <v>11</v>
      </c>
    </row>
    <row r="399" spans="1:9" x14ac:dyDescent="0.25">
      <c r="A399" s="4" t="s">
        <v>667</v>
      </c>
      <c r="B399" s="31" t="s">
        <v>585</v>
      </c>
      <c r="C399" s="31">
        <v>264</v>
      </c>
      <c r="D399" s="42">
        <v>1594.56</v>
      </c>
      <c r="E399" s="31">
        <v>192</v>
      </c>
      <c r="F399" t="str">
        <f t="shared" si="47"/>
        <v>(19) = 19h</v>
      </c>
      <c r="G399" s="67">
        <f t="shared" si="48"/>
        <v>13.894736842105264</v>
      </c>
      <c r="H399" s="79"/>
      <c r="I399" s="31">
        <v>11</v>
      </c>
    </row>
    <row r="400" spans="1:9" x14ac:dyDescent="0.25">
      <c r="A400" s="3"/>
      <c r="B400" s="103"/>
      <c r="C400" s="79"/>
      <c r="E400" s="48"/>
      <c r="F400" s="112" t="s">
        <v>22</v>
      </c>
      <c r="G400" s="63">
        <f>AVERAGE(G388:G399)</f>
        <v>15.455173876517964</v>
      </c>
      <c r="H400" s="79"/>
      <c r="I400" s="79"/>
    </row>
  </sheetData>
  <autoFilter ref="A1:I3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 Maquinas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Oliveira Santana | Pilares</cp:lastModifiedBy>
  <cp:revision/>
  <dcterms:created xsi:type="dcterms:W3CDTF">2026-06-12T13:18:38Z</dcterms:created>
  <dcterms:modified xsi:type="dcterms:W3CDTF">2026-06-12T16:53:32Z</dcterms:modified>
  <cp:category/>
  <cp:contentStatus/>
</cp:coreProperties>
</file>