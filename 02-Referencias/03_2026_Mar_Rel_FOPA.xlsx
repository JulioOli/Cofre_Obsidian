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always"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"/>
    </mc:Choice>
  </mc:AlternateContent>
  <xr:revisionPtr revIDLastSave="0" documentId="8_{0BD8FE96-5662-473D-9C66-C84A6EA1D91D}" xr6:coauthVersionLast="47" xr6:coauthVersionMax="47" xr10:uidLastSave="{00000000-0000-0000-0000-000000000000}"/>
  <bookViews>
    <workbookView xWindow="-120" yWindow="-120" windowWidth="29040" windowHeight="15720" tabRatio="927" firstSheet="1" activeTab="8" xr2:uid="{0ECCBC81-B521-4DB8-9EF2-EE1D4426E15A}"/>
  </bookViews>
  <sheets>
    <sheet name="TD" sheetId="49" state="hidden" r:id="rId1"/>
    <sheet name="Custo_Fopag (2)" sheetId="35" r:id="rId2"/>
    <sheet name="BASE+TOMADOR" sheetId="47" r:id="rId3"/>
    <sheet name="Beneficios" sheetId="48" r:id="rId4"/>
    <sheet name="Custo_Fopag.CSV" sheetId="34" state="hidden" r:id="rId5"/>
    <sheet name="mar-25" sheetId="29" state="hidden" r:id="rId6"/>
    <sheet name="Planilha1" sheetId="26" state="hidden" r:id="rId7"/>
    <sheet name="Planilha3" sheetId="28" state="hidden" r:id="rId8"/>
    <sheet name="GERAL" sheetId="2" r:id="rId9"/>
    <sheet name="PILARES" sheetId="36" r:id="rId10"/>
    <sheet name="BRACOFER" sheetId="37" r:id="rId11"/>
    <sheet name="EKIPA" sheetId="38" r:id="rId12"/>
    <sheet name="TRANSMOVE" sheetId="39" r:id="rId13"/>
    <sheet name="SELETIVA APOIO" sheetId="40" r:id="rId14"/>
    <sheet name="SELETIVA C GRANDE" sheetId="41" r:id="rId15"/>
    <sheet name="SELETIVA DOURADOS" sheetId="42" r:id="rId16"/>
    <sheet name="SELETIVA PRUDENTE" sheetId="43" r:id="rId17"/>
    <sheet name="SELETIVA MARINGÁ" sheetId="45" r:id="rId18"/>
    <sheet name="SELETIVA CIDADE ALTA" sheetId="46" r:id="rId19"/>
    <sheet name="SELETIVA LONDRINA" sheetId="44" r:id="rId20"/>
  </sheets>
  <externalReferences>
    <externalReference r:id="rId21"/>
    <externalReference r:id="rId22"/>
  </externalReferences>
  <definedNames>
    <definedName name="_xlnm._FilterDatabase" localSheetId="2" hidden="1">'BASE+TOMADOR'!$A$1:$BS$135</definedName>
    <definedName name="_xlnm._FilterDatabase" localSheetId="10" hidden="1">BRACOFER!$A$2:$O$20</definedName>
    <definedName name="_xlnm._FilterDatabase" localSheetId="1" hidden="1">'Custo_Fopag (2)'!$A$1:$BQ$120</definedName>
    <definedName name="_xlnm._FilterDatabase" localSheetId="4" hidden="1">'Custo_Fopag.CSV'!$A$1:$BJ$104</definedName>
    <definedName name="_xlnm._FilterDatabase" localSheetId="11" hidden="1">EKIPA!$A$2:$O$14</definedName>
    <definedName name="_xlnm._FilterDatabase" localSheetId="8" hidden="1">GERAL!$A$2:$O$136</definedName>
    <definedName name="_xlnm._FilterDatabase" localSheetId="9" hidden="1">PILARES!$A$2:$O$20</definedName>
    <definedName name="_xlnm._FilterDatabase" localSheetId="6" hidden="1">Planilha1!$A$1:$A$122</definedName>
    <definedName name="_xlnm._FilterDatabase" localSheetId="7" hidden="1">Planilha3!$A$1:$BK$113</definedName>
    <definedName name="_xlnm._FilterDatabase" localSheetId="13" hidden="1">'SELETIVA APOIO'!$A$2:$O$16</definedName>
    <definedName name="_xlnm._FilterDatabase" localSheetId="14" hidden="1">'SELETIVA C GRANDE'!$A$2:$O$10</definedName>
    <definedName name="_xlnm._FilterDatabase" localSheetId="18" hidden="1">'SELETIVA CIDADE ALTA'!$A$2:$O$5</definedName>
    <definedName name="_xlnm._FilterDatabase" localSheetId="15" hidden="1">'SELETIVA DOURADOS'!$A$2:$O$11</definedName>
    <definedName name="_xlnm._FilterDatabase" localSheetId="19" hidden="1">'SELETIVA LONDRINA'!$A$2:$O$7</definedName>
    <definedName name="_xlnm._FilterDatabase" localSheetId="17" hidden="1">'SELETIVA MARINGÁ'!$A$2:$O$13</definedName>
    <definedName name="_xlnm._FilterDatabase" localSheetId="16" hidden="1">'SELETIVA PRUDENTE'!$A$2:$O$12</definedName>
    <definedName name="_xlnm._FilterDatabase" localSheetId="12" hidden="1">TRANSMOVE!$A$2:$O$4</definedName>
    <definedName name="_xlnm.Print_Area" localSheetId="10">BRACOFER!$A$1:$P$37</definedName>
    <definedName name="_xlnm.Print_Area" localSheetId="11">EKIPA!$A$1:$P$32</definedName>
    <definedName name="_xlnm.Print_Area" localSheetId="8">GERAL!$A$1:$P$183</definedName>
    <definedName name="_xlnm.Print_Area" localSheetId="9">PILARES!$A$1:$P$39</definedName>
    <definedName name="_xlnm.Print_Area" localSheetId="13">'SELETIVA APOIO'!$A$1:$P$40</definedName>
    <definedName name="_xlnm.Print_Area" localSheetId="14">'SELETIVA C GRANDE'!$A$1:$P$25</definedName>
    <definedName name="_xlnm.Print_Area" localSheetId="18">'SELETIVA CIDADE ALTA'!$A$1:$P$20</definedName>
    <definedName name="_xlnm.Print_Area" localSheetId="15">'SELETIVA DOURADOS'!$A$1:$P$27</definedName>
    <definedName name="_xlnm.Print_Area" localSheetId="19">'SELETIVA LONDRINA'!$A$1:$P$17</definedName>
    <definedName name="_xlnm.Print_Area" localSheetId="17">'SELETIVA MARINGÁ'!$A$1:$P$28</definedName>
    <definedName name="_xlnm.Print_Area" localSheetId="16">'SELETIVA PRUDENTE'!$A$1:$P$31</definedName>
    <definedName name="_xlnm.Print_Area" localSheetId="12">TRANSMOVE!$A$1:$P$15</definedName>
    <definedName name="_xlnm.Print_Titles" localSheetId="10">BRACOFER!$1:$2</definedName>
    <definedName name="_xlnm.Print_Titles" localSheetId="11">EKIPA!$1:$2</definedName>
    <definedName name="_xlnm.Print_Titles" localSheetId="8">GERAL!$1:$2</definedName>
    <definedName name="_xlnm.Print_Titles" localSheetId="9">PILARES!$1:$2</definedName>
    <definedName name="_xlnm.Print_Titles" localSheetId="13">'SELETIVA APOIO'!$1:$2</definedName>
    <definedName name="_xlnm.Print_Titles" localSheetId="14">'SELETIVA C GRANDE'!$1:$2</definedName>
    <definedName name="_xlnm.Print_Titles" localSheetId="18">'SELETIVA CIDADE ALTA'!$1:$2</definedName>
    <definedName name="_xlnm.Print_Titles" localSheetId="15">'SELETIVA DOURADOS'!$1:$2</definedName>
    <definedName name="_xlnm.Print_Titles" localSheetId="19">'SELETIVA LONDRINA'!$1:$2</definedName>
    <definedName name="_xlnm.Print_Titles" localSheetId="17">'SELETIVA MARINGÁ'!$1:$2</definedName>
    <definedName name="_xlnm.Print_Titles" localSheetId="16">'SELETIVA PRUDENTE'!$1:$2</definedName>
    <definedName name="_xlnm.Print_Titles" localSheetId="12">TRANSMOVE!$1:$2</definedName>
  </definedNames>
  <calcPr calcId="191028"/>
  <pivotCaches>
    <pivotCache cacheId="19" r:id="rId23"/>
    <pivotCache cacheId="20" r:id="rId24"/>
    <pivotCache cacheId="21" r:id="rId25"/>
    <pivotCache cacheId="22" r:id="rId26"/>
    <pivotCache cacheId="23" r:id="rId27"/>
    <pivotCache cacheId="24" r:id="rId28"/>
    <pivotCache cacheId="25" r:id="rId29"/>
    <pivotCache cacheId="26" r:id="rId30"/>
    <pivotCache cacheId="27" r:id="rId31"/>
    <pivotCache cacheId="28" r:id="rId32"/>
    <pivotCache cacheId="29" r:id="rId33"/>
    <pivotCache cacheId="30" r:id="rId34"/>
    <pivotCache cacheId="31" r:id="rId35"/>
    <pivotCache cacheId="32" r:id="rId36"/>
    <pivotCache cacheId="33" r:id="rId3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8" i="2" l="1"/>
  <c r="A129" i="2" s="1"/>
  <c r="A130" i="2" s="1"/>
  <c r="A131" i="2" s="1"/>
  <c r="A132" i="2" s="1"/>
  <c r="A133" i="2" s="1"/>
  <c r="A134" i="2" s="1"/>
  <c r="A135" i="2" s="1"/>
  <c r="A136" i="2" s="1"/>
  <c r="Q134" i="47"/>
  <c r="Q133" i="47"/>
  <c r="Q129" i="47"/>
  <c r="C24" i="2"/>
  <c r="D24" i="2"/>
  <c r="E24" i="2"/>
  <c r="F24" i="2"/>
  <c r="G24" i="2"/>
  <c r="H24" i="2"/>
  <c r="J24" i="2"/>
  <c r="O24" i="2"/>
  <c r="C16" i="2"/>
  <c r="D16" i="2"/>
  <c r="G16" i="2"/>
  <c r="H16" i="2"/>
  <c r="I16" i="2"/>
  <c r="O16" i="2"/>
  <c r="C24" i="36"/>
  <c r="O24" i="36"/>
  <c r="A20" i="40"/>
  <c r="A14" i="40"/>
  <c r="A15" i="40"/>
  <c r="A16" i="40"/>
  <c r="A17" i="40"/>
  <c r="A18" i="40"/>
  <c r="A19" i="40"/>
  <c r="C12" i="45"/>
  <c r="I12" i="45"/>
  <c r="O12" i="45"/>
  <c r="C22" i="36"/>
  <c r="I22" i="36"/>
  <c r="O22" i="36"/>
  <c r="C23" i="36"/>
  <c r="I23" i="36"/>
  <c r="O23" i="36"/>
  <c r="C20" i="40"/>
  <c r="I20" i="40"/>
  <c r="O20" i="40"/>
  <c r="C9" i="41"/>
  <c r="I9" i="41"/>
  <c r="O9" i="41"/>
  <c r="C15" i="38"/>
  <c r="I15" i="38"/>
  <c r="O15" i="38"/>
  <c r="O16" i="38"/>
  <c r="O17" i="38"/>
  <c r="I16" i="38"/>
  <c r="I17" i="38"/>
  <c r="C16" i="38"/>
  <c r="C17" i="38"/>
  <c r="O5" i="46"/>
  <c r="T15" i="43" l="1"/>
  <c r="T16" i="43" s="1"/>
  <c r="C12" i="40"/>
  <c r="O12" i="40"/>
  <c r="C19" i="40"/>
  <c r="O19" i="40"/>
  <c r="A4" i="38"/>
  <c r="A4" i="40"/>
  <c r="A5" i="40" s="1"/>
  <c r="BO42" i="47"/>
  <c r="J16" i="2" s="1"/>
  <c r="Q42" i="47"/>
  <c r="O42" i="47"/>
  <c r="E16" i="2" s="1"/>
  <c r="N42" i="47"/>
  <c r="K42" i="47"/>
  <c r="J42" i="47"/>
  <c r="O4" i="44" l="1"/>
  <c r="O7" i="44"/>
  <c r="O6" i="44"/>
  <c r="O5" i="44"/>
  <c r="O3" i="44"/>
  <c r="O1" i="44"/>
  <c r="O3" i="46"/>
  <c r="O4" i="46"/>
  <c r="O1" i="46"/>
  <c r="O3" i="45"/>
  <c r="O6" i="45"/>
  <c r="O5" i="45"/>
  <c r="O8" i="45"/>
  <c r="O4" i="45"/>
  <c r="O9" i="45"/>
  <c r="O11" i="45"/>
  <c r="O10" i="45"/>
  <c r="O7" i="45"/>
  <c r="O1" i="45"/>
  <c r="O5" i="43"/>
  <c r="O8" i="43"/>
  <c r="O7" i="43"/>
  <c r="O4" i="43"/>
  <c r="O12" i="43"/>
  <c r="O9" i="43"/>
  <c r="O3" i="43"/>
  <c r="O11" i="43"/>
  <c r="O13" i="43"/>
  <c r="O10" i="43"/>
  <c r="O15" i="43"/>
  <c r="O16" i="43"/>
  <c r="O14" i="43"/>
  <c r="O6" i="43"/>
  <c r="O1" i="43"/>
  <c r="O3" i="42"/>
  <c r="O4" i="42"/>
  <c r="O5" i="42"/>
  <c r="O8" i="42"/>
  <c r="O6" i="42"/>
  <c r="O9" i="42"/>
  <c r="O10" i="42"/>
  <c r="O7" i="42"/>
  <c r="O1" i="42"/>
  <c r="O1" i="41"/>
  <c r="O1" i="40"/>
  <c r="O1" i="39"/>
  <c r="O6" i="41"/>
  <c r="O4" i="41"/>
  <c r="O5" i="41"/>
  <c r="O7" i="41"/>
  <c r="O8" i="41"/>
  <c r="O3" i="41"/>
  <c r="O4" i="40"/>
  <c r="O5" i="40"/>
  <c r="O8" i="40"/>
  <c r="O9" i="40"/>
  <c r="O6" i="40"/>
  <c r="O10" i="40"/>
  <c r="O11" i="40"/>
  <c r="O13" i="40"/>
  <c r="O14" i="40"/>
  <c r="O15" i="40"/>
  <c r="O16" i="40"/>
  <c r="O17" i="40"/>
  <c r="O18" i="40"/>
  <c r="O7" i="40"/>
  <c r="O3" i="40"/>
  <c r="O4" i="39"/>
  <c r="O3" i="39"/>
  <c r="O6" i="38"/>
  <c r="O3" i="38"/>
  <c r="O4" i="38"/>
  <c r="O7" i="38"/>
  <c r="O9" i="38"/>
  <c r="O13" i="38"/>
  <c r="O10" i="38"/>
  <c r="O12" i="38"/>
  <c r="O8" i="38"/>
  <c r="O11" i="38"/>
  <c r="O14" i="38"/>
  <c r="O18" i="38"/>
  <c r="O5" i="38"/>
  <c r="O4" i="37"/>
  <c r="O5" i="37"/>
  <c r="O6" i="37"/>
  <c r="O7" i="37"/>
  <c r="O8" i="37"/>
  <c r="O9" i="37"/>
  <c r="O10" i="37"/>
  <c r="O11" i="37"/>
  <c r="O12" i="37"/>
  <c r="O13" i="37"/>
  <c r="O14" i="37"/>
  <c r="O15" i="37"/>
  <c r="O16" i="37"/>
  <c r="O17" i="37"/>
  <c r="O18" i="37"/>
  <c r="O19" i="37"/>
  <c r="O20" i="37"/>
  <c r="O21" i="37"/>
  <c r="O3" i="37"/>
  <c r="O1" i="38"/>
  <c r="A4" i="37"/>
  <c r="I19" i="37"/>
  <c r="O1" i="37"/>
  <c r="O1" i="36"/>
  <c r="O4" i="36"/>
  <c r="O5" i="36"/>
  <c r="O6" i="36"/>
  <c r="O7" i="36"/>
  <c r="O8" i="36"/>
  <c r="O9" i="36"/>
  <c r="O10" i="36"/>
  <c r="O11" i="36"/>
  <c r="O12" i="36"/>
  <c r="O13" i="36"/>
  <c r="O14" i="36"/>
  <c r="O15" i="36"/>
  <c r="O16" i="36"/>
  <c r="O17" i="36"/>
  <c r="O18" i="36"/>
  <c r="O19" i="36"/>
  <c r="O20" i="36"/>
  <c r="O21" i="36"/>
  <c r="O25" i="36"/>
  <c r="O3" i="36"/>
  <c r="I25" i="36"/>
  <c r="C21" i="36"/>
  <c r="AI135" i="47"/>
  <c r="AI134" i="47"/>
  <c r="AI133" i="47"/>
  <c r="AI132" i="47"/>
  <c r="AI131" i="47"/>
  <c r="AI130" i="47"/>
  <c r="AI129" i="47"/>
  <c r="AI128" i="47"/>
  <c r="AI127" i="47"/>
  <c r="AI126" i="47"/>
  <c r="AI125" i="47"/>
  <c r="AI124" i="47"/>
  <c r="AI123" i="47"/>
  <c r="AI122" i="47"/>
  <c r="AI121" i="47"/>
  <c r="AI120" i="47"/>
  <c r="AI119" i="47"/>
  <c r="AI118" i="47"/>
  <c r="AI117" i="47"/>
  <c r="AI115" i="47"/>
  <c r="AI114" i="47"/>
  <c r="AI113" i="47"/>
  <c r="AI112" i="47"/>
  <c r="AI109" i="47"/>
  <c r="AI108" i="47"/>
  <c r="AI107" i="47"/>
  <c r="AI106" i="47"/>
  <c r="AI105" i="47"/>
  <c r="AI104" i="47"/>
  <c r="AI103" i="47"/>
  <c r="AI102" i="47"/>
  <c r="AI101" i="47"/>
  <c r="AI100" i="47"/>
  <c r="AI99" i="47"/>
  <c r="AI98" i="47"/>
  <c r="AI97" i="47"/>
  <c r="AI96" i="47"/>
  <c r="AI95" i="47"/>
  <c r="AI93" i="47"/>
  <c r="AI92" i="47"/>
  <c r="AI91" i="47"/>
  <c r="AI90" i="47"/>
  <c r="AI89" i="47"/>
  <c r="AI88" i="47"/>
  <c r="AI87" i="47"/>
  <c r="AI86" i="47"/>
  <c r="AI85" i="47"/>
  <c r="AI82" i="47"/>
  <c r="AI80" i="47"/>
  <c r="AI78" i="47"/>
  <c r="AI77" i="47"/>
  <c r="AI76" i="47"/>
  <c r="AI75" i="47"/>
  <c r="AI73" i="47"/>
  <c r="AI72" i="47"/>
  <c r="AI71" i="47"/>
  <c r="AI70" i="47"/>
  <c r="AI69" i="47"/>
  <c r="AI68" i="47"/>
  <c r="AI67" i="47"/>
  <c r="AI66" i="47"/>
  <c r="AI65" i="47"/>
  <c r="AI64" i="47"/>
  <c r="AI63" i="47"/>
  <c r="AI62" i="47"/>
  <c r="AI61" i="47"/>
  <c r="AI59" i="47"/>
  <c r="AI58" i="47"/>
  <c r="AI57" i="47"/>
  <c r="AI56" i="47"/>
  <c r="AI55" i="47"/>
  <c r="AI54" i="47"/>
  <c r="AI53" i="47"/>
  <c r="AI52" i="47"/>
  <c r="AI51" i="47"/>
  <c r="AI50" i="47"/>
  <c r="AI49" i="47"/>
  <c r="AI48" i="47"/>
  <c r="AI47" i="47"/>
  <c r="AI46" i="47"/>
  <c r="AI45" i="47"/>
  <c r="AI44" i="47"/>
  <c r="AI42" i="47"/>
  <c r="AI41" i="47"/>
  <c r="AI40" i="47"/>
  <c r="AI39" i="47"/>
  <c r="AI38" i="47"/>
  <c r="AI37" i="47"/>
  <c r="AI36" i="47"/>
  <c r="AI34" i="47"/>
  <c r="AI33" i="47"/>
  <c r="AI32" i="47"/>
  <c r="AI31" i="47"/>
  <c r="AI30" i="47"/>
  <c r="AI28" i="47"/>
  <c r="AI27" i="47"/>
  <c r="AI26" i="47"/>
  <c r="AI24" i="47"/>
  <c r="AI23" i="47"/>
  <c r="AI22" i="47"/>
  <c r="AI21" i="47"/>
  <c r="AI20" i="47"/>
  <c r="AI19" i="47"/>
  <c r="AI18" i="47"/>
  <c r="AI17" i="47"/>
  <c r="AI16" i="47"/>
  <c r="AI15" i="47"/>
  <c r="AI14" i="47"/>
  <c r="AI13" i="47"/>
  <c r="AI11" i="47"/>
  <c r="AI10" i="47"/>
  <c r="AI9" i="47"/>
  <c r="AI8" i="47"/>
  <c r="AI7" i="47"/>
  <c r="AI6" i="47"/>
  <c r="AI4" i="47"/>
  <c r="AI3" i="47"/>
  <c r="AI2" i="47"/>
  <c r="L43" i="47"/>
  <c r="L60" i="47"/>
  <c r="L74" i="47"/>
  <c r="L83" i="47"/>
  <c r="L107" i="47"/>
  <c r="L5" i="47"/>
  <c r="L25" i="47"/>
  <c r="L29" i="47"/>
  <c r="L35" i="47"/>
  <c r="K2" i="47"/>
  <c r="O5" i="2"/>
  <c r="O6" i="2"/>
  <c r="O13" i="2"/>
  <c r="O9" i="2"/>
  <c r="O8" i="2"/>
  <c r="O15" i="2"/>
  <c r="O127" i="2"/>
  <c r="O10" i="2"/>
  <c r="O11" i="2"/>
  <c r="O22" i="2"/>
  <c r="O21" i="2"/>
  <c r="O28" i="2"/>
  <c r="O39" i="2"/>
  <c r="O45" i="2"/>
  <c r="O35" i="2"/>
  <c r="O56" i="2"/>
  <c r="O61" i="2"/>
  <c r="O102" i="2"/>
  <c r="O105" i="2"/>
  <c r="O109" i="2"/>
  <c r="O121" i="2"/>
  <c r="O122" i="2"/>
  <c r="O123" i="2"/>
  <c r="O124" i="2"/>
  <c r="O125" i="2"/>
  <c r="O126" i="2"/>
  <c r="O3" i="2"/>
  <c r="O118" i="2" l="1"/>
  <c r="O100" i="2" l="1"/>
  <c r="O119" i="2"/>
  <c r="O89" i="2"/>
  <c r="O96" i="2"/>
  <c r="O91" i="2"/>
  <c r="O97" i="2"/>
  <c r="O111" i="2"/>
  <c r="O84" i="2"/>
  <c r="O72" i="2" l="1"/>
  <c r="O17" i="2"/>
  <c r="O4" i="2"/>
  <c r="O34" i="2"/>
  <c r="O25" i="2"/>
  <c r="O65" i="2"/>
  <c r="O106" i="2"/>
  <c r="O29" i="2"/>
  <c r="O68" i="2"/>
  <c r="O101" i="2"/>
  <c r="O49" i="2"/>
  <c r="O50" i="2"/>
  <c r="O12" i="2"/>
  <c r="O83" i="2"/>
  <c r="O81" i="2"/>
  <c r="O110" i="2"/>
  <c r="O54" i="2"/>
  <c r="O30" i="2"/>
  <c r="O59" i="2"/>
  <c r="O77" i="2"/>
  <c r="O87" i="2"/>
  <c r="O76" i="2"/>
  <c r="O19" i="2"/>
  <c r="O27" i="2"/>
  <c r="O53" i="2"/>
  <c r="O73" i="2"/>
  <c r="O38" i="2"/>
  <c r="O67" i="2"/>
  <c r="O104" i="2"/>
  <c r="O82" i="2" l="1"/>
  <c r="O69" i="2"/>
  <c r="O107" i="2"/>
  <c r="O33" i="2"/>
  <c r="O117" i="2"/>
  <c r="O88" i="2"/>
  <c r="O20" i="2"/>
  <c r="O103" i="2"/>
  <c r="O18" i="2"/>
  <c r="O85" i="2"/>
  <c r="O94" i="2"/>
  <c r="O79" i="2"/>
  <c r="O80" i="2"/>
  <c r="O47" i="2"/>
  <c r="O60" i="2"/>
  <c r="O52" i="2"/>
  <c r="O71" i="2"/>
  <c r="O63" i="2"/>
  <c r="O90" i="2"/>
  <c r="O31" i="2"/>
  <c r="O48" i="2"/>
  <c r="O32" i="2"/>
  <c r="O78" i="2"/>
  <c r="O66" i="2"/>
  <c r="O36" i="2"/>
  <c r="O93" i="2"/>
  <c r="O75" i="2"/>
  <c r="O70" i="2"/>
  <c r="O55" i="2"/>
  <c r="O86" i="2"/>
  <c r="O95" i="2"/>
  <c r="O41" i="2"/>
  <c r="O116" i="2"/>
  <c r="O74" i="2"/>
  <c r="O92" i="2"/>
  <c r="O40" i="2"/>
  <c r="O23" i="2"/>
  <c r="O14" i="2"/>
  <c r="O62" i="2"/>
  <c r="O98" i="2"/>
  <c r="O51" i="2"/>
  <c r="O114" i="2"/>
  <c r="O112" i="2"/>
  <c r="O108" i="2"/>
  <c r="O120" i="2"/>
  <c r="O43" i="2"/>
  <c r="O58" i="2"/>
  <c r="O99" i="2"/>
  <c r="O7" i="2"/>
  <c r="O115" i="2"/>
  <c r="O26" i="2"/>
  <c r="O37" i="2"/>
  <c r="O113" i="2"/>
  <c r="O46" i="2"/>
  <c r="O64" i="2"/>
  <c r="O44" i="2"/>
  <c r="O42" i="2"/>
  <c r="O57" i="2"/>
  <c r="O1" i="2" l="1"/>
  <c r="C124" i="2"/>
  <c r="I124" i="2"/>
  <c r="C123" i="2"/>
  <c r="I123" i="2"/>
  <c r="C109" i="2"/>
  <c r="I109" i="2"/>
  <c r="C61" i="2"/>
  <c r="I61" i="2"/>
  <c r="C122" i="2"/>
  <c r="I122" i="2"/>
  <c r="C121" i="2"/>
  <c r="I121" i="2"/>
  <c r="C125" i="2"/>
  <c r="I125" i="2"/>
  <c r="C108" i="2"/>
  <c r="C105" i="2"/>
  <c r="I105" i="2"/>
  <c r="C133" i="2"/>
  <c r="O133" i="2"/>
  <c r="C134" i="2"/>
  <c r="O134" i="2"/>
  <c r="C135" i="2"/>
  <c r="O135" i="2"/>
  <c r="C136" i="2"/>
  <c r="O136" i="2"/>
  <c r="D108" i="47"/>
  <c r="G108" i="47"/>
  <c r="H108" i="47"/>
  <c r="I108" i="47"/>
  <c r="J108" i="47"/>
  <c r="K108" i="47"/>
  <c r="N108" i="47"/>
  <c r="O108" i="47"/>
  <c r="P108" i="47"/>
  <c r="R108" i="47"/>
  <c r="S108" i="47"/>
  <c r="T108" i="47"/>
  <c r="U108" i="47"/>
  <c r="V108" i="47"/>
  <c r="W108" i="47"/>
  <c r="X108" i="47"/>
  <c r="Y108" i="47"/>
  <c r="Z108" i="47"/>
  <c r="AA108" i="47"/>
  <c r="AB108" i="47"/>
  <c r="AC108" i="47"/>
  <c r="AD108" i="47"/>
  <c r="AE108" i="47"/>
  <c r="AF108" i="47"/>
  <c r="AH108" i="47"/>
  <c r="AJ108" i="47"/>
  <c r="AL108" i="47"/>
  <c r="AM108" i="47"/>
  <c r="AN108" i="47"/>
  <c r="AO108" i="47"/>
  <c r="AP108" i="47"/>
  <c r="AQ108" i="47"/>
  <c r="AR108" i="47"/>
  <c r="AS108" i="47"/>
  <c r="AT108" i="47"/>
  <c r="AU108" i="47"/>
  <c r="AV108" i="47"/>
  <c r="AW108" i="47"/>
  <c r="AX108" i="47"/>
  <c r="AY108" i="47"/>
  <c r="BA108" i="47"/>
  <c r="BB108" i="47"/>
  <c r="BK108" i="47"/>
  <c r="BL108" i="47"/>
  <c r="BM108" i="47"/>
  <c r="BN108" i="47"/>
  <c r="BR108" i="47"/>
  <c r="BS108" i="47"/>
  <c r="D109" i="47"/>
  <c r="G109" i="47"/>
  <c r="H109" i="47"/>
  <c r="I109" i="47"/>
  <c r="J109" i="47"/>
  <c r="K109" i="47"/>
  <c r="N109" i="47"/>
  <c r="O109" i="47"/>
  <c r="P109" i="47"/>
  <c r="R109" i="47"/>
  <c r="S109" i="47"/>
  <c r="T109" i="47"/>
  <c r="U109" i="47"/>
  <c r="V109" i="47"/>
  <c r="W109" i="47"/>
  <c r="X109" i="47"/>
  <c r="Y109" i="47"/>
  <c r="Z109" i="47"/>
  <c r="AA109" i="47"/>
  <c r="AB109" i="47"/>
  <c r="AC109" i="47"/>
  <c r="AD109" i="47"/>
  <c r="AE109" i="47"/>
  <c r="AF109" i="47"/>
  <c r="AH109" i="47"/>
  <c r="AJ109" i="47"/>
  <c r="AL109" i="47"/>
  <c r="AM109" i="47"/>
  <c r="AN109" i="47"/>
  <c r="AO109" i="47"/>
  <c r="AP109" i="47"/>
  <c r="AQ109" i="47"/>
  <c r="AR109" i="47"/>
  <c r="AS109" i="47"/>
  <c r="AT109" i="47"/>
  <c r="AU109" i="47"/>
  <c r="AV109" i="47"/>
  <c r="AW109" i="47"/>
  <c r="AX109" i="47"/>
  <c r="AY109" i="47"/>
  <c r="BA109" i="47"/>
  <c r="BB109" i="47"/>
  <c r="BK109" i="47"/>
  <c r="BL109" i="47"/>
  <c r="BM109" i="47"/>
  <c r="BN109" i="47"/>
  <c r="BR109" i="47"/>
  <c r="BS109" i="47"/>
  <c r="D110" i="47"/>
  <c r="G110" i="47"/>
  <c r="H110" i="47"/>
  <c r="I110" i="47"/>
  <c r="J110" i="47"/>
  <c r="K110" i="47"/>
  <c r="N110" i="47"/>
  <c r="O110" i="47"/>
  <c r="P110" i="47"/>
  <c r="R110" i="47"/>
  <c r="S110" i="47"/>
  <c r="T110" i="47"/>
  <c r="U110" i="47"/>
  <c r="V110" i="47"/>
  <c r="W110" i="47"/>
  <c r="X110" i="47"/>
  <c r="Y110" i="47"/>
  <c r="Z110" i="47"/>
  <c r="AA110" i="47"/>
  <c r="AB110" i="47"/>
  <c r="AC110" i="47"/>
  <c r="AD110" i="47"/>
  <c r="AE110" i="47"/>
  <c r="AF110" i="47"/>
  <c r="AH110" i="47"/>
  <c r="AI110" i="47"/>
  <c r="AJ110" i="47"/>
  <c r="AL110" i="47"/>
  <c r="AM110" i="47"/>
  <c r="AN110" i="47"/>
  <c r="AO110" i="47"/>
  <c r="AP110" i="47"/>
  <c r="AQ110" i="47"/>
  <c r="AR110" i="47"/>
  <c r="AS110" i="47"/>
  <c r="AT110" i="47"/>
  <c r="AU110" i="47"/>
  <c r="AV110" i="47"/>
  <c r="AW110" i="47"/>
  <c r="AX110" i="47"/>
  <c r="AY110" i="47"/>
  <c r="BA110" i="47"/>
  <c r="BB110" i="47"/>
  <c r="BK110" i="47"/>
  <c r="BL110" i="47"/>
  <c r="BM110" i="47"/>
  <c r="BN110" i="47"/>
  <c r="BR110" i="47"/>
  <c r="BS110" i="47"/>
  <c r="D111" i="47"/>
  <c r="G111" i="47"/>
  <c r="H111" i="47"/>
  <c r="I111" i="47"/>
  <c r="J111" i="47"/>
  <c r="K111" i="47"/>
  <c r="N111" i="47"/>
  <c r="O111" i="47"/>
  <c r="P111" i="47"/>
  <c r="R111" i="47"/>
  <c r="S111" i="47"/>
  <c r="T111" i="47"/>
  <c r="U111" i="47"/>
  <c r="V111" i="47"/>
  <c r="W111" i="47"/>
  <c r="X111" i="47"/>
  <c r="Y111" i="47"/>
  <c r="Z111" i="47"/>
  <c r="AA111" i="47"/>
  <c r="AB111" i="47"/>
  <c r="AC111" i="47"/>
  <c r="AD111" i="47"/>
  <c r="AE111" i="47"/>
  <c r="AF111" i="47"/>
  <c r="AH111" i="47"/>
  <c r="AI111" i="47"/>
  <c r="AJ111" i="47"/>
  <c r="AL111" i="47"/>
  <c r="AM111" i="47"/>
  <c r="AN111" i="47"/>
  <c r="AO111" i="47"/>
  <c r="AP111" i="47"/>
  <c r="AQ111" i="47"/>
  <c r="AR111" i="47"/>
  <c r="AS111" i="47"/>
  <c r="AT111" i="47"/>
  <c r="AU111" i="47"/>
  <c r="AV111" i="47"/>
  <c r="AW111" i="47"/>
  <c r="AX111" i="47"/>
  <c r="AY111" i="47"/>
  <c r="BA111" i="47"/>
  <c r="BB111" i="47"/>
  <c r="BK111" i="47"/>
  <c r="BL111" i="47"/>
  <c r="BM111" i="47"/>
  <c r="BN111" i="47"/>
  <c r="BR111" i="47"/>
  <c r="BS111" i="47"/>
  <c r="D112" i="47"/>
  <c r="G112" i="47"/>
  <c r="H112" i="47"/>
  <c r="I112" i="47"/>
  <c r="J112" i="47"/>
  <c r="K112" i="47"/>
  <c r="N112" i="47"/>
  <c r="O112" i="47"/>
  <c r="P112" i="47"/>
  <c r="R112" i="47"/>
  <c r="S112" i="47"/>
  <c r="T112" i="47"/>
  <c r="U112" i="47"/>
  <c r="V112" i="47"/>
  <c r="W112" i="47"/>
  <c r="X112" i="47"/>
  <c r="Y112" i="47"/>
  <c r="Z112" i="47"/>
  <c r="AA112" i="47"/>
  <c r="AB112" i="47"/>
  <c r="AC112" i="47"/>
  <c r="AD112" i="47"/>
  <c r="AE112" i="47"/>
  <c r="AF112" i="47"/>
  <c r="AH112" i="47"/>
  <c r="AJ112" i="47"/>
  <c r="AL112" i="47"/>
  <c r="AM112" i="47"/>
  <c r="AN112" i="47"/>
  <c r="AO112" i="47"/>
  <c r="AP112" i="47"/>
  <c r="AQ112" i="47"/>
  <c r="AR112" i="47"/>
  <c r="AS112" i="47"/>
  <c r="AT112" i="47"/>
  <c r="AU112" i="47"/>
  <c r="AV112" i="47"/>
  <c r="AW112" i="47"/>
  <c r="AX112" i="47"/>
  <c r="AY112" i="47"/>
  <c r="BA112" i="47"/>
  <c r="BB112" i="47"/>
  <c r="BK112" i="47"/>
  <c r="BL112" i="47"/>
  <c r="BM112" i="47"/>
  <c r="BN112" i="47"/>
  <c r="BR112" i="47"/>
  <c r="BS112" i="47"/>
  <c r="D113" i="47"/>
  <c r="G113" i="47"/>
  <c r="H113" i="47"/>
  <c r="I113" i="47"/>
  <c r="J113" i="47"/>
  <c r="K113" i="47"/>
  <c r="N113" i="47"/>
  <c r="O113" i="47"/>
  <c r="P113" i="47"/>
  <c r="R113" i="47"/>
  <c r="S113" i="47"/>
  <c r="T113" i="47"/>
  <c r="U113" i="47"/>
  <c r="V113" i="47"/>
  <c r="W113" i="47"/>
  <c r="X113" i="47"/>
  <c r="Y113" i="47"/>
  <c r="Z113" i="47"/>
  <c r="AA113" i="47"/>
  <c r="AB113" i="47"/>
  <c r="AC113" i="47"/>
  <c r="AD113" i="47"/>
  <c r="AE113" i="47"/>
  <c r="AF113" i="47"/>
  <c r="AH113" i="47"/>
  <c r="AJ113" i="47"/>
  <c r="AL113" i="47"/>
  <c r="AM113" i="47"/>
  <c r="AN113" i="47"/>
  <c r="AO113" i="47"/>
  <c r="AP113" i="47"/>
  <c r="AQ113" i="47"/>
  <c r="AR113" i="47"/>
  <c r="AS113" i="47"/>
  <c r="AT113" i="47"/>
  <c r="AU113" i="47"/>
  <c r="AV113" i="47"/>
  <c r="AW113" i="47"/>
  <c r="AX113" i="47"/>
  <c r="AY113" i="47"/>
  <c r="BA113" i="47"/>
  <c r="BB113" i="47"/>
  <c r="BK113" i="47"/>
  <c r="BL113" i="47"/>
  <c r="BM113" i="47"/>
  <c r="BN113" i="47"/>
  <c r="BR113" i="47"/>
  <c r="BS113" i="47"/>
  <c r="D114" i="47"/>
  <c r="G114" i="47"/>
  <c r="H114" i="47"/>
  <c r="I114" i="47"/>
  <c r="J114" i="47"/>
  <c r="K114" i="47"/>
  <c r="N114" i="47"/>
  <c r="O114" i="47"/>
  <c r="P114" i="47"/>
  <c r="R114" i="47"/>
  <c r="S114" i="47"/>
  <c r="T114" i="47"/>
  <c r="U114" i="47"/>
  <c r="V114" i="47"/>
  <c r="W114" i="47"/>
  <c r="X114" i="47"/>
  <c r="Y114" i="47"/>
  <c r="Z114" i="47"/>
  <c r="AA114" i="47"/>
  <c r="AB114" i="47"/>
  <c r="AC114" i="47"/>
  <c r="AD114" i="47"/>
  <c r="AE114" i="47"/>
  <c r="AF114" i="47"/>
  <c r="AH114" i="47"/>
  <c r="AJ114" i="47"/>
  <c r="AL114" i="47"/>
  <c r="AM114" i="47"/>
  <c r="AN114" i="47"/>
  <c r="AO114" i="47"/>
  <c r="AP114" i="47"/>
  <c r="AQ114" i="47"/>
  <c r="AR114" i="47"/>
  <c r="AS114" i="47"/>
  <c r="AT114" i="47"/>
  <c r="AU114" i="47"/>
  <c r="AV114" i="47"/>
  <c r="AW114" i="47"/>
  <c r="AX114" i="47"/>
  <c r="AY114" i="47"/>
  <c r="BA114" i="47"/>
  <c r="BB114" i="47"/>
  <c r="BK114" i="47"/>
  <c r="BL114" i="47"/>
  <c r="BM114" i="47"/>
  <c r="BN114" i="47"/>
  <c r="BR114" i="47"/>
  <c r="BS114" i="47"/>
  <c r="D115" i="47"/>
  <c r="G115" i="47"/>
  <c r="H115" i="47"/>
  <c r="I115" i="47"/>
  <c r="J115" i="47"/>
  <c r="K115" i="47"/>
  <c r="N115" i="47"/>
  <c r="O115" i="47"/>
  <c r="P115" i="47"/>
  <c r="R115" i="47"/>
  <c r="S115" i="47"/>
  <c r="T115" i="47"/>
  <c r="U115" i="47"/>
  <c r="V115" i="47"/>
  <c r="W115" i="47"/>
  <c r="X115" i="47"/>
  <c r="Y115" i="47"/>
  <c r="Z115" i="47"/>
  <c r="AA115" i="47"/>
  <c r="AB115" i="47"/>
  <c r="AC115" i="47"/>
  <c r="AD115" i="47"/>
  <c r="AE115" i="47"/>
  <c r="AF115" i="47"/>
  <c r="AH115" i="47"/>
  <c r="AJ115" i="47"/>
  <c r="AL115" i="47"/>
  <c r="AM115" i="47"/>
  <c r="AN115" i="47"/>
  <c r="AO115" i="47"/>
  <c r="AP115" i="47"/>
  <c r="AQ115" i="47"/>
  <c r="AR115" i="47"/>
  <c r="AS115" i="47"/>
  <c r="AT115" i="47"/>
  <c r="AU115" i="47"/>
  <c r="AV115" i="47"/>
  <c r="AW115" i="47"/>
  <c r="AX115" i="47"/>
  <c r="AY115" i="47"/>
  <c r="BA115" i="47"/>
  <c r="BB115" i="47"/>
  <c r="BK115" i="47"/>
  <c r="BL115" i="47"/>
  <c r="BM115" i="47"/>
  <c r="BN115" i="47"/>
  <c r="BR115" i="47"/>
  <c r="BS115" i="47"/>
  <c r="D116" i="47"/>
  <c r="G116" i="47"/>
  <c r="H116" i="47"/>
  <c r="I116" i="47"/>
  <c r="J116" i="47"/>
  <c r="K116" i="47"/>
  <c r="N116" i="47"/>
  <c r="O116" i="47"/>
  <c r="P116" i="47"/>
  <c r="R116" i="47"/>
  <c r="S116" i="47"/>
  <c r="T116" i="47"/>
  <c r="U116" i="47"/>
  <c r="V116" i="47"/>
  <c r="W116" i="47"/>
  <c r="X116" i="47"/>
  <c r="Y116" i="47"/>
  <c r="Z116" i="47"/>
  <c r="AA116" i="47"/>
  <c r="AB116" i="47"/>
  <c r="AC116" i="47"/>
  <c r="AD116" i="47"/>
  <c r="AE116" i="47"/>
  <c r="AF116" i="47"/>
  <c r="AH116" i="47"/>
  <c r="AI116" i="47"/>
  <c r="AJ116" i="47"/>
  <c r="AL116" i="47"/>
  <c r="AM116" i="47"/>
  <c r="AN116" i="47"/>
  <c r="AO116" i="47"/>
  <c r="AP116" i="47"/>
  <c r="AQ116" i="47"/>
  <c r="AR116" i="47"/>
  <c r="AS116" i="47"/>
  <c r="AT116" i="47"/>
  <c r="AU116" i="47"/>
  <c r="AV116" i="47"/>
  <c r="AW116" i="47"/>
  <c r="AX116" i="47"/>
  <c r="AY116" i="47"/>
  <c r="BA116" i="47"/>
  <c r="BB116" i="47"/>
  <c r="BK116" i="47"/>
  <c r="BL116" i="47"/>
  <c r="BM116" i="47"/>
  <c r="BN116" i="47"/>
  <c r="BR116" i="47"/>
  <c r="BS116" i="47"/>
  <c r="P120" i="35"/>
  <c r="Q116" i="47" s="1"/>
  <c r="P119" i="35"/>
  <c r="P118" i="35"/>
  <c r="P117" i="35"/>
  <c r="P116" i="35"/>
  <c r="P115" i="35"/>
  <c r="P114" i="35"/>
  <c r="P113" i="35"/>
  <c r="Q115" i="47" s="1"/>
  <c r="P112" i="35"/>
  <c r="P111" i="35"/>
  <c r="P110" i="35"/>
  <c r="P109" i="35"/>
  <c r="P108" i="35"/>
  <c r="P107" i="35"/>
  <c r="P106" i="35"/>
  <c r="P105" i="35"/>
  <c r="P104" i="35"/>
  <c r="P103" i="35"/>
  <c r="P102" i="35"/>
  <c r="P101" i="35"/>
  <c r="P100" i="35"/>
  <c r="P99" i="35"/>
  <c r="P98" i="35"/>
  <c r="P97" i="35"/>
  <c r="P96" i="35"/>
  <c r="P95" i="35"/>
  <c r="P94" i="35"/>
  <c r="P93" i="35"/>
  <c r="P92" i="35"/>
  <c r="P91" i="35"/>
  <c r="P90" i="35"/>
  <c r="P89" i="35"/>
  <c r="P88" i="35"/>
  <c r="P87" i="35"/>
  <c r="P86" i="35"/>
  <c r="P85" i="35"/>
  <c r="P84" i="35"/>
  <c r="P83" i="35"/>
  <c r="P82" i="35"/>
  <c r="P81" i="35"/>
  <c r="P80" i="35"/>
  <c r="P79" i="35"/>
  <c r="P78" i="35"/>
  <c r="P77" i="35"/>
  <c r="P76" i="35"/>
  <c r="P75" i="35"/>
  <c r="P74" i="35"/>
  <c r="P73" i="35"/>
  <c r="P72" i="35"/>
  <c r="P71" i="35"/>
  <c r="P70" i="35"/>
  <c r="P69" i="35"/>
  <c r="Q114" i="47" s="1"/>
  <c r="P68" i="35"/>
  <c r="Q113" i="47" s="1"/>
  <c r="P67" i="35"/>
  <c r="Q112" i="47" s="1"/>
  <c r="P66" i="35"/>
  <c r="P65" i="35"/>
  <c r="P64" i="35"/>
  <c r="P63" i="35"/>
  <c r="P62" i="35"/>
  <c r="P61" i="35"/>
  <c r="P60" i="35"/>
  <c r="P59" i="35"/>
  <c r="P58" i="35"/>
  <c r="P57" i="35"/>
  <c r="P56" i="35"/>
  <c r="P55" i="35"/>
  <c r="P54" i="35"/>
  <c r="P53" i="35"/>
  <c r="P52" i="35"/>
  <c r="P51" i="35"/>
  <c r="P50" i="35"/>
  <c r="P49" i="35"/>
  <c r="P48" i="35"/>
  <c r="P47" i="35"/>
  <c r="P46" i="35"/>
  <c r="P45" i="35"/>
  <c r="P44" i="35"/>
  <c r="P43" i="35"/>
  <c r="P42" i="35"/>
  <c r="P41" i="35"/>
  <c r="P40" i="35"/>
  <c r="P39" i="35"/>
  <c r="Q111" i="47" s="1"/>
  <c r="P38" i="35"/>
  <c r="P37" i="35"/>
  <c r="P36" i="35"/>
  <c r="P35" i="35"/>
  <c r="Q110" i="47" s="1"/>
  <c r="P34" i="35"/>
  <c r="P33" i="35"/>
  <c r="P32" i="35"/>
  <c r="P31" i="35"/>
  <c r="P30" i="35"/>
  <c r="P29" i="35"/>
  <c r="P28" i="35"/>
  <c r="P27" i="35"/>
  <c r="P26" i="35"/>
  <c r="P25" i="35"/>
  <c r="P24" i="35"/>
  <c r="P23" i="35"/>
  <c r="P22" i="35"/>
  <c r="P21" i="35"/>
  <c r="P20" i="35"/>
  <c r="P19" i="35"/>
  <c r="P18" i="35"/>
  <c r="P17" i="35"/>
  <c r="P16" i="35"/>
  <c r="P15" i="35"/>
  <c r="P14" i="35"/>
  <c r="Q109" i="47" s="1"/>
  <c r="P13" i="35"/>
  <c r="Q108" i="47" s="1"/>
  <c r="P12" i="35"/>
  <c r="P11" i="35"/>
  <c r="P10" i="35"/>
  <c r="P9" i="35"/>
  <c r="P8" i="35"/>
  <c r="P7" i="35"/>
  <c r="P6" i="35"/>
  <c r="P5" i="35"/>
  <c r="P4" i="35"/>
  <c r="P3" i="35"/>
  <c r="P2" i="35"/>
  <c r="D10" i="47"/>
  <c r="AI94" i="47"/>
  <c r="AI84" i="47"/>
  <c r="AI79" i="47"/>
  <c r="AI81" i="47"/>
  <c r="AI83" i="47"/>
  <c r="AI25" i="47"/>
  <c r="AI29" i="47"/>
  <c r="AI35" i="47"/>
  <c r="AI43" i="47"/>
  <c r="AI60" i="47"/>
  <c r="AI74" i="47"/>
  <c r="AI5" i="47"/>
  <c r="AI12" i="47"/>
  <c r="U96" i="47"/>
  <c r="U95" i="47"/>
  <c r="U94" i="47"/>
  <c r="U93" i="47"/>
  <c r="U92" i="47"/>
  <c r="U91" i="47"/>
  <c r="U90" i="47"/>
  <c r="U89" i="47"/>
  <c r="U88" i="47"/>
  <c r="U87" i="47"/>
  <c r="U86" i="47"/>
  <c r="U85" i="47"/>
  <c r="U84" i="47"/>
  <c r="U83" i="47"/>
  <c r="U82" i="47"/>
  <c r="U81" i="47"/>
  <c r="U80" i="47"/>
  <c r="U79" i="47"/>
  <c r="U78" i="47"/>
  <c r="U77" i="47"/>
  <c r="U76" i="47"/>
  <c r="U75" i="47"/>
  <c r="U107" i="47"/>
  <c r="U74" i="47"/>
  <c r="U73" i="47"/>
  <c r="U72" i="47"/>
  <c r="U71" i="47"/>
  <c r="U70" i="47"/>
  <c r="U69" i="47"/>
  <c r="U68" i="47"/>
  <c r="U67" i="47"/>
  <c r="U66" i="47"/>
  <c r="U65" i="47"/>
  <c r="U106" i="47"/>
  <c r="U64" i="47"/>
  <c r="U63" i="47"/>
  <c r="U62" i="47"/>
  <c r="U61" i="47"/>
  <c r="U60" i="47"/>
  <c r="U59" i="47"/>
  <c r="U58" i="47"/>
  <c r="U57" i="47"/>
  <c r="U56" i="47"/>
  <c r="U55" i="47"/>
  <c r="U54" i="47"/>
  <c r="U53" i="47"/>
  <c r="U52" i="47"/>
  <c r="U51" i="47"/>
  <c r="U50" i="47"/>
  <c r="U49" i="47"/>
  <c r="U48" i="47"/>
  <c r="U47" i="47"/>
  <c r="U46" i="47"/>
  <c r="U45" i="47"/>
  <c r="U44" i="47"/>
  <c r="U43" i="47"/>
  <c r="U41" i="47"/>
  <c r="U40" i="47"/>
  <c r="U39" i="47"/>
  <c r="U38" i="47"/>
  <c r="U105" i="47"/>
  <c r="U37" i="47"/>
  <c r="U104" i="47"/>
  <c r="U36" i="47"/>
  <c r="U103" i="47"/>
  <c r="U102" i="47"/>
  <c r="U35" i="47"/>
  <c r="U34" i="47"/>
  <c r="U33" i="47"/>
  <c r="U32" i="47"/>
  <c r="U101" i="47"/>
  <c r="U31" i="47"/>
  <c r="U30" i="47"/>
  <c r="U29" i="47"/>
  <c r="U100" i="47"/>
  <c r="U28" i="47"/>
  <c r="U27" i="47"/>
  <c r="U26" i="47"/>
  <c r="U25" i="47"/>
  <c r="U24" i="47"/>
  <c r="U99" i="47"/>
  <c r="U23" i="47"/>
  <c r="U22" i="47"/>
  <c r="U21" i="47"/>
  <c r="U20" i="47"/>
  <c r="U19" i="47"/>
  <c r="U18" i="47"/>
  <c r="U17" i="47"/>
  <c r="U98" i="47"/>
  <c r="U16" i="47"/>
  <c r="U97" i="47"/>
  <c r="U15" i="47"/>
  <c r="U14" i="47"/>
  <c r="U13" i="47"/>
  <c r="U12" i="47"/>
  <c r="U11" i="47"/>
  <c r="U10" i="47"/>
  <c r="U9" i="47"/>
  <c r="U8" i="47"/>
  <c r="U7" i="47"/>
  <c r="U6" i="47"/>
  <c r="U5" i="47"/>
  <c r="U4" i="47"/>
  <c r="U3" i="47"/>
  <c r="T96" i="47"/>
  <c r="T95" i="47"/>
  <c r="T94" i="47"/>
  <c r="T93" i="47"/>
  <c r="T92" i="47"/>
  <c r="T91" i="47"/>
  <c r="T90" i="47"/>
  <c r="T89" i="47"/>
  <c r="T88" i="47"/>
  <c r="T87" i="47"/>
  <c r="T86" i="47"/>
  <c r="T85" i="47"/>
  <c r="T84" i="47"/>
  <c r="T83" i="47"/>
  <c r="T82" i="47"/>
  <c r="T81" i="47"/>
  <c r="T80" i="47"/>
  <c r="T79" i="47"/>
  <c r="T78" i="47"/>
  <c r="T77" i="47"/>
  <c r="T76" i="47"/>
  <c r="T75" i="47"/>
  <c r="T107" i="47"/>
  <c r="T74" i="47"/>
  <c r="T73" i="47"/>
  <c r="T72" i="47"/>
  <c r="T71" i="47"/>
  <c r="T70" i="47"/>
  <c r="T69" i="47"/>
  <c r="T68" i="47"/>
  <c r="T67" i="47"/>
  <c r="T66" i="47"/>
  <c r="T65" i="47"/>
  <c r="T106" i="47"/>
  <c r="T64" i="47"/>
  <c r="T63" i="47"/>
  <c r="T62" i="47"/>
  <c r="T61" i="47"/>
  <c r="T60" i="47"/>
  <c r="T59" i="47"/>
  <c r="T58" i="47"/>
  <c r="T57" i="47"/>
  <c r="T56" i="47"/>
  <c r="T55" i="47"/>
  <c r="T54" i="47"/>
  <c r="T53" i="47"/>
  <c r="T52" i="47"/>
  <c r="T51" i="47"/>
  <c r="T50" i="47"/>
  <c r="T49" i="47"/>
  <c r="T48" i="47"/>
  <c r="T47" i="47"/>
  <c r="T46" i="47"/>
  <c r="T45" i="47"/>
  <c r="T44" i="47"/>
  <c r="T43" i="47"/>
  <c r="T41" i="47"/>
  <c r="T40" i="47"/>
  <c r="T39" i="47"/>
  <c r="T38" i="47"/>
  <c r="T105" i="47"/>
  <c r="T37" i="47"/>
  <c r="T104" i="47"/>
  <c r="T36" i="47"/>
  <c r="T103" i="47"/>
  <c r="T102" i="47"/>
  <c r="T35" i="47"/>
  <c r="T34" i="47"/>
  <c r="T33" i="47"/>
  <c r="T32" i="47"/>
  <c r="T101" i="47"/>
  <c r="T31" i="47"/>
  <c r="T30" i="47"/>
  <c r="T29" i="47"/>
  <c r="T100" i="47"/>
  <c r="T28" i="47"/>
  <c r="T27" i="47"/>
  <c r="T26" i="47"/>
  <c r="T25" i="47"/>
  <c r="T24" i="47"/>
  <c r="T99" i="47"/>
  <c r="T23" i="47"/>
  <c r="T22" i="47"/>
  <c r="T21" i="47"/>
  <c r="T20" i="47"/>
  <c r="T19" i="47"/>
  <c r="T18" i="47"/>
  <c r="T17" i="47"/>
  <c r="T98" i="47"/>
  <c r="T16" i="47"/>
  <c r="T97" i="47"/>
  <c r="T15" i="47"/>
  <c r="T14" i="47"/>
  <c r="T13" i="47"/>
  <c r="T12" i="47"/>
  <c r="T11" i="47"/>
  <c r="T10" i="47"/>
  <c r="T9" i="47"/>
  <c r="T8" i="47"/>
  <c r="T7" i="47"/>
  <c r="T6" i="47"/>
  <c r="T5" i="47"/>
  <c r="T4" i="47"/>
  <c r="T3" i="47"/>
  <c r="T2" i="47"/>
  <c r="AA68" i="47"/>
  <c r="AA99" i="47"/>
  <c r="AA37" i="47"/>
  <c r="AA9" i="47"/>
  <c r="AA76" i="47"/>
  <c r="AA97" i="47"/>
  <c r="AA100" i="47"/>
  <c r="AA62" i="47"/>
  <c r="AA16" i="47"/>
  <c r="AA96" i="47"/>
  <c r="AA95" i="47"/>
  <c r="AA94" i="47"/>
  <c r="AA93" i="47"/>
  <c r="AA92" i="47"/>
  <c r="AA91" i="47"/>
  <c r="AA90" i="47"/>
  <c r="AA89" i="47"/>
  <c r="AA88" i="47"/>
  <c r="AA87" i="47"/>
  <c r="AA86" i="47"/>
  <c r="AA85" i="47"/>
  <c r="AA84" i="47"/>
  <c r="AA83" i="47"/>
  <c r="AA82" i="47"/>
  <c r="AA81" i="47"/>
  <c r="AA80" i="47"/>
  <c r="AA79" i="47"/>
  <c r="AA78" i="47"/>
  <c r="AA77" i="47"/>
  <c r="AA75" i="47"/>
  <c r="AA107" i="47"/>
  <c r="AA74" i="47"/>
  <c r="AA73" i="47"/>
  <c r="AA72" i="47"/>
  <c r="AA71" i="47"/>
  <c r="AA70" i="47"/>
  <c r="AA69" i="47"/>
  <c r="AA67" i="47"/>
  <c r="AA66" i="47"/>
  <c r="AA65" i="47"/>
  <c r="AA106" i="47"/>
  <c r="AA64" i="47"/>
  <c r="AA63" i="47"/>
  <c r="AA61" i="47"/>
  <c r="AA60" i="47"/>
  <c r="AA59" i="47"/>
  <c r="AA58" i="47"/>
  <c r="AA57" i="47"/>
  <c r="AA56" i="47"/>
  <c r="AA55" i="47"/>
  <c r="AA54" i="47"/>
  <c r="AA53" i="47"/>
  <c r="AA52" i="47"/>
  <c r="AA51" i="47"/>
  <c r="AA50" i="47"/>
  <c r="AA49" i="47"/>
  <c r="AA48" i="47"/>
  <c r="AA47" i="47"/>
  <c r="AA46" i="47"/>
  <c r="AA45" i="47"/>
  <c r="AA44" i="47"/>
  <c r="AA43" i="47"/>
  <c r="AA41" i="47"/>
  <c r="AA40" i="47"/>
  <c r="AA39" i="47"/>
  <c r="AA38" i="47"/>
  <c r="AA105" i="47"/>
  <c r="AA104" i="47"/>
  <c r="AA36" i="47"/>
  <c r="AA103" i="47"/>
  <c r="AA102" i="47"/>
  <c r="AA35" i="47"/>
  <c r="AA34" i="47"/>
  <c r="AA33" i="47"/>
  <c r="AA32" i="47"/>
  <c r="AA101" i="47"/>
  <c r="AA31" i="47"/>
  <c r="AA30" i="47"/>
  <c r="AA29" i="47"/>
  <c r="AA28" i="47"/>
  <c r="AA27" i="47"/>
  <c r="AA26" i="47"/>
  <c r="AA25" i="47"/>
  <c r="AA24" i="47"/>
  <c r="AA23" i="47"/>
  <c r="AA22" i="47"/>
  <c r="AA21" i="47"/>
  <c r="AA20" i="47"/>
  <c r="AA19" i="47"/>
  <c r="AA18" i="47"/>
  <c r="AA17" i="47"/>
  <c r="AA98" i="47"/>
  <c r="AA15" i="47"/>
  <c r="AA14" i="47"/>
  <c r="AA13" i="47"/>
  <c r="AA12" i="47"/>
  <c r="AA11" i="47"/>
  <c r="AA10" i="47"/>
  <c r="AA8" i="47"/>
  <c r="AA7" i="47"/>
  <c r="AA6" i="47"/>
  <c r="AA5" i="47"/>
  <c r="AA4" i="47"/>
  <c r="AA3" i="47"/>
  <c r="AA2" i="47"/>
  <c r="A4" i="46"/>
  <c r="A5" i="46" s="1"/>
  <c r="F109" i="2" l="1"/>
  <c r="F15" i="38"/>
  <c r="F123" i="2"/>
  <c r="F17" i="38"/>
  <c r="F124" i="2"/>
  <c r="F16" i="38"/>
  <c r="G109" i="2"/>
  <c r="G15" i="38"/>
  <c r="E105" i="2"/>
  <c r="E12" i="45"/>
  <c r="E125" i="2"/>
  <c r="E23" i="36"/>
  <c r="E121" i="2"/>
  <c r="E22" i="36"/>
  <c r="E122" i="2"/>
  <c r="E20" i="40"/>
  <c r="E61" i="2"/>
  <c r="E9" i="41"/>
  <c r="G123" i="2"/>
  <c r="G17" i="38"/>
  <c r="E109" i="2"/>
  <c r="E15" i="38"/>
  <c r="E123" i="2"/>
  <c r="E17" i="38"/>
  <c r="E124" i="2"/>
  <c r="E16" i="38"/>
  <c r="D105" i="2"/>
  <c r="D12" i="45"/>
  <c r="D125" i="2"/>
  <c r="D23" i="36"/>
  <c r="D121" i="2"/>
  <c r="D22" i="36"/>
  <c r="D122" i="2"/>
  <c r="D20" i="40"/>
  <c r="H105" i="2"/>
  <c r="H12" i="45"/>
  <c r="H125" i="2"/>
  <c r="H23" i="36"/>
  <c r="H121" i="2"/>
  <c r="H22" i="36"/>
  <c r="H122" i="2"/>
  <c r="H20" i="40"/>
  <c r="D61" i="2"/>
  <c r="D9" i="41"/>
  <c r="G124" i="2"/>
  <c r="G16" i="38"/>
  <c r="F105" i="2"/>
  <c r="F12" i="45"/>
  <c r="G105" i="2"/>
  <c r="G12" i="45"/>
  <c r="G125" i="2"/>
  <c r="G23" i="36"/>
  <c r="G121" i="2"/>
  <c r="G22" i="36"/>
  <c r="G122" i="2"/>
  <c r="G20" i="40"/>
  <c r="H61" i="2"/>
  <c r="H9" i="41"/>
  <c r="D109" i="2"/>
  <c r="D15" i="38"/>
  <c r="D123" i="2"/>
  <c r="D17" i="38"/>
  <c r="D124" i="2"/>
  <c r="D16" i="38"/>
  <c r="F125" i="2"/>
  <c r="F23" i="36"/>
  <c r="F121" i="2"/>
  <c r="F22" i="36"/>
  <c r="F122" i="2"/>
  <c r="F20" i="40"/>
  <c r="F61" i="2"/>
  <c r="F9" i="41"/>
  <c r="G61" i="2"/>
  <c r="G9" i="41"/>
  <c r="H109" i="2"/>
  <c r="H15" i="38"/>
  <c r="H123" i="2"/>
  <c r="H17" i="38"/>
  <c r="H124" i="2"/>
  <c r="H16" i="38"/>
  <c r="BO110" i="47"/>
  <c r="BO116" i="47"/>
  <c r="BO114" i="47"/>
  <c r="BO111" i="47"/>
  <c r="BO113" i="47"/>
  <c r="BO115" i="47"/>
  <c r="J19" i="37" s="1"/>
  <c r="BC115" i="47"/>
  <c r="K19" i="37" s="1"/>
  <c r="BO109" i="47"/>
  <c r="BC109" i="47"/>
  <c r="K123" i="2" s="1"/>
  <c r="AG109" i="47"/>
  <c r="BG109" i="47" s="1"/>
  <c r="BH109" i="47" s="1"/>
  <c r="BC116" i="47"/>
  <c r="AG116" i="47"/>
  <c r="BG116" i="47" s="1"/>
  <c r="BH116" i="47" s="1"/>
  <c r="BC110" i="47"/>
  <c r="K109" i="2" s="1"/>
  <c r="AG110" i="47"/>
  <c r="BG110" i="47" s="1"/>
  <c r="BH110" i="47" s="1"/>
  <c r="BC108" i="47"/>
  <c r="K124" i="2" s="1"/>
  <c r="AG115" i="47"/>
  <c r="BG115" i="47" s="1"/>
  <c r="BH115" i="47" s="1"/>
  <c r="BO108" i="47"/>
  <c r="AG108" i="47"/>
  <c r="BG108" i="47" s="1"/>
  <c r="BH108" i="47" s="1"/>
  <c r="BC114" i="47"/>
  <c r="AG114" i="47"/>
  <c r="BG114" i="47" s="1"/>
  <c r="BH114" i="47" s="1"/>
  <c r="AG113" i="47"/>
  <c r="BG113" i="47" s="1"/>
  <c r="BH113" i="47" s="1"/>
  <c r="BO112" i="47"/>
  <c r="BC112" i="47"/>
  <c r="BC113" i="47"/>
  <c r="AG112" i="47"/>
  <c r="BG112" i="47" s="1"/>
  <c r="BH112" i="47" s="1"/>
  <c r="BC111" i="47"/>
  <c r="AG111" i="47"/>
  <c r="BG111" i="47" s="1"/>
  <c r="BH111" i="47" s="1"/>
  <c r="A4" i="45"/>
  <c r="A5" i="45" s="1"/>
  <c r="A6" i="45" s="1"/>
  <c r="A7" i="45" s="1"/>
  <c r="A8" i="45" s="1"/>
  <c r="A9" i="45" s="1"/>
  <c r="A10" i="45" s="1"/>
  <c r="A11" i="45" s="1"/>
  <c r="C10" i="45"/>
  <c r="K105" i="2" l="1"/>
  <c r="K12" i="45"/>
  <c r="K61" i="2"/>
  <c r="K9" i="41"/>
  <c r="K121" i="2"/>
  <c r="K22" i="36"/>
  <c r="K122" i="2"/>
  <c r="K20" i="40"/>
  <c r="J123" i="2"/>
  <c r="J17" i="38"/>
  <c r="J122" i="2"/>
  <c r="J20" i="40"/>
  <c r="J121" i="2"/>
  <c r="J22" i="36"/>
  <c r="J61" i="2"/>
  <c r="J9" i="41"/>
  <c r="K125" i="2"/>
  <c r="K23" i="36"/>
  <c r="J125" i="2"/>
  <c r="J23" i="36"/>
  <c r="J105" i="2"/>
  <c r="J12" i="45"/>
  <c r="J124" i="2"/>
  <c r="J16" i="38"/>
  <c r="J109" i="2"/>
  <c r="J15" i="38"/>
  <c r="BD111" i="47"/>
  <c r="L9" i="41" s="1"/>
  <c r="BD109" i="47"/>
  <c r="BD113" i="47"/>
  <c r="L22" i="36" s="1"/>
  <c r="BD114" i="47"/>
  <c r="L23" i="36" s="1"/>
  <c r="BD116" i="47"/>
  <c r="L12" i="45" s="1"/>
  <c r="BD108" i="47"/>
  <c r="BD110" i="47"/>
  <c r="BD112" i="47"/>
  <c r="L20" i="40" s="1"/>
  <c r="BD115" i="47"/>
  <c r="C15" i="43"/>
  <c r="O2" i="43"/>
  <c r="O2" i="42"/>
  <c r="C8" i="41"/>
  <c r="C7" i="40"/>
  <c r="C19" i="37"/>
  <c r="C17" i="40"/>
  <c r="C9" i="40"/>
  <c r="C16" i="40"/>
  <c r="O2" i="40"/>
  <c r="O2" i="39"/>
  <c r="C13" i="38"/>
  <c r="BF115" i="47" l="1"/>
  <c r="M19" i="37" s="1"/>
  <c r="L19" i="37"/>
  <c r="BF116" i="47"/>
  <c r="L105" i="2"/>
  <c r="BF114" i="47"/>
  <c r="L125" i="2"/>
  <c r="BF111" i="47"/>
  <c r="L61" i="2"/>
  <c r="BF112" i="47"/>
  <c r="L122" i="2"/>
  <c r="BF110" i="47"/>
  <c r="L109" i="2"/>
  <c r="BF108" i="47"/>
  <c r="L124" i="2"/>
  <c r="BF113" i="47"/>
  <c r="L121" i="2"/>
  <c r="BF109" i="47"/>
  <c r="L123" i="2"/>
  <c r="C21" i="37"/>
  <c r="C16" i="37"/>
  <c r="O128" i="2"/>
  <c r="O129" i="2"/>
  <c r="O130" i="2"/>
  <c r="O131" i="2"/>
  <c r="O132" i="2"/>
  <c r="M109" i="2" l="1"/>
  <c r="M15" i="38"/>
  <c r="M125" i="2"/>
  <c r="M23" i="36"/>
  <c r="P23" i="36" s="1"/>
  <c r="M122" i="2"/>
  <c r="M20" i="40"/>
  <c r="P20" i="40" s="1"/>
  <c r="M61" i="2"/>
  <c r="M9" i="41"/>
  <c r="P9" i="41" s="1"/>
  <c r="M105" i="2"/>
  <c r="M12" i="45"/>
  <c r="P12" i="45" s="1"/>
  <c r="BQ113" i="47"/>
  <c r="M22" i="36"/>
  <c r="P22" i="36" s="1"/>
  <c r="M124" i="2"/>
  <c r="M16" i="38"/>
  <c r="P16" i="38" s="1"/>
  <c r="M123" i="2"/>
  <c r="M17" i="38"/>
  <c r="P17" i="38" s="1"/>
  <c r="BP115" i="47"/>
  <c r="BQ115" i="47"/>
  <c r="BP114" i="47"/>
  <c r="BQ111" i="47"/>
  <c r="BQ108" i="47"/>
  <c r="BP108" i="47"/>
  <c r="BP110" i="47"/>
  <c r="BP112" i="47"/>
  <c r="BQ114" i="47"/>
  <c r="BQ110" i="47"/>
  <c r="BP116" i="47"/>
  <c r="BQ116" i="47"/>
  <c r="BP113" i="47"/>
  <c r="M121" i="2"/>
  <c r="BQ112" i="47"/>
  <c r="BP111" i="47"/>
  <c r="BQ109" i="47"/>
  <c r="BP109" i="47"/>
  <c r="C25" i="36"/>
  <c r="C97" i="2" l="1"/>
  <c r="C119" i="2"/>
  <c r="C100" i="2"/>
  <c r="C84" i="2"/>
  <c r="C96" i="2"/>
  <c r="C118" i="2"/>
  <c r="C111" i="2"/>
  <c r="C89" i="2"/>
  <c r="C91" i="2"/>
  <c r="D62" i="47"/>
  <c r="G62" i="47"/>
  <c r="H62" i="47"/>
  <c r="I62" i="47"/>
  <c r="J62" i="47"/>
  <c r="K62" i="47"/>
  <c r="N62" i="47"/>
  <c r="O62" i="47"/>
  <c r="P62" i="47"/>
  <c r="R62" i="47"/>
  <c r="S62" i="47"/>
  <c r="V62" i="47"/>
  <c r="W62" i="47"/>
  <c r="X62" i="47"/>
  <c r="Y62" i="47"/>
  <c r="Z62" i="47"/>
  <c r="AB62" i="47"/>
  <c r="AC62" i="47"/>
  <c r="AD62" i="47"/>
  <c r="AE62" i="47"/>
  <c r="AF62" i="47"/>
  <c r="AH62" i="47"/>
  <c r="AJ62" i="47"/>
  <c r="AL62" i="47"/>
  <c r="AM62" i="47"/>
  <c r="AN62" i="47"/>
  <c r="AO62" i="47"/>
  <c r="AP62" i="47"/>
  <c r="AQ62" i="47"/>
  <c r="AR62" i="47"/>
  <c r="AS62" i="47"/>
  <c r="AT62" i="47"/>
  <c r="AU62" i="47"/>
  <c r="AV62" i="47"/>
  <c r="AW62" i="47"/>
  <c r="AX62" i="47"/>
  <c r="AY62" i="47"/>
  <c r="BA62" i="47"/>
  <c r="BB62" i="47"/>
  <c r="BK62" i="47"/>
  <c r="BL62" i="47"/>
  <c r="BM62" i="47"/>
  <c r="BN62" i="47"/>
  <c r="BR62" i="47"/>
  <c r="BS62" i="47"/>
  <c r="D100" i="47"/>
  <c r="G100" i="47"/>
  <c r="H100" i="47"/>
  <c r="I100" i="47"/>
  <c r="J100" i="47"/>
  <c r="K100" i="47"/>
  <c r="N100" i="47"/>
  <c r="O100" i="47"/>
  <c r="P100" i="47"/>
  <c r="R100" i="47"/>
  <c r="S100" i="47"/>
  <c r="V100" i="47"/>
  <c r="W100" i="47"/>
  <c r="X100" i="47"/>
  <c r="Y100" i="47"/>
  <c r="Z100" i="47"/>
  <c r="AB100" i="47"/>
  <c r="AC100" i="47"/>
  <c r="AD100" i="47"/>
  <c r="AE100" i="47"/>
  <c r="AF100" i="47"/>
  <c r="AH100" i="47"/>
  <c r="AJ100" i="47"/>
  <c r="AL100" i="47"/>
  <c r="AM100" i="47"/>
  <c r="AN100" i="47"/>
  <c r="AO100" i="47"/>
  <c r="AP100" i="47"/>
  <c r="AQ100" i="47"/>
  <c r="AR100" i="47"/>
  <c r="AS100" i="47"/>
  <c r="AT100" i="47"/>
  <c r="AU100" i="47"/>
  <c r="AV100" i="47"/>
  <c r="AW100" i="47"/>
  <c r="AX100" i="47"/>
  <c r="AY100" i="47"/>
  <c r="BA100" i="47"/>
  <c r="BB100" i="47"/>
  <c r="BK100" i="47"/>
  <c r="BL100" i="47"/>
  <c r="BM100" i="47"/>
  <c r="BN100" i="47"/>
  <c r="BR100" i="47"/>
  <c r="BS100" i="47"/>
  <c r="D97" i="47"/>
  <c r="G21" i="36" s="1"/>
  <c r="G97" i="47"/>
  <c r="H21" i="36" s="1"/>
  <c r="H97" i="47"/>
  <c r="D21" i="36" s="1"/>
  <c r="I97" i="47"/>
  <c r="J97" i="47"/>
  <c r="K97" i="47"/>
  <c r="N97" i="47"/>
  <c r="O97" i="47"/>
  <c r="E21" i="36" s="1"/>
  <c r="P97" i="47"/>
  <c r="R97" i="47"/>
  <c r="S97" i="47"/>
  <c r="V97" i="47"/>
  <c r="W97" i="47"/>
  <c r="X97" i="47"/>
  <c r="Y97" i="47"/>
  <c r="Z97" i="47"/>
  <c r="AB97" i="47"/>
  <c r="AC97" i="47"/>
  <c r="AD97" i="47"/>
  <c r="AE97" i="47"/>
  <c r="AF97" i="47"/>
  <c r="AH97" i="47"/>
  <c r="AJ97" i="47"/>
  <c r="AL97" i="47"/>
  <c r="AM97" i="47"/>
  <c r="AN97" i="47"/>
  <c r="AO97" i="47"/>
  <c r="AP97" i="47"/>
  <c r="AQ97" i="47"/>
  <c r="AR97" i="47"/>
  <c r="AS97" i="47"/>
  <c r="AT97" i="47"/>
  <c r="AU97" i="47"/>
  <c r="AV97" i="47"/>
  <c r="AW97" i="47"/>
  <c r="AX97" i="47"/>
  <c r="AY97" i="47"/>
  <c r="BA97" i="47"/>
  <c r="BB97" i="47"/>
  <c r="BK97" i="47"/>
  <c r="BL97" i="47"/>
  <c r="BM97" i="47"/>
  <c r="BN97" i="47"/>
  <c r="BR97" i="47"/>
  <c r="BS97" i="47"/>
  <c r="F21" i="36" s="1"/>
  <c r="D76" i="47"/>
  <c r="G76" i="47"/>
  <c r="H76" i="47"/>
  <c r="I76" i="47"/>
  <c r="J76" i="47"/>
  <c r="K76" i="47"/>
  <c r="N76" i="47"/>
  <c r="O76" i="47"/>
  <c r="P76" i="47"/>
  <c r="R76" i="47"/>
  <c r="S76" i="47"/>
  <c r="V76" i="47"/>
  <c r="W76" i="47"/>
  <c r="X76" i="47"/>
  <c r="Y76" i="47"/>
  <c r="Z76" i="47"/>
  <c r="AB76" i="47"/>
  <c r="AC76" i="47"/>
  <c r="AD76" i="47"/>
  <c r="AE76" i="47"/>
  <c r="AF76" i="47"/>
  <c r="AH76" i="47"/>
  <c r="AJ76" i="47"/>
  <c r="AL76" i="47"/>
  <c r="AM76" i="47"/>
  <c r="AN76" i="47"/>
  <c r="AO76" i="47"/>
  <c r="AP76" i="47"/>
  <c r="AQ76" i="47"/>
  <c r="AR76" i="47"/>
  <c r="AS76" i="47"/>
  <c r="AT76" i="47"/>
  <c r="AU76" i="47"/>
  <c r="AV76" i="47"/>
  <c r="AW76" i="47"/>
  <c r="AX76" i="47"/>
  <c r="AY76" i="47"/>
  <c r="BA76" i="47"/>
  <c r="BB76" i="47"/>
  <c r="BK76" i="47"/>
  <c r="BL76" i="47"/>
  <c r="BM76" i="47"/>
  <c r="BN76" i="47"/>
  <c r="BR76" i="47"/>
  <c r="BS76" i="47"/>
  <c r="D9" i="47"/>
  <c r="G9" i="47"/>
  <c r="H9" i="47"/>
  <c r="I9" i="47"/>
  <c r="J9" i="47"/>
  <c r="K9" i="47"/>
  <c r="N9" i="47"/>
  <c r="O9" i="47"/>
  <c r="P9" i="47"/>
  <c r="R9" i="47"/>
  <c r="S9" i="47"/>
  <c r="V9" i="47"/>
  <c r="W9" i="47"/>
  <c r="X9" i="47"/>
  <c r="Y9" i="47"/>
  <c r="Z9" i="47"/>
  <c r="AB9" i="47"/>
  <c r="AC9" i="47"/>
  <c r="AD9" i="47"/>
  <c r="AE9" i="47"/>
  <c r="AF9" i="47"/>
  <c r="AH9" i="47"/>
  <c r="AJ9" i="47"/>
  <c r="AL9" i="47"/>
  <c r="AM9" i="47"/>
  <c r="AN9" i="47"/>
  <c r="AO9" i="47"/>
  <c r="AP9" i="47"/>
  <c r="AQ9" i="47"/>
  <c r="AR9" i="47"/>
  <c r="AS9" i="47"/>
  <c r="AT9" i="47"/>
  <c r="AU9" i="47"/>
  <c r="AV9" i="47"/>
  <c r="AW9" i="47"/>
  <c r="AX9" i="47"/>
  <c r="AY9" i="47"/>
  <c r="BA9" i="47"/>
  <c r="BB9" i="47"/>
  <c r="BK9" i="47"/>
  <c r="BL9" i="47"/>
  <c r="BM9" i="47"/>
  <c r="BN9" i="47"/>
  <c r="BR9" i="47"/>
  <c r="BS9" i="47"/>
  <c r="D37" i="47"/>
  <c r="G37" i="47"/>
  <c r="H37" i="47"/>
  <c r="I37" i="47"/>
  <c r="J37" i="47"/>
  <c r="K37" i="47"/>
  <c r="N37" i="47"/>
  <c r="O37" i="47"/>
  <c r="P37" i="47"/>
  <c r="R37" i="47"/>
  <c r="S37" i="47"/>
  <c r="V37" i="47"/>
  <c r="W37" i="47"/>
  <c r="X37" i="47"/>
  <c r="Y37" i="47"/>
  <c r="Z37" i="47"/>
  <c r="AB37" i="47"/>
  <c r="AC37" i="47"/>
  <c r="AD37" i="47"/>
  <c r="AE37" i="47"/>
  <c r="AF37" i="47"/>
  <c r="AH37" i="47"/>
  <c r="AJ37" i="47"/>
  <c r="AL37" i="47"/>
  <c r="AM37" i="47"/>
  <c r="AN37" i="47"/>
  <c r="AO37" i="47"/>
  <c r="AP37" i="47"/>
  <c r="AQ37" i="47"/>
  <c r="AR37" i="47"/>
  <c r="AS37" i="47"/>
  <c r="AT37" i="47"/>
  <c r="AU37" i="47"/>
  <c r="AV37" i="47"/>
  <c r="AW37" i="47"/>
  <c r="AX37" i="47"/>
  <c r="AY37" i="47"/>
  <c r="BA37" i="47"/>
  <c r="BB37" i="47"/>
  <c r="BK37" i="47"/>
  <c r="BL37" i="47"/>
  <c r="BM37" i="47"/>
  <c r="BN37" i="47"/>
  <c r="BR37" i="47"/>
  <c r="BS37" i="47"/>
  <c r="D99" i="47"/>
  <c r="G99" i="47"/>
  <c r="H99" i="47"/>
  <c r="I99" i="47"/>
  <c r="J99" i="47"/>
  <c r="K99" i="47"/>
  <c r="N99" i="47"/>
  <c r="O99" i="47"/>
  <c r="P99" i="47"/>
  <c r="R99" i="47"/>
  <c r="S99" i="47"/>
  <c r="V99" i="47"/>
  <c r="W99" i="47"/>
  <c r="X99" i="47"/>
  <c r="Y99" i="47"/>
  <c r="Z99" i="47"/>
  <c r="AB99" i="47"/>
  <c r="AC99" i="47"/>
  <c r="AD99" i="47"/>
  <c r="AE99" i="47"/>
  <c r="AF99" i="47"/>
  <c r="AH99" i="47"/>
  <c r="AJ99" i="47"/>
  <c r="AL99" i="47"/>
  <c r="AM99" i="47"/>
  <c r="AN99" i="47"/>
  <c r="AO99" i="47"/>
  <c r="AP99" i="47"/>
  <c r="AQ99" i="47"/>
  <c r="AR99" i="47"/>
  <c r="AS99" i="47"/>
  <c r="AT99" i="47"/>
  <c r="AU99" i="47"/>
  <c r="AV99" i="47"/>
  <c r="AW99" i="47"/>
  <c r="AX99" i="47"/>
  <c r="AY99" i="47"/>
  <c r="BA99" i="47"/>
  <c r="BB99" i="47"/>
  <c r="BK99" i="47"/>
  <c r="BL99" i="47"/>
  <c r="BM99" i="47"/>
  <c r="BN99" i="47"/>
  <c r="BR99" i="47"/>
  <c r="BS99" i="47"/>
  <c r="D68" i="47"/>
  <c r="G68" i="47"/>
  <c r="H68" i="47"/>
  <c r="I68" i="47"/>
  <c r="J68" i="47"/>
  <c r="K68" i="47"/>
  <c r="N68" i="47"/>
  <c r="O68" i="47"/>
  <c r="P68" i="47"/>
  <c r="R68" i="47"/>
  <c r="S68" i="47"/>
  <c r="V68" i="47"/>
  <c r="W68" i="47"/>
  <c r="X68" i="47"/>
  <c r="Y68" i="47"/>
  <c r="Z68" i="47"/>
  <c r="AB68" i="47"/>
  <c r="AC68" i="47"/>
  <c r="AD68" i="47"/>
  <c r="AE68" i="47"/>
  <c r="AF68" i="47"/>
  <c r="AH68" i="47"/>
  <c r="AJ68" i="47"/>
  <c r="AL68" i="47"/>
  <c r="AM68" i="47"/>
  <c r="AN68" i="47"/>
  <c r="AO68" i="47"/>
  <c r="AP68" i="47"/>
  <c r="AQ68" i="47"/>
  <c r="AR68" i="47"/>
  <c r="AS68" i="47"/>
  <c r="AT68" i="47"/>
  <c r="AU68" i="47"/>
  <c r="AV68" i="47"/>
  <c r="AW68" i="47"/>
  <c r="AX68" i="47"/>
  <c r="AY68" i="47"/>
  <c r="BA68" i="47"/>
  <c r="BB68" i="47"/>
  <c r="BK68" i="47"/>
  <c r="BL68" i="47"/>
  <c r="BM68" i="47"/>
  <c r="BN68" i="47"/>
  <c r="BR68" i="47"/>
  <c r="BS68" i="47"/>
  <c r="BS16" i="47"/>
  <c r="BR16" i="47"/>
  <c r="BN16" i="47"/>
  <c r="BM16" i="47"/>
  <c r="BL16" i="47"/>
  <c r="BK16" i="47"/>
  <c r="BB16" i="47"/>
  <c r="BA16" i="47"/>
  <c r="AY16" i="47"/>
  <c r="AX16" i="47"/>
  <c r="AW16" i="47"/>
  <c r="AV16" i="47"/>
  <c r="AU16" i="47"/>
  <c r="AT16" i="47"/>
  <c r="AS16" i="47"/>
  <c r="AR16" i="47"/>
  <c r="AQ16" i="47"/>
  <c r="AP16" i="47"/>
  <c r="AO16" i="47"/>
  <c r="AN16" i="47"/>
  <c r="AM16" i="47"/>
  <c r="AL16" i="47"/>
  <c r="AJ16" i="47"/>
  <c r="AH16" i="47"/>
  <c r="AF16" i="47"/>
  <c r="AE16" i="47"/>
  <c r="AD16" i="47"/>
  <c r="AC16" i="47"/>
  <c r="AB16" i="47"/>
  <c r="Z16" i="47"/>
  <c r="Y16" i="47"/>
  <c r="X16" i="47"/>
  <c r="W16" i="47"/>
  <c r="V16" i="47"/>
  <c r="S16" i="47"/>
  <c r="R16" i="47"/>
  <c r="P16" i="47"/>
  <c r="O16" i="47"/>
  <c r="N16" i="47"/>
  <c r="K16" i="47"/>
  <c r="J16" i="47"/>
  <c r="I16" i="47"/>
  <c r="H16" i="47"/>
  <c r="G16" i="47"/>
  <c r="D16" i="47"/>
  <c r="D96" i="47"/>
  <c r="BR3" i="47"/>
  <c r="BR4" i="47"/>
  <c r="BR5" i="47"/>
  <c r="M132" i="2" s="1"/>
  <c r="BR6" i="47"/>
  <c r="BR7" i="47"/>
  <c r="BR8" i="47"/>
  <c r="BR10" i="47"/>
  <c r="BR11" i="47"/>
  <c r="BR12" i="47"/>
  <c r="BR13" i="47"/>
  <c r="BR14" i="47"/>
  <c r="BR15" i="47"/>
  <c r="BR98" i="47"/>
  <c r="BR17" i="47"/>
  <c r="BR18" i="47"/>
  <c r="BR19" i="47"/>
  <c r="BR20" i="47"/>
  <c r="BR21" i="47"/>
  <c r="BR22" i="47"/>
  <c r="BR23" i="47"/>
  <c r="BR24" i="47"/>
  <c r="BR25" i="47"/>
  <c r="M21" i="40" s="1"/>
  <c r="BR26" i="47"/>
  <c r="BR27" i="47"/>
  <c r="BR28" i="47"/>
  <c r="BR29" i="47"/>
  <c r="BR30" i="47"/>
  <c r="BR31" i="47"/>
  <c r="BR101" i="47"/>
  <c r="BR32" i="47"/>
  <c r="BR33" i="47"/>
  <c r="BR34" i="47"/>
  <c r="BR35" i="47"/>
  <c r="BR102" i="47"/>
  <c r="BR103" i="47"/>
  <c r="BR36" i="47"/>
  <c r="BR104" i="47"/>
  <c r="BR105" i="47"/>
  <c r="BR38" i="47"/>
  <c r="BR39" i="47"/>
  <c r="BR40" i="47"/>
  <c r="BR41" i="47"/>
  <c r="BR43" i="47"/>
  <c r="BR44" i="47"/>
  <c r="BR45" i="47"/>
  <c r="BR46" i="47"/>
  <c r="BR47" i="47"/>
  <c r="BR48" i="47"/>
  <c r="BR49" i="47"/>
  <c r="BR50" i="47"/>
  <c r="BR51" i="47"/>
  <c r="BR52" i="47"/>
  <c r="BR53" i="47"/>
  <c r="BR54" i="47"/>
  <c r="BR55" i="47"/>
  <c r="BR56" i="47"/>
  <c r="BR57" i="47"/>
  <c r="BR58" i="47"/>
  <c r="BR59" i="47"/>
  <c r="BR60" i="47"/>
  <c r="BR61" i="47"/>
  <c r="BR63" i="47"/>
  <c r="BR64" i="47"/>
  <c r="BR106" i="47"/>
  <c r="BR65" i="47"/>
  <c r="BR66" i="47"/>
  <c r="BR67" i="47"/>
  <c r="BR69" i="47"/>
  <c r="BR70" i="47"/>
  <c r="BR71" i="47"/>
  <c r="BR72" i="47"/>
  <c r="BR73" i="47"/>
  <c r="BR74" i="47"/>
  <c r="BR107" i="47"/>
  <c r="BR75" i="47"/>
  <c r="BR77" i="47"/>
  <c r="BR78" i="47"/>
  <c r="BR79" i="47"/>
  <c r="BR80" i="47"/>
  <c r="BR81" i="47"/>
  <c r="BR82" i="47"/>
  <c r="BR83" i="47"/>
  <c r="BR84" i="47"/>
  <c r="BR85" i="47"/>
  <c r="BR86" i="47"/>
  <c r="BR87" i="47"/>
  <c r="BR88" i="47"/>
  <c r="BR89" i="47"/>
  <c r="BR90" i="47"/>
  <c r="BR91" i="47"/>
  <c r="BR92" i="47"/>
  <c r="BR93" i="47"/>
  <c r="BR94" i="47"/>
  <c r="BR95" i="47"/>
  <c r="BR96" i="47"/>
  <c r="Q122" i="47"/>
  <c r="Q128" i="47"/>
  <c r="Q119" i="47"/>
  <c r="Q118" i="47"/>
  <c r="Q117" i="47"/>
  <c r="Q68" i="47"/>
  <c r="Q99" i="47"/>
  <c r="Q37" i="47"/>
  <c r="Q9" i="47"/>
  <c r="Q76" i="47"/>
  <c r="Q97" i="47"/>
  <c r="Q100" i="47"/>
  <c r="Q62" i="47"/>
  <c r="Q16" i="47"/>
  <c r="E9" i="40"/>
  <c r="F9" i="40"/>
  <c r="G9" i="40"/>
  <c r="H9" i="40"/>
  <c r="J9" i="40"/>
  <c r="D9" i="40"/>
  <c r="D4" i="40"/>
  <c r="D5" i="40"/>
  <c r="D8" i="40"/>
  <c r="BC121" i="47"/>
  <c r="K24" i="2" s="1"/>
  <c r="Q121" i="47"/>
  <c r="AG121" i="47" s="1"/>
  <c r="BG121" i="47" s="1"/>
  <c r="BJ121" i="47" s="1"/>
  <c r="E4" i="36"/>
  <c r="E5" i="36"/>
  <c r="E6" i="36"/>
  <c r="E7" i="36"/>
  <c r="E8" i="36"/>
  <c r="E12" i="36"/>
  <c r="E3" i="36"/>
  <c r="E3" i="38"/>
  <c r="E18" i="38"/>
  <c r="E4" i="40"/>
  <c r="E5" i="40"/>
  <c r="E8" i="40"/>
  <c r="E3" i="40"/>
  <c r="E6" i="41"/>
  <c r="E11" i="42"/>
  <c r="E6" i="43"/>
  <c r="C10" i="42"/>
  <c r="C3" i="42"/>
  <c r="C12" i="42"/>
  <c r="C4" i="42"/>
  <c r="C11" i="42"/>
  <c r="D11" i="42"/>
  <c r="F11" i="42"/>
  <c r="G11" i="42"/>
  <c r="H11" i="42"/>
  <c r="J11" i="42"/>
  <c r="C5" i="42"/>
  <c r="C8" i="42"/>
  <c r="C9" i="42"/>
  <c r="C7" i="42"/>
  <c r="C5" i="43"/>
  <c r="C8" i="43"/>
  <c r="C9" i="43"/>
  <c r="C4" i="43"/>
  <c r="C3" i="43"/>
  <c r="C11" i="43"/>
  <c r="C12" i="43"/>
  <c r="C6" i="43"/>
  <c r="D6" i="43"/>
  <c r="F6" i="43"/>
  <c r="G6" i="43"/>
  <c r="H6" i="43"/>
  <c r="J6" i="43"/>
  <c r="C13" i="43"/>
  <c r="C16" i="43"/>
  <c r="C14" i="43"/>
  <c r="C10" i="43"/>
  <c r="C9" i="45"/>
  <c r="C11" i="45"/>
  <c r="C6" i="45"/>
  <c r="D6" i="45"/>
  <c r="E6" i="45"/>
  <c r="F6" i="45"/>
  <c r="G6" i="45"/>
  <c r="H6" i="45"/>
  <c r="J6" i="45"/>
  <c r="C7" i="45"/>
  <c r="C13" i="45"/>
  <c r="C5" i="45"/>
  <c r="C4" i="45"/>
  <c r="C8" i="45"/>
  <c r="C3" i="45"/>
  <c r="C6" i="46"/>
  <c r="E5" i="2"/>
  <c r="E6" i="2"/>
  <c r="E15" i="2"/>
  <c r="E9" i="2"/>
  <c r="E10" i="2"/>
  <c r="E13" i="2"/>
  <c r="E8" i="2"/>
  <c r="E11" i="2"/>
  <c r="E21" i="2"/>
  <c r="E28" i="2"/>
  <c r="E39" i="2"/>
  <c r="E35" i="2"/>
  <c r="E127" i="2"/>
  <c r="E56" i="2"/>
  <c r="E22" i="2"/>
  <c r="E45" i="2"/>
  <c r="E126" i="2"/>
  <c r="E3" i="2"/>
  <c r="E3" i="37"/>
  <c r="C23" i="37"/>
  <c r="C17" i="37"/>
  <c r="I9" i="40" l="1"/>
  <c r="I24" i="2"/>
  <c r="M128" i="2"/>
  <c r="M13" i="45"/>
  <c r="M133" i="2"/>
  <c r="M10" i="41"/>
  <c r="M130" i="2"/>
  <c r="M134" i="2"/>
  <c r="M11" i="41"/>
  <c r="M129" i="2"/>
  <c r="M12" i="42"/>
  <c r="M135" i="2"/>
  <c r="M22" i="37"/>
  <c r="M136" i="2"/>
  <c r="M23" i="37"/>
  <c r="M131" i="2"/>
  <c r="M25" i="36"/>
  <c r="AG62" i="47"/>
  <c r="BG62" i="47" s="1"/>
  <c r="BH62" i="47" s="1"/>
  <c r="AG76" i="47"/>
  <c r="BG76" i="47" s="1"/>
  <c r="BH76" i="47" s="1"/>
  <c r="BI76" i="47" s="1"/>
  <c r="AG9" i="47"/>
  <c r="BG9" i="47" s="1"/>
  <c r="BH9" i="47" s="1"/>
  <c r="BI9" i="47" s="1"/>
  <c r="AG37" i="47"/>
  <c r="BG37" i="47" s="1"/>
  <c r="BH37" i="47" s="1"/>
  <c r="BI37" i="47" s="1"/>
  <c r="AG16" i="47"/>
  <c r="BG16" i="47" s="1"/>
  <c r="BH16" i="47" s="1"/>
  <c r="BI16" i="47" s="1"/>
  <c r="AG68" i="47"/>
  <c r="BG68" i="47" s="1"/>
  <c r="BH68" i="47" s="1"/>
  <c r="D97" i="2"/>
  <c r="D10" i="45"/>
  <c r="D84" i="2"/>
  <c r="D15" i="43"/>
  <c r="H97" i="2"/>
  <c r="H10" i="45"/>
  <c r="H84" i="2"/>
  <c r="H15" i="43"/>
  <c r="G97" i="2"/>
  <c r="G10" i="45"/>
  <c r="G84" i="2"/>
  <c r="G15" i="43"/>
  <c r="F97" i="2"/>
  <c r="F10" i="45"/>
  <c r="E97" i="2"/>
  <c r="E10" i="45"/>
  <c r="F84" i="2"/>
  <c r="F15" i="43"/>
  <c r="E84" i="2"/>
  <c r="E15" i="43"/>
  <c r="D91" i="2"/>
  <c r="D13" i="38"/>
  <c r="D96" i="2"/>
  <c r="D8" i="41"/>
  <c r="D111" i="2"/>
  <c r="D17" i="40"/>
  <c r="D89" i="2"/>
  <c r="D16" i="40"/>
  <c r="H91" i="2"/>
  <c r="H13" i="38"/>
  <c r="H96" i="2"/>
  <c r="H8" i="41"/>
  <c r="H111" i="2"/>
  <c r="H17" i="40"/>
  <c r="H89" i="2"/>
  <c r="H16" i="40"/>
  <c r="E91" i="2"/>
  <c r="E13" i="38"/>
  <c r="F91" i="2"/>
  <c r="F13" i="38"/>
  <c r="G96" i="2"/>
  <c r="G8" i="41"/>
  <c r="G111" i="2"/>
  <c r="G17" i="40"/>
  <c r="G89" i="2"/>
  <c r="G16" i="40"/>
  <c r="G91" i="2"/>
  <c r="G13" i="38"/>
  <c r="F96" i="2"/>
  <c r="F8" i="41"/>
  <c r="E96" i="2"/>
  <c r="E8" i="41"/>
  <c r="F111" i="2"/>
  <c r="F17" i="40"/>
  <c r="E111" i="2"/>
  <c r="E17" i="40"/>
  <c r="F89" i="2"/>
  <c r="F16" i="40"/>
  <c r="E89" i="2"/>
  <c r="E16" i="40"/>
  <c r="F119" i="2"/>
  <c r="F21" i="37"/>
  <c r="F100" i="2"/>
  <c r="F16" i="37"/>
  <c r="D119" i="2"/>
  <c r="D21" i="37"/>
  <c r="D100" i="2"/>
  <c r="D16" i="37"/>
  <c r="H119" i="2"/>
  <c r="H21" i="37"/>
  <c r="H100" i="2"/>
  <c r="H16" i="37"/>
  <c r="G119" i="2"/>
  <c r="G21" i="37"/>
  <c r="G100" i="2"/>
  <c r="G16" i="37"/>
  <c r="E119" i="2"/>
  <c r="E21" i="37"/>
  <c r="E100" i="2"/>
  <c r="E16" i="37"/>
  <c r="D118" i="2"/>
  <c r="D25" i="36"/>
  <c r="H118" i="2"/>
  <c r="H25" i="36"/>
  <c r="F118" i="2"/>
  <c r="F25" i="36"/>
  <c r="G118" i="2"/>
  <c r="G25" i="36"/>
  <c r="E118" i="2"/>
  <c r="E25" i="36"/>
  <c r="BO99" i="47"/>
  <c r="BO76" i="47"/>
  <c r="BO68" i="47"/>
  <c r="BO16" i="47"/>
  <c r="BO9" i="47"/>
  <c r="BO97" i="47"/>
  <c r="J21" i="36" s="1"/>
  <c r="BO100" i="47"/>
  <c r="BO62" i="47"/>
  <c r="BO37" i="47"/>
  <c r="BC16" i="47"/>
  <c r="BC76" i="47"/>
  <c r="AG97" i="47"/>
  <c r="BG97" i="47" s="1"/>
  <c r="BH97" i="47" s="1"/>
  <c r="BI97" i="47" s="1"/>
  <c r="AG99" i="47"/>
  <c r="BG99" i="47" s="1"/>
  <c r="BH99" i="47" s="1"/>
  <c r="BI99" i="47" s="1"/>
  <c r="BC99" i="47"/>
  <c r="BC97" i="47"/>
  <c r="K21" i="36" s="1"/>
  <c r="AG100" i="47"/>
  <c r="BG100" i="47" s="1"/>
  <c r="BH100" i="47" s="1"/>
  <c r="BI100" i="47" s="1"/>
  <c r="BC37" i="47"/>
  <c r="BC100" i="47"/>
  <c r="BC68" i="47"/>
  <c r="BC9" i="47"/>
  <c r="BC62" i="47"/>
  <c r="BD121" i="47"/>
  <c r="L24" i="2" s="1"/>
  <c r="K9" i="40"/>
  <c r="BS66" i="47"/>
  <c r="BS30" i="47"/>
  <c r="BS101" i="47"/>
  <c r="BS90" i="47"/>
  <c r="BS73" i="47"/>
  <c r="BS18" i="47"/>
  <c r="BS61" i="47"/>
  <c r="BS34" i="47"/>
  <c r="BS93" i="47"/>
  <c r="F14" i="2" s="1"/>
  <c r="BS55" i="47"/>
  <c r="F4" i="43" s="1"/>
  <c r="BS71" i="47"/>
  <c r="F4" i="45" s="1"/>
  <c r="BS12" i="47"/>
  <c r="F12" i="43" s="1"/>
  <c r="BS33" i="47"/>
  <c r="B1" i="38"/>
  <c r="C3" i="44"/>
  <c r="C6" i="44"/>
  <c r="C5" i="44"/>
  <c r="C7" i="44"/>
  <c r="C4" i="44"/>
  <c r="C4" i="46"/>
  <c r="C3" i="46"/>
  <c r="C5" i="46"/>
  <c r="C7" i="43"/>
  <c r="C6" i="42"/>
  <c r="C4" i="41"/>
  <c r="C5" i="41"/>
  <c r="C6" i="41"/>
  <c r="D6" i="41"/>
  <c r="G6" i="41"/>
  <c r="H6" i="41"/>
  <c r="J6" i="41"/>
  <c r="C7" i="41"/>
  <c r="C10" i="41"/>
  <c r="C11" i="41"/>
  <c r="C3" i="41"/>
  <c r="C4" i="40"/>
  <c r="F4" i="40"/>
  <c r="G4" i="40"/>
  <c r="H4" i="40"/>
  <c r="J4" i="40"/>
  <c r="C5" i="40"/>
  <c r="F5" i="40"/>
  <c r="G5" i="40"/>
  <c r="H5" i="40"/>
  <c r="J5" i="40"/>
  <c r="C6" i="40"/>
  <c r="C8" i="40"/>
  <c r="F8" i="40"/>
  <c r="G8" i="40"/>
  <c r="H8" i="40"/>
  <c r="J8" i="40"/>
  <c r="C10" i="40"/>
  <c r="C11" i="40"/>
  <c r="C13" i="40"/>
  <c r="C14" i="40"/>
  <c r="C15" i="40"/>
  <c r="C21" i="40"/>
  <c r="C18" i="40"/>
  <c r="I18" i="40"/>
  <c r="J3" i="40"/>
  <c r="H3" i="40"/>
  <c r="G3" i="40"/>
  <c r="F3" i="40"/>
  <c r="D3" i="40"/>
  <c r="C3" i="40"/>
  <c r="C4" i="39"/>
  <c r="C3" i="39"/>
  <c r="C5" i="38"/>
  <c r="C4" i="38"/>
  <c r="C10" i="38"/>
  <c r="C6" i="38"/>
  <c r="C7" i="38"/>
  <c r="C12" i="38"/>
  <c r="C11" i="38"/>
  <c r="C9" i="38"/>
  <c r="C8" i="38"/>
  <c r="C14" i="38"/>
  <c r="C18" i="38"/>
  <c r="D18" i="38"/>
  <c r="G18" i="38"/>
  <c r="H18" i="38"/>
  <c r="J18" i="38"/>
  <c r="J3" i="38"/>
  <c r="H3" i="38"/>
  <c r="G3" i="38"/>
  <c r="D3" i="38"/>
  <c r="C3" i="38"/>
  <c r="C5" i="37"/>
  <c r="C9" i="37"/>
  <c r="C8" i="37"/>
  <c r="C7" i="37"/>
  <c r="C11" i="37"/>
  <c r="C4" i="37"/>
  <c r="C14" i="37"/>
  <c r="C10" i="37"/>
  <c r="C22" i="37"/>
  <c r="C6" i="37"/>
  <c r="C15" i="37"/>
  <c r="C13" i="37"/>
  <c r="C18" i="37"/>
  <c r="C12" i="37"/>
  <c r="C20" i="37"/>
  <c r="I20" i="37"/>
  <c r="J3" i="37"/>
  <c r="H3" i="37"/>
  <c r="G3" i="37"/>
  <c r="F3" i="37"/>
  <c r="D3" i="37"/>
  <c r="C3" i="37"/>
  <c r="C4" i="36"/>
  <c r="D4" i="36"/>
  <c r="F4" i="36"/>
  <c r="G4" i="36"/>
  <c r="H4" i="36"/>
  <c r="J4" i="36"/>
  <c r="C5" i="36"/>
  <c r="D5" i="36"/>
  <c r="F5" i="36"/>
  <c r="G5" i="36"/>
  <c r="H5" i="36"/>
  <c r="J5" i="36"/>
  <c r="C6" i="36"/>
  <c r="D6" i="36"/>
  <c r="F6" i="36"/>
  <c r="G6" i="36"/>
  <c r="H6" i="36"/>
  <c r="J6" i="36"/>
  <c r="C7" i="36"/>
  <c r="D7" i="36"/>
  <c r="F7" i="36"/>
  <c r="G7" i="36"/>
  <c r="H7" i="36"/>
  <c r="J7" i="36"/>
  <c r="C8" i="36"/>
  <c r="D8" i="36"/>
  <c r="F8" i="36"/>
  <c r="G8" i="36"/>
  <c r="H8" i="36"/>
  <c r="J8" i="36"/>
  <c r="C9" i="36"/>
  <c r="C10" i="36"/>
  <c r="C11" i="36"/>
  <c r="C12" i="36"/>
  <c r="D12" i="36"/>
  <c r="F12" i="36"/>
  <c r="G12" i="36"/>
  <c r="H12" i="36"/>
  <c r="J12" i="36"/>
  <c r="C13" i="36"/>
  <c r="C14" i="36"/>
  <c r="C15" i="36"/>
  <c r="C16" i="36"/>
  <c r="C17" i="36"/>
  <c r="C18" i="36"/>
  <c r="I18" i="36"/>
  <c r="C19" i="36"/>
  <c r="C20" i="36"/>
  <c r="J3" i="36"/>
  <c r="H3" i="36"/>
  <c r="G3" i="36"/>
  <c r="F3" i="36"/>
  <c r="D3" i="36"/>
  <c r="C3" i="36"/>
  <c r="J5" i="2"/>
  <c r="J6" i="2"/>
  <c r="J15" i="2"/>
  <c r="J13" i="2"/>
  <c r="J9" i="2"/>
  <c r="J8" i="2"/>
  <c r="J11" i="2"/>
  <c r="J21" i="2"/>
  <c r="J10" i="2"/>
  <c r="J22" i="2"/>
  <c r="J28" i="2"/>
  <c r="J39" i="2"/>
  <c r="J35" i="2"/>
  <c r="J127" i="2"/>
  <c r="J56" i="2"/>
  <c r="J45" i="2"/>
  <c r="J126" i="2"/>
  <c r="I112" i="2"/>
  <c r="I115" i="2"/>
  <c r="I116" i="2"/>
  <c r="J3" i="2"/>
  <c r="F5" i="2"/>
  <c r="F6" i="2"/>
  <c r="F13" i="2"/>
  <c r="F9" i="2"/>
  <c r="F8" i="2"/>
  <c r="F11" i="2"/>
  <c r="F21" i="2"/>
  <c r="F10" i="2"/>
  <c r="F22" i="2"/>
  <c r="F28" i="2"/>
  <c r="F39" i="2"/>
  <c r="F35" i="2"/>
  <c r="F127" i="2"/>
  <c r="F45" i="2"/>
  <c r="D5" i="2"/>
  <c r="D6" i="2"/>
  <c r="D15" i="2"/>
  <c r="D13" i="2"/>
  <c r="D9" i="2"/>
  <c r="D8" i="2"/>
  <c r="D11" i="2"/>
  <c r="D21" i="2"/>
  <c r="D10" i="2"/>
  <c r="D22" i="2"/>
  <c r="D28" i="2"/>
  <c r="D39" i="2"/>
  <c r="D35" i="2"/>
  <c r="D127" i="2"/>
  <c r="D56" i="2"/>
  <c r="D45" i="2"/>
  <c r="D126" i="2"/>
  <c r="C5" i="2"/>
  <c r="C6" i="2"/>
  <c r="C37" i="2"/>
  <c r="C15" i="2"/>
  <c r="C13" i="2"/>
  <c r="C9" i="2"/>
  <c r="C25" i="2"/>
  <c r="C14" i="2"/>
  <c r="C20" i="2"/>
  <c r="C8" i="2"/>
  <c r="C11" i="2"/>
  <c r="C21" i="2"/>
  <c r="C10" i="2"/>
  <c r="C128" i="2"/>
  <c r="C22" i="2"/>
  <c r="C29" i="2"/>
  <c r="C64" i="2"/>
  <c r="C19" i="2"/>
  <c r="C18" i="2"/>
  <c r="C55" i="2"/>
  <c r="C28" i="2"/>
  <c r="C33" i="2"/>
  <c r="C23" i="2"/>
  <c r="C34" i="2"/>
  <c r="C12" i="2"/>
  <c r="C30" i="2"/>
  <c r="C49" i="2"/>
  <c r="C31" i="2"/>
  <c r="C39" i="2"/>
  <c r="C17" i="2"/>
  <c r="C44" i="2"/>
  <c r="C4" i="2"/>
  <c r="C43" i="2"/>
  <c r="C32" i="2"/>
  <c r="C131" i="2"/>
  <c r="C42" i="2"/>
  <c r="C35" i="2"/>
  <c r="C26" i="2"/>
  <c r="C52" i="2"/>
  <c r="C38" i="2"/>
  <c r="C127" i="2"/>
  <c r="C47" i="2"/>
  <c r="C46" i="2"/>
  <c r="C65" i="2"/>
  <c r="C59" i="2"/>
  <c r="C40" i="2"/>
  <c r="C50" i="2"/>
  <c r="C53" i="2"/>
  <c r="C27" i="2"/>
  <c r="C56" i="2"/>
  <c r="C48" i="2"/>
  <c r="C63" i="2"/>
  <c r="C58" i="2"/>
  <c r="C69" i="2"/>
  <c r="C67" i="2"/>
  <c r="C68" i="2"/>
  <c r="C51" i="2"/>
  <c r="C41" i="2"/>
  <c r="C70" i="2"/>
  <c r="C71" i="2"/>
  <c r="C62" i="2"/>
  <c r="C66" i="2"/>
  <c r="C45" i="2"/>
  <c r="C81" i="2"/>
  <c r="C80" i="2"/>
  <c r="C60" i="2"/>
  <c r="C78" i="2"/>
  <c r="C72" i="2"/>
  <c r="C7" i="2"/>
  <c r="C73" i="2"/>
  <c r="C85" i="2"/>
  <c r="C129" i="2"/>
  <c r="C57" i="2"/>
  <c r="C95" i="2"/>
  <c r="C92" i="2"/>
  <c r="C74" i="2"/>
  <c r="C79" i="2"/>
  <c r="C102" i="2"/>
  <c r="C90" i="2"/>
  <c r="C75" i="2"/>
  <c r="C76" i="2"/>
  <c r="C77" i="2"/>
  <c r="C99" i="2"/>
  <c r="C103" i="2"/>
  <c r="C98" i="2"/>
  <c r="C94" i="2"/>
  <c r="C93" i="2"/>
  <c r="C83" i="2"/>
  <c r="C87" i="2"/>
  <c r="C82" i="2"/>
  <c r="C86" i="2"/>
  <c r="C88" i="2"/>
  <c r="C110" i="2"/>
  <c r="C107" i="2"/>
  <c r="C120" i="2"/>
  <c r="C114" i="2"/>
  <c r="C112" i="2"/>
  <c r="C130" i="2"/>
  <c r="C115" i="2"/>
  <c r="C116" i="2"/>
  <c r="C117" i="2"/>
  <c r="C132" i="2"/>
  <c r="C113" i="2"/>
  <c r="C126" i="2"/>
  <c r="C54" i="2"/>
  <c r="C36" i="2"/>
  <c r="C106" i="2"/>
  <c r="C104" i="2"/>
  <c r="C101" i="2"/>
  <c r="D3" i="2"/>
  <c r="C3" i="2"/>
  <c r="G5" i="2"/>
  <c r="G6" i="2"/>
  <c r="G15" i="2"/>
  <c r="G13" i="2"/>
  <c r="G9" i="2"/>
  <c r="G8" i="2"/>
  <c r="G11" i="2"/>
  <c r="G21" i="2"/>
  <c r="G10" i="2"/>
  <c r="G22" i="2"/>
  <c r="G28" i="2"/>
  <c r="G39" i="2"/>
  <c r="G35" i="2"/>
  <c r="G127" i="2"/>
  <c r="G56" i="2"/>
  <c r="G45" i="2"/>
  <c r="G126" i="2"/>
  <c r="H5" i="2"/>
  <c r="H6" i="2"/>
  <c r="H15" i="2"/>
  <c r="H13" i="2"/>
  <c r="H9" i="2"/>
  <c r="H8" i="2"/>
  <c r="H11" i="2"/>
  <c r="H21" i="2"/>
  <c r="H10" i="2"/>
  <c r="H22" i="2"/>
  <c r="H28" i="2"/>
  <c r="H39" i="2"/>
  <c r="H35" i="2"/>
  <c r="H127" i="2"/>
  <c r="H56" i="2"/>
  <c r="H45" i="2"/>
  <c r="H126" i="2"/>
  <c r="H3" i="2"/>
  <c r="G3" i="2"/>
  <c r="F3" i="2"/>
  <c r="D31" i="47"/>
  <c r="G8" i="45" s="1"/>
  <c r="G31" i="47"/>
  <c r="H8" i="45" s="1"/>
  <c r="H31" i="47"/>
  <c r="D8" i="45" s="1"/>
  <c r="I31" i="47"/>
  <c r="J31" i="47"/>
  <c r="K31" i="47"/>
  <c r="N31" i="47"/>
  <c r="O31" i="47"/>
  <c r="E8" i="45" s="1"/>
  <c r="P31" i="47"/>
  <c r="R31" i="47"/>
  <c r="S31" i="47"/>
  <c r="V31" i="47"/>
  <c r="W31" i="47"/>
  <c r="X31" i="47"/>
  <c r="Y31" i="47"/>
  <c r="Z31" i="47"/>
  <c r="AB31" i="47"/>
  <c r="AC31" i="47"/>
  <c r="AD31" i="47"/>
  <c r="AE31" i="47"/>
  <c r="AF31" i="47"/>
  <c r="AH31" i="47"/>
  <c r="AJ31" i="47"/>
  <c r="AL31" i="47"/>
  <c r="AM31" i="47"/>
  <c r="AN31" i="47"/>
  <c r="AO31" i="47"/>
  <c r="AP31" i="47"/>
  <c r="AQ31" i="47"/>
  <c r="AR31" i="47"/>
  <c r="AS31" i="47"/>
  <c r="AT31" i="47"/>
  <c r="AU31" i="47"/>
  <c r="AV31" i="47"/>
  <c r="AW31" i="47"/>
  <c r="AX31" i="47"/>
  <c r="AY31" i="47"/>
  <c r="BA31" i="47"/>
  <c r="BB31" i="47"/>
  <c r="BK31" i="47"/>
  <c r="BL31" i="47"/>
  <c r="BM31" i="47"/>
  <c r="BN31" i="47"/>
  <c r="BS31" i="47"/>
  <c r="D5" i="47"/>
  <c r="G5" i="47"/>
  <c r="H5" i="47"/>
  <c r="I5" i="47"/>
  <c r="J5" i="47"/>
  <c r="K5" i="47"/>
  <c r="N5" i="47"/>
  <c r="O5" i="47"/>
  <c r="P5" i="47"/>
  <c r="R5" i="47"/>
  <c r="S5" i="47"/>
  <c r="V5" i="47"/>
  <c r="W5" i="47"/>
  <c r="X5" i="47"/>
  <c r="Y5" i="47"/>
  <c r="Z5" i="47"/>
  <c r="AB5" i="47"/>
  <c r="AC5" i="47"/>
  <c r="AD5" i="47"/>
  <c r="AE5" i="47"/>
  <c r="AF5" i="47"/>
  <c r="AH5" i="47"/>
  <c r="AJ5" i="47"/>
  <c r="AL5" i="47"/>
  <c r="AM5" i="47"/>
  <c r="AN5" i="47"/>
  <c r="AO5" i="47"/>
  <c r="AP5" i="47"/>
  <c r="AQ5" i="47"/>
  <c r="AR5" i="47"/>
  <c r="AS5" i="47"/>
  <c r="AT5" i="47"/>
  <c r="AU5" i="47"/>
  <c r="AV5" i="47"/>
  <c r="AW5" i="47"/>
  <c r="AX5" i="47"/>
  <c r="AY5" i="47"/>
  <c r="BA5" i="47"/>
  <c r="BB5" i="47"/>
  <c r="BK5" i="47"/>
  <c r="BL5" i="47"/>
  <c r="BM5" i="47"/>
  <c r="BN5" i="47"/>
  <c r="BS5" i="47"/>
  <c r="D33" i="47"/>
  <c r="G33" i="47"/>
  <c r="H33" i="47"/>
  <c r="I33" i="47"/>
  <c r="J33" i="47"/>
  <c r="K33" i="47"/>
  <c r="N33" i="47"/>
  <c r="O33" i="47"/>
  <c r="P33" i="47"/>
  <c r="R33" i="47"/>
  <c r="S33" i="47"/>
  <c r="V33" i="47"/>
  <c r="W33" i="47"/>
  <c r="X33" i="47"/>
  <c r="Y33" i="47"/>
  <c r="Z33" i="47"/>
  <c r="AB33" i="47"/>
  <c r="AC33" i="47"/>
  <c r="AD33" i="47"/>
  <c r="AE33" i="47"/>
  <c r="AF33" i="47"/>
  <c r="AH33" i="47"/>
  <c r="AJ33" i="47"/>
  <c r="AL33" i="47"/>
  <c r="AM33" i="47"/>
  <c r="AN33" i="47"/>
  <c r="AO33" i="47"/>
  <c r="AP33" i="47"/>
  <c r="AQ33" i="47"/>
  <c r="AR33" i="47"/>
  <c r="AS33" i="47"/>
  <c r="AT33" i="47"/>
  <c r="AU33" i="47"/>
  <c r="AV33" i="47"/>
  <c r="AW33" i="47"/>
  <c r="AX33" i="47"/>
  <c r="AY33" i="47"/>
  <c r="BA33" i="47"/>
  <c r="BB33" i="47"/>
  <c r="BK33" i="47"/>
  <c r="BL33" i="47"/>
  <c r="BM33" i="47"/>
  <c r="BN33" i="47"/>
  <c r="D43" i="47"/>
  <c r="G136" i="2" s="1"/>
  <c r="G43" i="47"/>
  <c r="H136" i="2" s="1"/>
  <c r="H43" i="47"/>
  <c r="D136" i="2" s="1"/>
  <c r="I43" i="47"/>
  <c r="J43" i="47"/>
  <c r="K43" i="47"/>
  <c r="N43" i="47"/>
  <c r="O43" i="47"/>
  <c r="E136" i="2" s="1"/>
  <c r="P43" i="47"/>
  <c r="R43" i="47"/>
  <c r="S43" i="47"/>
  <c r="V43" i="47"/>
  <c r="W43" i="47"/>
  <c r="X43" i="47"/>
  <c r="Y43" i="47"/>
  <c r="Z43" i="47"/>
  <c r="AB43" i="47"/>
  <c r="AC43" i="47"/>
  <c r="AD43" i="47"/>
  <c r="AE43" i="47"/>
  <c r="AF43" i="47"/>
  <c r="AH43" i="47"/>
  <c r="AJ43" i="47"/>
  <c r="AL43" i="47"/>
  <c r="AM43" i="47"/>
  <c r="AN43" i="47"/>
  <c r="AO43" i="47"/>
  <c r="AP43" i="47"/>
  <c r="AQ43" i="47"/>
  <c r="AR43" i="47"/>
  <c r="AS43" i="47"/>
  <c r="AT43" i="47"/>
  <c r="AU43" i="47"/>
  <c r="AV43" i="47"/>
  <c r="AW43" i="47"/>
  <c r="AX43" i="47"/>
  <c r="AY43" i="47"/>
  <c r="BA43" i="47"/>
  <c r="BB43" i="47"/>
  <c r="BK43" i="47"/>
  <c r="BL43" i="47"/>
  <c r="BM43" i="47"/>
  <c r="BN43" i="47"/>
  <c r="BS43" i="47"/>
  <c r="F136" i="2" s="1"/>
  <c r="D32" i="47"/>
  <c r="G32" i="47"/>
  <c r="H32" i="47"/>
  <c r="I32" i="47"/>
  <c r="J32" i="47"/>
  <c r="K32" i="47"/>
  <c r="N32" i="47"/>
  <c r="O32" i="47"/>
  <c r="P32" i="47"/>
  <c r="R32" i="47"/>
  <c r="S32" i="47"/>
  <c r="V32" i="47"/>
  <c r="W32" i="47"/>
  <c r="X32" i="47"/>
  <c r="Y32" i="47"/>
  <c r="Z32" i="47"/>
  <c r="AB32" i="47"/>
  <c r="AC32" i="47"/>
  <c r="AD32" i="47"/>
  <c r="AE32" i="47"/>
  <c r="AF32" i="47"/>
  <c r="AH32" i="47"/>
  <c r="AJ32" i="47"/>
  <c r="AL32" i="47"/>
  <c r="AM32" i="47"/>
  <c r="AN32" i="47"/>
  <c r="AO32" i="47"/>
  <c r="AP32" i="47"/>
  <c r="AQ32" i="47"/>
  <c r="AR32" i="47"/>
  <c r="AS32" i="47"/>
  <c r="AT32" i="47"/>
  <c r="AU32" i="47"/>
  <c r="AV32" i="47"/>
  <c r="AW32" i="47"/>
  <c r="AX32" i="47"/>
  <c r="AY32" i="47"/>
  <c r="BA32" i="47"/>
  <c r="BB32" i="47"/>
  <c r="BK32" i="47"/>
  <c r="BL32" i="47"/>
  <c r="BM32" i="47"/>
  <c r="BN32" i="47"/>
  <c r="BS32" i="47"/>
  <c r="D7" i="47"/>
  <c r="G7" i="47"/>
  <c r="H7" i="47"/>
  <c r="I7" i="47"/>
  <c r="J7" i="47"/>
  <c r="K7" i="47"/>
  <c r="N7" i="47"/>
  <c r="O7" i="47"/>
  <c r="P7" i="47"/>
  <c r="R7" i="47"/>
  <c r="S7" i="47"/>
  <c r="V7" i="47"/>
  <c r="W7" i="47"/>
  <c r="X7" i="47"/>
  <c r="Y7" i="47"/>
  <c r="Z7" i="47"/>
  <c r="AB7" i="47"/>
  <c r="AC7" i="47"/>
  <c r="AD7" i="47"/>
  <c r="AE7" i="47"/>
  <c r="AF7" i="47"/>
  <c r="AH7" i="47"/>
  <c r="AJ7" i="47"/>
  <c r="AL7" i="47"/>
  <c r="AM7" i="47"/>
  <c r="AN7" i="47"/>
  <c r="AO7" i="47"/>
  <c r="AP7" i="47"/>
  <c r="AQ7" i="47"/>
  <c r="AR7" i="47"/>
  <c r="AS7" i="47"/>
  <c r="AT7" i="47"/>
  <c r="AU7" i="47"/>
  <c r="AV7" i="47"/>
  <c r="AW7" i="47"/>
  <c r="AX7" i="47"/>
  <c r="AY7" i="47"/>
  <c r="BA7" i="47"/>
  <c r="BB7" i="47"/>
  <c r="BK7" i="47"/>
  <c r="BL7" i="47"/>
  <c r="BM7" i="47"/>
  <c r="BN7" i="47"/>
  <c r="BS7" i="47"/>
  <c r="BS23" i="47"/>
  <c r="BN23" i="47"/>
  <c r="BM23" i="47"/>
  <c r="BL23" i="47"/>
  <c r="BK23" i="47"/>
  <c r="BB23" i="47"/>
  <c r="BA23" i="47"/>
  <c r="AY23" i="47"/>
  <c r="AX23" i="47"/>
  <c r="AW23" i="47"/>
  <c r="AV23" i="47"/>
  <c r="AU23" i="47"/>
  <c r="AT23" i="47"/>
  <c r="AS23" i="47"/>
  <c r="AR23" i="47"/>
  <c r="AQ23" i="47"/>
  <c r="AP23" i="47"/>
  <c r="AO23" i="47"/>
  <c r="AN23" i="47"/>
  <c r="AM23" i="47"/>
  <c r="AL23" i="47"/>
  <c r="AJ23" i="47"/>
  <c r="AH23" i="47"/>
  <c r="AF23" i="47"/>
  <c r="AE23" i="47"/>
  <c r="AD23" i="47"/>
  <c r="AC23" i="47"/>
  <c r="AB23" i="47"/>
  <c r="Z23" i="47"/>
  <c r="Y23" i="47"/>
  <c r="X23" i="47"/>
  <c r="W23" i="47"/>
  <c r="V23" i="47"/>
  <c r="S23" i="47"/>
  <c r="R23" i="47"/>
  <c r="P23" i="47"/>
  <c r="O23" i="47"/>
  <c r="N23" i="47"/>
  <c r="K23" i="47"/>
  <c r="J23" i="47"/>
  <c r="I23" i="47"/>
  <c r="H23" i="47"/>
  <c r="G23" i="47"/>
  <c r="D23" i="47"/>
  <c r="BC134" i="47"/>
  <c r="BC135" i="47"/>
  <c r="BC117" i="47"/>
  <c r="K4" i="36" s="1"/>
  <c r="BC118" i="47"/>
  <c r="BC119" i="47"/>
  <c r="BC120" i="47"/>
  <c r="K13" i="2" s="1"/>
  <c r="BC122" i="47"/>
  <c r="BC123" i="47"/>
  <c r="K3" i="40" s="1"/>
  <c r="BC124" i="47"/>
  <c r="K6" i="43" s="1"/>
  <c r="BC125" i="47"/>
  <c r="BC126" i="47"/>
  <c r="BC127" i="47"/>
  <c r="BC128" i="47"/>
  <c r="K11" i="42" s="1"/>
  <c r="BC129" i="47"/>
  <c r="K6" i="36" s="1"/>
  <c r="BC130" i="47"/>
  <c r="BC131" i="47"/>
  <c r="BC132" i="47"/>
  <c r="BC133" i="47"/>
  <c r="K6" i="45" s="1"/>
  <c r="BN12" i="47"/>
  <c r="BM12" i="47"/>
  <c r="BL12" i="47"/>
  <c r="BK12" i="47"/>
  <c r="BS17" i="47"/>
  <c r="F3" i="43" s="1"/>
  <c r="BN17" i="47"/>
  <c r="BM17" i="47"/>
  <c r="BL17" i="47"/>
  <c r="BK17" i="47"/>
  <c r="BN71" i="47"/>
  <c r="BM71" i="47"/>
  <c r="BL71" i="47"/>
  <c r="BK71" i="47"/>
  <c r="BS89" i="47"/>
  <c r="BN89" i="47"/>
  <c r="BM89" i="47"/>
  <c r="BL89" i="47"/>
  <c r="BK89" i="47"/>
  <c r="BS42" i="47"/>
  <c r="F16" i="2" s="1"/>
  <c r="BS41" i="47"/>
  <c r="F8" i="43" s="1"/>
  <c r="BN41" i="47"/>
  <c r="BM41" i="47"/>
  <c r="BL41" i="47"/>
  <c r="BK41" i="47"/>
  <c r="BS36" i="47"/>
  <c r="F3" i="45" s="1"/>
  <c r="BN36" i="47"/>
  <c r="BM36" i="47"/>
  <c r="BL36" i="47"/>
  <c r="BK36" i="47"/>
  <c r="BS78" i="47"/>
  <c r="F8" i="37" s="1"/>
  <c r="BN78" i="47"/>
  <c r="BM78" i="47"/>
  <c r="BL78" i="47"/>
  <c r="BK78" i="47"/>
  <c r="BS13" i="47"/>
  <c r="F4" i="42" s="1"/>
  <c r="BN13" i="47"/>
  <c r="BM13" i="47"/>
  <c r="BL13" i="47"/>
  <c r="BK13" i="47"/>
  <c r="BS20" i="47"/>
  <c r="F13" i="36" s="1"/>
  <c r="BN20" i="47"/>
  <c r="BM20" i="47"/>
  <c r="BL20" i="47"/>
  <c r="BK20" i="47"/>
  <c r="BS4" i="47"/>
  <c r="BN4" i="47"/>
  <c r="BM4" i="47"/>
  <c r="BL4" i="47"/>
  <c r="BK4" i="47"/>
  <c r="BS80" i="47"/>
  <c r="BN80" i="47"/>
  <c r="BM80" i="47"/>
  <c r="BL80" i="47"/>
  <c r="BK80" i="47"/>
  <c r="BN55" i="47"/>
  <c r="BM55" i="47"/>
  <c r="BL55" i="47"/>
  <c r="BK55" i="47"/>
  <c r="BN93" i="47"/>
  <c r="BM93" i="47"/>
  <c r="BL93" i="47"/>
  <c r="BK93" i="47"/>
  <c r="BS3" i="47"/>
  <c r="BN3" i="47"/>
  <c r="BM3" i="47"/>
  <c r="BL3" i="47"/>
  <c r="BK3" i="47"/>
  <c r="BS72" i="47"/>
  <c r="BN72" i="47"/>
  <c r="BM72" i="47"/>
  <c r="BL72" i="47"/>
  <c r="BK72" i="47"/>
  <c r="BS44" i="47"/>
  <c r="F7" i="44" s="1"/>
  <c r="BN44" i="47"/>
  <c r="BM44" i="47"/>
  <c r="BL44" i="47"/>
  <c r="BK44" i="47"/>
  <c r="BS39" i="47"/>
  <c r="F13" i="43" s="1"/>
  <c r="BN39" i="47"/>
  <c r="BM39" i="47"/>
  <c r="BL39" i="47"/>
  <c r="BK39" i="47"/>
  <c r="BS91" i="47"/>
  <c r="F7" i="45" s="1"/>
  <c r="BN91" i="47"/>
  <c r="BM91" i="47"/>
  <c r="BL91" i="47"/>
  <c r="BK91" i="47"/>
  <c r="BS56" i="47"/>
  <c r="BN56" i="47"/>
  <c r="BM56" i="47"/>
  <c r="BL56" i="47"/>
  <c r="BK56" i="47"/>
  <c r="BS67" i="47"/>
  <c r="F5" i="43" s="1"/>
  <c r="BN67" i="47"/>
  <c r="BM67" i="47"/>
  <c r="BL67" i="47"/>
  <c r="BK67" i="47"/>
  <c r="BS79" i="47"/>
  <c r="F7" i="38" s="1"/>
  <c r="BN79" i="47"/>
  <c r="BM79" i="47"/>
  <c r="BL79" i="47"/>
  <c r="BK79" i="47"/>
  <c r="BS59" i="47"/>
  <c r="F11" i="43" s="1"/>
  <c r="BN59" i="47"/>
  <c r="BM59" i="47"/>
  <c r="BL59" i="47"/>
  <c r="BK59" i="47"/>
  <c r="BS86" i="47"/>
  <c r="BN86" i="47"/>
  <c r="BM86" i="47"/>
  <c r="BL86" i="47"/>
  <c r="BK86" i="47"/>
  <c r="BS46" i="47"/>
  <c r="BN46" i="47"/>
  <c r="BM46" i="47"/>
  <c r="BL46" i="47"/>
  <c r="BK46" i="47"/>
  <c r="BS63" i="47"/>
  <c r="F40" i="2" s="1"/>
  <c r="BN63" i="47"/>
  <c r="BM63" i="47"/>
  <c r="BL63" i="47"/>
  <c r="BK63" i="47"/>
  <c r="BS65" i="47"/>
  <c r="BN65" i="47"/>
  <c r="BM65" i="47"/>
  <c r="BL65" i="47"/>
  <c r="BK65" i="47"/>
  <c r="BS53" i="47"/>
  <c r="BN53" i="47"/>
  <c r="BM53" i="47"/>
  <c r="BL53" i="47"/>
  <c r="BK53" i="47"/>
  <c r="BN34" i="47"/>
  <c r="BM34" i="47"/>
  <c r="BL34" i="47"/>
  <c r="BK34" i="47"/>
  <c r="BN61" i="47"/>
  <c r="BM61" i="47"/>
  <c r="BL61" i="47"/>
  <c r="BK61" i="47"/>
  <c r="BS19" i="47"/>
  <c r="F5" i="38" s="1"/>
  <c r="BN19" i="47"/>
  <c r="BM19" i="47"/>
  <c r="BL19" i="47"/>
  <c r="BK19" i="47"/>
  <c r="BS54" i="47"/>
  <c r="F37" i="2" s="1"/>
  <c r="BN54" i="47"/>
  <c r="BM54" i="47"/>
  <c r="BL54" i="47"/>
  <c r="BK54" i="47"/>
  <c r="BS11" i="47"/>
  <c r="F12" i="40" s="1"/>
  <c r="BN11" i="47"/>
  <c r="BM11" i="47"/>
  <c r="BL11" i="47"/>
  <c r="BK11" i="47"/>
  <c r="BS77" i="47"/>
  <c r="BN77" i="47"/>
  <c r="BM77" i="47"/>
  <c r="BL77" i="47"/>
  <c r="BK77" i="47"/>
  <c r="BS92" i="47"/>
  <c r="F3" i="42" s="1"/>
  <c r="BN92" i="47"/>
  <c r="BM92" i="47"/>
  <c r="BL92" i="47"/>
  <c r="BK92" i="47"/>
  <c r="BS45" i="47"/>
  <c r="F8" i="42" s="1"/>
  <c r="BN45" i="47"/>
  <c r="BM45" i="47"/>
  <c r="BL45" i="47"/>
  <c r="BK45" i="47"/>
  <c r="BS6" i="47"/>
  <c r="BN6" i="47"/>
  <c r="BM6" i="47"/>
  <c r="BL6" i="47"/>
  <c r="BK6" i="47"/>
  <c r="BS94" i="47"/>
  <c r="BN94" i="47"/>
  <c r="BM94" i="47"/>
  <c r="BL94" i="47"/>
  <c r="BK94" i="47"/>
  <c r="BS64" i="47"/>
  <c r="F9" i="43" s="1"/>
  <c r="BN64" i="47"/>
  <c r="BM64" i="47"/>
  <c r="BL64" i="47"/>
  <c r="BK64" i="47"/>
  <c r="BS40" i="47"/>
  <c r="BN40" i="47"/>
  <c r="BM40" i="47"/>
  <c r="BL40" i="47"/>
  <c r="BK40" i="47"/>
  <c r="BS21" i="47"/>
  <c r="BN21" i="47"/>
  <c r="BM21" i="47"/>
  <c r="BL21" i="47"/>
  <c r="BK21" i="47"/>
  <c r="BN18" i="47"/>
  <c r="BM18" i="47"/>
  <c r="BL18" i="47"/>
  <c r="BK18" i="47"/>
  <c r="BN73" i="47"/>
  <c r="BM73" i="47"/>
  <c r="BL73" i="47"/>
  <c r="BK73" i="47"/>
  <c r="BS28" i="47"/>
  <c r="F5" i="42" s="1"/>
  <c r="BN28" i="47"/>
  <c r="BM28" i="47"/>
  <c r="BL28" i="47"/>
  <c r="BK28" i="47"/>
  <c r="BS96" i="47"/>
  <c r="F5" i="45" s="1"/>
  <c r="BN96" i="47"/>
  <c r="BM96" i="47"/>
  <c r="BL96" i="47"/>
  <c r="BK96" i="47"/>
  <c r="BS35" i="47"/>
  <c r="F133" i="2" s="1"/>
  <c r="BN35" i="47"/>
  <c r="BM35" i="47"/>
  <c r="BL35" i="47"/>
  <c r="BK35" i="47"/>
  <c r="BS27" i="47"/>
  <c r="BN27" i="47"/>
  <c r="BM27" i="47"/>
  <c r="BL27" i="47"/>
  <c r="BK27" i="47"/>
  <c r="BS57" i="47"/>
  <c r="F4" i="44" s="1"/>
  <c r="BN57" i="47"/>
  <c r="BM57" i="47"/>
  <c r="BL57" i="47"/>
  <c r="BK57" i="47"/>
  <c r="BS87" i="47"/>
  <c r="BN87" i="47"/>
  <c r="BM87" i="47"/>
  <c r="BL87" i="47"/>
  <c r="BK87" i="47"/>
  <c r="BS22" i="47"/>
  <c r="F5" i="46" s="1"/>
  <c r="BN22" i="47"/>
  <c r="BM22" i="47"/>
  <c r="BL22" i="47"/>
  <c r="BK22" i="47"/>
  <c r="BS75" i="47"/>
  <c r="F7" i="42" s="1"/>
  <c r="BN75" i="47"/>
  <c r="BM75" i="47"/>
  <c r="BL75" i="47"/>
  <c r="BK75" i="47"/>
  <c r="BS29" i="47"/>
  <c r="F12" i="42" s="1"/>
  <c r="BN29" i="47"/>
  <c r="BM29" i="47"/>
  <c r="BL29" i="47"/>
  <c r="BK29" i="47"/>
  <c r="BS81" i="47"/>
  <c r="BN81" i="47"/>
  <c r="BM81" i="47"/>
  <c r="BL81" i="47"/>
  <c r="BK81" i="47"/>
  <c r="BS48" i="47"/>
  <c r="F6" i="44" s="1"/>
  <c r="BN48" i="47"/>
  <c r="BM48" i="47"/>
  <c r="BL48" i="47"/>
  <c r="BK48" i="47"/>
  <c r="BS8" i="47"/>
  <c r="BN8" i="47"/>
  <c r="BM8" i="47"/>
  <c r="BL8" i="47"/>
  <c r="BK8" i="47"/>
  <c r="BS95" i="47"/>
  <c r="BN95" i="47"/>
  <c r="BM95" i="47"/>
  <c r="BL95" i="47"/>
  <c r="BK95" i="47"/>
  <c r="BN90" i="47"/>
  <c r="BM90" i="47"/>
  <c r="BL90" i="47"/>
  <c r="BK90" i="47"/>
  <c r="BS14" i="47"/>
  <c r="BN14" i="47"/>
  <c r="BM14" i="47"/>
  <c r="BL14" i="47"/>
  <c r="BK14" i="47"/>
  <c r="BS49" i="47"/>
  <c r="F16" i="43" s="1"/>
  <c r="BN49" i="47"/>
  <c r="BM49" i="47"/>
  <c r="BL49" i="47"/>
  <c r="BK49" i="47"/>
  <c r="BS15" i="47"/>
  <c r="BN15" i="47"/>
  <c r="BM15" i="47"/>
  <c r="BL15" i="47"/>
  <c r="BK15" i="47"/>
  <c r="BS102" i="47"/>
  <c r="BN102" i="47"/>
  <c r="BM102" i="47"/>
  <c r="BL102" i="47"/>
  <c r="BK102" i="47"/>
  <c r="BS83" i="47"/>
  <c r="F13" i="45" s="1"/>
  <c r="BN83" i="47"/>
  <c r="BM83" i="47"/>
  <c r="BL83" i="47"/>
  <c r="BK83" i="47"/>
  <c r="BS50" i="47"/>
  <c r="BN50" i="47"/>
  <c r="BM50" i="47"/>
  <c r="BL50" i="47"/>
  <c r="BK50" i="47"/>
  <c r="BS60" i="47"/>
  <c r="BN60" i="47"/>
  <c r="BM60" i="47"/>
  <c r="BL60" i="47"/>
  <c r="BK60" i="47"/>
  <c r="BS84" i="47"/>
  <c r="BN84" i="47"/>
  <c r="BM84" i="47"/>
  <c r="BL84" i="47"/>
  <c r="BK84" i="47"/>
  <c r="BS82" i="47"/>
  <c r="F9" i="42" s="1"/>
  <c r="BN82" i="47"/>
  <c r="BM82" i="47"/>
  <c r="BL82" i="47"/>
  <c r="BK82" i="47"/>
  <c r="BS70" i="47"/>
  <c r="BN70" i="47"/>
  <c r="BM70" i="47"/>
  <c r="BL70" i="47"/>
  <c r="BK70" i="47"/>
  <c r="BS58" i="47"/>
  <c r="BN58" i="47"/>
  <c r="BM58" i="47"/>
  <c r="BL58" i="47"/>
  <c r="BK58" i="47"/>
  <c r="BS25" i="47"/>
  <c r="F21" i="40" s="1"/>
  <c r="BN25" i="47"/>
  <c r="BM25" i="47"/>
  <c r="BL25" i="47"/>
  <c r="BK25" i="47"/>
  <c r="BS38" i="47"/>
  <c r="BN38" i="47"/>
  <c r="BM38" i="47"/>
  <c r="BL38" i="47"/>
  <c r="BK38" i="47"/>
  <c r="BS107" i="47"/>
  <c r="BN107" i="47"/>
  <c r="BM107" i="47"/>
  <c r="BL107" i="47"/>
  <c r="BK107" i="47"/>
  <c r="BN101" i="47"/>
  <c r="BM101" i="47"/>
  <c r="BL101" i="47"/>
  <c r="BK101" i="47"/>
  <c r="BN30" i="47"/>
  <c r="BM30" i="47"/>
  <c r="BL30" i="47"/>
  <c r="BK30" i="47"/>
  <c r="BS106" i="47"/>
  <c r="BN106" i="47"/>
  <c r="BM106" i="47"/>
  <c r="BL106" i="47"/>
  <c r="BK106" i="47"/>
  <c r="BS26" i="47"/>
  <c r="F11" i="36" s="1"/>
  <c r="BN26" i="47"/>
  <c r="BM26" i="47"/>
  <c r="BL26" i="47"/>
  <c r="BK26" i="47"/>
  <c r="BS52" i="47"/>
  <c r="BN52" i="47"/>
  <c r="BM52" i="47"/>
  <c r="BL52" i="47"/>
  <c r="BK52" i="47"/>
  <c r="BS47" i="47"/>
  <c r="F15" i="40" s="1"/>
  <c r="BN47" i="47"/>
  <c r="BM47" i="47"/>
  <c r="BL47" i="47"/>
  <c r="BK47" i="47"/>
  <c r="BS69" i="47"/>
  <c r="F9" i="45" s="1"/>
  <c r="BN69" i="47"/>
  <c r="BM69" i="47"/>
  <c r="BL69" i="47"/>
  <c r="BK69" i="47"/>
  <c r="BS2" i="47"/>
  <c r="F4" i="46" s="1"/>
  <c r="BR2" i="47"/>
  <c r="BN2" i="47"/>
  <c r="BM2" i="47"/>
  <c r="BL2" i="47"/>
  <c r="BK2" i="47"/>
  <c r="BS10" i="47"/>
  <c r="BN10" i="47"/>
  <c r="BM10" i="47"/>
  <c r="BL10" i="47"/>
  <c r="BK10" i="47"/>
  <c r="BS105" i="47"/>
  <c r="F117" i="2" s="1"/>
  <c r="BN105" i="47"/>
  <c r="BM105" i="47"/>
  <c r="BL105" i="47"/>
  <c r="BK105" i="47"/>
  <c r="BS88" i="47"/>
  <c r="BN88" i="47"/>
  <c r="BM88" i="47"/>
  <c r="BL88" i="47"/>
  <c r="BK88" i="47"/>
  <c r="BS98" i="47"/>
  <c r="BN98" i="47"/>
  <c r="BM98" i="47"/>
  <c r="BL98" i="47"/>
  <c r="BK98" i="47"/>
  <c r="BS104" i="47"/>
  <c r="BN104" i="47"/>
  <c r="BM104" i="47"/>
  <c r="BL104" i="47"/>
  <c r="BK104" i="47"/>
  <c r="BN66" i="47"/>
  <c r="BM66" i="47"/>
  <c r="BL66" i="47"/>
  <c r="BK66" i="47"/>
  <c r="BS85" i="47"/>
  <c r="BN85" i="47"/>
  <c r="BM85" i="47"/>
  <c r="BL85" i="47"/>
  <c r="BK85" i="47"/>
  <c r="BS51" i="47"/>
  <c r="BN51" i="47"/>
  <c r="BM51" i="47"/>
  <c r="BL51" i="47"/>
  <c r="BK51" i="47"/>
  <c r="BS103" i="47"/>
  <c r="BN103" i="47"/>
  <c r="BM103" i="47"/>
  <c r="BL103" i="47"/>
  <c r="BK103" i="47"/>
  <c r="BS24" i="47"/>
  <c r="F12" i="37" s="1"/>
  <c r="BN24" i="47"/>
  <c r="BM24" i="47"/>
  <c r="BL24" i="47"/>
  <c r="BK24" i="47"/>
  <c r="BS74" i="47"/>
  <c r="BN74" i="47"/>
  <c r="BM74" i="47"/>
  <c r="BL74" i="47"/>
  <c r="BK74" i="47"/>
  <c r="BB12" i="47"/>
  <c r="BA12" i="47"/>
  <c r="AY12" i="47"/>
  <c r="AX12" i="47"/>
  <c r="AW12" i="47"/>
  <c r="BB17" i="47"/>
  <c r="BA17" i="47"/>
  <c r="AY17" i="47"/>
  <c r="AX17" i="47"/>
  <c r="AW17" i="47"/>
  <c r="BB71" i="47"/>
  <c r="BA71" i="47"/>
  <c r="AY71" i="47"/>
  <c r="AX71" i="47"/>
  <c r="AW71" i="47"/>
  <c r="BB89" i="47"/>
  <c r="BA89" i="47"/>
  <c r="AY89" i="47"/>
  <c r="AX89" i="47"/>
  <c r="AW89" i="47"/>
  <c r="BB41" i="47"/>
  <c r="BA41" i="47"/>
  <c r="AY41" i="47"/>
  <c r="AX41" i="47"/>
  <c r="AW41" i="47"/>
  <c r="BB36" i="47"/>
  <c r="BA36" i="47"/>
  <c r="AY36" i="47"/>
  <c r="AX36" i="47"/>
  <c r="AW36" i="47"/>
  <c r="BB78" i="47"/>
  <c r="BA78" i="47"/>
  <c r="AY78" i="47"/>
  <c r="AX78" i="47"/>
  <c r="AW78" i="47"/>
  <c r="BB13" i="47"/>
  <c r="BA13" i="47"/>
  <c r="AX13" i="47"/>
  <c r="AW13" i="47"/>
  <c r="BB20" i="47"/>
  <c r="BA20" i="47"/>
  <c r="AY20" i="47"/>
  <c r="AX20" i="47"/>
  <c r="AW20" i="47"/>
  <c r="BB4" i="47"/>
  <c r="BA4" i="47"/>
  <c r="AY4" i="47"/>
  <c r="AX4" i="47"/>
  <c r="AW4" i="47"/>
  <c r="BB80" i="47"/>
  <c r="BA80" i="47"/>
  <c r="AY80" i="47"/>
  <c r="AX80" i="47"/>
  <c r="AW80" i="47"/>
  <c r="BB55" i="47"/>
  <c r="BA55" i="47"/>
  <c r="AY55" i="47"/>
  <c r="AX55" i="47"/>
  <c r="AW55" i="47"/>
  <c r="BB93" i="47"/>
  <c r="BA93" i="47"/>
  <c r="AY93" i="47"/>
  <c r="AX93" i="47"/>
  <c r="AW93" i="47"/>
  <c r="BB3" i="47"/>
  <c r="BA3" i="47"/>
  <c r="AY3" i="47"/>
  <c r="AX3" i="47"/>
  <c r="AW3" i="47"/>
  <c r="BB72" i="47"/>
  <c r="BA72" i="47"/>
  <c r="AY72" i="47"/>
  <c r="AX72" i="47"/>
  <c r="AW72" i="47"/>
  <c r="BB44" i="47"/>
  <c r="BA44" i="47"/>
  <c r="AY44" i="47"/>
  <c r="AX44" i="47"/>
  <c r="AW44" i="47"/>
  <c r="BB39" i="47"/>
  <c r="BA39" i="47"/>
  <c r="AY39" i="47"/>
  <c r="AX39" i="47"/>
  <c r="AW39" i="47"/>
  <c r="BB91" i="47"/>
  <c r="BA91" i="47"/>
  <c r="AY91" i="47"/>
  <c r="AX91" i="47"/>
  <c r="AW91" i="47"/>
  <c r="BB56" i="47"/>
  <c r="BA56" i="47"/>
  <c r="AY56" i="47"/>
  <c r="AX56" i="47"/>
  <c r="AW56" i="47"/>
  <c r="BB67" i="47"/>
  <c r="BA67" i="47"/>
  <c r="AY67" i="47"/>
  <c r="AX67" i="47"/>
  <c r="AW67" i="47"/>
  <c r="BB79" i="47"/>
  <c r="BA79" i="47"/>
  <c r="AY79" i="47"/>
  <c r="AX79" i="47"/>
  <c r="AW79" i="47"/>
  <c r="BB59" i="47"/>
  <c r="BA59" i="47"/>
  <c r="AY59" i="47"/>
  <c r="AX59" i="47"/>
  <c r="AW59" i="47"/>
  <c r="BB86" i="47"/>
  <c r="BA86" i="47"/>
  <c r="AY86" i="47"/>
  <c r="AX86" i="47"/>
  <c r="AW86" i="47"/>
  <c r="BB46" i="47"/>
  <c r="BA46" i="47"/>
  <c r="AY46" i="47"/>
  <c r="AX46" i="47"/>
  <c r="AW46" i="47"/>
  <c r="BB63" i="47"/>
  <c r="BA63" i="47"/>
  <c r="AY63" i="47"/>
  <c r="AX63" i="47"/>
  <c r="AW63" i="47"/>
  <c r="BB65" i="47"/>
  <c r="BA65" i="47"/>
  <c r="AY65" i="47"/>
  <c r="AX65" i="47"/>
  <c r="AW65" i="47"/>
  <c r="BB53" i="47"/>
  <c r="BA53" i="47"/>
  <c r="AY53" i="47"/>
  <c r="AX53" i="47"/>
  <c r="AW53" i="47"/>
  <c r="BB34" i="47"/>
  <c r="BA34" i="47"/>
  <c r="AY34" i="47"/>
  <c r="AX34" i="47"/>
  <c r="AW34" i="47"/>
  <c r="BB61" i="47"/>
  <c r="BA61" i="47"/>
  <c r="AY61" i="47"/>
  <c r="AX61" i="47"/>
  <c r="AW61" i="47"/>
  <c r="BB19" i="47"/>
  <c r="AY19" i="47"/>
  <c r="AX19" i="47"/>
  <c r="AW19" i="47"/>
  <c r="BB54" i="47"/>
  <c r="BA54" i="47"/>
  <c r="AY54" i="47"/>
  <c r="AX54" i="47"/>
  <c r="AW54" i="47"/>
  <c r="BB11" i="47"/>
  <c r="BA11" i="47"/>
  <c r="AY11" i="47"/>
  <c r="AX11" i="47"/>
  <c r="AW11" i="47"/>
  <c r="BB77" i="47"/>
  <c r="BA77" i="47"/>
  <c r="AX77" i="47"/>
  <c r="AW77" i="47"/>
  <c r="BB92" i="47"/>
  <c r="BA92" i="47"/>
  <c r="AY92" i="47"/>
  <c r="AX92" i="47"/>
  <c r="AW92" i="47"/>
  <c r="BB45" i="47"/>
  <c r="BA45" i="47"/>
  <c r="AY45" i="47"/>
  <c r="AX45" i="47"/>
  <c r="AW45" i="47"/>
  <c r="BB6" i="47"/>
  <c r="BA6" i="47"/>
  <c r="AY6" i="47"/>
  <c r="AX6" i="47"/>
  <c r="AW6" i="47"/>
  <c r="BB94" i="47"/>
  <c r="BA94" i="47"/>
  <c r="AY94" i="47"/>
  <c r="AX94" i="47"/>
  <c r="AW94" i="47"/>
  <c r="BB64" i="47"/>
  <c r="BA64" i="47"/>
  <c r="AY64" i="47"/>
  <c r="AX64" i="47"/>
  <c r="AW64" i="47"/>
  <c r="BB40" i="47"/>
  <c r="BA40" i="47"/>
  <c r="AY40" i="47"/>
  <c r="AX40" i="47"/>
  <c r="AW40" i="47"/>
  <c r="BB21" i="47"/>
  <c r="BA21" i="47"/>
  <c r="AY21" i="47"/>
  <c r="AX21" i="47"/>
  <c r="AW21" i="47"/>
  <c r="BB18" i="47"/>
  <c r="BA18" i="47"/>
  <c r="AY18" i="47"/>
  <c r="AX18" i="47"/>
  <c r="AW18" i="47"/>
  <c r="BB73" i="47"/>
  <c r="BA73" i="47"/>
  <c r="AY73" i="47"/>
  <c r="AX73" i="47"/>
  <c r="AW73" i="47"/>
  <c r="BB28" i="47"/>
  <c r="BA28" i="47"/>
  <c r="AX28" i="47"/>
  <c r="AW28" i="47"/>
  <c r="BB96" i="47"/>
  <c r="BA96" i="47"/>
  <c r="AY96" i="47"/>
  <c r="AX96" i="47"/>
  <c r="AW96" i="47"/>
  <c r="BB35" i="47"/>
  <c r="BA35" i="47"/>
  <c r="AY35" i="47"/>
  <c r="AX35" i="47"/>
  <c r="AW35" i="47"/>
  <c r="BB27" i="47"/>
  <c r="BA27" i="47"/>
  <c r="AY27" i="47"/>
  <c r="AX27" i="47"/>
  <c r="AW27" i="47"/>
  <c r="BB57" i="47"/>
  <c r="BA57" i="47"/>
  <c r="AY57" i="47"/>
  <c r="AX57" i="47"/>
  <c r="AW57" i="47"/>
  <c r="BB87" i="47"/>
  <c r="BA87" i="47"/>
  <c r="AY87" i="47"/>
  <c r="AX87" i="47"/>
  <c r="AW87" i="47"/>
  <c r="BB22" i="47"/>
  <c r="BA22" i="47"/>
  <c r="AY22" i="47"/>
  <c r="AX22" i="47"/>
  <c r="AW22" i="47"/>
  <c r="BB75" i="47"/>
  <c r="BA75" i="47"/>
  <c r="AY75" i="47"/>
  <c r="AX75" i="47"/>
  <c r="AW75" i="47"/>
  <c r="BB29" i="47"/>
  <c r="BA29" i="47"/>
  <c r="AX29" i="47"/>
  <c r="AW29" i="47"/>
  <c r="BB81" i="47"/>
  <c r="BA81" i="47"/>
  <c r="AY81" i="47"/>
  <c r="AX81" i="47"/>
  <c r="AW81" i="47"/>
  <c r="BB48" i="47"/>
  <c r="BA48" i="47"/>
  <c r="AY48" i="47"/>
  <c r="AX48" i="47"/>
  <c r="AW48" i="47"/>
  <c r="BB8" i="47"/>
  <c r="BA8" i="47"/>
  <c r="AY8" i="47"/>
  <c r="AX8" i="47"/>
  <c r="AW8" i="47"/>
  <c r="BB95" i="47"/>
  <c r="BA95" i="47"/>
  <c r="AY95" i="47"/>
  <c r="AX95" i="47"/>
  <c r="AW95" i="47"/>
  <c r="BB90" i="47"/>
  <c r="BA90" i="47"/>
  <c r="AY90" i="47"/>
  <c r="AX90" i="47"/>
  <c r="AW90" i="47"/>
  <c r="BB14" i="47"/>
  <c r="BA14" i="47"/>
  <c r="AX14" i="47"/>
  <c r="AW14" i="47"/>
  <c r="BB49" i="47"/>
  <c r="BA49" i="47"/>
  <c r="AY49" i="47"/>
  <c r="AX49" i="47"/>
  <c r="AW49" i="47"/>
  <c r="BB15" i="47"/>
  <c r="BA15" i="47"/>
  <c r="AY15" i="47"/>
  <c r="AX15" i="47"/>
  <c r="AW15" i="47"/>
  <c r="BB102" i="47"/>
  <c r="BA102" i="47"/>
  <c r="AY102" i="47"/>
  <c r="AX102" i="47"/>
  <c r="AW102" i="47"/>
  <c r="BB83" i="47"/>
  <c r="BA83" i="47"/>
  <c r="AY83" i="47"/>
  <c r="AX83" i="47"/>
  <c r="AW83" i="47"/>
  <c r="BB50" i="47"/>
  <c r="BA50" i="47"/>
  <c r="AY50" i="47"/>
  <c r="AX50" i="47"/>
  <c r="AW50" i="47"/>
  <c r="BB60" i="47"/>
  <c r="BA60" i="47"/>
  <c r="AY60" i="47"/>
  <c r="AX60" i="47"/>
  <c r="AW60" i="47"/>
  <c r="BB84" i="47"/>
  <c r="BA84" i="47"/>
  <c r="AY84" i="47"/>
  <c r="AX84" i="47"/>
  <c r="AW84" i="47"/>
  <c r="BB82" i="47"/>
  <c r="BA82" i="47"/>
  <c r="AY82" i="47"/>
  <c r="AX82" i="47"/>
  <c r="AW82" i="47"/>
  <c r="BB70" i="47"/>
  <c r="BA70" i="47"/>
  <c r="AY70" i="47"/>
  <c r="AX70" i="47"/>
  <c r="AW70" i="47"/>
  <c r="BB58" i="47"/>
  <c r="BA58" i="47"/>
  <c r="AY58" i="47"/>
  <c r="AX58" i="47"/>
  <c r="AW58" i="47"/>
  <c r="BB25" i="47"/>
  <c r="BA25" i="47"/>
  <c r="AY25" i="47"/>
  <c r="AX25" i="47"/>
  <c r="AW25" i="47"/>
  <c r="BB38" i="47"/>
  <c r="BA38" i="47"/>
  <c r="AY38" i="47"/>
  <c r="AX38" i="47"/>
  <c r="AW38" i="47"/>
  <c r="BB107" i="47"/>
  <c r="BA107" i="47"/>
  <c r="AY107" i="47"/>
  <c r="AX107" i="47"/>
  <c r="AW107" i="47"/>
  <c r="BB101" i="47"/>
  <c r="BA101" i="47"/>
  <c r="AY101" i="47"/>
  <c r="AX101" i="47"/>
  <c r="AW101" i="47"/>
  <c r="BB30" i="47"/>
  <c r="BA30" i="47"/>
  <c r="AY30" i="47"/>
  <c r="AX30" i="47"/>
  <c r="AW30" i="47"/>
  <c r="BB106" i="47"/>
  <c r="BA106" i="47"/>
  <c r="AY106" i="47"/>
  <c r="AX106" i="47"/>
  <c r="AW106" i="47"/>
  <c r="BB26" i="47"/>
  <c r="BA26" i="47"/>
  <c r="AY26" i="47"/>
  <c r="AX26" i="47"/>
  <c r="AW26" i="47"/>
  <c r="BB52" i="47"/>
  <c r="BA52" i="47"/>
  <c r="AY52" i="47"/>
  <c r="AX52" i="47"/>
  <c r="AW52" i="47"/>
  <c r="BB47" i="47"/>
  <c r="BA47" i="47"/>
  <c r="AY47" i="47"/>
  <c r="AX47" i="47"/>
  <c r="AW47" i="47"/>
  <c r="BB69" i="47"/>
  <c r="BA69" i="47"/>
  <c r="AY69" i="47"/>
  <c r="AX69" i="47"/>
  <c r="AW69" i="47"/>
  <c r="BB2" i="47"/>
  <c r="BA2" i="47"/>
  <c r="AY2" i="47"/>
  <c r="AX2" i="47"/>
  <c r="AW2" i="47"/>
  <c r="BB10" i="47"/>
  <c r="BA10" i="47"/>
  <c r="AY10" i="47"/>
  <c r="AX10" i="47"/>
  <c r="AW10" i="47"/>
  <c r="BB105" i="47"/>
  <c r="BA105" i="47"/>
  <c r="AY105" i="47"/>
  <c r="AX105" i="47"/>
  <c r="AW105" i="47"/>
  <c r="BB88" i="47"/>
  <c r="BA88" i="47"/>
  <c r="AY88" i="47"/>
  <c r="AX88" i="47"/>
  <c r="AW88" i="47"/>
  <c r="BB98" i="47"/>
  <c r="BA98" i="47"/>
  <c r="AY98" i="47"/>
  <c r="AX98" i="47"/>
  <c r="AW98" i="47"/>
  <c r="BB104" i="47"/>
  <c r="BA104" i="47"/>
  <c r="AY104" i="47"/>
  <c r="AX104" i="47"/>
  <c r="AW104" i="47"/>
  <c r="BB66" i="47"/>
  <c r="BA66" i="47"/>
  <c r="AY66" i="47"/>
  <c r="AX66" i="47"/>
  <c r="AW66" i="47"/>
  <c r="BB85" i="47"/>
  <c r="BA85" i="47"/>
  <c r="AY85" i="47"/>
  <c r="AX85" i="47"/>
  <c r="AW85" i="47"/>
  <c r="BB51" i="47"/>
  <c r="BA51" i="47"/>
  <c r="AY51" i="47"/>
  <c r="AX51" i="47"/>
  <c r="AW51" i="47"/>
  <c r="BB103" i="47"/>
  <c r="BA103" i="47"/>
  <c r="AY103" i="47"/>
  <c r="AX103" i="47"/>
  <c r="AW103" i="47"/>
  <c r="BB24" i="47"/>
  <c r="BA24" i="47"/>
  <c r="AY24" i="47"/>
  <c r="AX24" i="47"/>
  <c r="AW24" i="47"/>
  <c r="BB74" i="47"/>
  <c r="BA74" i="47"/>
  <c r="AY74" i="47"/>
  <c r="AX74" i="47"/>
  <c r="AW74" i="47"/>
  <c r="AV12" i="47"/>
  <c r="AU12" i="47"/>
  <c r="AT12" i="47"/>
  <c r="AS12" i="47"/>
  <c r="AR12" i="47"/>
  <c r="AQ12" i="47"/>
  <c r="AP12" i="47"/>
  <c r="AO12" i="47"/>
  <c r="AN12" i="47"/>
  <c r="AM12" i="47"/>
  <c r="AV17" i="47"/>
  <c r="AU17" i="47"/>
  <c r="AT17" i="47"/>
  <c r="AS17" i="47"/>
  <c r="AR17" i="47"/>
  <c r="AQ17" i="47"/>
  <c r="AP17" i="47"/>
  <c r="AO17" i="47"/>
  <c r="AN17" i="47"/>
  <c r="AM17" i="47"/>
  <c r="AV71" i="47"/>
  <c r="AU71" i="47"/>
  <c r="AT71" i="47"/>
  <c r="AS71" i="47"/>
  <c r="AR71" i="47"/>
  <c r="AQ71" i="47"/>
  <c r="AP71" i="47"/>
  <c r="AO71" i="47"/>
  <c r="AN71" i="47"/>
  <c r="AM71" i="47"/>
  <c r="AV89" i="47"/>
  <c r="AU89" i="47"/>
  <c r="AT89" i="47"/>
  <c r="AS89" i="47"/>
  <c r="AR89" i="47"/>
  <c r="AQ89" i="47"/>
  <c r="AP89" i="47"/>
  <c r="AO89" i="47"/>
  <c r="AN89" i="47"/>
  <c r="AM89" i="47"/>
  <c r="AV41" i="47"/>
  <c r="AU41" i="47"/>
  <c r="AT41" i="47"/>
  <c r="AS41" i="47"/>
  <c r="AR41" i="47"/>
  <c r="AQ41" i="47"/>
  <c r="AP41" i="47"/>
  <c r="AO41" i="47"/>
  <c r="AN41" i="47"/>
  <c r="AM41" i="47"/>
  <c r="AV36" i="47"/>
  <c r="AU36" i="47"/>
  <c r="AT36" i="47"/>
  <c r="AS36" i="47"/>
  <c r="AR36" i="47"/>
  <c r="AQ36" i="47"/>
  <c r="AP36" i="47"/>
  <c r="AO36" i="47"/>
  <c r="AN36" i="47"/>
  <c r="AM36" i="47"/>
  <c r="AV78" i="47"/>
  <c r="AU78" i="47"/>
  <c r="AT78" i="47"/>
  <c r="AS78" i="47"/>
  <c r="AR78" i="47"/>
  <c r="AQ78" i="47"/>
  <c r="AP78" i="47"/>
  <c r="AO78" i="47"/>
  <c r="AN78" i="47"/>
  <c r="AM78" i="47"/>
  <c r="AV13" i="47"/>
  <c r="AU13" i="47"/>
  <c r="AT13" i="47"/>
  <c r="AS13" i="47"/>
  <c r="AR13" i="47"/>
  <c r="AQ13" i="47"/>
  <c r="AP13" i="47"/>
  <c r="AO13" i="47"/>
  <c r="AN13" i="47"/>
  <c r="AM13" i="47"/>
  <c r="AV20" i="47"/>
  <c r="AU20" i="47"/>
  <c r="AT20" i="47"/>
  <c r="AS20" i="47"/>
  <c r="AR20" i="47"/>
  <c r="AQ20" i="47"/>
  <c r="AP20" i="47"/>
  <c r="AO20" i="47"/>
  <c r="AN20" i="47"/>
  <c r="AM20" i="47"/>
  <c r="AV4" i="47"/>
  <c r="AU4" i="47"/>
  <c r="AT4" i="47"/>
  <c r="AS4" i="47"/>
  <c r="AR4" i="47"/>
  <c r="AQ4" i="47"/>
  <c r="AP4" i="47"/>
  <c r="AO4" i="47"/>
  <c r="AN4" i="47"/>
  <c r="AM4" i="47"/>
  <c r="AV80" i="47"/>
  <c r="AU80" i="47"/>
  <c r="AT80" i="47"/>
  <c r="AS80" i="47"/>
  <c r="AR80" i="47"/>
  <c r="AQ80" i="47"/>
  <c r="AP80" i="47"/>
  <c r="AO80" i="47"/>
  <c r="AN80" i="47"/>
  <c r="AM80" i="47"/>
  <c r="AV55" i="47"/>
  <c r="AU55" i="47"/>
  <c r="AT55" i="47"/>
  <c r="AS55" i="47"/>
  <c r="AR55" i="47"/>
  <c r="AQ55" i="47"/>
  <c r="AP55" i="47"/>
  <c r="AO55" i="47"/>
  <c r="AN55" i="47"/>
  <c r="AM55" i="47"/>
  <c r="AV93" i="47"/>
  <c r="AU93" i="47"/>
  <c r="AT93" i="47"/>
  <c r="AS93" i="47"/>
  <c r="AR93" i="47"/>
  <c r="AQ93" i="47"/>
  <c r="AP93" i="47"/>
  <c r="AO93" i="47"/>
  <c r="AN93" i="47"/>
  <c r="AM93" i="47"/>
  <c r="AV3" i="47"/>
  <c r="AU3" i="47"/>
  <c r="AT3" i="47"/>
  <c r="AS3" i="47"/>
  <c r="AR3" i="47"/>
  <c r="AQ3" i="47"/>
  <c r="AP3" i="47"/>
  <c r="AO3" i="47"/>
  <c r="AN3" i="47"/>
  <c r="AM3" i="47"/>
  <c r="AV72" i="47"/>
  <c r="AU72" i="47"/>
  <c r="AT72" i="47"/>
  <c r="AS72" i="47"/>
  <c r="AR72" i="47"/>
  <c r="AQ72" i="47"/>
  <c r="AP72" i="47"/>
  <c r="AO72" i="47"/>
  <c r="AN72" i="47"/>
  <c r="AM72" i="47"/>
  <c r="AV44" i="47"/>
  <c r="AU44" i="47"/>
  <c r="AT44" i="47"/>
  <c r="AS44" i="47"/>
  <c r="AR44" i="47"/>
  <c r="AQ44" i="47"/>
  <c r="AP44" i="47"/>
  <c r="AO44" i="47"/>
  <c r="AN44" i="47"/>
  <c r="AM44" i="47"/>
  <c r="AV39" i="47"/>
  <c r="AU39" i="47"/>
  <c r="AT39" i="47"/>
  <c r="AS39" i="47"/>
  <c r="AR39" i="47"/>
  <c r="AQ39" i="47"/>
  <c r="AP39" i="47"/>
  <c r="AO39" i="47"/>
  <c r="AN39" i="47"/>
  <c r="AM39" i="47"/>
  <c r="AV91" i="47"/>
  <c r="AU91" i="47"/>
  <c r="AT91" i="47"/>
  <c r="AS91" i="47"/>
  <c r="AR91" i="47"/>
  <c r="AQ91" i="47"/>
  <c r="AP91" i="47"/>
  <c r="AO91" i="47"/>
  <c r="AN91" i="47"/>
  <c r="AM91" i="47"/>
  <c r="AV56" i="47"/>
  <c r="AU56" i="47"/>
  <c r="AT56" i="47"/>
  <c r="AS56" i="47"/>
  <c r="AR56" i="47"/>
  <c r="AQ56" i="47"/>
  <c r="AP56" i="47"/>
  <c r="AO56" i="47"/>
  <c r="AN56" i="47"/>
  <c r="AM56" i="47"/>
  <c r="AV67" i="47"/>
  <c r="AU67" i="47"/>
  <c r="AT67" i="47"/>
  <c r="AS67" i="47"/>
  <c r="AR67" i="47"/>
  <c r="AQ67" i="47"/>
  <c r="AP67" i="47"/>
  <c r="AO67" i="47"/>
  <c r="AN67" i="47"/>
  <c r="AM67" i="47"/>
  <c r="AV79" i="47"/>
  <c r="AU79" i="47"/>
  <c r="AT79" i="47"/>
  <c r="AS79" i="47"/>
  <c r="AR79" i="47"/>
  <c r="AQ79" i="47"/>
  <c r="AP79" i="47"/>
  <c r="AO79" i="47"/>
  <c r="AN79" i="47"/>
  <c r="AM79" i="47"/>
  <c r="AV59" i="47"/>
  <c r="AU59" i="47"/>
  <c r="AT59" i="47"/>
  <c r="AS59" i="47"/>
  <c r="AR59" i="47"/>
  <c r="AQ59" i="47"/>
  <c r="AP59" i="47"/>
  <c r="AO59" i="47"/>
  <c r="AN59" i="47"/>
  <c r="AM59" i="47"/>
  <c r="AV86" i="47"/>
  <c r="AU86" i="47"/>
  <c r="AT86" i="47"/>
  <c r="AS86" i="47"/>
  <c r="AR86" i="47"/>
  <c r="AQ86" i="47"/>
  <c r="AP86" i="47"/>
  <c r="AO86" i="47"/>
  <c r="AN86" i="47"/>
  <c r="AM86" i="47"/>
  <c r="AV46" i="47"/>
  <c r="AU46" i="47"/>
  <c r="AT46" i="47"/>
  <c r="AS46" i="47"/>
  <c r="AR46" i="47"/>
  <c r="AQ46" i="47"/>
  <c r="AP46" i="47"/>
  <c r="AO46" i="47"/>
  <c r="AN46" i="47"/>
  <c r="AM46" i="47"/>
  <c r="AV63" i="47"/>
  <c r="AU63" i="47"/>
  <c r="AT63" i="47"/>
  <c r="AS63" i="47"/>
  <c r="AR63" i="47"/>
  <c r="AQ63" i="47"/>
  <c r="AP63" i="47"/>
  <c r="AO63" i="47"/>
  <c r="AN63" i="47"/>
  <c r="AM63" i="47"/>
  <c r="AV65" i="47"/>
  <c r="AU65" i="47"/>
  <c r="AT65" i="47"/>
  <c r="AS65" i="47"/>
  <c r="AR65" i="47"/>
  <c r="AQ65" i="47"/>
  <c r="AP65" i="47"/>
  <c r="AO65" i="47"/>
  <c r="AN65" i="47"/>
  <c r="AM65" i="47"/>
  <c r="AV53" i="47"/>
  <c r="AU53" i="47"/>
  <c r="AT53" i="47"/>
  <c r="AS53" i="47"/>
  <c r="AR53" i="47"/>
  <c r="AQ53" i="47"/>
  <c r="AP53" i="47"/>
  <c r="AO53" i="47"/>
  <c r="AN53" i="47"/>
  <c r="AM53" i="47"/>
  <c r="AV34" i="47"/>
  <c r="AU34" i="47"/>
  <c r="AT34" i="47"/>
  <c r="AS34" i="47"/>
  <c r="AR34" i="47"/>
  <c r="AQ34" i="47"/>
  <c r="AP34" i="47"/>
  <c r="AO34" i="47"/>
  <c r="AN34" i="47"/>
  <c r="AM34" i="47"/>
  <c r="AV61" i="47"/>
  <c r="AU61" i="47"/>
  <c r="AT61" i="47"/>
  <c r="AS61" i="47"/>
  <c r="AR61" i="47"/>
  <c r="AQ61" i="47"/>
  <c r="AP61" i="47"/>
  <c r="AO61" i="47"/>
  <c r="AN61" i="47"/>
  <c r="AM61" i="47"/>
  <c r="AV19" i="47"/>
  <c r="AU19" i="47"/>
  <c r="AT19" i="47"/>
  <c r="AS19" i="47"/>
  <c r="AR19" i="47"/>
  <c r="AQ19" i="47"/>
  <c r="AP19" i="47"/>
  <c r="AO19" i="47"/>
  <c r="AN19" i="47"/>
  <c r="AM19" i="47"/>
  <c r="AV54" i="47"/>
  <c r="AU54" i="47"/>
  <c r="AT54" i="47"/>
  <c r="AS54" i="47"/>
  <c r="AR54" i="47"/>
  <c r="AQ54" i="47"/>
  <c r="AP54" i="47"/>
  <c r="AO54" i="47"/>
  <c r="AN54" i="47"/>
  <c r="AM54" i="47"/>
  <c r="AV11" i="47"/>
  <c r="AU11" i="47"/>
  <c r="AT11" i="47"/>
  <c r="AS11" i="47"/>
  <c r="AR11" i="47"/>
  <c r="AQ11" i="47"/>
  <c r="AP11" i="47"/>
  <c r="AO11" i="47"/>
  <c r="AN11" i="47"/>
  <c r="AM11" i="47"/>
  <c r="AV77" i="47"/>
  <c r="AU77" i="47"/>
  <c r="AT77" i="47"/>
  <c r="AS77" i="47"/>
  <c r="AR77" i="47"/>
  <c r="AQ77" i="47"/>
  <c r="AP77" i="47"/>
  <c r="AO77" i="47"/>
  <c r="AN77" i="47"/>
  <c r="AM77" i="47"/>
  <c r="AV92" i="47"/>
  <c r="AU92" i="47"/>
  <c r="AT92" i="47"/>
  <c r="AS92" i="47"/>
  <c r="AR92" i="47"/>
  <c r="AQ92" i="47"/>
  <c r="AP92" i="47"/>
  <c r="AO92" i="47"/>
  <c r="AN92" i="47"/>
  <c r="AM92" i="47"/>
  <c r="AV45" i="47"/>
  <c r="AU45" i="47"/>
  <c r="AT45" i="47"/>
  <c r="AS45" i="47"/>
  <c r="AR45" i="47"/>
  <c r="AQ45" i="47"/>
  <c r="AP45" i="47"/>
  <c r="AO45" i="47"/>
  <c r="AN45" i="47"/>
  <c r="AM45" i="47"/>
  <c r="AV6" i="47"/>
  <c r="AU6" i="47"/>
  <c r="AT6" i="47"/>
  <c r="AS6" i="47"/>
  <c r="AR6" i="47"/>
  <c r="AQ6" i="47"/>
  <c r="AP6" i="47"/>
  <c r="AO6" i="47"/>
  <c r="AN6" i="47"/>
  <c r="AM6" i="47"/>
  <c r="AV94" i="47"/>
  <c r="AU94" i="47"/>
  <c r="AT94" i="47"/>
  <c r="AS94" i="47"/>
  <c r="AR94" i="47"/>
  <c r="AQ94" i="47"/>
  <c r="AP94" i="47"/>
  <c r="AO94" i="47"/>
  <c r="AN94" i="47"/>
  <c r="AM94" i="47"/>
  <c r="AV64" i="47"/>
  <c r="AU64" i="47"/>
  <c r="AT64" i="47"/>
  <c r="AS64" i="47"/>
  <c r="AR64" i="47"/>
  <c r="AQ64" i="47"/>
  <c r="AP64" i="47"/>
  <c r="AO64" i="47"/>
  <c r="AN64" i="47"/>
  <c r="AM64" i="47"/>
  <c r="AV40" i="47"/>
  <c r="AU40" i="47"/>
  <c r="AT40" i="47"/>
  <c r="AS40" i="47"/>
  <c r="AR40" i="47"/>
  <c r="AQ40" i="47"/>
  <c r="AP40" i="47"/>
  <c r="AO40" i="47"/>
  <c r="AN40" i="47"/>
  <c r="AM40" i="47"/>
  <c r="AV21" i="47"/>
  <c r="AU21" i="47"/>
  <c r="AT21" i="47"/>
  <c r="AS21" i="47"/>
  <c r="AR21" i="47"/>
  <c r="AQ21" i="47"/>
  <c r="AP21" i="47"/>
  <c r="AO21" i="47"/>
  <c r="AN21" i="47"/>
  <c r="AM21" i="47"/>
  <c r="AV18" i="47"/>
  <c r="AU18" i="47"/>
  <c r="AT18" i="47"/>
  <c r="AS18" i="47"/>
  <c r="AR18" i="47"/>
  <c r="AQ18" i="47"/>
  <c r="AP18" i="47"/>
  <c r="AO18" i="47"/>
  <c r="AN18" i="47"/>
  <c r="AM18" i="47"/>
  <c r="AV73" i="47"/>
  <c r="AU73" i="47"/>
  <c r="AT73" i="47"/>
  <c r="AS73" i="47"/>
  <c r="AR73" i="47"/>
  <c r="AQ73" i="47"/>
  <c r="AP73" i="47"/>
  <c r="AO73" i="47"/>
  <c r="AN73" i="47"/>
  <c r="AM73" i="47"/>
  <c r="AV28" i="47"/>
  <c r="AU28" i="47"/>
  <c r="AT28" i="47"/>
  <c r="AS28" i="47"/>
  <c r="AR28" i="47"/>
  <c r="AQ28" i="47"/>
  <c r="AP28" i="47"/>
  <c r="AO28" i="47"/>
  <c r="AN28" i="47"/>
  <c r="AM28" i="47"/>
  <c r="AV96" i="47"/>
  <c r="AU96" i="47"/>
  <c r="AT96" i="47"/>
  <c r="AS96" i="47"/>
  <c r="AR96" i="47"/>
  <c r="AQ96" i="47"/>
  <c r="AP96" i="47"/>
  <c r="AO96" i="47"/>
  <c r="AN96" i="47"/>
  <c r="AM96" i="47"/>
  <c r="AV35" i="47"/>
  <c r="AU35" i="47"/>
  <c r="AT35" i="47"/>
  <c r="AS35" i="47"/>
  <c r="AR35" i="47"/>
  <c r="AQ35" i="47"/>
  <c r="AP35" i="47"/>
  <c r="AO35" i="47"/>
  <c r="AN35" i="47"/>
  <c r="AM35" i="47"/>
  <c r="AV27" i="47"/>
  <c r="AU27" i="47"/>
  <c r="AT27" i="47"/>
  <c r="AS27" i="47"/>
  <c r="AR27" i="47"/>
  <c r="AQ27" i="47"/>
  <c r="AP27" i="47"/>
  <c r="AO27" i="47"/>
  <c r="AN27" i="47"/>
  <c r="AM27" i="47"/>
  <c r="AV57" i="47"/>
  <c r="AU57" i="47"/>
  <c r="AT57" i="47"/>
  <c r="AS57" i="47"/>
  <c r="AR57" i="47"/>
  <c r="AQ57" i="47"/>
  <c r="AP57" i="47"/>
  <c r="AO57" i="47"/>
  <c r="AN57" i="47"/>
  <c r="AM57" i="47"/>
  <c r="AV87" i="47"/>
  <c r="AU87" i="47"/>
  <c r="AT87" i="47"/>
  <c r="AS87" i="47"/>
  <c r="AR87" i="47"/>
  <c r="AQ87" i="47"/>
  <c r="AP87" i="47"/>
  <c r="AO87" i="47"/>
  <c r="AN87" i="47"/>
  <c r="AM87" i="47"/>
  <c r="AV22" i="47"/>
  <c r="AU22" i="47"/>
  <c r="AT22" i="47"/>
  <c r="AS22" i="47"/>
  <c r="AR22" i="47"/>
  <c r="AQ22" i="47"/>
  <c r="AP22" i="47"/>
  <c r="AO22" i="47"/>
  <c r="AN22" i="47"/>
  <c r="AM22" i="47"/>
  <c r="AV75" i="47"/>
  <c r="AU75" i="47"/>
  <c r="AT75" i="47"/>
  <c r="AS75" i="47"/>
  <c r="AR75" i="47"/>
  <c r="AQ75" i="47"/>
  <c r="AP75" i="47"/>
  <c r="AO75" i="47"/>
  <c r="AN75" i="47"/>
  <c r="AM75" i="47"/>
  <c r="AV29" i="47"/>
  <c r="AU29" i="47"/>
  <c r="AT29" i="47"/>
  <c r="AS29" i="47"/>
  <c r="AR29" i="47"/>
  <c r="AQ29" i="47"/>
  <c r="AP29" i="47"/>
  <c r="AO29" i="47"/>
  <c r="AN29" i="47"/>
  <c r="AM29" i="47"/>
  <c r="AV81" i="47"/>
  <c r="AU81" i="47"/>
  <c r="AT81" i="47"/>
  <c r="AS81" i="47"/>
  <c r="AR81" i="47"/>
  <c r="AQ81" i="47"/>
  <c r="AP81" i="47"/>
  <c r="AO81" i="47"/>
  <c r="AN81" i="47"/>
  <c r="AM81" i="47"/>
  <c r="AV48" i="47"/>
  <c r="AU48" i="47"/>
  <c r="AT48" i="47"/>
  <c r="AS48" i="47"/>
  <c r="AR48" i="47"/>
  <c r="AQ48" i="47"/>
  <c r="AP48" i="47"/>
  <c r="AO48" i="47"/>
  <c r="AN48" i="47"/>
  <c r="AM48" i="47"/>
  <c r="AV8" i="47"/>
  <c r="AU8" i="47"/>
  <c r="AT8" i="47"/>
  <c r="AS8" i="47"/>
  <c r="AR8" i="47"/>
  <c r="AQ8" i="47"/>
  <c r="AP8" i="47"/>
  <c r="AO8" i="47"/>
  <c r="AN8" i="47"/>
  <c r="AM8" i="47"/>
  <c r="AV95" i="47"/>
  <c r="AU95" i="47"/>
  <c r="AT95" i="47"/>
  <c r="AS95" i="47"/>
  <c r="AR95" i="47"/>
  <c r="AQ95" i="47"/>
  <c r="AP95" i="47"/>
  <c r="AO95" i="47"/>
  <c r="AN95" i="47"/>
  <c r="AM95" i="47"/>
  <c r="AV90" i="47"/>
  <c r="AU90" i="47"/>
  <c r="AT90" i="47"/>
  <c r="AS90" i="47"/>
  <c r="AR90" i="47"/>
  <c r="AQ90" i="47"/>
  <c r="AP90" i="47"/>
  <c r="AO90" i="47"/>
  <c r="AN90" i="47"/>
  <c r="AM90" i="47"/>
  <c r="AV14" i="47"/>
  <c r="AU14" i="47"/>
  <c r="AT14" i="47"/>
  <c r="AS14" i="47"/>
  <c r="AR14" i="47"/>
  <c r="AQ14" i="47"/>
  <c r="AP14" i="47"/>
  <c r="AO14" i="47"/>
  <c r="AN14" i="47"/>
  <c r="AM14" i="47"/>
  <c r="AV49" i="47"/>
  <c r="AU49" i="47"/>
  <c r="AT49" i="47"/>
  <c r="AS49" i="47"/>
  <c r="AR49" i="47"/>
  <c r="AQ49" i="47"/>
  <c r="AP49" i="47"/>
  <c r="AO49" i="47"/>
  <c r="AN49" i="47"/>
  <c r="AM49" i="47"/>
  <c r="AV15" i="47"/>
  <c r="AU15" i="47"/>
  <c r="AT15" i="47"/>
  <c r="AS15" i="47"/>
  <c r="AR15" i="47"/>
  <c r="AQ15" i="47"/>
  <c r="AP15" i="47"/>
  <c r="AO15" i="47"/>
  <c r="AN15" i="47"/>
  <c r="AM15" i="47"/>
  <c r="AV102" i="47"/>
  <c r="AU102" i="47"/>
  <c r="AT102" i="47"/>
  <c r="AS102" i="47"/>
  <c r="AR102" i="47"/>
  <c r="AQ102" i="47"/>
  <c r="AP102" i="47"/>
  <c r="AO102" i="47"/>
  <c r="AN102" i="47"/>
  <c r="AM102" i="47"/>
  <c r="AV83" i="47"/>
  <c r="AU83" i="47"/>
  <c r="AT83" i="47"/>
  <c r="AS83" i="47"/>
  <c r="AR83" i="47"/>
  <c r="AQ83" i="47"/>
  <c r="AP83" i="47"/>
  <c r="AO83" i="47"/>
  <c r="AN83" i="47"/>
  <c r="AM83" i="47"/>
  <c r="AV50" i="47"/>
  <c r="AU50" i="47"/>
  <c r="AT50" i="47"/>
  <c r="AS50" i="47"/>
  <c r="AR50" i="47"/>
  <c r="AQ50" i="47"/>
  <c r="AP50" i="47"/>
  <c r="AO50" i="47"/>
  <c r="AN50" i="47"/>
  <c r="AM50" i="47"/>
  <c r="AV60" i="47"/>
  <c r="AU60" i="47"/>
  <c r="AT60" i="47"/>
  <c r="AS60" i="47"/>
  <c r="AR60" i="47"/>
  <c r="AQ60" i="47"/>
  <c r="AP60" i="47"/>
  <c r="AO60" i="47"/>
  <c r="AN60" i="47"/>
  <c r="AM60" i="47"/>
  <c r="AV84" i="47"/>
  <c r="AU84" i="47"/>
  <c r="AT84" i="47"/>
  <c r="AS84" i="47"/>
  <c r="AR84" i="47"/>
  <c r="AQ84" i="47"/>
  <c r="AP84" i="47"/>
  <c r="AO84" i="47"/>
  <c r="AN84" i="47"/>
  <c r="AM84" i="47"/>
  <c r="AV82" i="47"/>
  <c r="AU82" i="47"/>
  <c r="AT82" i="47"/>
  <c r="AS82" i="47"/>
  <c r="AR82" i="47"/>
  <c r="AQ82" i="47"/>
  <c r="AP82" i="47"/>
  <c r="AO82" i="47"/>
  <c r="AN82" i="47"/>
  <c r="AM82" i="47"/>
  <c r="AV70" i="47"/>
  <c r="AU70" i="47"/>
  <c r="AT70" i="47"/>
  <c r="AS70" i="47"/>
  <c r="AR70" i="47"/>
  <c r="AQ70" i="47"/>
  <c r="AP70" i="47"/>
  <c r="AO70" i="47"/>
  <c r="AN70" i="47"/>
  <c r="AM70" i="47"/>
  <c r="AV58" i="47"/>
  <c r="AU58" i="47"/>
  <c r="AT58" i="47"/>
  <c r="AS58" i="47"/>
  <c r="AR58" i="47"/>
  <c r="AQ58" i="47"/>
  <c r="AP58" i="47"/>
  <c r="AO58" i="47"/>
  <c r="AN58" i="47"/>
  <c r="AM58" i="47"/>
  <c r="AV25" i="47"/>
  <c r="AU25" i="47"/>
  <c r="AT25" i="47"/>
  <c r="AS25" i="47"/>
  <c r="AR25" i="47"/>
  <c r="AQ25" i="47"/>
  <c r="AP25" i="47"/>
  <c r="AO25" i="47"/>
  <c r="AN25" i="47"/>
  <c r="AM25" i="47"/>
  <c r="AV38" i="47"/>
  <c r="AU38" i="47"/>
  <c r="AT38" i="47"/>
  <c r="AS38" i="47"/>
  <c r="AR38" i="47"/>
  <c r="AQ38" i="47"/>
  <c r="AP38" i="47"/>
  <c r="AO38" i="47"/>
  <c r="AN38" i="47"/>
  <c r="AM38" i="47"/>
  <c r="AV107" i="47"/>
  <c r="AU107" i="47"/>
  <c r="AT107" i="47"/>
  <c r="AS107" i="47"/>
  <c r="AR107" i="47"/>
  <c r="AQ107" i="47"/>
  <c r="AP107" i="47"/>
  <c r="AO107" i="47"/>
  <c r="AN107" i="47"/>
  <c r="AM107" i="47"/>
  <c r="AV101" i="47"/>
  <c r="AU101" i="47"/>
  <c r="AT101" i="47"/>
  <c r="AS101" i="47"/>
  <c r="AR101" i="47"/>
  <c r="AQ101" i="47"/>
  <c r="AP101" i="47"/>
  <c r="AO101" i="47"/>
  <c r="AN101" i="47"/>
  <c r="AM101" i="47"/>
  <c r="AV30" i="47"/>
  <c r="AU30" i="47"/>
  <c r="AT30" i="47"/>
  <c r="AS30" i="47"/>
  <c r="AR30" i="47"/>
  <c r="AQ30" i="47"/>
  <c r="AP30" i="47"/>
  <c r="AO30" i="47"/>
  <c r="AN30" i="47"/>
  <c r="AM30" i="47"/>
  <c r="AV106" i="47"/>
  <c r="AU106" i="47"/>
  <c r="AT106" i="47"/>
  <c r="AS106" i="47"/>
  <c r="AR106" i="47"/>
  <c r="AQ106" i="47"/>
  <c r="AP106" i="47"/>
  <c r="AO106" i="47"/>
  <c r="AN106" i="47"/>
  <c r="AM106" i="47"/>
  <c r="AV26" i="47"/>
  <c r="AU26" i="47"/>
  <c r="AT26" i="47"/>
  <c r="AS26" i="47"/>
  <c r="AR26" i="47"/>
  <c r="AQ26" i="47"/>
  <c r="AP26" i="47"/>
  <c r="AO26" i="47"/>
  <c r="AN26" i="47"/>
  <c r="AM26" i="47"/>
  <c r="AV52" i="47"/>
  <c r="AU52" i="47"/>
  <c r="AT52" i="47"/>
  <c r="AS52" i="47"/>
  <c r="AR52" i="47"/>
  <c r="AQ52" i="47"/>
  <c r="AP52" i="47"/>
  <c r="AO52" i="47"/>
  <c r="AN52" i="47"/>
  <c r="AM52" i="47"/>
  <c r="AV47" i="47"/>
  <c r="AU47" i="47"/>
  <c r="AT47" i="47"/>
  <c r="AS47" i="47"/>
  <c r="AR47" i="47"/>
  <c r="AQ47" i="47"/>
  <c r="AP47" i="47"/>
  <c r="AO47" i="47"/>
  <c r="AN47" i="47"/>
  <c r="AM47" i="47"/>
  <c r="AV69" i="47"/>
  <c r="AU69" i="47"/>
  <c r="AT69" i="47"/>
  <c r="AS69" i="47"/>
  <c r="AR69" i="47"/>
  <c r="AQ69" i="47"/>
  <c r="AP69" i="47"/>
  <c r="AO69" i="47"/>
  <c r="AN69" i="47"/>
  <c r="AM69" i="47"/>
  <c r="AV2" i="47"/>
  <c r="AU2" i="47"/>
  <c r="AT2" i="47"/>
  <c r="AS2" i="47"/>
  <c r="AR2" i="47"/>
  <c r="AQ2" i="47"/>
  <c r="AP2" i="47"/>
  <c r="AO2" i="47"/>
  <c r="AN2" i="47"/>
  <c r="AM2" i="47"/>
  <c r="AV10" i="47"/>
  <c r="AU10" i="47"/>
  <c r="AT10" i="47"/>
  <c r="AS10" i="47"/>
  <c r="AR10" i="47"/>
  <c r="AQ10" i="47"/>
  <c r="AP10" i="47"/>
  <c r="AO10" i="47"/>
  <c r="AN10" i="47"/>
  <c r="AM10" i="47"/>
  <c r="AV105" i="47"/>
  <c r="AU105" i="47"/>
  <c r="AT105" i="47"/>
  <c r="AS105" i="47"/>
  <c r="AR105" i="47"/>
  <c r="AQ105" i="47"/>
  <c r="AP105" i="47"/>
  <c r="AO105" i="47"/>
  <c r="AN105" i="47"/>
  <c r="AM105" i="47"/>
  <c r="AV88" i="47"/>
  <c r="AU88" i="47"/>
  <c r="AT88" i="47"/>
  <c r="AS88" i="47"/>
  <c r="AR88" i="47"/>
  <c r="AQ88" i="47"/>
  <c r="AP88" i="47"/>
  <c r="AO88" i="47"/>
  <c r="AN88" i="47"/>
  <c r="AM88" i="47"/>
  <c r="AV98" i="47"/>
  <c r="AU98" i="47"/>
  <c r="AT98" i="47"/>
  <c r="AS98" i="47"/>
  <c r="AR98" i="47"/>
  <c r="AQ98" i="47"/>
  <c r="AP98" i="47"/>
  <c r="AO98" i="47"/>
  <c r="AN98" i="47"/>
  <c r="AM98" i="47"/>
  <c r="AV104" i="47"/>
  <c r="AU104" i="47"/>
  <c r="AT104" i="47"/>
  <c r="AS104" i="47"/>
  <c r="AR104" i="47"/>
  <c r="AQ104" i="47"/>
  <c r="AP104" i="47"/>
  <c r="AO104" i="47"/>
  <c r="AN104" i="47"/>
  <c r="AM104" i="47"/>
  <c r="AV66" i="47"/>
  <c r="AU66" i="47"/>
  <c r="AT66" i="47"/>
  <c r="AS66" i="47"/>
  <c r="AR66" i="47"/>
  <c r="AQ66" i="47"/>
  <c r="AP66" i="47"/>
  <c r="AO66" i="47"/>
  <c r="AN66" i="47"/>
  <c r="AM66" i="47"/>
  <c r="AV85" i="47"/>
  <c r="AU85" i="47"/>
  <c r="AT85" i="47"/>
  <c r="AS85" i="47"/>
  <c r="AR85" i="47"/>
  <c r="AQ85" i="47"/>
  <c r="AP85" i="47"/>
  <c r="AO85" i="47"/>
  <c r="AN85" i="47"/>
  <c r="AM85" i="47"/>
  <c r="AV51" i="47"/>
  <c r="AU51" i="47"/>
  <c r="AT51" i="47"/>
  <c r="AS51" i="47"/>
  <c r="AR51" i="47"/>
  <c r="AQ51" i="47"/>
  <c r="AP51" i="47"/>
  <c r="AO51" i="47"/>
  <c r="AN51" i="47"/>
  <c r="AM51" i="47"/>
  <c r="AV103" i="47"/>
  <c r="AU103" i="47"/>
  <c r="AT103" i="47"/>
  <c r="AS103" i="47"/>
  <c r="AR103" i="47"/>
  <c r="AQ103" i="47"/>
  <c r="AP103" i="47"/>
  <c r="AO103" i="47"/>
  <c r="AN103" i="47"/>
  <c r="AM103" i="47"/>
  <c r="AV24" i="47"/>
  <c r="AU24" i="47"/>
  <c r="AT24" i="47"/>
  <c r="AS24" i="47"/>
  <c r="AR24" i="47"/>
  <c r="AQ24" i="47"/>
  <c r="AP24" i="47"/>
  <c r="AO24" i="47"/>
  <c r="AN24" i="47"/>
  <c r="AM24" i="47"/>
  <c r="AV74" i="47"/>
  <c r="AU74" i="47"/>
  <c r="AT74" i="47"/>
  <c r="AS74" i="47"/>
  <c r="AR74" i="47"/>
  <c r="AQ74" i="47"/>
  <c r="AP74" i="47"/>
  <c r="AO74" i="47"/>
  <c r="AN74" i="47"/>
  <c r="AM74" i="47"/>
  <c r="AL12" i="47"/>
  <c r="AJ12" i="47"/>
  <c r="AH12" i="47"/>
  <c r="AF12" i="47"/>
  <c r="AE12" i="47"/>
  <c r="AD12" i="47"/>
  <c r="AL17" i="47"/>
  <c r="AJ17" i="47"/>
  <c r="AH17" i="47"/>
  <c r="AF17" i="47"/>
  <c r="AE17" i="47"/>
  <c r="AD17" i="47"/>
  <c r="AL71" i="47"/>
  <c r="AJ71" i="47"/>
  <c r="AH71" i="47"/>
  <c r="AF71" i="47"/>
  <c r="AE71" i="47"/>
  <c r="AD71" i="47"/>
  <c r="AL89" i="47"/>
  <c r="AJ89" i="47"/>
  <c r="AH89" i="47"/>
  <c r="AF89" i="47"/>
  <c r="AE89" i="47"/>
  <c r="AD89" i="47"/>
  <c r="AL41" i="47"/>
  <c r="AJ41" i="47"/>
  <c r="AH41" i="47"/>
  <c r="AF41" i="47"/>
  <c r="AE41" i="47"/>
  <c r="AD41" i="47"/>
  <c r="AL36" i="47"/>
  <c r="AJ36" i="47"/>
  <c r="AH36" i="47"/>
  <c r="AF36" i="47"/>
  <c r="AE36" i="47"/>
  <c r="AD36" i="47"/>
  <c r="AL78" i="47"/>
  <c r="AJ78" i="47"/>
  <c r="AH78" i="47"/>
  <c r="AF78" i="47"/>
  <c r="AE78" i="47"/>
  <c r="AD78" i="47"/>
  <c r="AL13" i="47"/>
  <c r="AJ13" i="47"/>
  <c r="AH13" i="47"/>
  <c r="AF13" i="47"/>
  <c r="AE13" i="47"/>
  <c r="AD13" i="47"/>
  <c r="AL20" i="47"/>
  <c r="AJ20" i="47"/>
  <c r="AH20" i="47"/>
  <c r="AF20" i="47"/>
  <c r="AE20" i="47"/>
  <c r="AD20" i="47"/>
  <c r="AL4" i="47"/>
  <c r="AJ4" i="47"/>
  <c r="AH4" i="47"/>
  <c r="AF4" i="47"/>
  <c r="AE4" i="47"/>
  <c r="AD4" i="47"/>
  <c r="AL80" i="47"/>
  <c r="AJ80" i="47"/>
  <c r="AH80" i="47"/>
  <c r="AF80" i="47"/>
  <c r="AE80" i="47"/>
  <c r="AD80" i="47"/>
  <c r="AL55" i="47"/>
  <c r="AJ55" i="47"/>
  <c r="AH55" i="47"/>
  <c r="AF55" i="47"/>
  <c r="AE55" i="47"/>
  <c r="AD55" i="47"/>
  <c r="AL93" i="47"/>
  <c r="AJ93" i="47"/>
  <c r="AH93" i="47"/>
  <c r="AF93" i="47"/>
  <c r="AE93" i="47"/>
  <c r="AD93" i="47"/>
  <c r="AL3" i="47"/>
  <c r="AJ3" i="47"/>
  <c r="AH3" i="47"/>
  <c r="AF3" i="47"/>
  <c r="AE3" i="47"/>
  <c r="AD3" i="47"/>
  <c r="AL72" i="47"/>
  <c r="AJ72" i="47"/>
  <c r="AH72" i="47"/>
  <c r="AF72" i="47"/>
  <c r="AE72" i="47"/>
  <c r="AD72" i="47"/>
  <c r="AL44" i="47"/>
  <c r="AJ44" i="47"/>
  <c r="AH44" i="47"/>
  <c r="AF44" i="47"/>
  <c r="AE44" i="47"/>
  <c r="AD44" i="47"/>
  <c r="AL39" i="47"/>
  <c r="AJ39" i="47"/>
  <c r="AH39" i="47"/>
  <c r="AF39" i="47"/>
  <c r="AE39" i="47"/>
  <c r="AD39" i="47"/>
  <c r="AL91" i="47"/>
  <c r="AJ91" i="47"/>
  <c r="AH91" i="47"/>
  <c r="AF91" i="47"/>
  <c r="AE91" i="47"/>
  <c r="AD91" i="47"/>
  <c r="AL56" i="47"/>
  <c r="AJ56" i="47"/>
  <c r="AH56" i="47"/>
  <c r="AF56" i="47"/>
  <c r="AE56" i="47"/>
  <c r="AD56" i="47"/>
  <c r="AL67" i="47"/>
  <c r="AJ67" i="47"/>
  <c r="AH67" i="47"/>
  <c r="AF67" i="47"/>
  <c r="AE67" i="47"/>
  <c r="AD67" i="47"/>
  <c r="AL79" i="47"/>
  <c r="AJ79" i="47"/>
  <c r="AH79" i="47"/>
  <c r="AF79" i="47"/>
  <c r="AE79" i="47"/>
  <c r="AD79" i="47"/>
  <c r="AL59" i="47"/>
  <c r="AJ59" i="47"/>
  <c r="AH59" i="47"/>
  <c r="AF59" i="47"/>
  <c r="AE59" i="47"/>
  <c r="AD59" i="47"/>
  <c r="AL86" i="47"/>
  <c r="AJ86" i="47"/>
  <c r="AH86" i="47"/>
  <c r="AF86" i="47"/>
  <c r="AE86" i="47"/>
  <c r="AD86" i="47"/>
  <c r="AL46" i="47"/>
  <c r="AJ46" i="47"/>
  <c r="AH46" i="47"/>
  <c r="AF46" i="47"/>
  <c r="AE46" i="47"/>
  <c r="AD46" i="47"/>
  <c r="AL63" i="47"/>
  <c r="AJ63" i="47"/>
  <c r="AH63" i="47"/>
  <c r="AF63" i="47"/>
  <c r="AE63" i="47"/>
  <c r="AD63" i="47"/>
  <c r="AL65" i="47"/>
  <c r="AJ65" i="47"/>
  <c r="AH65" i="47"/>
  <c r="AF65" i="47"/>
  <c r="AE65" i="47"/>
  <c r="AD65" i="47"/>
  <c r="AL53" i="47"/>
  <c r="AJ53" i="47"/>
  <c r="AH53" i="47"/>
  <c r="AF53" i="47"/>
  <c r="AE53" i="47"/>
  <c r="AD53" i="47"/>
  <c r="AL34" i="47"/>
  <c r="AJ34" i="47"/>
  <c r="AH34" i="47"/>
  <c r="AF34" i="47"/>
  <c r="AE34" i="47"/>
  <c r="AD34" i="47"/>
  <c r="AL61" i="47"/>
  <c r="AJ61" i="47"/>
  <c r="AH61" i="47"/>
  <c r="AF61" i="47"/>
  <c r="AE61" i="47"/>
  <c r="AD61" i="47"/>
  <c r="AL19" i="47"/>
  <c r="AJ19" i="47"/>
  <c r="AH19" i="47"/>
  <c r="AF19" i="47"/>
  <c r="AE19" i="47"/>
  <c r="AD19" i="47"/>
  <c r="AL54" i="47"/>
  <c r="AJ54" i="47"/>
  <c r="AH54" i="47"/>
  <c r="AF54" i="47"/>
  <c r="AE54" i="47"/>
  <c r="AD54" i="47"/>
  <c r="AL11" i="47"/>
  <c r="AJ11" i="47"/>
  <c r="AH11" i="47"/>
  <c r="AF11" i="47"/>
  <c r="AE11" i="47"/>
  <c r="AD11" i="47"/>
  <c r="AL77" i="47"/>
  <c r="AJ77" i="47"/>
  <c r="AH77" i="47"/>
  <c r="AF77" i="47"/>
  <c r="AE77" i="47"/>
  <c r="AD77" i="47"/>
  <c r="AL92" i="47"/>
  <c r="AJ92" i="47"/>
  <c r="AH92" i="47"/>
  <c r="AF92" i="47"/>
  <c r="AE92" i="47"/>
  <c r="AD92" i="47"/>
  <c r="AL45" i="47"/>
  <c r="AJ45" i="47"/>
  <c r="AH45" i="47"/>
  <c r="AF45" i="47"/>
  <c r="AE45" i="47"/>
  <c r="AD45" i="47"/>
  <c r="AL6" i="47"/>
  <c r="AJ6" i="47"/>
  <c r="AH6" i="47"/>
  <c r="AF6" i="47"/>
  <c r="AE6" i="47"/>
  <c r="AD6" i="47"/>
  <c r="AL94" i="47"/>
  <c r="AJ94" i="47"/>
  <c r="AH94" i="47"/>
  <c r="AF94" i="47"/>
  <c r="AE94" i="47"/>
  <c r="AD94" i="47"/>
  <c r="AL64" i="47"/>
  <c r="AJ64" i="47"/>
  <c r="AH64" i="47"/>
  <c r="AF64" i="47"/>
  <c r="AE64" i="47"/>
  <c r="AD64" i="47"/>
  <c r="AL40" i="47"/>
  <c r="AJ40" i="47"/>
  <c r="AH40" i="47"/>
  <c r="AF40" i="47"/>
  <c r="AE40" i="47"/>
  <c r="AD40" i="47"/>
  <c r="AL21" i="47"/>
  <c r="AJ21" i="47"/>
  <c r="AH21" i="47"/>
  <c r="AF21" i="47"/>
  <c r="AE21" i="47"/>
  <c r="AD21" i="47"/>
  <c r="AL18" i="47"/>
  <c r="AJ18" i="47"/>
  <c r="AH18" i="47"/>
  <c r="AF18" i="47"/>
  <c r="AE18" i="47"/>
  <c r="AD18" i="47"/>
  <c r="AL73" i="47"/>
  <c r="AJ73" i="47"/>
  <c r="AH73" i="47"/>
  <c r="AF73" i="47"/>
  <c r="AE73" i="47"/>
  <c r="AD73" i="47"/>
  <c r="AL28" i="47"/>
  <c r="AJ28" i="47"/>
  <c r="AH28" i="47"/>
  <c r="AF28" i="47"/>
  <c r="AE28" i="47"/>
  <c r="AD28" i="47"/>
  <c r="AL96" i="47"/>
  <c r="AJ96" i="47"/>
  <c r="AH96" i="47"/>
  <c r="AF96" i="47"/>
  <c r="AE96" i="47"/>
  <c r="AD96" i="47"/>
  <c r="AL35" i="47"/>
  <c r="AJ35" i="47"/>
  <c r="AH35" i="47"/>
  <c r="AF35" i="47"/>
  <c r="AE35" i="47"/>
  <c r="AD35" i="47"/>
  <c r="AL27" i="47"/>
  <c r="AJ27" i="47"/>
  <c r="AH27" i="47"/>
  <c r="AF27" i="47"/>
  <c r="AE27" i="47"/>
  <c r="AD27" i="47"/>
  <c r="AL57" i="47"/>
  <c r="AJ57" i="47"/>
  <c r="AH57" i="47"/>
  <c r="AF57" i="47"/>
  <c r="AE57" i="47"/>
  <c r="AD57" i="47"/>
  <c r="AL87" i="47"/>
  <c r="AJ87" i="47"/>
  <c r="AH87" i="47"/>
  <c r="AF87" i="47"/>
  <c r="AE87" i="47"/>
  <c r="AD87" i="47"/>
  <c r="AL22" i="47"/>
  <c r="AJ22" i="47"/>
  <c r="AH22" i="47"/>
  <c r="AF22" i="47"/>
  <c r="AE22" i="47"/>
  <c r="AD22" i="47"/>
  <c r="AL75" i="47"/>
  <c r="AJ75" i="47"/>
  <c r="AH75" i="47"/>
  <c r="AF75" i="47"/>
  <c r="AE75" i="47"/>
  <c r="AD75" i="47"/>
  <c r="AL29" i="47"/>
  <c r="AJ29" i="47"/>
  <c r="AH29" i="47"/>
  <c r="AF29" i="47"/>
  <c r="AE29" i="47"/>
  <c r="AD29" i="47"/>
  <c r="AL81" i="47"/>
  <c r="AJ81" i="47"/>
  <c r="AH81" i="47"/>
  <c r="AF81" i="47"/>
  <c r="AE81" i="47"/>
  <c r="AD81" i="47"/>
  <c r="AL48" i="47"/>
  <c r="AJ48" i="47"/>
  <c r="AH48" i="47"/>
  <c r="AF48" i="47"/>
  <c r="AE48" i="47"/>
  <c r="AD48" i="47"/>
  <c r="AL8" i="47"/>
  <c r="AJ8" i="47"/>
  <c r="AH8" i="47"/>
  <c r="AF8" i="47"/>
  <c r="AE8" i="47"/>
  <c r="AD8" i="47"/>
  <c r="AL95" i="47"/>
  <c r="AJ95" i="47"/>
  <c r="AH95" i="47"/>
  <c r="AF95" i="47"/>
  <c r="AE95" i="47"/>
  <c r="AD95" i="47"/>
  <c r="AL90" i="47"/>
  <c r="AJ90" i="47"/>
  <c r="AH90" i="47"/>
  <c r="AF90" i="47"/>
  <c r="AE90" i="47"/>
  <c r="AD90" i="47"/>
  <c r="AL14" i="47"/>
  <c r="AJ14" i="47"/>
  <c r="AH14" i="47"/>
  <c r="AF14" i="47"/>
  <c r="AE14" i="47"/>
  <c r="AD14" i="47"/>
  <c r="AL49" i="47"/>
  <c r="AJ49" i="47"/>
  <c r="AH49" i="47"/>
  <c r="AF49" i="47"/>
  <c r="AE49" i="47"/>
  <c r="AD49" i="47"/>
  <c r="AL15" i="47"/>
  <c r="AJ15" i="47"/>
  <c r="AH15" i="47"/>
  <c r="AF15" i="47"/>
  <c r="AE15" i="47"/>
  <c r="AD15" i="47"/>
  <c r="AL102" i="47"/>
  <c r="AJ102" i="47"/>
  <c r="AH102" i="47"/>
  <c r="AF102" i="47"/>
  <c r="AE102" i="47"/>
  <c r="AD102" i="47"/>
  <c r="AL83" i="47"/>
  <c r="AJ83" i="47"/>
  <c r="AH83" i="47"/>
  <c r="AF83" i="47"/>
  <c r="AE83" i="47"/>
  <c r="AD83" i="47"/>
  <c r="AL50" i="47"/>
  <c r="AJ50" i="47"/>
  <c r="AH50" i="47"/>
  <c r="AF50" i="47"/>
  <c r="AE50" i="47"/>
  <c r="AD50" i="47"/>
  <c r="AL60" i="47"/>
  <c r="AJ60" i="47"/>
  <c r="AH60" i="47"/>
  <c r="AF60" i="47"/>
  <c r="AE60" i="47"/>
  <c r="AD60" i="47"/>
  <c r="AL84" i="47"/>
  <c r="AJ84" i="47"/>
  <c r="AH84" i="47"/>
  <c r="AF84" i="47"/>
  <c r="AE84" i="47"/>
  <c r="AD84" i="47"/>
  <c r="AL82" i="47"/>
  <c r="AJ82" i="47"/>
  <c r="AH82" i="47"/>
  <c r="AF82" i="47"/>
  <c r="AE82" i="47"/>
  <c r="AD82" i="47"/>
  <c r="AL70" i="47"/>
  <c r="AJ70" i="47"/>
  <c r="AH70" i="47"/>
  <c r="AF70" i="47"/>
  <c r="AE70" i="47"/>
  <c r="AD70" i="47"/>
  <c r="AL58" i="47"/>
  <c r="AJ58" i="47"/>
  <c r="AH58" i="47"/>
  <c r="AF58" i="47"/>
  <c r="AE58" i="47"/>
  <c r="AD58" i="47"/>
  <c r="AL25" i="47"/>
  <c r="AJ25" i="47"/>
  <c r="AH25" i="47"/>
  <c r="AF25" i="47"/>
  <c r="AE25" i="47"/>
  <c r="AD25" i="47"/>
  <c r="AL38" i="47"/>
  <c r="AJ38" i="47"/>
  <c r="AH38" i="47"/>
  <c r="AF38" i="47"/>
  <c r="AE38" i="47"/>
  <c r="AD38" i="47"/>
  <c r="AL107" i="47"/>
  <c r="AJ107" i="47"/>
  <c r="AH107" i="47"/>
  <c r="AF107" i="47"/>
  <c r="AE107" i="47"/>
  <c r="AD107" i="47"/>
  <c r="AL101" i="47"/>
  <c r="AJ101" i="47"/>
  <c r="AH101" i="47"/>
  <c r="AF101" i="47"/>
  <c r="AE101" i="47"/>
  <c r="AD101" i="47"/>
  <c r="AL30" i="47"/>
  <c r="AJ30" i="47"/>
  <c r="AH30" i="47"/>
  <c r="AF30" i="47"/>
  <c r="AE30" i="47"/>
  <c r="AD30" i="47"/>
  <c r="AL106" i="47"/>
  <c r="AJ106" i="47"/>
  <c r="AH106" i="47"/>
  <c r="AF106" i="47"/>
  <c r="AE106" i="47"/>
  <c r="AD106" i="47"/>
  <c r="AL26" i="47"/>
  <c r="AJ26" i="47"/>
  <c r="AH26" i="47"/>
  <c r="AF26" i="47"/>
  <c r="AE26" i="47"/>
  <c r="AD26" i="47"/>
  <c r="AL52" i="47"/>
  <c r="AJ52" i="47"/>
  <c r="AH52" i="47"/>
  <c r="AF52" i="47"/>
  <c r="AE52" i="47"/>
  <c r="AD52" i="47"/>
  <c r="AL47" i="47"/>
  <c r="AJ47" i="47"/>
  <c r="AH47" i="47"/>
  <c r="AF47" i="47"/>
  <c r="AE47" i="47"/>
  <c r="AD47" i="47"/>
  <c r="AL69" i="47"/>
  <c r="AJ69" i="47"/>
  <c r="AH69" i="47"/>
  <c r="AF69" i="47"/>
  <c r="AE69" i="47"/>
  <c r="AD69" i="47"/>
  <c r="AL2" i="47"/>
  <c r="AJ2" i="47"/>
  <c r="AH2" i="47"/>
  <c r="AF2" i="47"/>
  <c r="AE2" i="47"/>
  <c r="AD2" i="47"/>
  <c r="AL10" i="47"/>
  <c r="AJ10" i="47"/>
  <c r="AH10" i="47"/>
  <c r="AF10" i="47"/>
  <c r="AE10" i="47"/>
  <c r="AD10" i="47"/>
  <c r="AL105" i="47"/>
  <c r="AJ105" i="47"/>
  <c r="AH105" i="47"/>
  <c r="AF105" i="47"/>
  <c r="AE105" i="47"/>
  <c r="AD105" i="47"/>
  <c r="AL88" i="47"/>
  <c r="AJ88" i="47"/>
  <c r="AH88" i="47"/>
  <c r="AF88" i="47"/>
  <c r="AE88" i="47"/>
  <c r="AD88" i="47"/>
  <c r="AL98" i="47"/>
  <c r="AJ98" i="47"/>
  <c r="AH98" i="47"/>
  <c r="AF98" i="47"/>
  <c r="AE98" i="47"/>
  <c r="AD98" i="47"/>
  <c r="AL104" i="47"/>
  <c r="AJ104" i="47"/>
  <c r="AH104" i="47"/>
  <c r="AF104" i="47"/>
  <c r="AE104" i="47"/>
  <c r="AD104" i="47"/>
  <c r="AL66" i="47"/>
  <c r="AJ66" i="47"/>
  <c r="AH66" i="47"/>
  <c r="AF66" i="47"/>
  <c r="AE66" i="47"/>
  <c r="AD66" i="47"/>
  <c r="AL85" i="47"/>
  <c r="AJ85" i="47"/>
  <c r="AH85" i="47"/>
  <c r="AF85" i="47"/>
  <c r="AE85" i="47"/>
  <c r="AD85" i="47"/>
  <c r="AL51" i="47"/>
  <c r="AJ51" i="47"/>
  <c r="AH51" i="47"/>
  <c r="AF51" i="47"/>
  <c r="AE51" i="47"/>
  <c r="AD51" i="47"/>
  <c r="AL103" i="47"/>
  <c r="AJ103" i="47"/>
  <c r="AH103" i="47"/>
  <c r="AF103" i="47"/>
  <c r="AE103" i="47"/>
  <c r="AD103" i="47"/>
  <c r="AL24" i="47"/>
  <c r="AJ24" i="47"/>
  <c r="AH24" i="47"/>
  <c r="AF24" i="47"/>
  <c r="AE24" i="47"/>
  <c r="AD24" i="47"/>
  <c r="AL74" i="47"/>
  <c r="AJ74" i="47"/>
  <c r="AH74" i="47"/>
  <c r="AF74" i="47"/>
  <c r="AE74" i="47"/>
  <c r="AD74" i="47"/>
  <c r="AC12" i="47"/>
  <c r="AB12" i="47"/>
  <c r="Z12" i="47"/>
  <c r="Y12" i="47"/>
  <c r="X12" i="47"/>
  <c r="W12" i="47"/>
  <c r="V12" i="47"/>
  <c r="AC17" i="47"/>
  <c r="AB17" i="47"/>
  <c r="Z17" i="47"/>
  <c r="Y17" i="47"/>
  <c r="X17" i="47"/>
  <c r="W17" i="47"/>
  <c r="V17" i="47"/>
  <c r="AC71" i="47"/>
  <c r="AB71" i="47"/>
  <c r="Z71" i="47"/>
  <c r="Y71" i="47"/>
  <c r="X71" i="47"/>
  <c r="W71" i="47"/>
  <c r="V71" i="47"/>
  <c r="AC89" i="47"/>
  <c r="AB89" i="47"/>
  <c r="Z89" i="47"/>
  <c r="Y89" i="47"/>
  <c r="X89" i="47"/>
  <c r="W89" i="47"/>
  <c r="V89" i="47"/>
  <c r="AC41" i="47"/>
  <c r="AB41" i="47"/>
  <c r="Z41" i="47"/>
  <c r="Y41" i="47"/>
  <c r="X41" i="47"/>
  <c r="W41" i="47"/>
  <c r="V41" i="47"/>
  <c r="AC36" i="47"/>
  <c r="AB36" i="47"/>
  <c r="Z36" i="47"/>
  <c r="Y36" i="47"/>
  <c r="X36" i="47"/>
  <c r="W36" i="47"/>
  <c r="V36" i="47"/>
  <c r="AC78" i="47"/>
  <c r="AB78" i="47"/>
  <c r="Z78" i="47"/>
  <c r="Y78" i="47"/>
  <c r="X78" i="47"/>
  <c r="W78" i="47"/>
  <c r="V78" i="47"/>
  <c r="AC13" i="47"/>
  <c r="AB13" i="47"/>
  <c r="Z13" i="47"/>
  <c r="Y13" i="47"/>
  <c r="X13" i="47"/>
  <c r="W13" i="47"/>
  <c r="V13" i="47"/>
  <c r="AC20" i="47"/>
  <c r="AB20" i="47"/>
  <c r="Z20" i="47"/>
  <c r="Y20" i="47"/>
  <c r="X20" i="47"/>
  <c r="W20" i="47"/>
  <c r="V20" i="47"/>
  <c r="AC4" i="47"/>
  <c r="AB4" i="47"/>
  <c r="Z4" i="47"/>
  <c r="Y4" i="47"/>
  <c r="X4" i="47"/>
  <c r="W4" i="47"/>
  <c r="V4" i="47"/>
  <c r="AC80" i="47"/>
  <c r="AB80" i="47"/>
  <c r="Z80" i="47"/>
  <c r="Y80" i="47"/>
  <c r="X80" i="47"/>
  <c r="W80" i="47"/>
  <c r="V80" i="47"/>
  <c r="AC55" i="47"/>
  <c r="AB55" i="47"/>
  <c r="Z55" i="47"/>
  <c r="Y55" i="47"/>
  <c r="X55" i="47"/>
  <c r="W55" i="47"/>
  <c r="V55" i="47"/>
  <c r="AC93" i="47"/>
  <c r="AB93" i="47"/>
  <c r="Z93" i="47"/>
  <c r="Y93" i="47"/>
  <c r="X93" i="47"/>
  <c r="W93" i="47"/>
  <c r="V93" i="47"/>
  <c r="AC3" i="47"/>
  <c r="AB3" i="47"/>
  <c r="Z3" i="47"/>
  <c r="Y3" i="47"/>
  <c r="X3" i="47"/>
  <c r="W3" i="47"/>
  <c r="V3" i="47"/>
  <c r="AC72" i="47"/>
  <c r="AB72" i="47"/>
  <c r="Z72" i="47"/>
  <c r="Y72" i="47"/>
  <c r="X72" i="47"/>
  <c r="W72" i="47"/>
  <c r="V72" i="47"/>
  <c r="AC44" i="47"/>
  <c r="AB44" i="47"/>
  <c r="Z44" i="47"/>
  <c r="Y44" i="47"/>
  <c r="X44" i="47"/>
  <c r="W44" i="47"/>
  <c r="V44" i="47"/>
  <c r="AC39" i="47"/>
  <c r="AB39" i="47"/>
  <c r="Z39" i="47"/>
  <c r="Y39" i="47"/>
  <c r="X39" i="47"/>
  <c r="W39" i="47"/>
  <c r="V39" i="47"/>
  <c r="AC91" i="47"/>
  <c r="AB91" i="47"/>
  <c r="Z91" i="47"/>
  <c r="Y91" i="47"/>
  <c r="X91" i="47"/>
  <c r="W91" i="47"/>
  <c r="V91" i="47"/>
  <c r="AC56" i="47"/>
  <c r="AB56" i="47"/>
  <c r="Z56" i="47"/>
  <c r="Y56" i="47"/>
  <c r="X56" i="47"/>
  <c r="W56" i="47"/>
  <c r="V56" i="47"/>
  <c r="AC67" i="47"/>
  <c r="AB67" i="47"/>
  <c r="Z67" i="47"/>
  <c r="Y67" i="47"/>
  <c r="X67" i="47"/>
  <c r="W67" i="47"/>
  <c r="V67" i="47"/>
  <c r="AC79" i="47"/>
  <c r="AB79" i="47"/>
  <c r="Z79" i="47"/>
  <c r="Y79" i="47"/>
  <c r="X79" i="47"/>
  <c r="W79" i="47"/>
  <c r="V79" i="47"/>
  <c r="AC59" i="47"/>
  <c r="AB59" i="47"/>
  <c r="Z59" i="47"/>
  <c r="Y59" i="47"/>
  <c r="X59" i="47"/>
  <c r="W59" i="47"/>
  <c r="V59" i="47"/>
  <c r="AC86" i="47"/>
  <c r="AB86" i="47"/>
  <c r="Z86" i="47"/>
  <c r="Y86" i="47"/>
  <c r="X86" i="47"/>
  <c r="W86" i="47"/>
  <c r="V86" i="47"/>
  <c r="AC46" i="47"/>
  <c r="AB46" i="47"/>
  <c r="Z46" i="47"/>
  <c r="Y46" i="47"/>
  <c r="X46" i="47"/>
  <c r="W46" i="47"/>
  <c r="V46" i="47"/>
  <c r="AC63" i="47"/>
  <c r="AB63" i="47"/>
  <c r="Z63" i="47"/>
  <c r="Y63" i="47"/>
  <c r="X63" i="47"/>
  <c r="W63" i="47"/>
  <c r="V63" i="47"/>
  <c r="AC65" i="47"/>
  <c r="AB65" i="47"/>
  <c r="Z65" i="47"/>
  <c r="Y65" i="47"/>
  <c r="X65" i="47"/>
  <c r="W65" i="47"/>
  <c r="V65" i="47"/>
  <c r="AC53" i="47"/>
  <c r="AB53" i="47"/>
  <c r="Z53" i="47"/>
  <c r="Y53" i="47"/>
  <c r="X53" i="47"/>
  <c r="W53" i="47"/>
  <c r="V53" i="47"/>
  <c r="AC34" i="47"/>
  <c r="AB34" i="47"/>
  <c r="Z34" i="47"/>
  <c r="Y34" i="47"/>
  <c r="X34" i="47"/>
  <c r="W34" i="47"/>
  <c r="V34" i="47"/>
  <c r="AC61" i="47"/>
  <c r="AB61" i="47"/>
  <c r="Z61" i="47"/>
  <c r="Y61" i="47"/>
  <c r="X61" i="47"/>
  <c r="W61" i="47"/>
  <c r="V61" i="47"/>
  <c r="AC19" i="47"/>
  <c r="AB19" i="47"/>
  <c r="Z19" i="47"/>
  <c r="Y19" i="47"/>
  <c r="X19" i="47"/>
  <c r="W19" i="47"/>
  <c r="V19" i="47"/>
  <c r="AC54" i="47"/>
  <c r="AB54" i="47"/>
  <c r="Z54" i="47"/>
  <c r="Y54" i="47"/>
  <c r="X54" i="47"/>
  <c r="W54" i="47"/>
  <c r="V54" i="47"/>
  <c r="AC11" i="47"/>
  <c r="AB11" i="47"/>
  <c r="Z11" i="47"/>
  <c r="Y11" i="47"/>
  <c r="X11" i="47"/>
  <c r="W11" i="47"/>
  <c r="V11" i="47"/>
  <c r="AC77" i="47"/>
  <c r="AB77" i="47"/>
  <c r="Z77" i="47"/>
  <c r="Y77" i="47"/>
  <c r="X77" i="47"/>
  <c r="W77" i="47"/>
  <c r="V77" i="47"/>
  <c r="AC92" i="47"/>
  <c r="AB92" i="47"/>
  <c r="Z92" i="47"/>
  <c r="Y92" i="47"/>
  <c r="X92" i="47"/>
  <c r="W92" i="47"/>
  <c r="V92" i="47"/>
  <c r="AC45" i="47"/>
  <c r="AB45" i="47"/>
  <c r="Z45" i="47"/>
  <c r="Y45" i="47"/>
  <c r="X45" i="47"/>
  <c r="W45" i="47"/>
  <c r="V45" i="47"/>
  <c r="AC6" i="47"/>
  <c r="AB6" i="47"/>
  <c r="Z6" i="47"/>
  <c r="Y6" i="47"/>
  <c r="X6" i="47"/>
  <c r="W6" i="47"/>
  <c r="V6" i="47"/>
  <c r="AC94" i="47"/>
  <c r="AB94" i="47"/>
  <c r="Z94" i="47"/>
  <c r="Y94" i="47"/>
  <c r="X94" i="47"/>
  <c r="W94" i="47"/>
  <c r="V94" i="47"/>
  <c r="AC64" i="47"/>
  <c r="AB64" i="47"/>
  <c r="Z64" i="47"/>
  <c r="Y64" i="47"/>
  <c r="X64" i="47"/>
  <c r="W64" i="47"/>
  <c r="V64" i="47"/>
  <c r="AC40" i="47"/>
  <c r="AB40" i="47"/>
  <c r="Z40" i="47"/>
  <c r="Y40" i="47"/>
  <c r="X40" i="47"/>
  <c r="W40" i="47"/>
  <c r="V40" i="47"/>
  <c r="AC21" i="47"/>
  <c r="AB21" i="47"/>
  <c r="Z21" i="47"/>
  <c r="Y21" i="47"/>
  <c r="X21" i="47"/>
  <c r="W21" i="47"/>
  <c r="V21" i="47"/>
  <c r="AC18" i="47"/>
  <c r="AB18" i="47"/>
  <c r="Z18" i="47"/>
  <c r="Y18" i="47"/>
  <c r="X18" i="47"/>
  <c r="W18" i="47"/>
  <c r="V18" i="47"/>
  <c r="AC73" i="47"/>
  <c r="AB73" i="47"/>
  <c r="Z73" i="47"/>
  <c r="Y73" i="47"/>
  <c r="X73" i="47"/>
  <c r="W73" i="47"/>
  <c r="V73" i="47"/>
  <c r="AC28" i="47"/>
  <c r="AB28" i="47"/>
  <c r="Z28" i="47"/>
  <c r="Y28" i="47"/>
  <c r="X28" i="47"/>
  <c r="W28" i="47"/>
  <c r="V28" i="47"/>
  <c r="AC96" i="47"/>
  <c r="AB96" i="47"/>
  <c r="Z96" i="47"/>
  <c r="Y96" i="47"/>
  <c r="X96" i="47"/>
  <c r="W96" i="47"/>
  <c r="V96" i="47"/>
  <c r="AC35" i="47"/>
  <c r="AB35" i="47"/>
  <c r="Z35" i="47"/>
  <c r="Y35" i="47"/>
  <c r="X35" i="47"/>
  <c r="W35" i="47"/>
  <c r="V35" i="47"/>
  <c r="AC27" i="47"/>
  <c r="AB27" i="47"/>
  <c r="Z27" i="47"/>
  <c r="Y27" i="47"/>
  <c r="X27" i="47"/>
  <c r="W27" i="47"/>
  <c r="V27" i="47"/>
  <c r="AC57" i="47"/>
  <c r="AB57" i="47"/>
  <c r="Z57" i="47"/>
  <c r="Y57" i="47"/>
  <c r="X57" i="47"/>
  <c r="W57" i="47"/>
  <c r="V57" i="47"/>
  <c r="AC87" i="47"/>
  <c r="AB87" i="47"/>
  <c r="Z87" i="47"/>
  <c r="Y87" i="47"/>
  <c r="X87" i="47"/>
  <c r="W87" i="47"/>
  <c r="V87" i="47"/>
  <c r="AC22" i="47"/>
  <c r="AB22" i="47"/>
  <c r="Z22" i="47"/>
  <c r="Y22" i="47"/>
  <c r="X22" i="47"/>
  <c r="W22" i="47"/>
  <c r="V22" i="47"/>
  <c r="AC75" i="47"/>
  <c r="AB75" i="47"/>
  <c r="Z75" i="47"/>
  <c r="Y75" i="47"/>
  <c r="X75" i="47"/>
  <c r="W75" i="47"/>
  <c r="V75" i="47"/>
  <c r="AC29" i="47"/>
  <c r="AB29" i="47"/>
  <c r="Z29" i="47"/>
  <c r="Y29" i="47"/>
  <c r="X29" i="47"/>
  <c r="W29" i="47"/>
  <c r="V29" i="47"/>
  <c r="AC81" i="47"/>
  <c r="AB81" i="47"/>
  <c r="Z81" i="47"/>
  <c r="Y81" i="47"/>
  <c r="X81" i="47"/>
  <c r="W81" i="47"/>
  <c r="V81" i="47"/>
  <c r="AC48" i="47"/>
  <c r="AB48" i="47"/>
  <c r="Z48" i="47"/>
  <c r="Y48" i="47"/>
  <c r="X48" i="47"/>
  <c r="W48" i="47"/>
  <c r="V48" i="47"/>
  <c r="AC8" i="47"/>
  <c r="AB8" i="47"/>
  <c r="Z8" i="47"/>
  <c r="Y8" i="47"/>
  <c r="X8" i="47"/>
  <c r="W8" i="47"/>
  <c r="V8" i="47"/>
  <c r="AC95" i="47"/>
  <c r="AB95" i="47"/>
  <c r="Z95" i="47"/>
  <c r="Y95" i="47"/>
  <c r="X95" i="47"/>
  <c r="W95" i="47"/>
  <c r="V95" i="47"/>
  <c r="AC90" i="47"/>
  <c r="AB90" i="47"/>
  <c r="Z90" i="47"/>
  <c r="Y90" i="47"/>
  <c r="X90" i="47"/>
  <c r="W90" i="47"/>
  <c r="V90" i="47"/>
  <c r="AC14" i="47"/>
  <c r="AB14" i="47"/>
  <c r="Z14" i="47"/>
  <c r="Y14" i="47"/>
  <c r="X14" i="47"/>
  <c r="W14" i="47"/>
  <c r="V14" i="47"/>
  <c r="AC49" i="47"/>
  <c r="AB49" i="47"/>
  <c r="Z49" i="47"/>
  <c r="Y49" i="47"/>
  <c r="X49" i="47"/>
  <c r="W49" i="47"/>
  <c r="V49" i="47"/>
  <c r="AC15" i="47"/>
  <c r="AB15" i="47"/>
  <c r="Z15" i="47"/>
  <c r="Y15" i="47"/>
  <c r="X15" i="47"/>
  <c r="W15" i="47"/>
  <c r="V15" i="47"/>
  <c r="AC102" i="47"/>
  <c r="AB102" i="47"/>
  <c r="Z102" i="47"/>
  <c r="Y102" i="47"/>
  <c r="X102" i="47"/>
  <c r="W102" i="47"/>
  <c r="V102" i="47"/>
  <c r="AC83" i="47"/>
  <c r="AB83" i="47"/>
  <c r="Z83" i="47"/>
  <c r="Y83" i="47"/>
  <c r="X83" i="47"/>
  <c r="W83" i="47"/>
  <c r="V83" i="47"/>
  <c r="AC50" i="47"/>
  <c r="AB50" i="47"/>
  <c r="Z50" i="47"/>
  <c r="Y50" i="47"/>
  <c r="X50" i="47"/>
  <c r="W50" i="47"/>
  <c r="V50" i="47"/>
  <c r="AC60" i="47"/>
  <c r="AB60" i="47"/>
  <c r="Z60" i="47"/>
  <c r="Y60" i="47"/>
  <c r="X60" i="47"/>
  <c r="W60" i="47"/>
  <c r="V60" i="47"/>
  <c r="AC84" i="47"/>
  <c r="AB84" i="47"/>
  <c r="Z84" i="47"/>
  <c r="Y84" i="47"/>
  <c r="X84" i="47"/>
  <c r="W84" i="47"/>
  <c r="V84" i="47"/>
  <c r="AC82" i="47"/>
  <c r="AB82" i="47"/>
  <c r="Z82" i="47"/>
  <c r="Y82" i="47"/>
  <c r="X82" i="47"/>
  <c r="W82" i="47"/>
  <c r="V82" i="47"/>
  <c r="AC70" i="47"/>
  <c r="AB70" i="47"/>
  <c r="Z70" i="47"/>
  <c r="Y70" i="47"/>
  <c r="X70" i="47"/>
  <c r="W70" i="47"/>
  <c r="V70" i="47"/>
  <c r="AC58" i="47"/>
  <c r="AB58" i="47"/>
  <c r="Z58" i="47"/>
  <c r="Y58" i="47"/>
  <c r="X58" i="47"/>
  <c r="W58" i="47"/>
  <c r="V58" i="47"/>
  <c r="AC25" i="47"/>
  <c r="AB25" i="47"/>
  <c r="Z25" i="47"/>
  <c r="Y25" i="47"/>
  <c r="X25" i="47"/>
  <c r="W25" i="47"/>
  <c r="V25" i="47"/>
  <c r="AC38" i="47"/>
  <c r="AB38" i="47"/>
  <c r="Z38" i="47"/>
  <c r="Y38" i="47"/>
  <c r="X38" i="47"/>
  <c r="W38" i="47"/>
  <c r="V38" i="47"/>
  <c r="AC107" i="47"/>
  <c r="AB107" i="47"/>
  <c r="Z107" i="47"/>
  <c r="Y107" i="47"/>
  <c r="X107" i="47"/>
  <c r="W107" i="47"/>
  <c r="V107" i="47"/>
  <c r="AC101" i="47"/>
  <c r="AB101" i="47"/>
  <c r="Z101" i="47"/>
  <c r="Y101" i="47"/>
  <c r="X101" i="47"/>
  <c r="W101" i="47"/>
  <c r="V101" i="47"/>
  <c r="AC30" i="47"/>
  <c r="AB30" i="47"/>
  <c r="Z30" i="47"/>
  <c r="Y30" i="47"/>
  <c r="X30" i="47"/>
  <c r="W30" i="47"/>
  <c r="V30" i="47"/>
  <c r="AC106" i="47"/>
  <c r="AB106" i="47"/>
  <c r="Z106" i="47"/>
  <c r="Y106" i="47"/>
  <c r="X106" i="47"/>
  <c r="W106" i="47"/>
  <c r="V106" i="47"/>
  <c r="AC26" i="47"/>
  <c r="AB26" i="47"/>
  <c r="Z26" i="47"/>
  <c r="Y26" i="47"/>
  <c r="X26" i="47"/>
  <c r="W26" i="47"/>
  <c r="V26" i="47"/>
  <c r="AC52" i="47"/>
  <c r="AB52" i="47"/>
  <c r="Z52" i="47"/>
  <c r="Y52" i="47"/>
  <c r="X52" i="47"/>
  <c r="W52" i="47"/>
  <c r="V52" i="47"/>
  <c r="AC47" i="47"/>
  <c r="AB47" i="47"/>
  <c r="Z47" i="47"/>
  <c r="Y47" i="47"/>
  <c r="X47" i="47"/>
  <c r="W47" i="47"/>
  <c r="V47" i="47"/>
  <c r="AC69" i="47"/>
  <c r="AB69" i="47"/>
  <c r="Z69" i="47"/>
  <c r="Y69" i="47"/>
  <c r="X69" i="47"/>
  <c r="W69" i="47"/>
  <c r="V69" i="47"/>
  <c r="AC2" i="47"/>
  <c r="AB2" i="47"/>
  <c r="Z2" i="47"/>
  <c r="Y2" i="47"/>
  <c r="X2" i="47"/>
  <c r="W2" i="47"/>
  <c r="V2" i="47"/>
  <c r="AC10" i="47"/>
  <c r="AB10" i="47"/>
  <c r="Z10" i="47"/>
  <c r="Y10" i="47"/>
  <c r="X10" i="47"/>
  <c r="W10" i="47"/>
  <c r="V10" i="47"/>
  <c r="AC105" i="47"/>
  <c r="AB105" i="47"/>
  <c r="Z105" i="47"/>
  <c r="Y105" i="47"/>
  <c r="X105" i="47"/>
  <c r="W105" i="47"/>
  <c r="V105" i="47"/>
  <c r="AC88" i="47"/>
  <c r="AB88" i="47"/>
  <c r="Z88" i="47"/>
  <c r="Y88" i="47"/>
  <c r="X88" i="47"/>
  <c r="W88" i="47"/>
  <c r="V88" i="47"/>
  <c r="AC98" i="47"/>
  <c r="AB98" i="47"/>
  <c r="Z98" i="47"/>
  <c r="Y98" i="47"/>
  <c r="X98" i="47"/>
  <c r="W98" i="47"/>
  <c r="V98" i="47"/>
  <c r="AC104" i="47"/>
  <c r="AB104" i="47"/>
  <c r="Z104" i="47"/>
  <c r="Y104" i="47"/>
  <c r="X104" i="47"/>
  <c r="W104" i="47"/>
  <c r="V104" i="47"/>
  <c r="AC66" i="47"/>
  <c r="AB66" i="47"/>
  <c r="Z66" i="47"/>
  <c r="Y66" i="47"/>
  <c r="X66" i="47"/>
  <c r="W66" i="47"/>
  <c r="V66" i="47"/>
  <c r="AC85" i="47"/>
  <c r="AB85" i="47"/>
  <c r="Z85" i="47"/>
  <c r="Y85" i="47"/>
  <c r="X85" i="47"/>
  <c r="W85" i="47"/>
  <c r="V85" i="47"/>
  <c r="AC51" i="47"/>
  <c r="AB51" i="47"/>
  <c r="Z51" i="47"/>
  <c r="Y51" i="47"/>
  <c r="X51" i="47"/>
  <c r="W51" i="47"/>
  <c r="V51" i="47"/>
  <c r="AC103" i="47"/>
  <c r="AB103" i="47"/>
  <c r="Z103" i="47"/>
  <c r="Y103" i="47"/>
  <c r="X103" i="47"/>
  <c r="W103" i="47"/>
  <c r="V103" i="47"/>
  <c r="AC24" i="47"/>
  <c r="AB24" i="47"/>
  <c r="Z24" i="47"/>
  <c r="Y24" i="47"/>
  <c r="X24" i="47"/>
  <c r="W24" i="47"/>
  <c r="V24" i="47"/>
  <c r="AC74" i="47"/>
  <c r="AB74" i="47"/>
  <c r="Z74" i="47"/>
  <c r="Y74" i="47"/>
  <c r="X74" i="47"/>
  <c r="W74" i="47"/>
  <c r="V74" i="47"/>
  <c r="S12" i="47"/>
  <c r="R12" i="47"/>
  <c r="S17" i="47"/>
  <c r="R17" i="47"/>
  <c r="S71" i="47"/>
  <c r="R71" i="47"/>
  <c r="S89" i="47"/>
  <c r="R89" i="47"/>
  <c r="S41" i="47"/>
  <c r="R41" i="47"/>
  <c r="S36" i="47"/>
  <c r="R36" i="47"/>
  <c r="S78" i="47"/>
  <c r="R78" i="47"/>
  <c r="S13" i="47"/>
  <c r="R13" i="47"/>
  <c r="S20" i="47"/>
  <c r="R20" i="47"/>
  <c r="S4" i="47"/>
  <c r="R4" i="47"/>
  <c r="S80" i="47"/>
  <c r="R80" i="47"/>
  <c r="S55" i="47"/>
  <c r="R55" i="47"/>
  <c r="S93" i="47"/>
  <c r="R93" i="47"/>
  <c r="S3" i="47"/>
  <c r="R3" i="47"/>
  <c r="S72" i="47"/>
  <c r="R72" i="47"/>
  <c r="S44" i="47"/>
  <c r="R44" i="47"/>
  <c r="S39" i="47"/>
  <c r="R39" i="47"/>
  <c r="S91" i="47"/>
  <c r="R91" i="47"/>
  <c r="S56" i="47"/>
  <c r="R56" i="47"/>
  <c r="S67" i="47"/>
  <c r="R67" i="47"/>
  <c r="S79" i="47"/>
  <c r="R79" i="47"/>
  <c r="S59" i="47"/>
  <c r="R59" i="47"/>
  <c r="S86" i="47"/>
  <c r="R86" i="47"/>
  <c r="S46" i="47"/>
  <c r="R46" i="47"/>
  <c r="S63" i="47"/>
  <c r="R63" i="47"/>
  <c r="S65" i="47"/>
  <c r="R65" i="47"/>
  <c r="S53" i="47"/>
  <c r="R53" i="47"/>
  <c r="S34" i="47"/>
  <c r="R34" i="47"/>
  <c r="S61" i="47"/>
  <c r="R61" i="47"/>
  <c r="S19" i="47"/>
  <c r="R19" i="47"/>
  <c r="S54" i="47"/>
  <c r="R54" i="47"/>
  <c r="S11" i="47"/>
  <c r="R11" i="47"/>
  <c r="S77" i="47"/>
  <c r="R77" i="47"/>
  <c r="S92" i="47"/>
  <c r="R92" i="47"/>
  <c r="S45" i="47"/>
  <c r="R45" i="47"/>
  <c r="S6" i="47"/>
  <c r="R6" i="47"/>
  <c r="S94" i="47"/>
  <c r="R94" i="47"/>
  <c r="S64" i="47"/>
  <c r="R64" i="47"/>
  <c r="S40" i="47"/>
  <c r="R40" i="47"/>
  <c r="S21" i="47"/>
  <c r="R21" i="47"/>
  <c r="S18" i="47"/>
  <c r="R18" i="47"/>
  <c r="S73" i="47"/>
  <c r="R73" i="47"/>
  <c r="S28" i="47"/>
  <c r="R28" i="47"/>
  <c r="S96" i="47"/>
  <c r="R96" i="47"/>
  <c r="S35" i="47"/>
  <c r="R35" i="47"/>
  <c r="S27" i="47"/>
  <c r="R27" i="47"/>
  <c r="S57" i="47"/>
  <c r="R57" i="47"/>
  <c r="S87" i="47"/>
  <c r="R87" i="47"/>
  <c r="S22" i="47"/>
  <c r="R22" i="47"/>
  <c r="S75" i="47"/>
  <c r="R75" i="47"/>
  <c r="S29" i="47"/>
  <c r="R29" i="47"/>
  <c r="S81" i="47"/>
  <c r="R81" i="47"/>
  <c r="S48" i="47"/>
  <c r="R48" i="47"/>
  <c r="S8" i="47"/>
  <c r="R8" i="47"/>
  <c r="S95" i="47"/>
  <c r="R95" i="47"/>
  <c r="S90" i="47"/>
  <c r="R90" i="47"/>
  <c r="S14" i="47"/>
  <c r="R14" i="47"/>
  <c r="S49" i="47"/>
  <c r="R49" i="47"/>
  <c r="S15" i="47"/>
  <c r="R15" i="47"/>
  <c r="S102" i="47"/>
  <c r="R102" i="47"/>
  <c r="S83" i="47"/>
  <c r="R83" i="47"/>
  <c r="S50" i="47"/>
  <c r="R50" i="47"/>
  <c r="S60" i="47"/>
  <c r="R60" i="47"/>
  <c r="S84" i="47"/>
  <c r="R84" i="47"/>
  <c r="S82" i="47"/>
  <c r="R82" i="47"/>
  <c r="S70" i="47"/>
  <c r="R70" i="47"/>
  <c r="S58" i="47"/>
  <c r="R58" i="47"/>
  <c r="S25" i="47"/>
  <c r="R25" i="47"/>
  <c r="S38" i="47"/>
  <c r="R38" i="47"/>
  <c r="S107" i="47"/>
  <c r="R107" i="47"/>
  <c r="S101" i="47"/>
  <c r="R101" i="47"/>
  <c r="S30" i="47"/>
  <c r="R30" i="47"/>
  <c r="S106" i="47"/>
  <c r="R106" i="47"/>
  <c r="S26" i="47"/>
  <c r="R26" i="47"/>
  <c r="S52" i="47"/>
  <c r="R52" i="47"/>
  <c r="S47" i="47"/>
  <c r="R47" i="47"/>
  <c r="S69" i="47"/>
  <c r="R69" i="47"/>
  <c r="U2" i="47"/>
  <c r="S2" i="47"/>
  <c r="R2" i="47"/>
  <c r="S10" i="47"/>
  <c r="R10" i="47"/>
  <c r="S105" i="47"/>
  <c r="R105" i="47"/>
  <c r="S88" i="47"/>
  <c r="R88" i="47"/>
  <c r="S98" i="47"/>
  <c r="R98" i="47"/>
  <c r="S104" i="47"/>
  <c r="R104" i="47"/>
  <c r="S66" i="47"/>
  <c r="R66" i="47"/>
  <c r="S85" i="47"/>
  <c r="R85" i="47"/>
  <c r="S51" i="47"/>
  <c r="R51" i="47"/>
  <c r="S103" i="47"/>
  <c r="R103" i="47"/>
  <c r="S24" i="47"/>
  <c r="R24" i="47"/>
  <c r="S74" i="47"/>
  <c r="R74" i="47"/>
  <c r="P12" i="47"/>
  <c r="O12" i="47"/>
  <c r="N12" i="47"/>
  <c r="P17" i="47"/>
  <c r="O17" i="47"/>
  <c r="N17" i="47"/>
  <c r="P71" i="47"/>
  <c r="O71" i="47"/>
  <c r="E4" i="45" s="1"/>
  <c r="N71" i="47"/>
  <c r="P89" i="47"/>
  <c r="O89" i="47"/>
  <c r="N89" i="47"/>
  <c r="E7" i="40"/>
  <c r="P41" i="47"/>
  <c r="O41" i="47"/>
  <c r="N41" i="47"/>
  <c r="P36" i="47"/>
  <c r="O36" i="47"/>
  <c r="E3" i="45" s="1"/>
  <c r="N36" i="47"/>
  <c r="P78" i="47"/>
  <c r="O78" i="47"/>
  <c r="N78" i="47"/>
  <c r="P13" i="47"/>
  <c r="O13" i="47"/>
  <c r="N13" i="47"/>
  <c r="P20" i="47"/>
  <c r="O20" i="47"/>
  <c r="N20" i="47"/>
  <c r="P4" i="47"/>
  <c r="O4" i="47"/>
  <c r="N4" i="47"/>
  <c r="P80" i="47"/>
  <c r="O80" i="47"/>
  <c r="N80" i="47"/>
  <c r="P55" i="47"/>
  <c r="O55" i="47"/>
  <c r="N55" i="47"/>
  <c r="P93" i="47"/>
  <c r="O93" i="47"/>
  <c r="N93" i="47"/>
  <c r="P3" i="47"/>
  <c r="O3" i="47"/>
  <c r="N3" i="47"/>
  <c r="P72" i="47"/>
  <c r="O72" i="47"/>
  <c r="N72" i="47"/>
  <c r="P44" i="47"/>
  <c r="O44" i="47"/>
  <c r="N44" i="47"/>
  <c r="P39" i="47"/>
  <c r="O39" i="47"/>
  <c r="N39" i="47"/>
  <c r="P91" i="47"/>
  <c r="O91" i="47"/>
  <c r="E7" i="45" s="1"/>
  <c r="N91" i="47"/>
  <c r="P56" i="47"/>
  <c r="O56" i="47"/>
  <c r="N56" i="47"/>
  <c r="P67" i="47"/>
  <c r="O67" i="47"/>
  <c r="N67" i="47"/>
  <c r="P79" i="47"/>
  <c r="O79" i="47"/>
  <c r="N79" i="47"/>
  <c r="P59" i="47"/>
  <c r="O59" i="47"/>
  <c r="N59" i="47"/>
  <c r="P86" i="47"/>
  <c r="O86" i="47"/>
  <c r="N86" i="47"/>
  <c r="P46" i="47"/>
  <c r="O46" i="47"/>
  <c r="N46" i="47"/>
  <c r="P63" i="47"/>
  <c r="O63" i="47"/>
  <c r="N63" i="47"/>
  <c r="P65" i="47"/>
  <c r="O65" i="47"/>
  <c r="N65" i="47"/>
  <c r="P53" i="47"/>
  <c r="O53" i="47"/>
  <c r="N53" i="47"/>
  <c r="P34" i="47"/>
  <c r="O34" i="47"/>
  <c r="N34" i="47"/>
  <c r="P61" i="47"/>
  <c r="O61" i="47"/>
  <c r="N61" i="47"/>
  <c r="P19" i="47"/>
  <c r="O19" i="47"/>
  <c r="N19" i="47"/>
  <c r="P54" i="47"/>
  <c r="O54" i="47"/>
  <c r="N54" i="47"/>
  <c r="P11" i="47"/>
  <c r="O11" i="47"/>
  <c r="E12" i="40" s="1"/>
  <c r="N11" i="47"/>
  <c r="P77" i="47"/>
  <c r="O77" i="47"/>
  <c r="N77" i="47"/>
  <c r="P92" i="47"/>
  <c r="O92" i="47"/>
  <c r="N92" i="47"/>
  <c r="P45" i="47"/>
  <c r="O45" i="47"/>
  <c r="N45" i="47"/>
  <c r="P6" i="47"/>
  <c r="O6" i="47"/>
  <c r="N6" i="47"/>
  <c r="P94" i="47"/>
  <c r="O94" i="47"/>
  <c r="N94" i="47"/>
  <c r="P64" i="47"/>
  <c r="O64" i="47"/>
  <c r="N64" i="47"/>
  <c r="P40" i="47"/>
  <c r="O40" i="47"/>
  <c r="N40" i="47"/>
  <c r="P21" i="47"/>
  <c r="O21" i="47"/>
  <c r="N21" i="47"/>
  <c r="P18" i="47"/>
  <c r="O18" i="47"/>
  <c r="N18" i="47"/>
  <c r="P73" i="47"/>
  <c r="O73" i="47"/>
  <c r="N73" i="47"/>
  <c r="P28" i="47"/>
  <c r="O28" i="47"/>
  <c r="N28" i="47"/>
  <c r="P96" i="47"/>
  <c r="O96" i="47"/>
  <c r="E5" i="45" s="1"/>
  <c r="N96" i="47"/>
  <c r="P35" i="47"/>
  <c r="O35" i="47"/>
  <c r="E133" i="2" s="1"/>
  <c r="N35" i="47"/>
  <c r="P27" i="47"/>
  <c r="O27" i="47"/>
  <c r="N27" i="47"/>
  <c r="P57" i="47"/>
  <c r="O57" i="47"/>
  <c r="N57" i="47"/>
  <c r="P87" i="47"/>
  <c r="O87" i="47"/>
  <c r="N87" i="47"/>
  <c r="P22" i="47"/>
  <c r="O22" i="47"/>
  <c r="N22" i="47"/>
  <c r="P75" i="47"/>
  <c r="O75" i="47"/>
  <c r="N75" i="47"/>
  <c r="P29" i="47"/>
  <c r="O29" i="47"/>
  <c r="N29" i="47"/>
  <c r="P81" i="47"/>
  <c r="O81" i="47"/>
  <c r="N81" i="47"/>
  <c r="P48" i="47"/>
  <c r="O48" i="47"/>
  <c r="N48" i="47"/>
  <c r="P8" i="47"/>
  <c r="O8" i="47"/>
  <c r="N8" i="47"/>
  <c r="P95" i="47"/>
  <c r="O95" i="47"/>
  <c r="N95" i="47"/>
  <c r="P90" i="47"/>
  <c r="O90" i="47"/>
  <c r="N90" i="47"/>
  <c r="P14" i="47"/>
  <c r="O14" i="47"/>
  <c r="N14" i="47"/>
  <c r="P49" i="47"/>
  <c r="O49" i="47"/>
  <c r="N49" i="47"/>
  <c r="P15" i="47"/>
  <c r="O15" i="47"/>
  <c r="N15" i="47"/>
  <c r="P102" i="47"/>
  <c r="O102" i="47"/>
  <c r="P83" i="47"/>
  <c r="O83" i="47"/>
  <c r="E13" i="45" s="1"/>
  <c r="N83" i="47"/>
  <c r="P50" i="47"/>
  <c r="O50" i="47"/>
  <c r="N50" i="47"/>
  <c r="P60" i="47"/>
  <c r="O60" i="47"/>
  <c r="E135" i="2" s="1"/>
  <c r="N60" i="47"/>
  <c r="P84" i="47"/>
  <c r="O84" i="47"/>
  <c r="N84" i="47"/>
  <c r="P82" i="47"/>
  <c r="O82" i="47"/>
  <c r="N82" i="47"/>
  <c r="P70" i="47"/>
  <c r="O70" i="47"/>
  <c r="N70" i="47"/>
  <c r="P58" i="47"/>
  <c r="O58" i="47"/>
  <c r="N58" i="47"/>
  <c r="P25" i="47"/>
  <c r="O25" i="47"/>
  <c r="N25" i="47"/>
  <c r="P38" i="47"/>
  <c r="O38" i="47"/>
  <c r="N38" i="47"/>
  <c r="P107" i="47"/>
  <c r="O107" i="47"/>
  <c r="N107" i="47"/>
  <c r="P101" i="47"/>
  <c r="O101" i="47"/>
  <c r="N101" i="47"/>
  <c r="P30" i="47"/>
  <c r="O30" i="47"/>
  <c r="N30" i="47"/>
  <c r="P106" i="47"/>
  <c r="O106" i="47"/>
  <c r="N106" i="47"/>
  <c r="P26" i="47"/>
  <c r="O26" i="47"/>
  <c r="N26" i="47"/>
  <c r="P52" i="47"/>
  <c r="O52" i="47"/>
  <c r="N52" i="47"/>
  <c r="P47" i="47"/>
  <c r="O47" i="47"/>
  <c r="N47" i="47"/>
  <c r="P69" i="47"/>
  <c r="O69" i="47"/>
  <c r="E9" i="45" s="1"/>
  <c r="N69" i="47"/>
  <c r="P2" i="47"/>
  <c r="O2" i="47"/>
  <c r="N2" i="47"/>
  <c r="P10" i="47"/>
  <c r="O10" i="47"/>
  <c r="N10" i="47"/>
  <c r="P105" i="47"/>
  <c r="O105" i="47"/>
  <c r="N105" i="47"/>
  <c r="P88" i="47"/>
  <c r="O88" i="47"/>
  <c r="N88" i="47"/>
  <c r="P98" i="47"/>
  <c r="O98" i="47"/>
  <c r="E19" i="40" s="1"/>
  <c r="N98" i="47"/>
  <c r="P104" i="47"/>
  <c r="O104" i="47"/>
  <c r="N104" i="47"/>
  <c r="P66" i="47"/>
  <c r="O66" i="47"/>
  <c r="N66" i="47"/>
  <c r="P85" i="47"/>
  <c r="O85" i="47"/>
  <c r="N85" i="47"/>
  <c r="P51" i="47"/>
  <c r="O51" i="47"/>
  <c r="N51" i="47"/>
  <c r="P103" i="47"/>
  <c r="O103" i="47"/>
  <c r="N103" i="47"/>
  <c r="P24" i="47"/>
  <c r="O24" i="47"/>
  <c r="N24" i="47"/>
  <c r="P74" i="47"/>
  <c r="O74" i="47"/>
  <c r="E134" i="2" s="1"/>
  <c r="N74" i="47"/>
  <c r="K12" i="47"/>
  <c r="J12" i="47"/>
  <c r="K17" i="47"/>
  <c r="J17" i="47"/>
  <c r="K71" i="47"/>
  <c r="J71" i="47"/>
  <c r="K89" i="47"/>
  <c r="J89" i="47"/>
  <c r="K41" i="47"/>
  <c r="J41" i="47"/>
  <c r="K36" i="47"/>
  <c r="J36" i="47"/>
  <c r="K78" i="47"/>
  <c r="J78" i="47"/>
  <c r="K13" i="47"/>
  <c r="J13" i="47"/>
  <c r="K20" i="47"/>
  <c r="J20" i="47"/>
  <c r="K4" i="47"/>
  <c r="J4" i="47"/>
  <c r="K80" i="47"/>
  <c r="J80" i="47"/>
  <c r="K55" i="47"/>
  <c r="J55" i="47"/>
  <c r="K93" i="47"/>
  <c r="J93" i="47"/>
  <c r="K3" i="47"/>
  <c r="J3" i="47"/>
  <c r="K72" i="47"/>
  <c r="J72" i="47"/>
  <c r="K44" i="47"/>
  <c r="J44" i="47"/>
  <c r="K39" i="47"/>
  <c r="J39" i="47"/>
  <c r="K91" i="47"/>
  <c r="J91" i="47"/>
  <c r="K56" i="47"/>
  <c r="J56" i="47"/>
  <c r="K67" i="47"/>
  <c r="J67" i="47"/>
  <c r="K79" i="47"/>
  <c r="J79" i="47"/>
  <c r="K59" i="47"/>
  <c r="J59" i="47"/>
  <c r="K86" i="47"/>
  <c r="J86" i="47"/>
  <c r="K46" i="47"/>
  <c r="J46" i="47"/>
  <c r="K63" i="47"/>
  <c r="J63" i="47"/>
  <c r="K65" i="47"/>
  <c r="J65" i="47"/>
  <c r="K53" i="47"/>
  <c r="J53" i="47"/>
  <c r="K34" i="47"/>
  <c r="J34" i="47"/>
  <c r="K61" i="47"/>
  <c r="J61" i="47"/>
  <c r="K19" i="47"/>
  <c r="J19" i="47"/>
  <c r="K54" i="47"/>
  <c r="J54" i="47"/>
  <c r="K11" i="47"/>
  <c r="J11" i="47"/>
  <c r="K77" i="47"/>
  <c r="J77" i="47"/>
  <c r="K92" i="47"/>
  <c r="J92" i="47"/>
  <c r="K45" i="47"/>
  <c r="J45" i="47"/>
  <c r="K6" i="47"/>
  <c r="J6" i="47"/>
  <c r="K94" i="47"/>
  <c r="J94" i="47"/>
  <c r="K64" i="47"/>
  <c r="J64" i="47"/>
  <c r="K40" i="47"/>
  <c r="J40" i="47"/>
  <c r="K21" i="47"/>
  <c r="J21" i="47"/>
  <c r="K18" i="47"/>
  <c r="J18" i="47"/>
  <c r="K73" i="47"/>
  <c r="J73" i="47"/>
  <c r="K28" i="47"/>
  <c r="J28" i="47"/>
  <c r="K96" i="47"/>
  <c r="J96" i="47"/>
  <c r="K35" i="47"/>
  <c r="J35" i="47"/>
  <c r="K27" i="47"/>
  <c r="J27" i="47"/>
  <c r="K57" i="47"/>
  <c r="J57" i="47"/>
  <c r="K87" i="47"/>
  <c r="J87" i="47"/>
  <c r="K22" i="47"/>
  <c r="J22" i="47"/>
  <c r="K75" i="47"/>
  <c r="J75" i="47"/>
  <c r="K29" i="47"/>
  <c r="J29" i="47"/>
  <c r="K81" i="47"/>
  <c r="J81" i="47"/>
  <c r="K48" i="47"/>
  <c r="J48" i="47"/>
  <c r="K8" i="47"/>
  <c r="J8" i="47"/>
  <c r="K95" i="47"/>
  <c r="J95" i="47"/>
  <c r="K90" i="47"/>
  <c r="J90" i="47"/>
  <c r="K14" i="47"/>
  <c r="J14" i="47"/>
  <c r="K49" i="47"/>
  <c r="J49" i="47"/>
  <c r="K15" i="47"/>
  <c r="J15" i="47"/>
  <c r="K102" i="47"/>
  <c r="K83" i="47"/>
  <c r="J83" i="47"/>
  <c r="K50" i="47"/>
  <c r="J50" i="47"/>
  <c r="K60" i="47"/>
  <c r="J60" i="47"/>
  <c r="K84" i="47"/>
  <c r="J84" i="47"/>
  <c r="K82" i="47"/>
  <c r="J82" i="47"/>
  <c r="K70" i="47"/>
  <c r="J70" i="47"/>
  <c r="K58" i="47"/>
  <c r="J58" i="47"/>
  <c r="K25" i="47"/>
  <c r="J25" i="47"/>
  <c r="K38" i="47"/>
  <c r="J38" i="47"/>
  <c r="K107" i="47"/>
  <c r="J107" i="47"/>
  <c r="K101" i="47"/>
  <c r="J101" i="47"/>
  <c r="K30" i="47"/>
  <c r="J30" i="47"/>
  <c r="K106" i="47"/>
  <c r="J106" i="47"/>
  <c r="K26" i="47"/>
  <c r="J26" i="47"/>
  <c r="K52" i="47"/>
  <c r="J52" i="47"/>
  <c r="K47" i="47"/>
  <c r="J47" i="47"/>
  <c r="K69" i="47"/>
  <c r="J69" i="47"/>
  <c r="J2" i="47"/>
  <c r="K10" i="47"/>
  <c r="J10" i="47"/>
  <c r="K105" i="47"/>
  <c r="J105" i="47"/>
  <c r="K88" i="47"/>
  <c r="J88" i="47"/>
  <c r="K98" i="47"/>
  <c r="J98" i="47"/>
  <c r="K104" i="47"/>
  <c r="J104" i="47"/>
  <c r="K66" i="47"/>
  <c r="J66" i="47"/>
  <c r="K85" i="47"/>
  <c r="J85" i="47"/>
  <c r="K51" i="47"/>
  <c r="J51" i="47"/>
  <c r="K103" i="47"/>
  <c r="J103" i="47"/>
  <c r="K24" i="47"/>
  <c r="J24" i="47"/>
  <c r="K74" i="47"/>
  <c r="J74" i="47"/>
  <c r="I12" i="47"/>
  <c r="H12" i="47"/>
  <c r="D12" i="43" s="1"/>
  <c r="I17" i="47"/>
  <c r="H17" i="47"/>
  <c r="D3" i="43" s="1"/>
  <c r="I71" i="47"/>
  <c r="H71" i="47"/>
  <c r="D4" i="45" s="1"/>
  <c r="I89" i="47"/>
  <c r="H89" i="47"/>
  <c r="D7" i="40"/>
  <c r="I41" i="47"/>
  <c r="H41" i="47"/>
  <c r="D8" i="43" s="1"/>
  <c r="I36" i="47"/>
  <c r="H36" i="47"/>
  <c r="D3" i="45" s="1"/>
  <c r="I78" i="47"/>
  <c r="H78" i="47"/>
  <c r="D8" i="37" s="1"/>
  <c r="I13" i="47"/>
  <c r="H13" i="47"/>
  <c r="D4" i="42" s="1"/>
  <c r="I20" i="47"/>
  <c r="H20" i="47"/>
  <c r="D73" i="2" s="1"/>
  <c r="I4" i="47"/>
  <c r="H4" i="47"/>
  <c r="I80" i="47"/>
  <c r="H80" i="47"/>
  <c r="D32" i="2" s="1"/>
  <c r="I55" i="47"/>
  <c r="H55" i="47"/>
  <c r="D4" i="43" s="1"/>
  <c r="I93" i="47"/>
  <c r="H93" i="47"/>
  <c r="D6" i="40" s="1"/>
  <c r="I3" i="47"/>
  <c r="H3" i="47"/>
  <c r="D13" i="40" s="1"/>
  <c r="I72" i="47"/>
  <c r="H72" i="47"/>
  <c r="D5" i="37" s="1"/>
  <c r="I44" i="47"/>
  <c r="H44" i="47"/>
  <c r="D7" i="44" s="1"/>
  <c r="I39" i="47"/>
  <c r="H39" i="47"/>
  <c r="D13" i="43" s="1"/>
  <c r="I91" i="47"/>
  <c r="H91" i="47"/>
  <c r="D7" i="45" s="1"/>
  <c r="I56" i="47"/>
  <c r="H56" i="47"/>
  <c r="I67" i="47"/>
  <c r="H67" i="47"/>
  <c r="D5" i="43" s="1"/>
  <c r="I79" i="47"/>
  <c r="H79" i="47"/>
  <c r="I59" i="47"/>
  <c r="H59" i="47"/>
  <c r="D11" i="43" s="1"/>
  <c r="I86" i="47"/>
  <c r="H86" i="47"/>
  <c r="I46" i="47"/>
  <c r="H46" i="47"/>
  <c r="I63" i="47"/>
  <c r="H63" i="47"/>
  <c r="D10" i="36" s="1"/>
  <c r="I65" i="47"/>
  <c r="H65" i="47"/>
  <c r="I53" i="47"/>
  <c r="H53" i="47"/>
  <c r="I34" i="47"/>
  <c r="H34" i="47"/>
  <c r="D11" i="40" s="1"/>
  <c r="I61" i="47"/>
  <c r="H61" i="47"/>
  <c r="I19" i="47"/>
  <c r="H19" i="47"/>
  <c r="I54" i="47"/>
  <c r="H54" i="47"/>
  <c r="D3" i="41" s="1"/>
  <c r="I11" i="47"/>
  <c r="H11" i="47"/>
  <c r="D12" i="40" s="1"/>
  <c r="I77" i="47"/>
  <c r="H77" i="47"/>
  <c r="I92" i="47"/>
  <c r="H92" i="47"/>
  <c r="D3" i="42" s="1"/>
  <c r="I45" i="47"/>
  <c r="H45" i="47"/>
  <c r="D8" i="42" s="1"/>
  <c r="I6" i="47"/>
  <c r="H6" i="47"/>
  <c r="I94" i="47"/>
  <c r="H94" i="47"/>
  <c r="D10" i="38" s="1"/>
  <c r="I64" i="47"/>
  <c r="H64" i="47"/>
  <c r="D9" i="43" s="1"/>
  <c r="I40" i="47"/>
  <c r="H40" i="47"/>
  <c r="I21" i="47"/>
  <c r="H21" i="47"/>
  <c r="D11" i="37" s="1"/>
  <c r="I18" i="47"/>
  <c r="H18" i="47"/>
  <c r="D8" i="38" s="1"/>
  <c r="I73" i="47"/>
  <c r="H73" i="47"/>
  <c r="I28" i="47"/>
  <c r="H28" i="47"/>
  <c r="D5" i="42" s="1"/>
  <c r="I96" i="47"/>
  <c r="H96" i="47"/>
  <c r="D5" i="45" s="1"/>
  <c r="I35" i="47"/>
  <c r="H35" i="47"/>
  <c r="I27" i="47"/>
  <c r="H27" i="47"/>
  <c r="D13" i="37" s="1"/>
  <c r="I57" i="47"/>
  <c r="H57" i="47"/>
  <c r="D4" i="44" s="1"/>
  <c r="I87" i="47"/>
  <c r="H87" i="47"/>
  <c r="I22" i="47"/>
  <c r="H22" i="47"/>
  <c r="D5" i="46" s="1"/>
  <c r="I75" i="47"/>
  <c r="H75" i="47"/>
  <c r="D7" i="42" s="1"/>
  <c r="I29" i="47"/>
  <c r="H29" i="47"/>
  <c r="D12" i="42" s="1"/>
  <c r="I81" i="47"/>
  <c r="H81" i="47"/>
  <c r="D12" i="38" s="1"/>
  <c r="I48" i="47"/>
  <c r="H48" i="47"/>
  <c r="I8" i="47"/>
  <c r="H8" i="47"/>
  <c r="I95" i="47"/>
  <c r="H95" i="47"/>
  <c r="I90" i="47"/>
  <c r="H90" i="47"/>
  <c r="I14" i="47"/>
  <c r="H14" i="47"/>
  <c r="D5" i="41" s="1"/>
  <c r="I49" i="47"/>
  <c r="H49" i="47"/>
  <c r="D16" i="43" s="1"/>
  <c r="I15" i="47"/>
  <c r="H15" i="47"/>
  <c r="D14" i="40" s="1"/>
  <c r="I102" i="47"/>
  <c r="H102" i="47"/>
  <c r="D20" i="37" s="1"/>
  <c r="I83" i="47"/>
  <c r="H83" i="47"/>
  <c r="D13" i="45" s="1"/>
  <c r="I50" i="47"/>
  <c r="H50" i="47"/>
  <c r="I60" i="47"/>
  <c r="H60" i="47"/>
  <c r="I84" i="47"/>
  <c r="H84" i="47"/>
  <c r="I82" i="47"/>
  <c r="H82" i="47"/>
  <c r="D9" i="42" s="1"/>
  <c r="I70" i="47"/>
  <c r="H70" i="47"/>
  <c r="D7" i="41" s="1"/>
  <c r="I58" i="47"/>
  <c r="H58" i="47"/>
  <c r="D4" i="38" s="1"/>
  <c r="I25" i="47"/>
  <c r="H25" i="47"/>
  <c r="D21" i="40" s="1"/>
  <c r="I38" i="47"/>
  <c r="H38" i="47"/>
  <c r="I107" i="47"/>
  <c r="H107" i="47"/>
  <c r="I101" i="47"/>
  <c r="H101" i="47"/>
  <c r="I30" i="47"/>
  <c r="H30" i="47"/>
  <c r="D77" i="2" s="1"/>
  <c r="I106" i="47"/>
  <c r="H106" i="47"/>
  <c r="D18" i="40" s="1"/>
  <c r="I26" i="47"/>
  <c r="H26" i="47"/>
  <c r="D11" i="36" s="1"/>
  <c r="I52" i="47"/>
  <c r="H52" i="47"/>
  <c r="D14" i="37" s="1"/>
  <c r="I47" i="47"/>
  <c r="H47" i="47"/>
  <c r="D15" i="40" s="1"/>
  <c r="I69" i="47"/>
  <c r="H69" i="47"/>
  <c r="D9" i="45" s="1"/>
  <c r="I2" i="47"/>
  <c r="H2" i="47"/>
  <c r="I10" i="47"/>
  <c r="H10" i="47"/>
  <c r="I105" i="47"/>
  <c r="H105" i="47"/>
  <c r="D19" i="36" s="1"/>
  <c r="I88" i="47"/>
  <c r="H88" i="47"/>
  <c r="D14" i="38" s="1"/>
  <c r="I98" i="47"/>
  <c r="H98" i="47"/>
  <c r="I104" i="47"/>
  <c r="H104" i="47"/>
  <c r="I66" i="47"/>
  <c r="H66" i="47"/>
  <c r="D18" i="37" s="1"/>
  <c r="I85" i="47"/>
  <c r="H85" i="47"/>
  <c r="D9" i="38" s="1"/>
  <c r="I51" i="47"/>
  <c r="H51" i="47"/>
  <c r="D95" i="2" s="1"/>
  <c r="I103" i="47"/>
  <c r="H103" i="47"/>
  <c r="I24" i="47"/>
  <c r="H24" i="47"/>
  <c r="D12" i="37" s="1"/>
  <c r="I74" i="47"/>
  <c r="H74" i="47"/>
  <c r="G12" i="47"/>
  <c r="H12" i="43" s="1"/>
  <c r="G17" i="47"/>
  <c r="H3" i="43" s="1"/>
  <c r="G71" i="47"/>
  <c r="H4" i="45" s="1"/>
  <c r="G89" i="47"/>
  <c r="H9" i="37" s="1"/>
  <c r="G41" i="47"/>
  <c r="H8" i="43" s="1"/>
  <c r="G36" i="47"/>
  <c r="H3" i="45" s="1"/>
  <c r="G78" i="47"/>
  <c r="H8" i="37" s="1"/>
  <c r="G13" i="47"/>
  <c r="H4" i="42" s="1"/>
  <c r="G20" i="47"/>
  <c r="G4" i="47"/>
  <c r="H9" i="36" s="1"/>
  <c r="G80" i="47"/>
  <c r="H4" i="37" s="1"/>
  <c r="G55" i="47"/>
  <c r="H4" i="43" s="1"/>
  <c r="G93" i="47"/>
  <c r="H6" i="40" s="1"/>
  <c r="G3" i="47"/>
  <c r="H13" i="40" s="1"/>
  <c r="G72" i="47"/>
  <c r="H5" i="37" s="1"/>
  <c r="G44" i="47"/>
  <c r="G39" i="47"/>
  <c r="H13" i="43" s="1"/>
  <c r="G91" i="47"/>
  <c r="H7" i="45" s="1"/>
  <c r="G56" i="47"/>
  <c r="H7" i="43" s="1"/>
  <c r="G67" i="47"/>
  <c r="H5" i="43" s="1"/>
  <c r="G79" i="47"/>
  <c r="G59" i="47"/>
  <c r="H11" i="43" s="1"/>
  <c r="G86" i="47"/>
  <c r="H6" i="38" s="1"/>
  <c r="G46" i="47"/>
  <c r="H10" i="37" s="1"/>
  <c r="G63" i="47"/>
  <c r="H10" i="36" s="1"/>
  <c r="G65" i="47"/>
  <c r="G53" i="47"/>
  <c r="H7" i="37" s="1"/>
  <c r="G34" i="47"/>
  <c r="H11" i="40" s="1"/>
  <c r="G61" i="47"/>
  <c r="H14" i="36" s="1"/>
  <c r="G19" i="47"/>
  <c r="H5" i="38" s="1"/>
  <c r="G54" i="47"/>
  <c r="H3" i="41" s="1"/>
  <c r="G11" i="47"/>
  <c r="H12" i="40" s="1"/>
  <c r="G77" i="47"/>
  <c r="H4" i="41" s="1"/>
  <c r="G92" i="47"/>
  <c r="H3" i="42" s="1"/>
  <c r="G45" i="47"/>
  <c r="H8" i="42" s="1"/>
  <c r="G6" i="47"/>
  <c r="H10" i="40" s="1"/>
  <c r="G94" i="47"/>
  <c r="H10" i="38" s="1"/>
  <c r="G64" i="47"/>
  <c r="H9" i="43" s="1"/>
  <c r="G40" i="47"/>
  <c r="H6" i="42" s="1"/>
  <c r="G21" i="47"/>
  <c r="H11" i="37" s="1"/>
  <c r="G18" i="47"/>
  <c r="H8" i="38" s="1"/>
  <c r="G73" i="47"/>
  <c r="G28" i="47"/>
  <c r="H5" i="42" s="1"/>
  <c r="G96" i="47"/>
  <c r="H5" i="45" s="1"/>
  <c r="G35" i="47"/>
  <c r="G27" i="47"/>
  <c r="H13" i="37" s="1"/>
  <c r="G57" i="47"/>
  <c r="H4" i="44" s="1"/>
  <c r="G87" i="47"/>
  <c r="G22" i="47"/>
  <c r="H5" i="46" s="1"/>
  <c r="G75" i="47"/>
  <c r="G29" i="47"/>
  <c r="H12" i="42" s="1"/>
  <c r="G81" i="47"/>
  <c r="H12" i="38" s="1"/>
  <c r="G48" i="47"/>
  <c r="H6" i="44" s="1"/>
  <c r="G8" i="47"/>
  <c r="H16" i="36" s="1"/>
  <c r="G95" i="47"/>
  <c r="G90" i="47"/>
  <c r="H5" i="44" s="1"/>
  <c r="G14" i="47"/>
  <c r="G49" i="47"/>
  <c r="H16" i="43" s="1"/>
  <c r="G15" i="47"/>
  <c r="H14" i="40" s="1"/>
  <c r="G102" i="47"/>
  <c r="H20" i="37" s="1"/>
  <c r="G83" i="47"/>
  <c r="H13" i="45" s="1"/>
  <c r="G50" i="47"/>
  <c r="H6" i="37" s="1"/>
  <c r="G60" i="47"/>
  <c r="G84" i="47"/>
  <c r="H11" i="38" s="1"/>
  <c r="G82" i="47"/>
  <c r="H9" i="42" s="1"/>
  <c r="G70" i="47"/>
  <c r="H7" i="41" s="1"/>
  <c r="G58" i="47"/>
  <c r="H4" i="38" s="1"/>
  <c r="G25" i="47"/>
  <c r="H21" i="40" s="1"/>
  <c r="G38" i="47"/>
  <c r="H3" i="46" s="1"/>
  <c r="G107" i="47"/>
  <c r="G101" i="47"/>
  <c r="H18" i="36" s="1"/>
  <c r="G30" i="47"/>
  <c r="H15" i="36" s="1"/>
  <c r="G106" i="47"/>
  <c r="H18" i="40" s="1"/>
  <c r="G26" i="47"/>
  <c r="H11" i="36" s="1"/>
  <c r="G52" i="47"/>
  <c r="G47" i="47"/>
  <c r="H15" i="40" s="1"/>
  <c r="G69" i="47"/>
  <c r="H9" i="45" s="1"/>
  <c r="G2" i="47"/>
  <c r="H4" i="46" s="1"/>
  <c r="G10" i="47"/>
  <c r="H3" i="39" s="1"/>
  <c r="G105" i="47"/>
  <c r="H19" i="36" s="1"/>
  <c r="G88" i="47"/>
  <c r="H14" i="38" s="1"/>
  <c r="G98" i="47"/>
  <c r="G104" i="47"/>
  <c r="H20" i="36" s="1"/>
  <c r="G66" i="47"/>
  <c r="H18" i="37" s="1"/>
  <c r="G85" i="47"/>
  <c r="G51" i="47"/>
  <c r="H15" i="37" s="1"/>
  <c r="G103" i="47"/>
  <c r="G24" i="47"/>
  <c r="H12" i="37" s="1"/>
  <c r="G74" i="47"/>
  <c r="D12" i="47"/>
  <c r="G12" i="43" s="1"/>
  <c r="D17" i="47"/>
  <c r="G3" i="43" s="1"/>
  <c r="D71" i="47"/>
  <c r="G4" i="45" s="1"/>
  <c r="D89" i="47"/>
  <c r="G9" i="37" s="1"/>
  <c r="G7" i="40"/>
  <c r="D41" i="47"/>
  <c r="G8" i="43" s="1"/>
  <c r="D36" i="47"/>
  <c r="G3" i="45" s="1"/>
  <c r="D78" i="47"/>
  <c r="G8" i="37" s="1"/>
  <c r="D13" i="47"/>
  <c r="G4" i="42" s="1"/>
  <c r="D20" i="47"/>
  <c r="G13" i="36" s="1"/>
  <c r="D4" i="47"/>
  <c r="D80" i="47"/>
  <c r="G4" i="37" s="1"/>
  <c r="D55" i="47"/>
  <c r="G4" i="43" s="1"/>
  <c r="D93" i="47"/>
  <c r="G6" i="40" s="1"/>
  <c r="D3" i="47"/>
  <c r="G13" i="40" s="1"/>
  <c r="D72" i="47"/>
  <c r="D44" i="47"/>
  <c r="G7" i="44" s="1"/>
  <c r="D39" i="47"/>
  <c r="G13" i="43" s="1"/>
  <c r="D91" i="47"/>
  <c r="G7" i="45" s="1"/>
  <c r="D56" i="47"/>
  <c r="G7" i="43" s="1"/>
  <c r="D67" i="47"/>
  <c r="G5" i="43" s="1"/>
  <c r="D79" i="47"/>
  <c r="G7" i="38" s="1"/>
  <c r="D59" i="47"/>
  <c r="G11" i="43" s="1"/>
  <c r="D86" i="47"/>
  <c r="D46" i="47"/>
  <c r="G10" i="37" s="1"/>
  <c r="D63" i="47"/>
  <c r="G10" i="36" s="1"/>
  <c r="D65" i="47"/>
  <c r="G51" i="2" s="1"/>
  <c r="D53" i="47"/>
  <c r="G7" i="37" s="1"/>
  <c r="D34" i="47"/>
  <c r="D61" i="47"/>
  <c r="D19" i="47"/>
  <c r="G5" i="38" s="1"/>
  <c r="D54" i="47"/>
  <c r="D11" i="47"/>
  <c r="G12" i="40" s="1"/>
  <c r="D77" i="47"/>
  <c r="G4" i="41" s="1"/>
  <c r="D92" i="47"/>
  <c r="G3" i="42" s="1"/>
  <c r="D45" i="47"/>
  <c r="G8" i="42" s="1"/>
  <c r="D6" i="47"/>
  <c r="G10" i="40" s="1"/>
  <c r="D94" i="47"/>
  <c r="G10" i="38" s="1"/>
  <c r="D64" i="47"/>
  <c r="G9" i="43" s="1"/>
  <c r="D40" i="47"/>
  <c r="G6" i="42" s="1"/>
  <c r="D21" i="47"/>
  <c r="D18" i="47"/>
  <c r="D73" i="47"/>
  <c r="G3" i="44" s="1"/>
  <c r="D28" i="47"/>
  <c r="G5" i="42" s="1"/>
  <c r="G5" i="45"/>
  <c r="D35" i="47"/>
  <c r="D27" i="47"/>
  <c r="G13" i="37" s="1"/>
  <c r="D57" i="47"/>
  <c r="G4" i="44" s="1"/>
  <c r="D87" i="47"/>
  <c r="D22" i="47"/>
  <c r="G5" i="46" s="1"/>
  <c r="D75" i="47"/>
  <c r="G7" i="42" s="1"/>
  <c r="D29" i="47"/>
  <c r="G12" i="42" s="1"/>
  <c r="D81" i="47"/>
  <c r="G12" i="38" s="1"/>
  <c r="D48" i="47"/>
  <c r="G6" i="44" s="1"/>
  <c r="D8" i="47"/>
  <c r="D95" i="47"/>
  <c r="G17" i="36" s="1"/>
  <c r="D90" i="47"/>
  <c r="G5" i="44" s="1"/>
  <c r="D14" i="47"/>
  <c r="D49" i="47"/>
  <c r="G16" i="43" s="1"/>
  <c r="D15" i="47"/>
  <c r="G14" i="40" s="1"/>
  <c r="D102" i="47"/>
  <c r="G20" i="37" s="1"/>
  <c r="D83" i="47"/>
  <c r="G13" i="45" s="1"/>
  <c r="D50" i="47"/>
  <c r="G6" i="37" s="1"/>
  <c r="D60" i="47"/>
  <c r="D84" i="47"/>
  <c r="D82" i="47"/>
  <c r="G9" i="42" s="1"/>
  <c r="D70" i="47"/>
  <c r="D58" i="47"/>
  <c r="G4" i="38" s="1"/>
  <c r="D25" i="47"/>
  <c r="D38" i="47"/>
  <c r="G3" i="46" s="1"/>
  <c r="D107" i="47"/>
  <c r="D101" i="47"/>
  <c r="G18" i="36" s="1"/>
  <c r="D30" i="47"/>
  <c r="G15" i="36" s="1"/>
  <c r="D106" i="47"/>
  <c r="D26" i="47"/>
  <c r="D52" i="47"/>
  <c r="D47" i="47"/>
  <c r="G15" i="40" s="1"/>
  <c r="D69" i="47"/>
  <c r="G9" i="45" s="1"/>
  <c r="D2" i="47"/>
  <c r="G86" i="2" s="1"/>
  <c r="G3" i="39"/>
  <c r="D105" i="47"/>
  <c r="G19" i="36" s="1"/>
  <c r="D88" i="47"/>
  <c r="G14" i="38" s="1"/>
  <c r="D98" i="47"/>
  <c r="D104" i="47"/>
  <c r="D66" i="47"/>
  <c r="G18" i="37" s="1"/>
  <c r="D85" i="47"/>
  <c r="G9" i="38" s="1"/>
  <c r="D51" i="47"/>
  <c r="G15" i="37" s="1"/>
  <c r="D103" i="47"/>
  <c r="D24" i="47"/>
  <c r="G12" i="37" s="1"/>
  <c r="D74" i="47"/>
  <c r="P135" i="2" l="1"/>
  <c r="P129" i="2"/>
  <c r="P128" i="2"/>
  <c r="F113" i="2"/>
  <c r="F24" i="36"/>
  <c r="D113" i="2"/>
  <c r="D24" i="36"/>
  <c r="H113" i="2"/>
  <c r="H24" i="36"/>
  <c r="E113" i="2"/>
  <c r="E24" i="36"/>
  <c r="G113" i="2"/>
  <c r="G24" i="36"/>
  <c r="G14" i="43"/>
  <c r="G19" i="40"/>
  <c r="H14" i="43"/>
  <c r="H19" i="40"/>
  <c r="D14" i="43"/>
  <c r="D19" i="40"/>
  <c r="F14" i="43"/>
  <c r="F19" i="40"/>
  <c r="D19" i="37"/>
  <c r="D108" i="2"/>
  <c r="F19" i="37"/>
  <c r="F108" i="2"/>
  <c r="G19" i="37"/>
  <c r="G108" i="2"/>
  <c r="E19" i="37"/>
  <c r="E108" i="2"/>
  <c r="H19" i="37"/>
  <c r="H108" i="2"/>
  <c r="F22" i="37"/>
  <c r="F135" i="2"/>
  <c r="F11" i="41"/>
  <c r="F134" i="2"/>
  <c r="G22" i="37"/>
  <c r="G135" i="2"/>
  <c r="H11" i="41"/>
  <c r="H134" i="2"/>
  <c r="H22" i="37"/>
  <c r="H135" i="2"/>
  <c r="D11" i="41"/>
  <c r="D134" i="2"/>
  <c r="H10" i="41"/>
  <c r="H133" i="2"/>
  <c r="G10" i="41"/>
  <c r="G133" i="2"/>
  <c r="D10" i="41"/>
  <c r="D133" i="2"/>
  <c r="G11" i="41"/>
  <c r="G134" i="2"/>
  <c r="D22" i="37"/>
  <c r="D135" i="2"/>
  <c r="J84" i="2"/>
  <c r="J15" i="43"/>
  <c r="J97" i="2"/>
  <c r="J10" i="45"/>
  <c r="K84" i="2"/>
  <c r="K15" i="43"/>
  <c r="K97" i="2"/>
  <c r="K10" i="45"/>
  <c r="H7" i="40"/>
  <c r="J89" i="2"/>
  <c r="J16" i="40"/>
  <c r="J111" i="2"/>
  <c r="J17" i="40"/>
  <c r="F7" i="40"/>
  <c r="K111" i="2"/>
  <c r="K17" i="40"/>
  <c r="J91" i="2"/>
  <c r="J13" i="38"/>
  <c r="K89" i="2"/>
  <c r="K16" i="40"/>
  <c r="K96" i="2"/>
  <c r="K8" i="41"/>
  <c r="K91" i="2"/>
  <c r="K13" i="38"/>
  <c r="J96" i="2"/>
  <c r="J8" i="41"/>
  <c r="K119" i="2"/>
  <c r="K21" i="37"/>
  <c r="K100" i="2"/>
  <c r="K16" i="37"/>
  <c r="J100" i="2"/>
  <c r="J16" i="37"/>
  <c r="J119" i="2"/>
  <c r="J21" i="37"/>
  <c r="BC101" i="47"/>
  <c r="BD9" i="47"/>
  <c r="BC102" i="47"/>
  <c r="J118" i="2"/>
  <c r="BD68" i="47"/>
  <c r="BJ100" i="47"/>
  <c r="BJ76" i="47"/>
  <c r="BD62" i="47"/>
  <c r="BD76" i="47"/>
  <c r="BI68" i="47"/>
  <c r="BJ68" i="47" s="1"/>
  <c r="I10" i="45" s="1"/>
  <c r="BI62" i="47"/>
  <c r="BJ62" i="47" s="1"/>
  <c r="I16" i="40" s="1"/>
  <c r="BD97" i="47"/>
  <c r="L21" i="36" s="1"/>
  <c r="K118" i="2"/>
  <c r="BD99" i="47"/>
  <c r="L21" i="37" s="1"/>
  <c r="BJ9" i="47"/>
  <c r="BD100" i="47"/>
  <c r="L17" i="40" s="1"/>
  <c r="BD16" i="47"/>
  <c r="BJ99" i="47"/>
  <c r="BD37" i="47"/>
  <c r="L16" i="37" s="1"/>
  <c r="BJ16" i="47"/>
  <c r="BJ37" i="47"/>
  <c r="I16" i="37" s="1"/>
  <c r="BJ97" i="47"/>
  <c r="I21" i="36" s="1"/>
  <c r="D42" i="2"/>
  <c r="D10" i="40"/>
  <c r="BF121" i="47"/>
  <c r="M24" i="2" s="1"/>
  <c r="L9" i="40"/>
  <c r="E114" i="2"/>
  <c r="E20" i="36"/>
  <c r="E88" i="2"/>
  <c r="E15" i="40"/>
  <c r="E99" i="2"/>
  <c r="E17" i="36"/>
  <c r="E43" i="2"/>
  <c r="E4" i="41"/>
  <c r="E23" i="2"/>
  <c r="E7" i="43"/>
  <c r="E103" i="2"/>
  <c r="E14" i="38"/>
  <c r="E66" i="2"/>
  <c r="E11" i="36"/>
  <c r="E18" i="2"/>
  <c r="E4" i="38"/>
  <c r="E87" i="2"/>
  <c r="E14" i="40"/>
  <c r="E70" i="2"/>
  <c r="E12" i="38"/>
  <c r="E41" i="2"/>
  <c r="E9" i="43"/>
  <c r="E37" i="2"/>
  <c r="E3" i="41"/>
  <c r="E33" i="2"/>
  <c r="E4" i="42"/>
  <c r="E67" i="2"/>
  <c r="E12" i="43"/>
  <c r="E11" i="41"/>
  <c r="E77" i="2"/>
  <c r="E15" i="36"/>
  <c r="E68" i="2"/>
  <c r="E11" i="38"/>
  <c r="E85" i="2"/>
  <c r="E8" i="42"/>
  <c r="E71" i="2"/>
  <c r="E14" i="36"/>
  <c r="E49" i="2"/>
  <c r="E7" i="38"/>
  <c r="E14" i="2"/>
  <c r="E6" i="40"/>
  <c r="E25" i="2"/>
  <c r="E8" i="43"/>
  <c r="E120" i="2"/>
  <c r="E14" i="43"/>
  <c r="E98" i="2"/>
  <c r="E16" i="36"/>
  <c r="E51" i="2"/>
  <c r="E4" i="39"/>
  <c r="E55" i="2"/>
  <c r="E9" i="36"/>
  <c r="E52" i="2"/>
  <c r="E9" i="38"/>
  <c r="E117" i="2"/>
  <c r="E19" i="36"/>
  <c r="E79" i="2"/>
  <c r="E7" i="41"/>
  <c r="E110" i="2"/>
  <c r="E16" i="43"/>
  <c r="E12" i="42"/>
  <c r="E64" i="2"/>
  <c r="E10" i="38"/>
  <c r="E31" i="2"/>
  <c r="E6" i="38"/>
  <c r="E54" i="2"/>
  <c r="E10" i="43"/>
  <c r="E106" i="2"/>
  <c r="E10" i="42"/>
  <c r="E131" i="2"/>
  <c r="E115" i="2"/>
  <c r="E18" i="36"/>
  <c r="E82" i="2"/>
  <c r="E50" i="2"/>
  <c r="E8" i="38"/>
  <c r="E4" i="2"/>
  <c r="E3" i="42"/>
  <c r="E57" i="2"/>
  <c r="E11" i="40"/>
  <c r="E19" i="2"/>
  <c r="E5" i="43"/>
  <c r="E17" i="2"/>
  <c r="E4" i="43"/>
  <c r="E128" i="2"/>
  <c r="E132" i="2"/>
  <c r="E21" i="40"/>
  <c r="E10" i="41"/>
  <c r="E48" i="2"/>
  <c r="E6" i="42"/>
  <c r="E72" i="2"/>
  <c r="E40" i="2"/>
  <c r="E10" i="36"/>
  <c r="E74" i="2"/>
  <c r="E13" i="43"/>
  <c r="E73" i="2"/>
  <c r="E13" i="36"/>
  <c r="E7" i="2"/>
  <c r="E3" i="43"/>
  <c r="E116" i="2"/>
  <c r="E18" i="40"/>
  <c r="E92" i="2"/>
  <c r="E9" i="42"/>
  <c r="E47" i="2"/>
  <c r="E5" i="41"/>
  <c r="E81" i="2"/>
  <c r="E7" i="42"/>
  <c r="E38" i="2"/>
  <c r="E5" i="42"/>
  <c r="E42" i="2"/>
  <c r="E10" i="40"/>
  <c r="E26" i="2"/>
  <c r="E5" i="38"/>
  <c r="E59" i="2"/>
  <c r="E11" i="43"/>
  <c r="E78" i="2"/>
  <c r="E13" i="40"/>
  <c r="E20" i="2"/>
  <c r="E3" i="39"/>
  <c r="F106" i="2"/>
  <c r="F10" i="42"/>
  <c r="D106" i="2"/>
  <c r="D10" i="42"/>
  <c r="H106" i="2"/>
  <c r="H10" i="42"/>
  <c r="G106" i="2"/>
  <c r="G10" i="42"/>
  <c r="D54" i="2"/>
  <c r="D10" i="43"/>
  <c r="D6" i="46"/>
  <c r="H81" i="2"/>
  <c r="H7" i="42"/>
  <c r="D101" i="2"/>
  <c r="D11" i="45"/>
  <c r="H6" i="46"/>
  <c r="H101" i="2"/>
  <c r="H11" i="45"/>
  <c r="G6" i="46"/>
  <c r="F54" i="2"/>
  <c r="F10" i="43"/>
  <c r="G101" i="2"/>
  <c r="G11" i="45"/>
  <c r="F6" i="46"/>
  <c r="E6" i="46"/>
  <c r="F36" i="2"/>
  <c r="F8" i="45"/>
  <c r="G54" i="2"/>
  <c r="G10" i="43"/>
  <c r="F101" i="2"/>
  <c r="F11" i="45"/>
  <c r="E101" i="2"/>
  <c r="E11" i="45"/>
  <c r="H54" i="2"/>
  <c r="H10" i="43"/>
  <c r="D36" i="2"/>
  <c r="H36" i="2"/>
  <c r="G36" i="2"/>
  <c r="E36" i="2"/>
  <c r="E30" i="2"/>
  <c r="E29" i="2"/>
  <c r="E76" i="2"/>
  <c r="E34" i="2"/>
  <c r="E27" i="2"/>
  <c r="E12" i="37"/>
  <c r="E90" i="2"/>
  <c r="E6" i="37"/>
  <c r="E53" i="2"/>
  <c r="E4" i="44"/>
  <c r="E44" i="2"/>
  <c r="E11" i="37"/>
  <c r="E83" i="2"/>
  <c r="E7" i="37"/>
  <c r="E58" i="2"/>
  <c r="E4" i="37"/>
  <c r="E32" i="2"/>
  <c r="E9" i="37"/>
  <c r="E63" i="2"/>
  <c r="E15" i="37"/>
  <c r="E95" i="2"/>
  <c r="E10" i="37"/>
  <c r="E80" i="2"/>
  <c r="E7" i="44"/>
  <c r="E69" i="2"/>
  <c r="F104" i="2"/>
  <c r="F17" i="37"/>
  <c r="E17" i="37"/>
  <c r="E104" i="2"/>
  <c r="F23" i="37"/>
  <c r="E23" i="37"/>
  <c r="E20" i="37"/>
  <c r="E112" i="2"/>
  <c r="E102" i="2"/>
  <c r="E5" i="46"/>
  <c r="E14" i="37"/>
  <c r="E94" i="2"/>
  <c r="E75" i="2"/>
  <c r="E3" i="46"/>
  <c r="E13" i="37"/>
  <c r="E93" i="2"/>
  <c r="E129" i="2"/>
  <c r="E6" i="44"/>
  <c r="E65" i="2"/>
  <c r="E86" i="2"/>
  <c r="E4" i="46"/>
  <c r="E5" i="44"/>
  <c r="E60" i="2"/>
  <c r="E3" i="44"/>
  <c r="E12" i="2"/>
  <c r="E5" i="37"/>
  <c r="E46" i="2"/>
  <c r="E8" i="37"/>
  <c r="E62" i="2"/>
  <c r="E130" i="2"/>
  <c r="E18" i="37"/>
  <c r="E107" i="2"/>
  <c r="E22" i="37"/>
  <c r="D104" i="2"/>
  <c r="D17" i="37"/>
  <c r="D23" i="37"/>
  <c r="H104" i="2"/>
  <c r="H17" i="37"/>
  <c r="H23" i="37"/>
  <c r="G104" i="2"/>
  <c r="G17" i="37"/>
  <c r="G23" i="37"/>
  <c r="H79" i="2"/>
  <c r="K127" i="2"/>
  <c r="D4" i="37"/>
  <c r="G12" i="2"/>
  <c r="D81" i="2"/>
  <c r="G49" i="2"/>
  <c r="D52" i="2"/>
  <c r="K8" i="2"/>
  <c r="G117" i="2"/>
  <c r="D82" i="2"/>
  <c r="H23" i="2"/>
  <c r="G60" i="2"/>
  <c r="D83" i="2"/>
  <c r="F65" i="2"/>
  <c r="H132" i="2"/>
  <c r="D78" i="2"/>
  <c r="H62" i="2"/>
  <c r="G103" i="2"/>
  <c r="D38" i="2"/>
  <c r="G93" i="2"/>
  <c r="G65" i="2"/>
  <c r="G132" i="2"/>
  <c r="H71" i="2"/>
  <c r="H70" i="2"/>
  <c r="H14" i="2"/>
  <c r="G53" i="2"/>
  <c r="G20" i="2"/>
  <c r="H26" i="2"/>
  <c r="G40" i="2"/>
  <c r="G14" i="2"/>
  <c r="F9" i="38"/>
  <c r="F52" i="2"/>
  <c r="F7" i="41"/>
  <c r="F79" i="2"/>
  <c r="F110" i="2"/>
  <c r="F30" i="2"/>
  <c r="F64" i="2"/>
  <c r="F10" i="38"/>
  <c r="F6" i="38"/>
  <c r="F31" i="2"/>
  <c r="F5" i="37"/>
  <c r="F46" i="2"/>
  <c r="K5" i="36"/>
  <c r="K10" i="2"/>
  <c r="H102" i="2"/>
  <c r="G78" i="2"/>
  <c r="D15" i="37"/>
  <c r="D33" i="2"/>
  <c r="H20" i="2"/>
  <c r="G30" i="2"/>
  <c r="F82" i="2"/>
  <c r="F19" i="36"/>
  <c r="G11" i="36"/>
  <c r="G66" i="2"/>
  <c r="D31" i="2"/>
  <c r="D6" i="38"/>
  <c r="K45" i="2"/>
  <c r="K12" i="36"/>
  <c r="H117" i="2"/>
  <c r="H82" i="2"/>
  <c r="H74" i="2"/>
  <c r="H41" i="2"/>
  <c r="H33" i="2"/>
  <c r="H25" i="2"/>
  <c r="G99" i="2"/>
  <c r="G80" i="2"/>
  <c r="G34" i="2"/>
  <c r="G25" i="2"/>
  <c r="D93" i="2"/>
  <c r="D66" i="2"/>
  <c r="F26" i="2"/>
  <c r="D67" i="2"/>
  <c r="F11" i="40"/>
  <c r="F57" i="2"/>
  <c r="G130" i="2"/>
  <c r="H14" i="37"/>
  <c r="H94" i="2"/>
  <c r="F112" i="2"/>
  <c r="F20" i="37"/>
  <c r="F10" i="41"/>
  <c r="F48" i="2"/>
  <c r="F6" i="42"/>
  <c r="F72" i="2"/>
  <c r="F74" i="2"/>
  <c r="F7" i="2"/>
  <c r="H92" i="2"/>
  <c r="H68" i="2"/>
  <c r="H42" i="2"/>
  <c r="G115" i="2"/>
  <c r="G81" i="2"/>
  <c r="G38" i="2"/>
  <c r="G23" i="2"/>
  <c r="D62" i="2"/>
  <c r="F90" i="2"/>
  <c r="H7" i="2"/>
  <c r="D3" i="39"/>
  <c r="D20" i="2"/>
  <c r="D26" i="2"/>
  <c r="D5" i="38"/>
  <c r="D27" i="2"/>
  <c r="H116" i="2"/>
  <c r="H87" i="2"/>
  <c r="H95" i="2"/>
  <c r="H58" i="2"/>
  <c r="H131" i="2"/>
  <c r="H55" i="2"/>
  <c r="G112" i="2"/>
  <c r="G77" i="2"/>
  <c r="D132" i="2"/>
  <c r="D94" i="2"/>
  <c r="D70" i="2"/>
  <c r="F102" i="2"/>
  <c r="F4" i="2"/>
  <c r="D10" i="37"/>
  <c r="D80" i="2"/>
  <c r="F131" i="2"/>
  <c r="F76" i="2"/>
  <c r="G14" i="36"/>
  <c r="G71" i="2"/>
  <c r="G114" i="2"/>
  <c r="G20" i="36"/>
  <c r="G9" i="36"/>
  <c r="G55" i="2"/>
  <c r="F20" i="2"/>
  <c r="F3" i="39"/>
  <c r="F18" i="40"/>
  <c r="F116" i="2"/>
  <c r="F5" i="41"/>
  <c r="F47" i="2"/>
  <c r="F81" i="2"/>
  <c r="F38" i="2"/>
  <c r="F10" i="40"/>
  <c r="F42" i="2"/>
  <c r="F13" i="40"/>
  <c r="F78" i="2"/>
  <c r="F27" i="2"/>
  <c r="K18" i="38"/>
  <c r="K126" i="2"/>
  <c r="H115" i="2"/>
  <c r="H83" i="2"/>
  <c r="H57" i="2"/>
  <c r="H63" i="2"/>
  <c r="H32" i="2"/>
  <c r="H18" i="2"/>
  <c r="G107" i="2"/>
  <c r="G76" i="2"/>
  <c r="G62" i="2"/>
  <c r="G52" i="2"/>
  <c r="D117" i="2"/>
  <c r="D103" i="2"/>
  <c r="D41" i="2"/>
  <c r="D4" i="2"/>
  <c r="F44" i="2"/>
  <c r="G11" i="40"/>
  <c r="G57" i="2"/>
  <c r="H7" i="44"/>
  <c r="H69" i="2"/>
  <c r="G21" i="40"/>
  <c r="H9" i="38"/>
  <c r="H52" i="2"/>
  <c r="H110" i="2"/>
  <c r="H30" i="2"/>
  <c r="D86" i="2"/>
  <c r="D4" i="46"/>
  <c r="D11" i="38"/>
  <c r="D68" i="2"/>
  <c r="D5" i="44"/>
  <c r="D60" i="2"/>
  <c r="D3" i="44"/>
  <c r="D12" i="2"/>
  <c r="D85" i="2"/>
  <c r="D14" i="36"/>
  <c r="D71" i="2"/>
  <c r="D7" i="38"/>
  <c r="D49" i="2"/>
  <c r="D14" i="2"/>
  <c r="D25" i="2"/>
  <c r="H130" i="2"/>
  <c r="H93" i="2"/>
  <c r="H85" i="2"/>
  <c r="H48" i="2"/>
  <c r="H43" i="2"/>
  <c r="H19" i="2"/>
  <c r="H37" i="2"/>
  <c r="G110" i="2"/>
  <c r="G75" i="2"/>
  <c r="G70" i="2"/>
  <c r="G26" i="2"/>
  <c r="G33" i="2"/>
  <c r="D17" i="2"/>
  <c r="F92" i="2"/>
  <c r="F17" i="2"/>
  <c r="D15" i="36"/>
  <c r="G4" i="46"/>
  <c r="G18" i="40"/>
  <c r="G116" i="2"/>
  <c r="F18" i="37"/>
  <c r="F107" i="2"/>
  <c r="F18" i="36"/>
  <c r="F115" i="2"/>
  <c r="K8" i="40"/>
  <c r="K11" i="2"/>
  <c r="G17" i="2"/>
  <c r="H5" i="41"/>
  <c r="H47" i="2"/>
  <c r="F114" i="2"/>
  <c r="F20" i="36"/>
  <c r="F6" i="37"/>
  <c r="F53" i="2"/>
  <c r="F17" i="36"/>
  <c r="F99" i="2"/>
  <c r="F11" i="37"/>
  <c r="F83" i="2"/>
  <c r="F4" i="41"/>
  <c r="F43" i="2"/>
  <c r="F7" i="37"/>
  <c r="F58" i="2"/>
  <c r="F7" i="43"/>
  <c r="F23" i="2"/>
  <c r="F4" i="37"/>
  <c r="F32" i="2"/>
  <c r="F9" i="37"/>
  <c r="F63" i="2"/>
  <c r="K6" i="41"/>
  <c r="K56" i="2"/>
  <c r="H112" i="2"/>
  <c r="H72" i="2"/>
  <c r="H64" i="2"/>
  <c r="G90" i="2"/>
  <c r="D116" i="2"/>
  <c r="D90" i="2"/>
  <c r="D69" i="2"/>
  <c r="D37" i="2"/>
  <c r="F73" i="2"/>
  <c r="K3" i="36"/>
  <c r="F6" i="40"/>
  <c r="G129" i="2"/>
  <c r="K28" i="2"/>
  <c r="K3" i="37"/>
  <c r="K9" i="2"/>
  <c r="H114" i="2"/>
  <c r="H98" i="2"/>
  <c r="H78" i="2"/>
  <c r="H27" i="2"/>
  <c r="H29" i="2"/>
  <c r="G88" i="2"/>
  <c r="G102" i="2"/>
  <c r="G67" i="2"/>
  <c r="G42" i="2"/>
  <c r="G18" i="2"/>
  <c r="D130" i="2"/>
  <c r="D102" i="2"/>
  <c r="D30" i="2"/>
  <c r="F49" i="2"/>
  <c r="K3" i="2"/>
  <c r="D110" i="2"/>
  <c r="G8" i="38"/>
  <c r="G50" i="2"/>
  <c r="G120" i="2"/>
  <c r="G41" i="2"/>
  <c r="D128" i="2"/>
  <c r="G92" i="2"/>
  <c r="G59" i="2"/>
  <c r="F15" i="37"/>
  <c r="F95" i="2"/>
  <c r="F14" i="38"/>
  <c r="F103" i="2"/>
  <c r="F4" i="38"/>
  <c r="F18" i="2"/>
  <c r="F14" i="40"/>
  <c r="F87" i="2"/>
  <c r="F12" i="38"/>
  <c r="F70" i="2"/>
  <c r="F80" i="2"/>
  <c r="F10" i="37"/>
  <c r="F33" i="2"/>
  <c r="F67" i="2"/>
  <c r="K5" i="40"/>
  <c r="K6" i="2"/>
  <c r="H120" i="2"/>
  <c r="H103" i="2"/>
  <c r="H60" i="2"/>
  <c r="H53" i="2"/>
  <c r="H4" i="2"/>
  <c r="G69" i="2"/>
  <c r="G131" i="2"/>
  <c r="G64" i="2"/>
  <c r="D112" i="2"/>
  <c r="D50" i="2"/>
  <c r="D34" i="2"/>
  <c r="F66" i="2"/>
  <c r="H38" i="2"/>
  <c r="D131" i="2"/>
  <c r="D20" i="36"/>
  <c r="D114" i="2"/>
  <c r="D88" i="2"/>
  <c r="D6" i="37"/>
  <c r="D53" i="2"/>
  <c r="D99" i="2"/>
  <c r="D17" i="36"/>
  <c r="D44" i="2"/>
  <c r="D43" i="2"/>
  <c r="D4" i="41"/>
  <c r="D7" i="37"/>
  <c r="D58" i="2"/>
  <c r="D7" i="43"/>
  <c r="D23" i="2"/>
  <c r="D9" i="37"/>
  <c r="D63" i="2"/>
  <c r="K7" i="36"/>
  <c r="K39" i="2"/>
  <c r="K3" i="38"/>
  <c r="K15" i="2"/>
  <c r="H50" i="2"/>
  <c r="H44" i="2"/>
  <c r="H128" i="2"/>
  <c r="G74" i="2"/>
  <c r="G58" i="2"/>
  <c r="G32" i="2"/>
  <c r="D120" i="2"/>
  <c r="D79" i="2"/>
  <c r="D40" i="2"/>
  <c r="F132" i="2"/>
  <c r="F62" i="2"/>
  <c r="G4" i="39"/>
  <c r="F3" i="41"/>
  <c r="D18" i="36"/>
  <c r="D115" i="2"/>
  <c r="D57" i="2"/>
  <c r="G11" i="38"/>
  <c r="G68" i="2"/>
  <c r="G128" i="2"/>
  <c r="F77" i="2"/>
  <c r="F15" i="36"/>
  <c r="F11" i="38"/>
  <c r="F68" i="2"/>
  <c r="F5" i="44"/>
  <c r="F60" i="2"/>
  <c r="F3" i="44"/>
  <c r="F12" i="2"/>
  <c r="F85" i="2"/>
  <c r="F14" i="36"/>
  <c r="F71" i="2"/>
  <c r="F25" i="2"/>
  <c r="K8" i="36"/>
  <c r="K35" i="2"/>
  <c r="H107" i="2"/>
  <c r="H77" i="2"/>
  <c r="H80" i="2"/>
  <c r="H40" i="2"/>
  <c r="H17" i="2"/>
  <c r="G95" i="2"/>
  <c r="G63" i="2"/>
  <c r="G43" i="2"/>
  <c r="D107" i="2"/>
  <c r="D92" i="2"/>
  <c r="D59" i="2"/>
  <c r="D18" i="2"/>
  <c r="F41" i="2"/>
  <c r="F29" i="2"/>
  <c r="G3" i="41"/>
  <c r="G37" i="2"/>
  <c r="H7" i="38"/>
  <c r="H49" i="2"/>
  <c r="D87" i="2"/>
  <c r="G11" i="37"/>
  <c r="G83" i="2"/>
  <c r="G7" i="41"/>
  <c r="G79" i="2"/>
  <c r="G85" i="2"/>
  <c r="G19" i="2"/>
  <c r="H129" i="2"/>
  <c r="H4" i="39"/>
  <c r="H51" i="2"/>
  <c r="H13" i="36"/>
  <c r="H73" i="2"/>
  <c r="D3" i="46"/>
  <c r="D75" i="2"/>
  <c r="D16" i="36"/>
  <c r="D98" i="2"/>
  <c r="D4" i="39"/>
  <c r="D51" i="2"/>
  <c r="D55" i="2"/>
  <c r="D9" i="36"/>
  <c r="D29" i="2"/>
  <c r="K4" i="40"/>
  <c r="K5" i="2"/>
  <c r="H76" i="2"/>
  <c r="H59" i="2"/>
  <c r="G73" i="2"/>
  <c r="G48" i="2"/>
  <c r="D46" i="2"/>
  <c r="D19" i="2"/>
  <c r="F130" i="2"/>
  <c r="F69" i="2"/>
  <c r="F10" i="36"/>
  <c r="F19" i="2"/>
  <c r="G98" i="2"/>
  <c r="G16" i="36"/>
  <c r="H67" i="2"/>
  <c r="G6" i="38"/>
  <c r="G31" i="2"/>
  <c r="H3" i="44"/>
  <c r="H12" i="2"/>
  <c r="H17" i="36"/>
  <c r="H99" i="2"/>
  <c r="F120" i="2"/>
  <c r="F14" i="37"/>
  <c r="F94" i="2"/>
  <c r="F3" i="46"/>
  <c r="F75" i="2"/>
  <c r="F16" i="36"/>
  <c r="F98" i="2"/>
  <c r="F13" i="37"/>
  <c r="F93" i="2"/>
  <c r="F129" i="2"/>
  <c r="F4" i="39"/>
  <c r="F51" i="2"/>
  <c r="F34" i="2"/>
  <c r="F9" i="36"/>
  <c r="F55" i="2"/>
  <c r="H88" i="2"/>
  <c r="H75" i="2"/>
  <c r="H65" i="2"/>
  <c r="H31" i="2"/>
  <c r="G82" i="2"/>
  <c r="G7" i="2"/>
  <c r="G44" i="2"/>
  <c r="D129" i="2"/>
  <c r="D47" i="2"/>
  <c r="D64" i="2"/>
  <c r="F88" i="2"/>
  <c r="F128" i="2"/>
  <c r="K22" i="2"/>
  <c r="G46" i="2"/>
  <c r="G5" i="37"/>
  <c r="G5" i="41"/>
  <c r="G47" i="2"/>
  <c r="F8" i="38"/>
  <c r="F50" i="2"/>
  <c r="D76" i="2"/>
  <c r="G4" i="2"/>
  <c r="G14" i="37"/>
  <c r="G94" i="2"/>
  <c r="G29" i="2"/>
  <c r="D6" i="44"/>
  <c r="D65" i="2"/>
  <c r="D6" i="42"/>
  <c r="D48" i="2"/>
  <c r="D72" i="2"/>
  <c r="D74" i="2"/>
  <c r="H86" i="2"/>
  <c r="H90" i="2"/>
  <c r="H66" i="2"/>
  <c r="H46" i="2"/>
  <c r="H34" i="2"/>
  <c r="G87" i="2"/>
  <c r="G72" i="2"/>
  <c r="G27" i="2"/>
  <c r="D7" i="2"/>
  <c r="F86" i="2"/>
  <c r="F59" i="2"/>
  <c r="K21" i="2"/>
  <c r="D13" i="36"/>
  <c r="BO23" i="47"/>
  <c r="BO43" i="47"/>
  <c r="J136" i="2" s="1"/>
  <c r="BO33" i="47"/>
  <c r="BO5" i="47"/>
  <c r="BC7" i="47"/>
  <c r="BO31" i="47"/>
  <c r="J8" i="45" s="1"/>
  <c r="BC23" i="47"/>
  <c r="BC32" i="47"/>
  <c r="BC43" i="47"/>
  <c r="K136" i="2" s="1"/>
  <c r="BC33" i="47"/>
  <c r="BC5" i="47"/>
  <c r="BO7" i="47"/>
  <c r="BC31" i="47"/>
  <c r="K8" i="45" s="1"/>
  <c r="BO32" i="47"/>
  <c r="BC24" i="47"/>
  <c r="BC105" i="47"/>
  <c r="BC52" i="47"/>
  <c r="BC106" i="47"/>
  <c r="BC81" i="47"/>
  <c r="BC64" i="47"/>
  <c r="K9" i="43" s="1"/>
  <c r="BC92" i="47"/>
  <c r="K3" i="42" s="1"/>
  <c r="BC34" i="47"/>
  <c r="BC91" i="47"/>
  <c r="K7" i="45" s="1"/>
  <c r="BC12" i="47"/>
  <c r="K12" i="43" s="1"/>
  <c r="BC50" i="47"/>
  <c r="BC21" i="47"/>
  <c r="BC86" i="47"/>
  <c r="BC56" i="47"/>
  <c r="BC78" i="47"/>
  <c r="BC26" i="47"/>
  <c r="BC36" i="47"/>
  <c r="K3" i="45" s="1"/>
  <c r="BC85" i="47"/>
  <c r="BC95" i="47"/>
  <c r="BC96" i="47"/>
  <c r="K5" i="45" s="1"/>
  <c r="BC40" i="47"/>
  <c r="BC39" i="47"/>
  <c r="K13" i="43" s="1"/>
  <c r="BC41" i="47"/>
  <c r="K8" i="43" s="1"/>
  <c r="BC61" i="47"/>
  <c r="BC74" i="47"/>
  <c r="K134" i="2" s="1"/>
  <c r="BC104" i="47"/>
  <c r="BC47" i="47"/>
  <c r="BC30" i="47"/>
  <c r="BC70" i="47"/>
  <c r="BC29" i="47"/>
  <c r="K12" i="42" s="1"/>
  <c r="BC22" i="47"/>
  <c r="BC77" i="47"/>
  <c r="BC80" i="47"/>
  <c r="BC17" i="47"/>
  <c r="K3" i="43" s="1"/>
  <c r="BC51" i="47"/>
  <c r="BC66" i="47"/>
  <c r="BC10" i="47"/>
  <c r="BC38" i="47"/>
  <c r="BC60" i="47"/>
  <c r="K135" i="2" s="1"/>
  <c r="BC15" i="47"/>
  <c r="BC75" i="47"/>
  <c r="K7" i="42" s="1"/>
  <c r="BC87" i="47"/>
  <c r="BC6" i="47"/>
  <c r="BC19" i="47"/>
  <c r="BC65" i="47"/>
  <c r="BC59" i="47"/>
  <c r="K11" i="43" s="1"/>
  <c r="BC44" i="47"/>
  <c r="BC4" i="47"/>
  <c r="BC71" i="47"/>
  <c r="K4" i="45" s="1"/>
  <c r="BC103" i="47"/>
  <c r="BC98" i="47"/>
  <c r="BC88" i="47"/>
  <c r="BC69" i="47"/>
  <c r="K9" i="45" s="1"/>
  <c r="BC58" i="47"/>
  <c r="BC82" i="47"/>
  <c r="K9" i="42" s="1"/>
  <c r="BC83" i="47"/>
  <c r="K13" i="45" s="1"/>
  <c r="BC14" i="47"/>
  <c r="BC8" i="47"/>
  <c r="BC27" i="47"/>
  <c r="BC28" i="47"/>
  <c r="K5" i="42" s="1"/>
  <c r="BC18" i="47"/>
  <c r="BC54" i="47"/>
  <c r="BC46" i="47"/>
  <c r="BC67" i="47"/>
  <c r="K5" i="43" s="1"/>
  <c r="BC3" i="47"/>
  <c r="BC55" i="47"/>
  <c r="K4" i="43" s="1"/>
  <c r="BC13" i="47"/>
  <c r="K4" i="42" s="1"/>
  <c r="BC42" i="47"/>
  <c r="BC2" i="47"/>
  <c r="BC107" i="47"/>
  <c r="K25" i="36" s="1"/>
  <c r="BC25" i="47"/>
  <c r="K21" i="40" s="1"/>
  <c r="BC84" i="47"/>
  <c r="BC49" i="47"/>
  <c r="K16" i="43" s="1"/>
  <c r="BC90" i="47"/>
  <c r="BC48" i="47"/>
  <c r="BC57" i="47"/>
  <c r="BC35" i="47"/>
  <c r="K133" i="2" s="1"/>
  <c r="BC73" i="47"/>
  <c r="BC94" i="47"/>
  <c r="BC45" i="47"/>
  <c r="K8" i="42" s="1"/>
  <c r="BC11" i="47"/>
  <c r="K12" i="40" s="1"/>
  <c r="BC53" i="47"/>
  <c r="BC63" i="47"/>
  <c r="BC79" i="47"/>
  <c r="BC72" i="47"/>
  <c r="BC93" i="47"/>
  <c r="BC20" i="47"/>
  <c r="BC89" i="47"/>
  <c r="BO22" i="47"/>
  <c r="BO89" i="47"/>
  <c r="BO8" i="47"/>
  <c r="BO81" i="47"/>
  <c r="BO39" i="47"/>
  <c r="J13" i="43" s="1"/>
  <c r="BO2" i="47"/>
  <c r="BO30" i="47"/>
  <c r="BO64" i="47"/>
  <c r="J9" i="43" s="1"/>
  <c r="BO54" i="47"/>
  <c r="BO55" i="47"/>
  <c r="J4" i="43" s="1"/>
  <c r="BO13" i="47"/>
  <c r="J4" i="42" s="1"/>
  <c r="BO75" i="47"/>
  <c r="J7" i="42" s="1"/>
  <c r="BO87" i="47"/>
  <c r="BO27" i="47"/>
  <c r="BO41" i="47"/>
  <c r="J8" i="43" s="1"/>
  <c r="BO51" i="47"/>
  <c r="BO84" i="47"/>
  <c r="BO74" i="47"/>
  <c r="J134" i="2" s="1"/>
  <c r="BO38" i="47"/>
  <c r="BO58" i="47"/>
  <c r="BO82" i="47"/>
  <c r="J9" i="42" s="1"/>
  <c r="BO60" i="47"/>
  <c r="J135" i="2" s="1"/>
  <c r="BO83" i="47"/>
  <c r="J13" i="45" s="1"/>
  <c r="BO15" i="47"/>
  <c r="BO14" i="47"/>
  <c r="BO18" i="47"/>
  <c r="BO92" i="47"/>
  <c r="J3" i="42" s="1"/>
  <c r="BO34" i="47"/>
  <c r="BO46" i="47"/>
  <c r="BO44" i="47"/>
  <c r="BO67" i="47"/>
  <c r="J5" i="43" s="1"/>
  <c r="BO6" i="47"/>
  <c r="BO3" i="47"/>
  <c r="BO36" i="47"/>
  <c r="J3" i="45" s="1"/>
  <c r="J7" i="40"/>
  <c r="BO71" i="47"/>
  <c r="J4" i="45" s="1"/>
  <c r="BO95" i="47"/>
  <c r="BO48" i="47"/>
  <c r="BO29" i="47"/>
  <c r="J12" i="42" s="1"/>
  <c r="BO57" i="47"/>
  <c r="BO21" i="47"/>
  <c r="BO73" i="47"/>
  <c r="BO102" i="47"/>
  <c r="BO98" i="47"/>
  <c r="BO10" i="47"/>
  <c r="BO52" i="47"/>
  <c r="BO35" i="47"/>
  <c r="J133" i="2" s="1"/>
  <c r="BO96" i="47"/>
  <c r="J5" i="45" s="1"/>
  <c r="BO17" i="47"/>
  <c r="J3" i="43" s="1"/>
  <c r="BO19" i="47"/>
  <c r="BO103" i="47"/>
  <c r="BO90" i="47"/>
  <c r="BO40" i="47"/>
  <c r="BO94" i="47"/>
  <c r="BO65" i="47"/>
  <c r="BO45" i="47"/>
  <c r="J8" i="42" s="1"/>
  <c r="BO77" i="47"/>
  <c r="BO59" i="47"/>
  <c r="J11" i="43" s="1"/>
  <c r="BO11" i="47"/>
  <c r="J12" i="40" s="1"/>
  <c r="BO91" i="47"/>
  <c r="J7" i="45" s="1"/>
  <c r="BO24" i="47"/>
  <c r="BO66" i="47"/>
  <c r="BO88" i="47"/>
  <c r="BO61" i="47"/>
  <c r="BO53" i="47"/>
  <c r="BO12" i="47"/>
  <c r="J12" i="43" s="1"/>
  <c r="BO85" i="47"/>
  <c r="BO69" i="47"/>
  <c r="J9" i="45" s="1"/>
  <c r="BO63" i="47"/>
  <c r="BO86" i="47"/>
  <c r="BO4" i="47"/>
  <c r="BO26" i="47"/>
  <c r="BO107" i="47"/>
  <c r="J25" i="36" s="1"/>
  <c r="BO70" i="47"/>
  <c r="BO79" i="47"/>
  <c r="BO56" i="47"/>
  <c r="BO104" i="47"/>
  <c r="BO105" i="47"/>
  <c r="BO50" i="47"/>
  <c r="BO72" i="47"/>
  <c r="BO47" i="47"/>
  <c r="BO101" i="47"/>
  <c r="BO25" i="47"/>
  <c r="BO49" i="47"/>
  <c r="J16" i="43" s="1"/>
  <c r="BO28" i="47"/>
  <c r="J5" i="42" s="1"/>
  <c r="BO93" i="47"/>
  <c r="BO80" i="47"/>
  <c r="BO20" i="47"/>
  <c r="BO78" i="47"/>
  <c r="BO106" i="47"/>
  <c r="K7" i="40" l="1"/>
  <c r="K16" i="2"/>
  <c r="K113" i="2"/>
  <c r="K24" i="36"/>
  <c r="J113" i="2"/>
  <c r="J24" i="36"/>
  <c r="J14" i="43"/>
  <c r="J19" i="40"/>
  <c r="K14" i="43"/>
  <c r="K19" i="40"/>
  <c r="J108" i="2"/>
  <c r="K108" i="2"/>
  <c r="BF9" i="47"/>
  <c r="BP9" i="47" s="1"/>
  <c r="L15" i="43"/>
  <c r="I84" i="2"/>
  <c r="I15" i="43"/>
  <c r="BF68" i="47"/>
  <c r="BP68" i="47" s="1"/>
  <c r="L10" i="45"/>
  <c r="BF16" i="47"/>
  <c r="M13" i="38" s="1"/>
  <c r="L13" i="38"/>
  <c r="BF76" i="47"/>
  <c r="M8" i="41" s="1"/>
  <c r="P11" i="41" s="1"/>
  <c r="L8" i="41"/>
  <c r="BF62" i="47"/>
  <c r="M16" i="40" s="1"/>
  <c r="L16" i="40"/>
  <c r="I96" i="2"/>
  <c r="I8" i="41"/>
  <c r="I111" i="2"/>
  <c r="I17" i="40"/>
  <c r="I91" i="2"/>
  <c r="I13" i="38"/>
  <c r="I119" i="2"/>
  <c r="I21" i="37"/>
  <c r="L97" i="2"/>
  <c r="L84" i="2"/>
  <c r="L89" i="2"/>
  <c r="I97" i="2"/>
  <c r="L96" i="2"/>
  <c r="L91" i="2"/>
  <c r="BF99" i="47"/>
  <c r="M21" i="37" s="1"/>
  <c r="L119" i="2"/>
  <c r="I118" i="2"/>
  <c r="BF37" i="47"/>
  <c r="M16" i="37" s="1"/>
  <c r="L100" i="2"/>
  <c r="I89" i="2"/>
  <c r="I100" i="2"/>
  <c r="BF100" i="47"/>
  <c r="M17" i="40" s="1"/>
  <c r="L111" i="2"/>
  <c r="BF97" i="47"/>
  <c r="M21" i="36" s="1"/>
  <c r="P21" i="36" s="1"/>
  <c r="L118" i="2"/>
  <c r="M9" i="40"/>
  <c r="BQ121" i="47"/>
  <c r="BP121" i="47"/>
  <c r="K106" i="2"/>
  <c r="K10" i="42"/>
  <c r="J106" i="2"/>
  <c r="J10" i="42"/>
  <c r="J54" i="2"/>
  <c r="J10" i="43"/>
  <c r="K54" i="2"/>
  <c r="K10" i="43"/>
  <c r="J101" i="2"/>
  <c r="J11" i="45"/>
  <c r="J1" i="45" s="1"/>
  <c r="K101" i="2"/>
  <c r="K11" i="45"/>
  <c r="K6" i="46"/>
  <c r="J6" i="46"/>
  <c r="K36" i="2"/>
  <c r="J36" i="2"/>
  <c r="K23" i="37"/>
  <c r="J23" i="37"/>
  <c r="K104" i="2"/>
  <c r="K17" i="37"/>
  <c r="J104" i="2"/>
  <c r="J17" i="37"/>
  <c r="K114" i="2"/>
  <c r="K20" i="36"/>
  <c r="J90" i="2"/>
  <c r="J12" i="37"/>
  <c r="K120" i="2"/>
  <c r="J74" i="2"/>
  <c r="J7" i="43"/>
  <c r="J23" i="2"/>
  <c r="J34" i="2"/>
  <c r="J30" i="2"/>
  <c r="J13" i="40"/>
  <c r="J78" i="2"/>
  <c r="J3" i="46"/>
  <c r="J75" i="2"/>
  <c r="K10" i="41"/>
  <c r="K13" i="40"/>
  <c r="K78" i="2"/>
  <c r="K3" i="46"/>
  <c r="K75" i="2"/>
  <c r="K14" i="36"/>
  <c r="K71" i="2"/>
  <c r="K67" i="2"/>
  <c r="J8" i="37"/>
  <c r="J62" i="2"/>
  <c r="J7" i="38"/>
  <c r="J49" i="2"/>
  <c r="J10" i="41"/>
  <c r="J42" i="2"/>
  <c r="J10" i="40"/>
  <c r="J12" i="38"/>
  <c r="J70" i="2"/>
  <c r="K4" i="44"/>
  <c r="K44" i="2"/>
  <c r="K19" i="2"/>
  <c r="K20" i="2"/>
  <c r="K3" i="39"/>
  <c r="K25" i="2"/>
  <c r="K34" i="2"/>
  <c r="J86" i="2"/>
  <c r="J4" i="46"/>
  <c r="J20" i="36"/>
  <c r="J114" i="2"/>
  <c r="J13" i="36"/>
  <c r="J73" i="2"/>
  <c r="J7" i="41"/>
  <c r="J79" i="2"/>
  <c r="J72" i="2"/>
  <c r="J14" i="37"/>
  <c r="J94" i="2"/>
  <c r="J130" i="2"/>
  <c r="J11" i="41"/>
  <c r="J16" i="36"/>
  <c r="J98" i="2"/>
  <c r="K6" i="44"/>
  <c r="K65" i="2"/>
  <c r="K10" i="37"/>
  <c r="K80" i="2"/>
  <c r="K29" i="2"/>
  <c r="K107" i="2"/>
  <c r="K18" i="37"/>
  <c r="K74" i="2"/>
  <c r="K11" i="40"/>
  <c r="K57" i="2"/>
  <c r="J128" i="2"/>
  <c r="K14" i="38"/>
  <c r="K103" i="2"/>
  <c r="K11" i="41"/>
  <c r="J66" i="2"/>
  <c r="J11" i="36"/>
  <c r="K30" i="2"/>
  <c r="J7" i="2"/>
  <c r="K55" i="2"/>
  <c r="K9" i="36"/>
  <c r="J6" i="40"/>
  <c r="J14" i="2"/>
  <c r="J9" i="36"/>
  <c r="J55" i="2"/>
  <c r="J85" i="2"/>
  <c r="J80" i="2"/>
  <c r="J10" i="37"/>
  <c r="J25" i="2"/>
  <c r="K63" i="2"/>
  <c r="K9" i="37"/>
  <c r="K11" i="38"/>
  <c r="K68" i="2"/>
  <c r="K38" i="2"/>
  <c r="K59" i="2"/>
  <c r="K4" i="37"/>
  <c r="K32" i="2"/>
  <c r="K99" i="2"/>
  <c r="K17" i="36"/>
  <c r="K70" i="2"/>
  <c r="K12" i="38"/>
  <c r="K14" i="40"/>
  <c r="K87" i="2"/>
  <c r="J32" i="2"/>
  <c r="J4" i="37"/>
  <c r="J4" i="41"/>
  <c r="J43" i="2"/>
  <c r="J120" i="2"/>
  <c r="J7" i="44"/>
  <c r="J69" i="2"/>
  <c r="J15" i="37"/>
  <c r="J95" i="2"/>
  <c r="J5" i="46"/>
  <c r="J102" i="2"/>
  <c r="K110" i="2"/>
  <c r="K8" i="38"/>
  <c r="K50" i="2"/>
  <c r="K7" i="44"/>
  <c r="K69" i="2"/>
  <c r="K7" i="2"/>
  <c r="K41" i="2"/>
  <c r="J38" i="2"/>
  <c r="J6" i="38"/>
  <c r="J31" i="2"/>
  <c r="J20" i="37"/>
  <c r="J112" i="2"/>
  <c r="J11" i="40"/>
  <c r="J57" i="2"/>
  <c r="J93" i="2"/>
  <c r="J13" i="37"/>
  <c r="K73" i="2"/>
  <c r="K13" i="36"/>
  <c r="K13" i="37"/>
  <c r="K93" i="2"/>
  <c r="K4" i="39"/>
  <c r="K51" i="2"/>
  <c r="K112" i="2"/>
  <c r="K20" i="37"/>
  <c r="J82" i="2"/>
  <c r="J132" i="2"/>
  <c r="J18" i="37"/>
  <c r="J107" i="2"/>
  <c r="J92" i="2"/>
  <c r="K64" i="2"/>
  <c r="K10" i="38"/>
  <c r="K33" i="2"/>
  <c r="K6" i="37"/>
  <c r="K53" i="2"/>
  <c r="J129" i="2"/>
  <c r="J59" i="2"/>
  <c r="J3" i="39"/>
  <c r="J20" i="2"/>
  <c r="J19" i="2"/>
  <c r="J11" i="38"/>
  <c r="J68" i="2"/>
  <c r="J63" i="2"/>
  <c r="J9" i="37"/>
  <c r="K5" i="44"/>
  <c r="K60" i="2"/>
  <c r="K3" i="41"/>
  <c r="K37" i="2"/>
  <c r="K6" i="42"/>
  <c r="K48" i="2"/>
  <c r="J21" i="40"/>
  <c r="J10" i="38"/>
  <c r="J64" i="2"/>
  <c r="J8" i="38"/>
  <c r="J50" i="2"/>
  <c r="J81" i="2"/>
  <c r="K46" i="2"/>
  <c r="K5" i="37"/>
  <c r="K5" i="46"/>
  <c r="K102" i="2"/>
  <c r="K27" i="2"/>
  <c r="J9" i="38"/>
  <c r="J52" i="2"/>
  <c r="J6" i="42"/>
  <c r="J48" i="2"/>
  <c r="J4" i="44"/>
  <c r="J44" i="2"/>
  <c r="J33" i="2"/>
  <c r="K7" i="38"/>
  <c r="K49" i="2"/>
  <c r="K4" i="46"/>
  <c r="K86" i="2"/>
  <c r="K10" i="40"/>
  <c r="K42" i="2"/>
  <c r="K11" i="36"/>
  <c r="K66" i="2"/>
  <c r="J15" i="40"/>
  <c r="J88" i="2"/>
  <c r="J67" i="2"/>
  <c r="J131" i="2"/>
  <c r="J5" i="41"/>
  <c r="J47" i="2"/>
  <c r="J17" i="2"/>
  <c r="K10" i="36"/>
  <c r="K40" i="2"/>
  <c r="K130" i="2"/>
  <c r="K92" i="2"/>
  <c r="K129" i="2"/>
  <c r="K7" i="41"/>
  <c r="K79" i="2"/>
  <c r="K8" i="37"/>
  <c r="K62" i="2"/>
  <c r="K117" i="2"/>
  <c r="K19" i="36"/>
  <c r="J18" i="40"/>
  <c r="J116" i="2"/>
  <c r="J27" i="2"/>
  <c r="J4" i="38"/>
  <c r="J18" i="2"/>
  <c r="K3" i="44"/>
  <c r="K12" i="2"/>
  <c r="K17" i="2"/>
  <c r="K22" i="37"/>
  <c r="K15" i="37"/>
  <c r="K95" i="2"/>
  <c r="J10" i="36"/>
  <c r="J40" i="2"/>
  <c r="K18" i="40"/>
  <c r="K116" i="2"/>
  <c r="J76" i="2"/>
  <c r="K14" i="37"/>
  <c r="K94" i="2"/>
  <c r="J115" i="2"/>
  <c r="J18" i="36"/>
  <c r="K131" i="2"/>
  <c r="J5" i="37"/>
  <c r="J46" i="2"/>
  <c r="J7" i="37"/>
  <c r="J58" i="2"/>
  <c r="J5" i="44"/>
  <c r="J60" i="2"/>
  <c r="J6" i="44"/>
  <c r="J65" i="2"/>
  <c r="J14" i="40"/>
  <c r="J87" i="2"/>
  <c r="J3" i="41"/>
  <c r="J37" i="2"/>
  <c r="K7" i="37"/>
  <c r="K58" i="2"/>
  <c r="K4" i="38"/>
  <c r="K18" i="2"/>
  <c r="K15" i="36"/>
  <c r="K77" i="2"/>
  <c r="K7" i="43"/>
  <c r="K23" i="2"/>
  <c r="K12" i="37"/>
  <c r="K90" i="2"/>
  <c r="J83" i="2"/>
  <c r="J11" i="37"/>
  <c r="K5" i="41"/>
  <c r="K47" i="2"/>
  <c r="J6" i="37"/>
  <c r="J53" i="2"/>
  <c r="J71" i="2"/>
  <c r="J14" i="36"/>
  <c r="J99" i="2"/>
  <c r="J17" i="36"/>
  <c r="J41" i="2"/>
  <c r="K72" i="2"/>
  <c r="K115" i="2"/>
  <c r="K18" i="36"/>
  <c r="K82" i="2"/>
  <c r="K15" i="40"/>
  <c r="K88" i="2"/>
  <c r="K4" i="2"/>
  <c r="J110" i="2"/>
  <c r="J4" i="39"/>
  <c r="J51" i="2"/>
  <c r="J3" i="44"/>
  <c r="J12" i="2"/>
  <c r="J4" i="2"/>
  <c r="K14" i="2"/>
  <c r="K6" i="40"/>
  <c r="K98" i="2"/>
  <c r="K16" i="36"/>
  <c r="K5" i="38"/>
  <c r="K26" i="2"/>
  <c r="K4" i="41"/>
  <c r="K43" i="2"/>
  <c r="K9" i="38"/>
  <c r="K52" i="2"/>
  <c r="K6" i="38"/>
  <c r="K31" i="2"/>
  <c r="J19" i="36"/>
  <c r="J117" i="2"/>
  <c r="J14" i="38"/>
  <c r="J103" i="2"/>
  <c r="J5" i="38"/>
  <c r="J26" i="2"/>
  <c r="J29" i="2"/>
  <c r="J22" i="37"/>
  <c r="J77" i="2"/>
  <c r="J15" i="36"/>
  <c r="K85" i="2"/>
  <c r="K128" i="2"/>
  <c r="K76" i="2"/>
  <c r="K81" i="2"/>
  <c r="K132" i="2"/>
  <c r="K83" i="2"/>
  <c r="K11" i="37"/>
  <c r="Q73" i="47"/>
  <c r="AG73" i="47" s="1"/>
  <c r="Q17" i="47"/>
  <c r="AG17" i="47" s="1"/>
  <c r="Q56" i="47"/>
  <c r="AG56" i="47" s="1"/>
  <c r="Q41" i="47"/>
  <c r="AG41" i="47" s="1"/>
  <c r="Q65" i="47"/>
  <c r="AG65" i="47" s="1"/>
  <c r="Q88" i="47"/>
  <c r="AG88" i="47" s="1"/>
  <c r="Q55" i="47"/>
  <c r="AG55" i="47" s="1"/>
  <c r="Q23" i="47"/>
  <c r="AG23" i="47" s="1"/>
  <c r="Q71" i="47"/>
  <c r="AG71" i="47" s="1"/>
  <c r="Q83" i="47"/>
  <c r="AG83" i="47" s="1"/>
  <c r="Q96" i="47"/>
  <c r="AG96" i="47" s="1"/>
  <c r="Q31" i="47"/>
  <c r="AG31" i="47" s="1"/>
  <c r="Q38" i="47"/>
  <c r="AG38" i="47" s="1"/>
  <c r="Q13" i="47"/>
  <c r="AG13" i="47" s="1"/>
  <c r="Q28" i="47"/>
  <c r="AG28" i="47" s="1"/>
  <c r="Q29" i="47"/>
  <c r="AG29" i="47" s="1"/>
  <c r="Q40" i="47"/>
  <c r="AG40" i="47" s="1"/>
  <c r="Q19" i="47"/>
  <c r="AG19" i="47" s="1"/>
  <c r="Q18" i="47"/>
  <c r="AG18" i="47" s="1"/>
  <c r="Q36" i="47"/>
  <c r="AG36" i="47" s="1"/>
  <c r="Q58" i="47"/>
  <c r="AG58" i="47" s="1"/>
  <c r="Q79" i="47"/>
  <c r="AG79" i="47" s="1"/>
  <c r="Q81" i="47"/>
  <c r="AG81" i="47" s="1"/>
  <c r="Q84" i="47"/>
  <c r="AG84" i="47" s="1"/>
  <c r="Q86" i="47"/>
  <c r="AG86" i="47" s="1"/>
  <c r="Q94" i="47"/>
  <c r="AG94" i="47" s="1"/>
  <c r="Q93" i="47"/>
  <c r="AG93" i="47" s="1"/>
  <c r="AG42" i="47"/>
  <c r="Q85" i="47"/>
  <c r="AG85" i="47" s="1"/>
  <c r="Q14" i="47"/>
  <c r="AG14" i="47" s="1"/>
  <c r="Q77" i="47"/>
  <c r="AG77" i="47" s="1"/>
  <c r="Q48" i="47"/>
  <c r="AG48" i="47" s="1"/>
  <c r="Q57" i="47"/>
  <c r="AG57" i="47" s="1"/>
  <c r="Q90" i="47"/>
  <c r="AG90" i="47" s="1"/>
  <c r="Q4" i="47"/>
  <c r="AG4" i="47" s="1"/>
  <c r="Q8" i="47"/>
  <c r="AG8" i="47" s="1"/>
  <c r="Q15" i="47"/>
  <c r="AG15" i="47" s="1"/>
  <c r="Q20" i="47"/>
  <c r="AG20" i="47" s="1"/>
  <c r="Q34" i="47"/>
  <c r="AG34" i="47" s="1"/>
  <c r="Q61" i="47"/>
  <c r="AG61" i="47" s="1"/>
  <c r="Q63" i="47"/>
  <c r="AG63" i="47" s="1"/>
  <c r="Q87" i="47"/>
  <c r="AG87" i="47" s="1"/>
  <c r="Q95" i="47"/>
  <c r="AG95" i="47" s="1"/>
  <c r="Q30" i="47"/>
  <c r="AG30" i="47" s="1"/>
  <c r="Q26" i="47"/>
  <c r="AG26" i="47" s="1"/>
  <c r="Q47" i="47"/>
  <c r="AG47" i="47" s="1"/>
  <c r="Q25" i="47"/>
  <c r="AG25" i="47" s="1"/>
  <c r="Q107" i="47"/>
  <c r="AG107" i="47" s="1"/>
  <c r="Q101" i="47"/>
  <c r="AG101" i="47" s="1"/>
  <c r="Q106" i="47"/>
  <c r="AG106" i="47" s="1"/>
  <c r="Q105" i="47"/>
  <c r="AG105" i="47" s="1"/>
  <c r="Q104" i="47"/>
  <c r="AG104" i="47" s="1"/>
  <c r="Q103" i="47"/>
  <c r="AG103" i="47" s="1"/>
  <c r="Q2" i="47"/>
  <c r="AG2" i="47" s="1"/>
  <c r="Q5" i="47"/>
  <c r="AG5" i="47" s="1"/>
  <c r="Q22" i="47"/>
  <c r="AG22" i="47" s="1"/>
  <c r="Q35" i="47"/>
  <c r="AG35" i="47" s="1"/>
  <c r="Q70" i="47"/>
  <c r="AG70" i="47" s="1"/>
  <c r="Q54" i="47"/>
  <c r="AG54" i="47" s="1"/>
  <c r="Q74" i="47"/>
  <c r="AG74" i="47" s="1"/>
  <c r="Q92" i="47"/>
  <c r="AG92" i="47" s="1"/>
  <c r="Q45" i="47"/>
  <c r="AG45" i="47" s="1"/>
  <c r="Q75" i="47"/>
  <c r="AG75" i="47" s="1"/>
  <c r="Q82" i="47"/>
  <c r="AG82" i="47" s="1"/>
  <c r="Q33" i="47"/>
  <c r="AG33" i="47" s="1"/>
  <c r="Q67" i="47"/>
  <c r="AG67" i="47" s="1"/>
  <c r="Q49" i="47"/>
  <c r="AG49" i="47" s="1"/>
  <c r="Q12" i="47"/>
  <c r="AG12" i="47" s="1"/>
  <c r="Q59" i="47"/>
  <c r="AG59" i="47" s="1"/>
  <c r="Q11" i="47"/>
  <c r="AG11" i="47" s="1"/>
  <c r="Q6" i="47"/>
  <c r="AG6" i="47" s="1"/>
  <c r="Q64" i="47"/>
  <c r="AG64" i="47" s="1"/>
  <c r="Q39" i="47"/>
  <c r="AG39" i="47" s="1"/>
  <c r="Q98" i="47"/>
  <c r="AG98" i="47" s="1"/>
  <c r="Q78" i="47"/>
  <c r="AG78" i="47" s="1"/>
  <c r="Q80" i="47"/>
  <c r="AG80" i="47" s="1"/>
  <c r="Q72" i="47"/>
  <c r="AG72" i="47" s="1"/>
  <c r="Q46" i="47"/>
  <c r="AG46" i="47" s="1"/>
  <c r="Q3" i="47"/>
  <c r="AG3" i="47" s="1"/>
  <c r="Q53" i="47"/>
  <c r="AG53" i="47" s="1"/>
  <c r="Q89" i="47"/>
  <c r="AG89" i="47" s="1"/>
  <c r="Q27" i="47"/>
  <c r="AG27" i="47" s="1"/>
  <c r="Q21" i="47"/>
  <c r="AG21" i="47" s="1"/>
  <c r="Q50" i="47"/>
  <c r="AG50" i="47" s="1"/>
  <c r="Q60" i="47"/>
  <c r="AG60" i="47" s="1"/>
  <c r="Q52" i="47"/>
  <c r="AG52" i="47" s="1"/>
  <c r="Q10" i="47"/>
  <c r="AG10" i="47" s="1"/>
  <c r="Q66" i="47"/>
  <c r="AG66" i="47" s="1"/>
  <c r="Q51" i="47"/>
  <c r="AG51" i="47" s="1"/>
  <c r="Q24" i="47"/>
  <c r="AG24" i="47" s="1"/>
  <c r="Q43" i="47"/>
  <c r="AG43" i="47" s="1"/>
  <c r="Q32" i="47"/>
  <c r="AG32" i="47" s="1"/>
  <c r="Q102" i="47"/>
  <c r="AG102" i="47" s="1"/>
  <c r="Q91" i="47"/>
  <c r="AG91" i="47" s="1"/>
  <c r="Q69" i="47"/>
  <c r="AG69" i="47" s="1"/>
  <c r="Q7" i="47"/>
  <c r="AG7" i="47" s="1"/>
  <c r="Q44" i="47"/>
  <c r="AG44" i="47" s="1"/>
  <c r="AG134" i="47"/>
  <c r="BG134" i="47" s="1"/>
  <c r="BJ134" i="47" s="1"/>
  <c r="AG135" i="47"/>
  <c r="BG135" i="47" s="1"/>
  <c r="BJ135" i="47" s="1"/>
  <c r="BS135" i="47"/>
  <c r="AG117" i="47"/>
  <c r="BG117" i="47" s="1"/>
  <c r="BJ117" i="47" s="1"/>
  <c r="AG118" i="47"/>
  <c r="AG119" i="47"/>
  <c r="BG119" i="47" s="1"/>
  <c r="BJ119" i="47" s="1"/>
  <c r="BS119" i="47"/>
  <c r="Q120" i="47"/>
  <c r="AG120" i="47" s="1"/>
  <c r="AG122" i="47"/>
  <c r="BS122" i="47"/>
  <c r="Q123" i="47"/>
  <c r="AG123" i="47" s="1"/>
  <c r="BG123" i="47" s="1"/>
  <c r="BJ123" i="47" s="1"/>
  <c r="Q124" i="47"/>
  <c r="AG124" i="47" s="1"/>
  <c r="BG124" i="47" s="1"/>
  <c r="BJ124" i="47" s="1"/>
  <c r="I6" i="43" s="1"/>
  <c r="Q125" i="47"/>
  <c r="AG125" i="47" s="1"/>
  <c r="BG125" i="47" s="1"/>
  <c r="BJ125" i="47" s="1"/>
  <c r="Q126" i="47"/>
  <c r="AG126" i="47" s="1"/>
  <c r="Q127" i="47"/>
  <c r="AG127" i="47" s="1"/>
  <c r="BG127" i="47" s="1"/>
  <c r="BJ127" i="47" s="1"/>
  <c r="AG128" i="47"/>
  <c r="BG128" i="47" s="1"/>
  <c r="BJ128" i="47" s="1"/>
  <c r="I11" i="42" s="1"/>
  <c r="AG129" i="47"/>
  <c r="BG129" i="47" s="1"/>
  <c r="BJ129" i="47" s="1"/>
  <c r="AG130" i="47"/>
  <c r="BG130" i="47" s="1"/>
  <c r="BJ130" i="47" s="1"/>
  <c r="Q131" i="47"/>
  <c r="AG131" i="47" s="1"/>
  <c r="BJ131" i="47"/>
  <c r="AG132" i="47"/>
  <c r="AG133" i="47"/>
  <c r="B1" i="44"/>
  <c r="B1" i="46"/>
  <c r="B1" i="45"/>
  <c r="B1" i="43"/>
  <c r="B1" i="41"/>
  <c r="B1" i="40"/>
  <c r="B1" i="39"/>
  <c r="B1" i="37"/>
  <c r="B1" i="42"/>
  <c r="B1" i="36"/>
  <c r="J1" i="2" l="1"/>
  <c r="BQ68" i="47"/>
  <c r="BQ9" i="47"/>
  <c r="M89" i="2"/>
  <c r="M91" i="2"/>
  <c r="J1" i="40"/>
  <c r="BP16" i="47"/>
  <c r="M97" i="2"/>
  <c r="M10" i="45"/>
  <c r="BQ62" i="47"/>
  <c r="M84" i="2"/>
  <c r="M15" i="43"/>
  <c r="BP62" i="47"/>
  <c r="BQ76" i="47"/>
  <c r="BP76" i="47"/>
  <c r="M96" i="2"/>
  <c r="BQ16" i="47"/>
  <c r="J1" i="37"/>
  <c r="J1" i="36"/>
  <c r="BQ97" i="47"/>
  <c r="M100" i="2"/>
  <c r="BP37" i="47"/>
  <c r="M111" i="2"/>
  <c r="BP100" i="47"/>
  <c r="BQ100" i="47"/>
  <c r="BQ37" i="47"/>
  <c r="M119" i="2"/>
  <c r="BP99" i="47"/>
  <c r="BQ99" i="47"/>
  <c r="M118" i="2"/>
  <c r="BP97" i="47"/>
  <c r="J1" i="42"/>
  <c r="J1" i="43"/>
  <c r="J1" i="46"/>
  <c r="J1" i="44"/>
  <c r="J1" i="38"/>
  <c r="F18" i="38"/>
  <c r="F126" i="2"/>
  <c r="I39" i="2"/>
  <c r="I7" i="36"/>
  <c r="I4" i="36"/>
  <c r="I8" i="2"/>
  <c r="I6" i="41"/>
  <c r="I56" i="2"/>
  <c r="I4" i="40"/>
  <c r="I5" i="2"/>
  <c r="F3" i="38"/>
  <c r="F15" i="2"/>
  <c r="I6" i="36"/>
  <c r="I21" i="2"/>
  <c r="I3" i="38"/>
  <c r="I15" i="2"/>
  <c r="I127" i="2"/>
  <c r="I8" i="36"/>
  <c r="I35" i="2"/>
  <c r="I12" i="36"/>
  <c r="I45" i="2"/>
  <c r="I5" i="36"/>
  <c r="I10" i="2"/>
  <c r="I22" i="2"/>
  <c r="I3" i="40"/>
  <c r="I3" i="2"/>
  <c r="F56" i="2"/>
  <c r="F6" i="41"/>
  <c r="BG43" i="47"/>
  <c r="BD43" i="47"/>
  <c r="BG31" i="47"/>
  <c r="BD31" i="47"/>
  <c r="L8" i="45" s="1"/>
  <c r="BG33" i="47"/>
  <c r="BD33" i="47"/>
  <c r="L10" i="42" s="1"/>
  <c r="BG5" i="47"/>
  <c r="BD5" i="47"/>
  <c r="L6" i="46" s="1"/>
  <c r="BG7" i="47"/>
  <c r="BD7" i="47"/>
  <c r="L11" i="45" s="1"/>
  <c r="BG32" i="47"/>
  <c r="BD32" i="47"/>
  <c r="L17" i="37" s="1"/>
  <c r="BG23" i="47"/>
  <c r="BD23" i="47"/>
  <c r="L10" i="43" s="1"/>
  <c r="BD117" i="47"/>
  <c r="BG22" i="47"/>
  <c r="BH22" i="47" s="1"/>
  <c r="BD22" i="47"/>
  <c r="BG24" i="47"/>
  <c r="BH24" i="47" s="1"/>
  <c r="BD24" i="47"/>
  <c r="BG51" i="47"/>
  <c r="BH51" i="47" s="1"/>
  <c r="BD51" i="47"/>
  <c r="BG3" i="47"/>
  <c r="BH3" i="47" s="1"/>
  <c r="BD3" i="47"/>
  <c r="BG12" i="47"/>
  <c r="BH12" i="47" s="1"/>
  <c r="BD12" i="47"/>
  <c r="L12" i="43" s="1"/>
  <c r="BG101" i="47"/>
  <c r="BH101" i="47" s="1"/>
  <c r="BD101" i="47"/>
  <c r="BG15" i="47"/>
  <c r="BH15" i="47" s="1"/>
  <c r="BD15" i="47"/>
  <c r="BD42" i="47"/>
  <c r="BG29" i="47"/>
  <c r="BH29" i="47" s="1"/>
  <c r="BD29" i="47"/>
  <c r="L12" i="42" s="1"/>
  <c r="BG55" i="47"/>
  <c r="BH55" i="47" s="1"/>
  <c r="BD55" i="47"/>
  <c r="L4" i="43" s="1"/>
  <c r="BG11" i="47"/>
  <c r="BH11" i="47" s="1"/>
  <c r="BD11" i="47"/>
  <c r="L12" i="40" s="1"/>
  <c r="BG59" i="47"/>
  <c r="BH59" i="47" s="1"/>
  <c r="BD59" i="47"/>
  <c r="L11" i="43" s="1"/>
  <c r="BG40" i="47"/>
  <c r="BH40" i="47" s="1"/>
  <c r="BD40" i="47"/>
  <c r="BG66" i="47"/>
  <c r="BH66" i="47" s="1"/>
  <c r="BD66" i="47"/>
  <c r="BG46" i="47"/>
  <c r="BH46" i="47" s="1"/>
  <c r="BD46" i="47"/>
  <c r="BG49" i="47"/>
  <c r="BH49" i="47" s="1"/>
  <c r="BD49" i="47"/>
  <c r="L16" i="43" s="1"/>
  <c r="BG54" i="47"/>
  <c r="BH54" i="47" s="1"/>
  <c r="BD54" i="47"/>
  <c r="BG107" i="47"/>
  <c r="BH107" i="47" s="1"/>
  <c r="BD107" i="47"/>
  <c r="L25" i="36" s="1"/>
  <c r="BG8" i="47"/>
  <c r="BH8" i="47" s="1"/>
  <c r="BD8" i="47"/>
  <c r="BG93" i="47"/>
  <c r="BH93" i="47" s="1"/>
  <c r="BD93" i="47"/>
  <c r="BG28" i="47"/>
  <c r="BH28" i="47" s="1"/>
  <c r="BD28" i="47"/>
  <c r="L5" i="42" s="1"/>
  <c r="BG88" i="47"/>
  <c r="BH88" i="47" s="1"/>
  <c r="BD88" i="47"/>
  <c r="BG89" i="47"/>
  <c r="BH89" i="47" s="1"/>
  <c r="BD89" i="47"/>
  <c r="BG53" i="47"/>
  <c r="BH53" i="47" s="1"/>
  <c r="BD53" i="47"/>
  <c r="BG85" i="47"/>
  <c r="BH85" i="47" s="1"/>
  <c r="BD85" i="47"/>
  <c r="BG10" i="47"/>
  <c r="BH10" i="47" s="1"/>
  <c r="BD10" i="47"/>
  <c r="BG72" i="47"/>
  <c r="BH72" i="47" s="1"/>
  <c r="BD72" i="47"/>
  <c r="BG67" i="47"/>
  <c r="BH67" i="47" s="1"/>
  <c r="BD67" i="47"/>
  <c r="L5" i="43" s="1"/>
  <c r="BG70" i="47"/>
  <c r="BH70" i="47" s="1"/>
  <c r="BD70" i="47"/>
  <c r="BG25" i="47"/>
  <c r="BH25" i="47" s="1"/>
  <c r="BD25" i="47"/>
  <c r="BG4" i="47"/>
  <c r="BH4" i="47" s="1"/>
  <c r="BD4" i="47"/>
  <c r="BG94" i="47"/>
  <c r="BH94" i="47" s="1"/>
  <c r="BD94" i="47"/>
  <c r="BG13" i="47"/>
  <c r="BH13" i="47" s="1"/>
  <c r="BD13" i="47"/>
  <c r="L4" i="42" s="1"/>
  <c r="BG65" i="47"/>
  <c r="BH65" i="47" s="1"/>
  <c r="BD65" i="47"/>
  <c r="BG44" i="47"/>
  <c r="BH44" i="47" s="1"/>
  <c r="BD44" i="47"/>
  <c r="BG52" i="47"/>
  <c r="BH52" i="47" s="1"/>
  <c r="BD52" i="47"/>
  <c r="BG80" i="47"/>
  <c r="BH80" i="47" s="1"/>
  <c r="BD80" i="47"/>
  <c r="BG35" i="47"/>
  <c r="BH35" i="47" s="1"/>
  <c r="BD35" i="47"/>
  <c r="L133" i="2" s="1"/>
  <c r="BG47" i="47"/>
  <c r="BH47" i="47" s="1"/>
  <c r="BD47" i="47"/>
  <c r="BG86" i="47"/>
  <c r="BH86" i="47" s="1"/>
  <c r="BD86" i="47"/>
  <c r="BG38" i="47"/>
  <c r="BH38" i="47" s="1"/>
  <c r="BD38" i="47"/>
  <c r="BG41" i="47"/>
  <c r="BH41" i="47" s="1"/>
  <c r="BD41" i="47"/>
  <c r="L8" i="43" s="1"/>
  <c r="BG20" i="47"/>
  <c r="BH20" i="47" s="1"/>
  <c r="BD20" i="47"/>
  <c r="BG78" i="47"/>
  <c r="BH78" i="47" s="1"/>
  <c r="BD78" i="47"/>
  <c r="BG26" i="47"/>
  <c r="BH26" i="47" s="1"/>
  <c r="BD26" i="47"/>
  <c r="BG84" i="47"/>
  <c r="BH84" i="47" s="1"/>
  <c r="BD84" i="47"/>
  <c r="BG56" i="47"/>
  <c r="BH56" i="47" s="1"/>
  <c r="BD56" i="47"/>
  <c r="BG74" i="47"/>
  <c r="BH74" i="47" s="1"/>
  <c r="BD74" i="47"/>
  <c r="L134" i="2" s="1"/>
  <c r="BG69" i="47"/>
  <c r="BH69" i="47" s="1"/>
  <c r="BD69" i="47"/>
  <c r="L9" i="45" s="1"/>
  <c r="BG98" i="47"/>
  <c r="BH98" i="47" s="1"/>
  <c r="BI98" i="47" s="1"/>
  <c r="BD98" i="47"/>
  <c r="BG30" i="47"/>
  <c r="BH30" i="47" s="1"/>
  <c r="BD30" i="47"/>
  <c r="BG90" i="47"/>
  <c r="BH90" i="47" s="1"/>
  <c r="BD90" i="47"/>
  <c r="BG81" i="47"/>
  <c r="BH81" i="47" s="1"/>
  <c r="BD81" i="47"/>
  <c r="BG17" i="47"/>
  <c r="BH17" i="47" s="1"/>
  <c r="BD17" i="47"/>
  <c r="L3" i="43" s="1"/>
  <c r="BG91" i="47"/>
  <c r="BH91" i="47" s="1"/>
  <c r="BD91" i="47"/>
  <c r="L7" i="45" s="1"/>
  <c r="BG60" i="47"/>
  <c r="BH60" i="47" s="1"/>
  <c r="BD60" i="47"/>
  <c r="L135" i="2" s="1"/>
  <c r="BG82" i="47"/>
  <c r="BH82" i="47" s="1"/>
  <c r="BD82" i="47"/>
  <c r="L9" i="42" s="1"/>
  <c r="BG2" i="47"/>
  <c r="BH2" i="47" s="1"/>
  <c r="BD2" i="47"/>
  <c r="BG95" i="47"/>
  <c r="BH95" i="47" s="1"/>
  <c r="BD95" i="47"/>
  <c r="BG57" i="47"/>
  <c r="BH57" i="47" s="1"/>
  <c r="BD57" i="47"/>
  <c r="BG79" i="47"/>
  <c r="BH79" i="47" s="1"/>
  <c r="BD79" i="47"/>
  <c r="BG96" i="47"/>
  <c r="BH96" i="47" s="1"/>
  <c r="BD96" i="47"/>
  <c r="L5" i="45" s="1"/>
  <c r="BG50" i="47"/>
  <c r="BH50" i="47" s="1"/>
  <c r="BD50" i="47"/>
  <c r="BG39" i="47"/>
  <c r="BH39" i="47" s="1"/>
  <c r="BD39" i="47"/>
  <c r="L13" i="43" s="1"/>
  <c r="BG75" i="47"/>
  <c r="BH75" i="47" s="1"/>
  <c r="BD75" i="47"/>
  <c r="L7" i="42" s="1"/>
  <c r="BG103" i="47"/>
  <c r="BH103" i="47" s="1"/>
  <c r="BD103" i="47"/>
  <c r="L24" i="36" s="1"/>
  <c r="BG87" i="47"/>
  <c r="BH87" i="47" s="1"/>
  <c r="BD87" i="47"/>
  <c r="BG48" i="47"/>
  <c r="BH48" i="47" s="1"/>
  <c r="BD48" i="47"/>
  <c r="BG58" i="47"/>
  <c r="BH58" i="47" s="1"/>
  <c r="BD58" i="47"/>
  <c r="BG83" i="47"/>
  <c r="BH83" i="47" s="1"/>
  <c r="BD83" i="47"/>
  <c r="L13" i="45" s="1"/>
  <c r="BG106" i="47"/>
  <c r="BH106" i="47" s="1"/>
  <c r="BD106" i="47"/>
  <c r="BG102" i="47"/>
  <c r="BH102" i="47" s="1"/>
  <c r="BD102" i="47"/>
  <c r="BG21" i="47"/>
  <c r="BH21" i="47" s="1"/>
  <c r="BD21" i="47"/>
  <c r="BG64" i="47"/>
  <c r="BH64" i="47" s="1"/>
  <c r="BD64" i="47"/>
  <c r="L9" i="43" s="1"/>
  <c r="BG45" i="47"/>
  <c r="BH45" i="47" s="1"/>
  <c r="BD45" i="47"/>
  <c r="L8" i="42" s="1"/>
  <c r="BG104" i="47"/>
  <c r="BH104" i="47" s="1"/>
  <c r="BI104" i="47" s="1"/>
  <c r="BJ104" i="47" s="1"/>
  <c r="BD104" i="47"/>
  <c r="BG63" i="47"/>
  <c r="BH63" i="47" s="1"/>
  <c r="BD63" i="47"/>
  <c r="BG36" i="47"/>
  <c r="BH36" i="47" s="1"/>
  <c r="BD36" i="47"/>
  <c r="L3" i="45" s="1"/>
  <c r="BG73" i="47"/>
  <c r="BH73" i="47" s="1"/>
  <c r="BD73" i="47"/>
  <c r="BG34" i="47"/>
  <c r="BH34" i="47" s="1"/>
  <c r="BD34" i="47"/>
  <c r="BG27" i="47"/>
  <c r="BH27" i="47" s="1"/>
  <c r="BD27" i="47"/>
  <c r="BG6" i="47"/>
  <c r="BH6" i="47" s="1"/>
  <c r="BD6" i="47"/>
  <c r="BG92" i="47"/>
  <c r="BH92" i="47" s="1"/>
  <c r="BD92" i="47"/>
  <c r="L3" i="42" s="1"/>
  <c r="BG105" i="47"/>
  <c r="BH105" i="47" s="1"/>
  <c r="BD105" i="47"/>
  <c r="BG61" i="47"/>
  <c r="BH61" i="47" s="1"/>
  <c r="BD61" i="47"/>
  <c r="BG77" i="47"/>
  <c r="BH77" i="47" s="1"/>
  <c r="BD77" i="47"/>
  <c r="BG18" i="47"/>
  <c r="BH18" i="47" s="1"/>
  <c r="BD18" i="47"/>
  <c r="BG71" i="47"/>
  <c r="BH71" i="47" s="1"/>
  <c r="BD71" i="47"/>
  <c r="L4" i="45" s="1"/>
  <c r="BG14" i="47"/>
  <c r="BH14" i="47" s="1"/>
  <c r="BD14" i="47"/>
  <c r="BG19" i="47"/>
  <c r="BH19" i="47" s="1"/>
  <c r="BD19" i="47"/>
  <c r="BD129" i="47"/>
  <c r="BD125" i="47"/>
  <c r="BD128" i="47"/>
  <c r="L11" i="42" s="1"/>
  <c r="BD124" i="47"/>
  <c r="L6" i="43" s="1"/>
  <c r="BD119" i="47"/>
  <c r="BD123" i="47"/>
  <c r="BD131" i="47"/>
  <c r="BD135" i="47"/>
  <c r="BD120" i="47"/>
  <c r="BG120" i="47"/>
  <c r="BJ120" i="47" s="1"/>
  <c r="BG118" i="47"/>
  <c r="BJ118" i="47" s="1"/>
  <c r="BD118" i="47"/>
  <c r="BG126" i="47"/>
  <c r="BJ126" i="47" s="1"/>
  <c r="BD126" i="47"/>
  <c r="BD127" i="47"/>
  <c r="BD132" i="47"/>
  <c r="BG132" i="47"/>
  <c r="BJ132" i="47" s="1"/>
  <c r="BD130" i="47"/>
  <c r="BD122" i="47"/>
  <c r="BG122" i="47"/>
  <c r="BJ122" i="47" s="1"/>
  <c r="BD133" i="47"/>
  <c r="L6" i="45" s="1"/>
  <c r="BG133" i="47"/>
  <c r="BJ133" i="47" s="1"/>
  <c r="I6" i="45" s="1"/>
  <c r="BD134" i="47"/>
  <c r="L7" i="40" l="1"/>
  <c r="L16" i="2"/>
  <c r="L14" i="43"/>
  <c r="L19" i="40"/>
  <c r="L108" i="2"/>
  <c r="L23" i="37"/>
  <c r="L136" i="2"/>
  <c r="P25" i="36"/>
  <c r="I3" i="36"/>
  <c r="I13" i="2"/>
  <c r="BF17" i="47"/>
  <c r="M3" i="43" s="1"/>
  <c r="L7" i="2"/>
  <c r="BF11" i="47"/>
  <c r="M12" i="40" s="1"/>
  <c r="L72" i="2"/>
  <c r="BF134" i="47"/>
  <c r="BP134" i="47" s="1"/>
  <c r="L8" i="36"/>
  <c r="L35" i="2"/>
  <c r="BF127" i="47"/>
  <c r="BQ127" i="47" s="1"/>
  <c r="L5" i="36"/>
  <c r="L10" i="2"/>
  <c r="BF44" i="47"/>
  <c r="BP44" i="47" s="1"/>
  <c r="L69" i="2"/>
  <c r="L7" i="44"/>
  <c r="BF120" i="47"/>
  <c r="BQ120" i="47" s="1"/>
  <c r="L13" i="2"/>
  <c r="L3" i="36"/>
  <c r="I20" i="36"/>
  <c r="I114" i="2"/>
  <c r="BF5" i="47"/>
  <c r="I28" i="2"/>
  <c r="BF27" i="47"/>
  <c r="BP27" i="47" s="1"/>
  <c r="L13" i="37"/>
  <c r="L93" i="2"/>
  <c r="BF45" i="47"/>
  <c r="M8" i="42" s="1"/>
  <c r="L85" i="2"/>
  <c r="BF87" i="47"/>
  <c r="BP87" i="47" s="1"/>
  <c r="L82" i="2"/>
  <c r="BF57" i="47"/>
  <c r="BP57" i="47" s="1"/>
  <c r="L4" i="44"/>
  <c r="L44" i="2"/>
  <c r="BF56" i="47"/>
  <c r="BP56" i="47" s="1"/>
  <c r="L23" i="2"/>
  <c r="L7" i="43"/>
  <c r="BF86" i="47"/>
  <c r="BP86" i="47" s="1"/>
  <c r="L6" i="38"/>
  <c r="L31" i="2"/>
  <c r="BF65" i="47"/>
  <c r="BP65" i="47" s="1"/>
  <c r="L51" i="2"/>
  <c r="L4" i="39"/>
  <c r="BF10" i="47"/>
  <c r="BP10" i="47" s="1"/>
  <c r="L3" i="39"/>
  <c r="L20" i="2"/>
  <c r="BF107" i="47"/>
  <c r="BQ107" i="47" s="1"/>
  <c r="BF55" i="47"/>
  <c r="L17" i="2"/>
  <c r="L131" i="2"/>
  <c r="BF118" i="47"/>
  <c r="BQ118" i="47" s="1"/>
  <c r="L3" i="37"/>
  <c r="L9" i="2"/>
  <c r="BF92" i="47"/>
  <c r="L4" i="2"/>
  <c r="BF58" i="47"/>
  <c r="BP58" i="47" s="1"/>
  <c r="L18" i="2"/>
  <c r="L4" i="38"/>
  <c r="BF91" i="47"/>
  <c r="L34" i="2"/>
  <c r="BF41" i="47"/>
  <c r="L25" i="2"/>
  <c r="BF93" i="47"/>
  <c r="BP93" i="47" s="1"/>
  <c r="L14" i="2"/>
  <c r="L6" i="40"/>
  <c r="BF3" i="47"/>
  <c r="BP3" i="47" s="1"/>
  <c r="L78" i="2"/>
  <c r="L13" i="40"/>
  <c r="BF14" i="47"/>
  <c r="BP14" i="47" s="1"/>
  <c r="L5" i="41"/>
  <c r="L47" i="2"/>
  <c r="BF48" i="47"/>
  <c r="L6" i="44"/>
  <c r="L65" i="2"/>
  <c r="BF74" i="47"/>
  <c r="L11" i="41"/>
  <c r="BF72" i="47"/>
  <c r="BP72" i="47" s="1"/>
  <c r="L46" i="2"/>
  <c r="L5" i="37"/>
  <c r="BF51" i="47"/>
  <c r="BP51" i="47" s="1"/>
  <c r="L95" i="2"/>
  <c r="L15" i="37"/>
  <c r="BF33" i="47"/>
  <c r="L106" i="2"/>
  <c r="I18" i="38"/>
  <c r="I126" i="2"/>
  <c r="J1" i="41"/>
  <c r="BF71" i="47"/>
  <c r="L29" i="2"/>
  <c r="BF34" i="47"/>
  <c r="BP34" i="47" s="1"/>
  <c r="L11" i="40"/>
  <c r="L57" i="2"/>
  <c r="BF103" i="47"/>
  <c r="L113" i="2"/>
  <c r="BF95" i="47"/>
  <c r="BP95" i="47" s="1"/>
  <c r="L17" i="36"/>
  <c r="L99" i="2"/>
  <c r="BF81" i="47"/>
  <c r="BP81" i="47" s="1"/>
  <c r="L12" i="38"/>
  <c r="L70" i="2"/>
  <c r="BF84" i="47"/>
  <c r="L11" i="38"/>
  <c r="L68" i="2"/>
  <c r="BF13" i="47"/>
  <c r="M4" i="42" s="1"/>
  <c r="L33" i="2"/>
  <c r="BF85" i="47"/>
  <c r="BP85" i="47" s="1"/>
  <c r="L52" i="2"/>
  <c r="L9" i="38"/>
  <c r="BF54" i="47"/>
  <c r="BP54" i="47" s="1"/>
  <c r="L3" i="41"/>
  <c r="L37" i="2"/>
  <c r="BF29" i="47"/>
  <c r="BF24" i="47"/>
  <c r="BP24" i="47" s="1"/>
  <c r="L90" i="2"/>
  <c r="L12" i="37"/>
  <c r="BF31" i="47"/>
  <c r="M8" i="45" s="1"/>
  <c r="P8" i="45" s="1"/>
  <c r="L36" i="2"/>
  <c r="I9" i="2"/>
  <c r="I3" i="37"/>
  <c r="BF7" i="47"/>
  <c r="L101" i="2"/>
  <c r="BF6" i="47"/>
  <c r="BP6" i="47" s="1"/>
  <c r="L10" i="40"/>
  <c r="L42" i="2"/>
  <c r="BF79" i="47"/>
  <c r="L7" i="38"/>
  <c r="L49" i="2"/>
  <c r="BF38" i="47"/>
  <c r="BP38" i="47" s="1"/>
  <c r="L3" i="46"/>
  <c r="L75" i="2"/>
  <c r="BF8" i="47"/>
  <c r="BP8" i="47" s="1"/>
  <c r="L16" i="36"/>
  <c r="L98" i="2"/>
  <c r="BF133" i="47"/>
  <c r="L28" i="2"/>
  <c r="BF64" i="47"/>
  <c r="M9" i="43" s="1"/>
  <c r="L41" i="2"/>
  <c r="BF122" i="47"/>
  <c r="BQ122" i="47" s="1"/>
  <c r="L18" i="38"/>
  <c r="L126" i="2"/>
  <c r="BF135" i="47"/>
  <c r="L3" i="38"/>
  <c r="L15" i="2"/>
  <c r="BF131" i="47"/>
  <c r="BQ131" i="47" s="1"/>
  <c r="L7" i="36"/>
  <c r="L39" i="2"/>
  <c r="BF18" i="47"/>
  <c r="L8" i="38"/>
  <c r="L50" i="2"/>
  <c r="BF73" i="47"/>
  <c r="L3" i="44"/>
  <c r="L12" i="2"/>
  <c r="BF21" i="47"/>
  <c r="L11" i="37"/>
  <c r="L83" i="2"/>
  <c r="BF75" i="47"/>
  <c r="L81" i="2"/>
  <c r="BF2" i="47"/>
  <c r="BP2" i="47" s="1"/>
  <c r="L4" i="46"/>
  <c r="L86" i="2"/>
  <c r="BF90" i="47"/>
  <c r="BP90" i="47" s="1"/>
  <c r="L5" i="44"/>
  <c r="L60" i="2"/>
  <c r="BF26" i="47"/>
  <c r="BP26" i="47" s="1"/>
  <c r="L66" i="2"/>
  <c r="L11" i="36"/>
  <c r="BF47" i="47"/>
  <c r="BP47" i="47" s="1"/>
  <c r="L88" i="2"/>
  <c r="L15" i="40"/>
  <c r="BF94" i="47"/>
  <c r="BP94" i="47" s="1"/>
  <c r="L64" i="2"/>
  <c r="L10" i="38"/>
  <c r="BF53" i="47"/>
  <c r="BP53" i="47" s="1"/>
  <c r="L58" i="2"/>
  <c r="L7" i="37"/>
  <c r="BF49" i="47"/>
  <c r="L110" i="2"/>
  <c r="BF42" i="47"/>
  <c r="M16" i="2" s="1"/>
  <c r="L128" i="2"/>
  <c r="L132" i="2"/>
  <c r="BF128" i="47"/>
  <c r="L127" i="2"/>
  <c r="BF23" i="47"/>
  <c r="L54" i="2"/>
  <c r="BF19" i="47"/>
  <c r="BP19" i="47" s="1"/>
  <c r="L5" i="38"/>
  <c r="L26" i="2"/>
  <c r="BF96" i="47"/>
  <c r="L30" i="2"/>
  <c r="BF59" i="47"/>
  <c r="L59" i="2"/>
  <c r="BF104" i="47"/>
  <c r="BQ104" i="47" s="1"/>
  <c r="L114" i="2"/>
  <c r="L20" i="36"/>
  <c r="BF123" i="47"/>
  <c r="BP123" i="47" s="1"/>
  <c r="L3" i="40"/>
  <c r="L3" i="2"/>
  <c r="BF130" i="47"/>
  <c r="BQ130" i="47" s="1"/>
  <c r="L4" i="40"/>
  <c r="L5" i="2"/>
  <c r="BF77" i="47"/>
  <c r="BP77" i="47" s="1"/>
  <c r="L4" i="41"/>
  <c r="L43" i="2"/>
  <c r="BF102" i="47"/>
  <c r="BP102" i="47" s="1"/>
  <c r="L20" i="37"/>
  <c r="L112" i="2"/>
  <c r="BF82" i="47"/>
  <c r="M9" i="42" s="1"/>
  <c r="L92" i="2"/>
  <c r="BF30" i="47"/>
  <c r="L77" i="2"/>
  <c r="L15" i="36"/>
  <c r="BF78" i="47"/>
  <c r="BP78" i="47" s="1"/>
  <c r="L8" i="37"/>
  <c r="L62" i="2"/>
  <c r="BF35" i="47"/>
  <c r="L10" i="41"/>
  <c r="BF4" i="47"/>
  <c r="BP4" i="47" s="1"/>
  <c r="L55" i="2"/>
  <c r="L9" i="36"/>
  <c r="BF89" i="47"/>
  <c r="BP89" i="47" s="1"/>
  <c r="L9" i="37"/>
  <c r="L63" i="2"/>
  <c r="BF46" i="47"/>
  <c r="BP46" i="47" s="1"/>
  <c r="L10" i="37"/>
  <c r="L80" i="2"/>
  <c r="BF15" i="47"/>
  <c r="L87" i="2"/>
  <c r="L14" i="40"/>
  <c r="BF22" i="47"/>
  <c r="BP22" i="47" s="1"/>
  <c r="L102" i="2"/>
  <c r="L5" i="46"/>
  <c r="BF63" i="47"/>
  <c r="BP63" i="47" s="1"/>
  <c r="L10" i="36"/>
  <c r="L40" i="2"/>
  <c r="BF69" i="47"/>
  <c r="L76" i="2"/>
  <c r="BF67" i="47"/>
  <c r="L19" i="2"/>
  <c r="BF39" i="47"/>
  <c r="M13" i="43" s="1"/>
  <c r="L74" i="2"/>
  <c r="I5" i="40"/>
  <c r="I6" i="2"/>
  <c r="BF119" i="47"/>
  <c r="BQ119" i="47" s="1"/>
  <c r="L6" i="41"/>
  <c r="L56" i="2"/>
  <c r="BF43" i="47"/>
  <c r="BF132" i="47"/>
  <c r="BQ132" i="47" s="1"/>
  <c r="L5" i="40"/>
  <c r="L6" i="2"/>
  <c r="BF124" i="47"/>
  <c r="L22" i="2"/>
  <c r="BF61" i="47"/>
  <c r="BP61" i="47" s="1"/>
  <c r="L14" i="36"/>
  <c r="L71" i="2"/>
  <c r="BF36" i="47"/>
  <c r="L27" i="2"/>
  <c r="BF106" i="47"/>
  <c r="BP106" i="47" s="1"/>
  <c r="L18" i="40"/>
  <c r="L116" i="2"/>
  <c r="BF50" i="47"/>
  <c r="L6" i="37"/>
  <c r="L53" i="2"/>
  <c r="BF98" i="47"/>
  <c r="L120" i="2"/>
  <c r="BF80" i="47"/>
  <c r="BP80" i="47" s="1"/>
  <c r="L4" i="37"/>
  <c r="L32" i="2"/>
  <c r="BF25" i="47"/>
  <c r="BP25" i="47" s="1"/>
  <c r="L21" i="40"/>
  <c r="BF88" i="47"/>
  <c r="BP88" i="47" s="1"/>
  <c r="L14" i="38"/>
  <c r="L103" i="2"/>
  <c r="BF66" i="47"/>
  <c r="BP66" i="47" s="1"/>
  <c r="L18" i="37"/>
  <c r="L107" i="2"/>
  <c r="BF101" i="47"/>
  <c r="BP101" i="47" s="1"/>
  <c r="L18" i="36"/>
  <c r="L115" i="2"/>
  <c r="BF117" i="47"/>
  <c r="BQ117" i="47" s="1"/>
  <c r="L8" i="2"/>
  <c r="L4" i="36"/>
  <c r="BF126" i="47"/>
  <c r="BP126" i="47" s="1"/>
  <c r="L11" i="2"/>
  <c r="L8" i="40"/>
  <c r="BF125" i="47"/>
  <c r="BQ125" i="47" s="1"/>
  <c r="L12" i="36"/>
  <c r="L45" i="2"/>
  <c r="BF105" i="47"/>
  <c r="BP105" i="47" s="1"/>
  <c r="L19" i="36"/>
  <c r="L117" i="2"/>
  <c r="BF83" i="47"/>
  <c r="L130" i="2"/>
  <c r="BF60" i="47"/>
  <c r="L22" i="37"/>
  <c r="L129" i="2"/>
  <c r="BF20" i="47"/>
  <c r="L73" i="2"/>
  <c r="L13" i="36"/>
  <c r="BF52" i="47"/>
  <c r="BP52" i="47" s="1"/>
  <c r="L14" i="37"/>
  <c r="L94" i="2"/>
  <c r="BF70" i="47"/>
  <c r="BP70" i="47" s="1"/>
  <c r="L7" i="41"/>
  <c r="L79" i="2"/>
  <c r="BF28" i="47"/>
  <c r="L38" i="2"/>
  <c r="BF40" i="47"/>
  <c r="BP40" i="47" s="1"/>
  <c r="L6" i="42"/>
  <c r="L48" i="2"/>
  <c r="BF12" i="47"/>
  <c r="L67" i="2"/>
  <c r="I8" i="40"/>
  <c r="I11" i="2"/>
  <c r="BF129" i="47"/>
  <c r="BQ129" i="47" s="1"/>
  <c r="L6" i="36"/>
  <c r="L21" i="2"/>
  <c r="BF32" i="47"/>
  <c r="L104" i="2"/>
  <c r="BH7" i="47"/>
  <c r="BI7" i="47" s="1"/>
  <c r="BH5" i="47"/>
  <c r="BI5" i="47" s="1"/>
  <c r="BH33" i="47"/>
  <c r="BI33" i="47" s="1"/>
  <c r="BH31" i="47"/>
  <c r="BI31" i="47" s="1"/>
  <c r="BH23" i="47"/>
  <c r="BI23" i="47" s="1"/>
  <c r="BH32" i="47"/>
  <c r="BI32" i="47" s="1"/>
  <c r="BH43" i="47"/>
  <c r="BI43" i="47" s="1"/>
  <c r="BJ98" i="47"/>
  <c r="BI25" i="47"/>
  <c r="BI26" i="47"/>
  <c r="BI20" i="47"/>
  <c r="O2" i="46"/>
  <c r="M2" i="46"/>
  <c r="A4" i="36"/>
  <c r="A5" i="36" s="1"/>
  <c r="A6" i="36" s="1"/>
  <c r="A7" i="36" s="1"/>
  <c r="A8" i="36" s="1"/>
  <c r="A9" i="36" s="1"/>
  <c r="A10" i="36" s="1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4" i="39"/>
  <c r="M113" i="2" l="1"/>
  <c r="M24" i="36"/>
  <c r="P24" i="36" s="1"/>
  <c r="M14" i="43"/>
  <c r="M19" i="40"/>
  <c r="P19" i="40" s="1"/>
  <c r="I19" i="40"/>
  <c r="BP42" i="47"/>
  <c r="M7" i="40"/>
  <c r="M108" i="2"/>
  <c r="BP35" i="47"/>
  <c r="BP74" i="47"/>
  <c r="BP13" i="47"/>
  <c r="BP120" i="47"/>
  <c r="BP107" i="47"/>
  <c r="BP45" i="47"/>
  <c r="BP29" i="47"/>
  <c r="BQ134" i="47"/>
  <c r="BP41" i="47"/>
  <c r="BP17" i="47"/>
  <c r="BQ123" i="47"/>
  <c r="BP127" i="47"/>
  <c r="BP131" i="47"/>
  <c r="M106" i="2"/>
  <c r="M10" i="42"/>
  <c r="BP128" i="47"/>
  <c r="M11" i="42"/>
  <c r="BP49" i="47"/>
  <c r="M16" i="43"/>
  <c r="P15" i="43" s="1"/>
  <c r="BP71" i="47"/>
  <c r="M4" i="45"/>
  <c r="M6" i="46"/>
  <c r="BP11" i="47"/>
  <c r="BP91" i="47"/>
  <c r="M7" i="45"/>
  <c r="BP124" i="47"/>
  <c r="M6" i="43"/>
  <c r="BP96" i="47"/>
  <c r="M5" i="45"/>
  <c r="BP59" i="47"/>
  <c r="M11" i="43"/>
  <c r="BP118" i="47"/>
  <c r="BP67" i="47"/>
  <c r="M5" i="43"/>
  <c r="BP55" i="47"/>
  <c r="M4" i="43"/>
  <c r="BP28" i="47"/>
  <c r="M5" i="42"/>
  <c r="P5" i="42" s="1"/>
  <c r="BP36" i="47"/>
  <c r="M3" i="45"/>
  <c r="BP69" i="47"/>
  <c r="M9" i="45"/>
  <c r="P10" i="45" s="1"/>
  <c r="BP75" i="47"/>
  <c r="M7" i="42"/>
  <c r="BP133" i="47"/>
  <c r="M6" i="45"/>
  <c r="P6" i="45" s="1"/>
  <c r="M101" i="2"/>
  <c r="M11" i="45"/>
  <c r="P11" i="45" s="1"/>
  <c r="BP92" i="47"/>
  <c r="M3" i="42"/>
  <c r="BP12" i="47"/>
  <c r="M12" i="43"/>
  <c r="M8" i="43"/>
  <c r="BP83" i="47"/>
  <c r="M54" i="2"/>
  <c r="M10" i="43"/>
  <c r="BP103" i="47"/>
  <c r="M36" i="2"/>
  <c r="BP125" i="47"/>
  <c r="BP7" i="47"/>
  <c r="M104" i="2"/>
  <c r="M17" i="37"/>
  <c r="BQ133" i="47"/>
  <c r="BP33" i="47"/>
  <c r="BP5" i="47"/>
  <c r="BP129" i="47"/>
  <c r="BP119" i="47"/>
  <c r="BP31" i="47"/>
  <c r="BQ126" i="47"/>
  <c r="BJ43" i="47"/>
  <c r="BQ101" i="47"/>
  <c r="BP23" i="47"/>
  <c r="BP104" i="47"/>
  <c r="BJ32" i="47"/>
  <c r="M14" i="36"/>
  <c r="P14" i="36" s="1"/>
  <c r="M71" i="2"/>
  <c r="M74" i="2"/>
  <c r="M4" i="41"/>
  <c r="M43" i="2"/>
  <c r="M81" i="2"/>
  <c r="M3" i="46"/>
  <c r="M75" i="2"/>
  <c r="M25" i="2"/>
  <c r="M13" i="37"/>
  <c r="M93" i="2"/>
  <c r="M73" i="2"/>
  <c r="M13" i="36"/>
  <c r="P13" i="36" s="1"/>
  <c r="M120" i="2"/>
  <c r="M8" i="37"/>
  <c r="M62" i="2"/>
  <c r="M10" i="38"/>
  <c r="M64" i="2"/>
  <c r="M3" i="38"/>
  <c r="M15" i="2"/>
  <c r="M7" i="43"/>
  <c r="M23" i="2"/>
  <c r="M7" i="44"/>
  <c r="M69" i="2"/>
  <c r="M14" i="40"/>
  <c r="M87" i="2"/>
  <c r="M127" i="2"/>
  <c r="M90" i="2"/>
  <c r="M12" i="37"/>
  <c r="M29" i="2"/>
  <c r="M17" i="2"/>
  <c r="M83" i="2"/>
  <c r="M11" i="37"/>
  <c r="M49" i="2"/>
  <c r="M7" i="38"/>
  <c r="M34" i="2"/>
  <c r="BP15" i="47"/>
  <c r="M15" i="36"/>
  <c r="P15" i="36" s="1"/>
  <c r="M77" i="2"/>
  <c r="M114" i="2"/>
  <c r="M20" i="36"/>
  <c r="P20" i="36" s="1"/>
  <c r="M88" i="2"/>
  <c r="M15" i="40"/>
  <c r="P15" i="40" s="1"/>
  <c r="M126" i="2"/>
  <c r="M18" i="38"/>
  <c r="P18" i="38" s="1"/>
  <c r="M68" i="2"/>
  <c r="M11" i="38"/>
  <c r="M6" i="44"/>
  <c r="M65" i="2"/>
  <c r="M10" i="2"/>
  <c r="M5" i="36"/>
  <c r="P5" i="36" s="1"/>
  <c r="M103" i="2"/>
  <c r="M14" i="38"/>
  <c r="P15" i="38" s="1"/>
  <c r="M10" i="37"/>
  <c r="M80" i="2"/>
  <c r="M12" i="36"/>
  <c r="P12" i="36" s="1"/>
  <c r="M45" i="2"/>
  <c r="M5" i="40"/>
  <c r="M6" i="2"/>
  <c r="M19" i="2"/>
  <c r="M4" i="40"/>
  <c r="M5" i="2"/>
  <c r="M3" i="44"/>
  <c r="M12" i="2"/>
  <c r="M10" i="40"/>
  <c r="M42" i="2"/>
  <c r="M4" i="38"/>
  <c r="M18" i="2"/>
  <c r="M6" i="37"/>
  <c r="M53" i="2"/>
  <c r="M92" i="2"/>
  <c r="M59" i="2"/>
  <c r="M66" i="2"/>
  <c r="M11" i="36"/>
  <c r="P11" i="36" s="1"/>
  <c r="M41" i="2"/>
  <c r="M12" i="38"/>
  <c r="M70" i="2"/>
  <c r="M5" i="41"/>
  <c r="M47" i="2"/>
  <c r="M4" i="44"/>
  <c r="M44" i="2"/>
  <c r="M35" i="2"/>
  <c r="M8" i="36"/>
  <c r="P8" i="36" s="1"/>
  <c r="M67" i="2"/>
  <c r="M3" i="41"/>
  <c r="M37" i="2"/>
  <c r="M3" i="39"/>
  <c r="M20" i="2"/>
  <c r="I120" i="2"/>
  <c r="BQ98" i="47"/>
  <c r="BP98" i="47"/>
  <c r="M38" i="2"/>
  <c r="M76" i="2"/>
  <c r="M112" i="2"/>
  <c r="M20" i="37"/>
  <c r="P21" i="37" s="1"/>
  <c r="M30" i="2"/>
  <c r="M5" i="44"/>
  <c r="M60" i="2"/>
  <c r="M28" i="2"/>
  <c r="M17" i="36"/>
  <c r="P17" i="36" s="1"/>
  <c r="M99" i="2"/>
  <c r="M13" i="40"/>
  <c r="M78" i="2"/>
  <c r="M82" i="2"/>
  <c r="M72" i="2"/>
  <c r="BP84" i="47"/>
  <c r="BP82" i="47"/>
  <c r="BQ102" i="47"/>
  <c r="BP43" i="47"/>
  <c r="M7" i="41"/>
  <c r="P7" i="41" s="1"/>
  <c r="M79" i="2"/>
  <c r="M4" i="37"/>
  <c r="M32" i="2"/>
  <c r="M6" i="41"/>
  <c r="M56" i="2"/>
  <c r="M55" i="2"/>
  <c r="M9" i="36"/>
  <c r="P9" i="36" s="1"/>
  <c r="M3" i="40"/>
  <c r="M3" i="2"/>
  <c r="M110" i="2"/>
  <c r="M52" i="2"/>
  <c r="M9" i="38"/>
  <c r="M15" i="37"/>
  <c r="P16" i="37" s="1"/>
  <c r="M95" i="2"/>
  <c r="M51" i="2"/>
  <c r="M4" i="39"/>
  <c r="M22" i="2"/>
  <c r="M6" i="42"/>
  <c r="M48" i="2"/>
  <c r="BP20" i="47"/>
  <c r="M18" i="40"/>
  <c r="P16" i="40" s="1"/>
  <c r="M116" i="2"/>
  <c r="BQ128" i="47"/>
  <c r="M7" i="36"/>
  <c r="P7" i="36" s="1"/>
  <c r="M39" i="2"/>
  <c r="M3" i="37"/>
  <c r="M9" i="2"/>
  <c r="M19" i="36"/>
  <c r="P19" i="36" s="1"/>
  <c r="M117" i="2"/>
  <c r="M9" i="37"/>
  <c r="M63" i="2"/>
  <c r="M8" i="40"/>
  <c r="M11" i="2"/>
  <c r="BP39" i="47"/>
  <c r="BP50" i="47"/>
  <c r="BP30" i="47"/>
  <c r="BP32" i="47"/>
  <c r="M10" i="36"/>
  <c r="P10" i="36" s="1"/>
  <c r="M40" i="2"/>
  <c r="M27" i="2"/>
  <c r="M5" i="38"/>
  <c r="M26" i="2"/>
  <c r="M4" i="46"/>
  <c r="M86" i="2"/>
  <c r="M98" i="2"/>
  <c r="M16" i="36"/>
  <c r="P16" i="36" s="1"/>
  <c r="M6" i="40"/>
  <c r="M14" i="2"/>
  <c r="M85" i="2"/>
  <c r="P9" i="43"/>
  <c r="M7" i="2"/>
  <c r="M18" i="37"/>
  <c r="M107" i="2"/>
  <c r="M8" i="38"/>
  <c r="M50" i="2"/>
  <c r="M4" i="2"/>
  <c r="BP132" i="47"/>
  <c r="M4" i="36"/>
  <c r="P4" i="36" s="1"/>
  <c r="M8" i="2"/>
  <c r="BP117" i="47"/>
  <c r="BP18" i="47"/>
  <c r="BP79" i="47"/>
  <c r="BP21" i="47"/>
  <c r="BQ135" i="47"/>
  <c r="BP64" i="47"/>
  <c r="BQ106" i="47"/>
  <c r="M14" i="37"/>
  <c r="M94" i="2"/>
  <c r="M7" i="37"/>
  <c r="M58" i="2"/>
  <c r="M33" i="2"/>
  <c r="M46" i="2"/>
  <c r="M5" i="37"/>
  <c r="M31" i="2"/>
  <c r="M6" i="38"/>
  <c r="M13" i="2"/>
  <c r="M3" i="36"/>
  <c r="BP130" i="47"/>
  <c r="BP60" i="47"/>
  <c r="BP48" i="47"/>
  <c r="M21" i="2"/>
  <c r="M6" i="36"/>
  <c r="P6" i="36" s="1"/>
  <c r="BP122" i="47"/>
  <c r="BP73" i="47"/>
  <c r="BQ124" i="47"/>
  <c r="BP135" i="47"/>
  <c r="M18" i="36"/>
  <c r="P18" i="36" s="1"/>
  <c r="M115" i="2"/>
  <c r="M102" i="2"/>
  <c r="M5" i="46"/>
  <c r="M11" i="40"/>
  <c r="M57" i="2"/>
  <c r="BJ7" i="47"/>
  <c r="BJ31" i="47"/>
  <c r="I8" i="45" s="1"/>
  <c r="BJ33" i="47"/>
  <c r="BJ23" i="47"/>
  <c r="BJ5" i="47"/>
  <c r="I132" i="2" s="1"/>
  <c r="BI30" i="47"/>
  <c r="BI47" i="47"/>
  <c r="BJ20" i="47"/>
  <c r="BJ26" i="47"/>
  <c r="BJ25" i="47"/>
  <c r="P62" i="2" l="1"/>
  <c r="M1" i="2"/>
  <c r="P5" i="43"/>
  <c r="P9" i="45"/>
  <c r="P5" i="46"/>
  <c r="P4" i="46"/>
  <c r="M1" i="46"/>
  <c r="P7" i="45"/>
  <c r="P16" i="43"/>
  <c r="P18" i="40"/>
  <c r="M1" i="36"/>
  <c r="N24" i="36" s="1"/>
  <c r="M1" i="38"/>
  <c r="N15" i="38" s="1"/>
  <c r="M1" i="37"/>
  <c r="N19" i="37" s="1"/>
  <c r="BQ43" i="47"/>
  <c r="I136" i="2"/>
  <c r="P5" i="44"/>
  <c r="M1" i="40"/>
  <c r="P13" i="43"/>
  <c r="P7" i="44"/>
  <c r="P6" i="44"/>
  <c r="P4" i="44"/>
  <c r="P4" i="45"/>
  <c r="P5" i="45"/>
  <c r="P7" i="43"/>
  <c r="P7" i="42"/>
  <c r="P11" i="42"/>
  <c r="P8" i="41"/>
  <c r="P10" i="41"/>
  <c r="P17" i="40"/>
  <c r="P116" i="2"/>
  <c r="P115" i="2"/>
  <c r="P14" i="37"/>
  <c r="P20" i="37"/>
  <c r="P18" i="37"/>
  <c r="P8" i="37"/>
  <c r="P3" i="36"/>
  <c r="P11" i="37"/>
  <c r="P10" i="37"/>
  <c r="P6" i="41"/>
  <c r="P3" i="41"/>
  <c r="P8" i="42"/>
  <c r="M1" i="42"/>
  <c r="N10" i="42" s="1"/>
  <c r="P12" i="42"/>
  <c r="I106" i="2"/>
  <c r="I10" i="42"/>
  <c r="P5" i="41"/>
  <c r="P4" i="41"/>
  <c r="I101" i="2"/>
  <c r="I11" i="45"/>
  <c r="P3" i="44"/>
  <c r="I6" i="46"/>
  <c r="I54" i="2"/>
  <c r="I10" i="43"/>
  <c r="P3" i="42"/>
  <c r="P9" i="42"/>
  <c r="P4" i="42"/>
  <c r="P10" i="42"/>
  <c r="P6" i="42"/>
  <c r="P4" i="43"/>
  <c r="P3" i="43"/>
  <c r="P10" i="43"/>
  <c r="P5" i="37"/>
  <c r="P6" i="43"/>
  <c r="I36" i="2"/>
  <c r="P8" i="43"/>
  <c r="P11" i="43"/>
  <c r="P12" i="43"/>
  <c r="P14" i="43"/>
  <c r="P13" i="37"/>
  <c r="P3" i="37"/>
  <c r="P3" i="46"/>
  <c r="I23" i="37"/>
  <c r="I104" i="2"/>
  <c r="I17" i="37"/>
  <c r="M1" i="44"/>
  <c r="P19" i="37"/>
  <c r="P9" i="37"/>
  <c r="P15" i="37"/>
  <c r="P17" i="37"/>
  <c r="P7" i="37"/>
  <c r="P6" i="37"/>
  <c r="P4" i="37"/>
  <c r="P12" i="37"/>
  <c r="BQ32" i="47"/>
  <c r="BQ7" i="47"/>
  <c r="BQ31" i="47"/>
  <c r="I21" i="40"/>
  <c r="I66" i="2"/>
  <c r="I11" i="36"/>
  <c r="I13" i="36"/>
  <c r="I73" i="2"/>
  <c r="BQ5" i="47"/>
  <c r="BQ23" i="47"/>
  <c r="BQ33" i="47"/>
  <c r="BQ25" i="47"/>
  <c r="BQ26" i="47"/>
  <c r="BQ20" i="47"/>
  <c r="BI36" i="47"/>
  <c r="BJ36" i="47" s="1"/>
  <c r="I3" i="45" s="1"/>
  <c r="BJ47" i="47"/>
  <c r="BI24" i="47"/>
  <c r="BI4" i="47"/>
  <c r="BJ4" i="47" s="1"/>
  <c r="BI22" i="47"/>
  <c r="BJ22" i="47" s="1"/>
  <c r="BJ30" i="47"/>
  <c r="BI13" i="47"/>
  <c r="BJ13" i="47" s="1"/>
  <c r="I4" i="42" s="1"/>
  <c r="BI59" i="47"/>
  <c r="BJ59" i="47" s="1"/>
  <c r="I11" i="43" s="1"/>
  <c r="N135" i="2" l="1"/>
  <c r="N129" i="2"/>
  <c r="N128" i="2"/>
  <c r="N62" i="2"/>
  <c r="N16" i="2"/>
  <c r="N24" i="2"/>
  <c r="N23" i="36"/>
  <c r="N22" i="36"/>
  <c r="N12" i="40"/>
  <c r="N20" i="40"/>
  <c r="N16" i="38"/>
  <c r="N17" i="38"/>
  <c r="N17" i="40"/>
  <c r="N19" i="40"/>
  <c r="N7" i="40"/>
  <c r="N21" i="36"/>
  <c r="N25" i="36"/>
  <c r="N61" i="2"/>
  <c r="N105" i="2"/>
  <c r="N109" i="2"/>
  <c r="N108" i="2"/>
  <c r="N122" i="2"/>
  <c r="N123" i="2"/>
  <c r="N125" i="2"/>
  <c r="N121" i="2"/>
  <c r="N124" i="2"/>
  <c r="N16" i="40"/>
  <c r="N97" i="2"/>
  <c r="N118" i="2"/>
  <c r="N96" i="2"/>
  <c r="N84" i="2"/>
  <c r="N100" i="2"/>
  <c r="N89" i="2"/>
  <c r="N119" i="2"/>
  <c r="N111" i="2"/>
  <c r="N91" i="2"/>
  <c r="I27" i="2"/>
  <c r="I33" i="2"/>
  <c r="I5" i="46"/>
  <c r="I102" i="2"/>
  <c r="I59" i="2"/>
  <c r="I15" i="40"/>
  <c r="I88" i="2"/>
  <c r="I77" i="2"/>
  <c r="I15" i="36"/>
  <c r="I9" i="36"/>
  <c r="I55" i="2"/>
  <c r="BQ30" i="47"/>
  <c r="BQ36" i="47"/>
  <c r="BQ47" i="47"/>
  <c r="BQ59" i="47"/>
  <c r="BQ13" i="47"/>
  <c r="BQ4" i="47"/>
  <c r="BQ22" i="47"/>
  <c r="BJ24" i="47"/>
  <c r="BI105" i="47"/>
  <c r="BI103" i="47"/>
  <c r="BJ103" i="47" s="1"/>
  <c r="I24" i="36" s="1"/>
  <c r="BI86" i="47"/>
  <c r="BJ86" i="47" s="1"/>
  <c r="BI54" i="47"/>
  <c r="BI83" i="47"/>
  <c r="BI46" i="47"/>
  <c r="BI19" i="47"/>
  <c r="BI61" i="47"/>
  <c r="BI63" i="47"/>
  <c r="BJ63" i="47" s="1"/>
  <c r="BI38" i="47"/>
  <c r="BI41" i="47"/>
  <c r="BI79" i="47"/>
  <c r="BJ79" i="47" s="1"/>
  <c r="BI39" i="47"/>
  <c r="BI3" i="47"/>
  <c r="BI6" i="47"/>
  <c r="BI88" i="47"/>
  <c r="BI77" i="47"/>
  <c r="BI78" i="47"/>
  <c r="BJ78" i="47" s="1"/>
  <c r="BI95" i="47"/>
  <c r="BI80" i="47"/>
  <c r="BJ80" i="47" s="1"/>
  <c r="BI70" i="47"/>
  <c r="BI29" i="47"/>
  <c r="BI49" i="47"/>
  <c r="BJ49" i="47" s="1"/>
  <c r="I16" i="43" s="1"/>
  <c r="BI75" i="47"/>
  <c r="BJ75" i="47" s="1"/>
  <c r="I7" i="42" s="1"/>
  <c r="BI69" i="47"/>
  <c r="BI28" i="47"/>
  <c r="BJ28" i="47" s="1"/>
  <c r="I5" i="42" s="1"/>
  <c r="BI35" i="47"/>
  <c r="BI10" i="47"/>
  <c r="BI51" i="47"/>
  <c r="BI85" i="47"/>
  <c r="BJ85" i="47" s="1"/>
  <c r="BI84" i="47"/>
  <c r="BI27" i="47"/>
  <c r="BI11" i="47"/>
  <c r="BI91" i="47"/>
  <c r="BJ91" i="47" s="1"/>
  <c r="I7" i="45" s="1"/>
  <c r="BI94" i="47"/>
  <c r="BJ94" i="47" s="1"/>
  <c r="BI65" i="47"/>
  <c r="BJ65" i="47" s="1"/>
  <c r="BI2" i="47"/>
  <c r="BI48" i="47"/>
  <c r="BI87" i="47"/>
  <c r="BI64" i="47"/>
  <c r="BJ64" i="47" s="1"/>
  <c r="I9" i="43" s="1"/>
  <c r="BI17" i="47"/>
  <c r="BI18" i="47"/>
  <c r="BJ18" i="47" s="1"/>
  <c r="BI44" i="47"/>
  <c r="BJ44" i="47" s="1"/>
  <c r="BI56" i="47"/>
  <c r="BI53" i="47"/>
  <c r="BJ53" i="47" s="1"/>
  <c r="BI89" i="47"/>
  <c r="BJ89" i="47" s="1"/>
  <c r="BI90" i="47"/>
  <c r="BJ90" i="47" s="1"/>
  <c r="BI93" i="47"/>
  <c r="BI71" i="47"/>
  <c r="BJ71" i="47" s="1"/>
  <c r="I4" i="45" s="1"/>
  <c r="BI8" i="47"/>
  <c r="BI92" i="47"/>
  <c r="BJ92" i="47" s="1"/>
  <c r="I3" i="42" s="1"/>
  <c r="BI60" i="47"/>
  <c r="BI82" i="47"/>
  <c r="BJ82" i="47" s="1"/>
  <c r="I9" i="42" s="1"/>
  <c r="BI67" i="47"/>
  <c r="BI55" i="47"/>
  <c r="BJ55" i="47" s="1"/>
  <c r="I4" i="43" s="1"/>
  <c r="BI50" i="47"/>
  <c r="BI81" i="47"/>
  <c r="BJ81" i="47" s="1"/>
  <c r="BI12" i="47"/>
  <c r="BI66" i="47"/>
  <c r="BI72" i="47"/>
  <c r="BI73" i="47"/>
  <c r="BI57" i="47"/>
  <c r="BJ57" i="47" s="1"/>
  <c r="BI45" i="47"/>
  <c r="BI21" i="47"/>
  <c r="BI96" i="47"/>
  <c r="BI14" i="47"/>
  <c r="BJ14" i="47" s="1"/>
  <c r="BI52" i="47"/>
  <c r="BJ52" i="47" s="1"/>
  <c r="BI74" i="47"/>
  <c r="BI58" i="47"/>
  <c r="BJ58" i="47" s="1"/>
  <c r="BI40" i="47"/>
  <c r="I7" i="40"/>
  <c r="BI34" i="47"/>
  <c r="BJ34" i="47" s="1"/>
  <c r="BI15" i="47"/>
  <c r="BJ15" i="47" s="1"/>
  <c r="I108" i="2" l="1"/>
  <c r="I130" i="2"/>
  <c r="I17" i="2"/>
  <c r="I7" i="38"/>
  <c r="I49" i="2"/>
  <c r="I14" i="40"/>
  <c r="I87" i="2"/>
  <c r="BQ103" i="47"/>
  <c r="I113" i="2"/>
  <c r="I4" i="38"/>
  <c r="I18" i="2"/>
  <c r="I41" i="2"/>
  <c r="I38" i="2"/>
  <c r="I94" i="2"/>
  <c r="I14" i="37"/>
  <c r="I92" i="2"/>
  <c r="I81" i="2"/>
  <c r="I5" i="41"/>
  <c r="I47" i="2"/>
  <c r="I110" i="2"/>
  <c r="I4" i="2"/>
  <c r="I4" i="39"/>
  <c r="I51" i="2"/>
  <c r="I10" i="36"/>
  <c r="I40" i="2"/>
  <c r="I10" i="38"/>
  <c r="I64" i="2"/>
  <c r="I29" i="2"/>
  <c r="I34" i="2"/>
  <c r="I4" i="37"/>
  <c r="I32" i="2"/>
  <c r="I50" i="2"/>
  <c r="I8" i="38"/>
  <c r="I7" i="37"/>
  <c r="I58" i="2"/>
  <c r="I6" i="38"/>
  <c r="I31" i="2"/>
  <c r="I7" i="44"/>
  <c r="I69" i="2"/>
  <c r="I11" i="40"/>
  <c r="I57" i="2"/>
  <c r="I12" i="38"/>
  <c r="I70" i="2"/>
  <c r="I90" i="2"/>
  <c r="I12" i="37"/>
  <c r="I9" i="38"/>
  <c r="I52" i="2"/>
  <c r="I5" i="44"/>
  <c r="I60" i="2"/>
  <c r="I4" i="44"/>
  <c r="I44" i="2"/>
  <c r="I9" i="37"/>
  <c r="I63" i="2"/>
  <c r="I8" i="37"/>
  <c r="I62" i="2"/>
  <c r="BQ78" i="47"/>
  <c r="BQ57" i="47"/>
  <c r="BQ34" i="47"/>
  <c r="BQ71" i="47"/>
  <c r="BQ42" i="47"/>
  <c r="BQ58" i="47"/>
  <c r="BQ52" i="47"/>
  <c r="BQ91" i="47"/>
  <c r="BQ14" i="47"/>
  <c r="BQ55" i="47"/>
  <c r="BQ18" i="47"/>
  <c r="BQ79" i="47"/>
  <c r="BQ82" i="47"/>
  <c r="BQ85" i="47"/>
  <c r="BQ80" i="47"/>
  <c r="BQ28" i="47"/>
  <c r="BQ94" i="47"/>
  <c r="BQ53" i="47"/>
  <c r="BQ49" i="47"/>
  <c r="BQ44" i="47"/>
  <c r="BQ24" i="47"/>
  <c r="BQ90" i="47"/>
  <c r="BQ65" i="47"/>
  <c r="BQ89" i="47"/>
  <c r="BQ81" i="47"/>
  <c r="BQ75" i="47"/>
  <c r="BQ86" i="47"/>
  <c r="BQ15" i="47"/>
  <c r="BQ92" i="47"/>
  <c r="BQ64" i="47"/>
  <c r="BQ63" i="47"/>
  <c r="BJ61" i="47"/>
  <c r="BJ67" i="47"/>
  <c r="I5" i="43" s="1"/>
  <c r="BJ93" i="47"/>
  <c r="BJ21" i="47"/>
  <c r="BJ83" i="47"/>
  <c r="I13" i="45" s="1"/>
  <c r="BJ50" i="47"/>
  <c r="BJ87" i="47"/>
  <c r="I14" i="43" s="1"/>
  <c r="BJ27" i="47"/>
  <c r="BJ38" i="47"/>
  <c r="BJ48" i="47"/>
  <c r="BJ84" i="47"/>
  <c r="BJ105" i="47"/>
  <c r="BJ6" i="47"/>
  <c r="BJ45" i="47"/>
  <c r="I8" i="42" s="1"/>
  <c r="BJ19" i="47"/>
  <c r="BJ54" i="47"/>
  <c r="BJ40" i="47"/>
  <c r="BJ60" i="47"/>
  <c r="I135" i="2" s="1"/>
  <c r="BJ8" i="47"/>
  <c r="BJ17" i="47"/>
  <c r="I3" i="43" s="1"/>
  <c r="BJ2" i="47"/>
  <c r="BJ11" i="47"/>
  <c r="I12" i="40" s="1"/>
  <c r="BJ51" i="47"/>
  <c r="BJ10" i="47"/>
  <c r="BJ35" i="47"/>
  <c r="I133" i="2" s="1"/>
  <c r="BJ70" i="47"/>
  <c r="BJ95" i="47"/>
  <c r="BJ88" i="47"/>
  <c r="BJ39" i="47"/>
  <c r="I13" i="43" s="1"/>
  <c r="BJ46" i="47"/>
  <c r="BJ66" i="47"/>
  <c r="BJ12" i="47"/>
  <c r="I12" i="43" s="1"/>
  <c r="BJ56" i="47"/>
  <c r="BJ77" i="47"/>
  <c r="BJ41" i="47"/>
  <c r="BJ73" i="47"/>
  <c r="BJ74" i="47"/>
  <c r="I134" i="2" s="1"/>
  <c r="BJ96" i="47"/>
  <c r="I5" i="45" s="1"/>
  <c r="BJ72" i="47"/>
  <c r="BJ69" i="47"/>
  <c r="I9" i="45" s="1"/>
  <c r="BJ29" i="47"/>
  <c r="I12" i="42" s="1"/>
  <c r="BJ3" i="47"/>
  <c r="I129" i="2" l="1"/>
  <c r="I128" i="2"/>
  <c r="I8" i="43"/>
  <c r="BQ41" i="47"/>
  <c r="I11" i="41"/>
  <c r="I25" i="2"/>
  <c r="I7" i="2"/>
  <c r="I82" i="2"/>
  <c r="I30" i="2"/>
  <c r="I72" i="2"/>
  <c r="I131" i="2"/>
  <c r="I74" i="2"/>
  <c r="I85" i="2"/>
  <c r="I3" i="46"/>
  <c r="I75" i="2"/>
  <c r="I3" i="44"/>
  <c r="I12" i="2"/>
  <c r="I86" i="2"/>
  <c r="I4" i="46"/>
  <c r="I13" i="37"/>
  <c r="I93" i="2"/>
  <c r="I4" i="41"/>
  <c r="I43" i="2"/>
  <c r="I16" i="36"/>
  <c r="I98" i="2"/>
  <c r="I7" i="43"/>
  <c r="I23" i="2"/>
  <c r="I22" i="37"/>
  <c r="I67" i="2"/>
  <c r="I6" i="42"/>
  <c r="I1" i="42" s="1"/>
  <c r="I48" i="2"/>
  <c r="I11" i="37"/>
  <c r="I83" i="2"/>
  <c r="I18" i="37"/>
  <c r="I107" i="2"/>
  <c r="I6" i="40"/>
  <c r="I14" i="2"/>
  <c r="I71" i="2"/>
  <c r="I14" i="36"/>
  <c r="I14" i="38"/>
  <c r="I103" i="2"/>
  <c r="I10" i="40"/>
  <c r="I42" i="2"/>
  <c r="I13" i="40"/>
  <c r="I78" i="2"/>
  <c r="I19" i="36"/>
  <c r="I117" i="2"/>
  <c r="I15" i="37"/>
  <c r="I95" i="2"/>
  <c r="I19" i="2"/>
  <c r="I80" i="2"/>
  <c r="I10" i="37"/>
  <c r="I17" i="36"/>
  <c r="I99" i="2"/>
  <c r="I6" i="37"/>
  <c r="I53" i="2"/>
  <c r="I3" i="41"/>
  <c r="I37" i="2"/>
  <c r="I26" i="2"/>
  <c r="I5" i="38"/>
  <c r="I7" i="41"/>
  <c r="I79" i="2"/>
  <c r="I11" i="38"/>
  <c r="I68" i="2"/>
  <c r="I76" i="2"/>
  <c r="I10" i="41"/>
  <c r="I6" i="44"/>
  <c r="I65" i="2"/>
  <c r="I46" i="2"/>
  <c r="I5" i="37"/>
  <c r="I3" i="39"/>
  <c r="I20" i="2"/>
  <c r="BQ73" i="47"/>
  <c r="BQ35" i="47"/>
  <c r="BQ45" i="47"/>
  <c r="BQ21" i="47"/>
  <c r="BQ10" i="47"/>
  <c r="BQ67" i="47"/>
  <c r="BQ93" i="47"/>
  <c r="BQ12" i="47"/>
  <c r="BQ2" i="47"/>
  <c r="BQ48" i="47"/>
  <c r="BQ83" i="47"/>
  <c r="BQ51" i="47"/>
  <c r="BQ11" i="47"/>
  <c r="BQ84" i="47"/>
  <c r="BQ3" i="47"/>
  <c r="BQ8" i="47"/>
  <c r="BQ38" i="47"/>
  <c r="BQ77" i="47"/>
  <c r="BQ105" i="47"/>
  <c r="BQ56" i="47"/>
  <c r="BQ46" i="47"/>
  <c r="BQ74" i="47"/>
  <c r="BQ66" i="47"/>
  <c r="BQ69" i="47"/>
  <c r="BQ39" i="47"/>
  <c r="BQ40" i="47"/>
  <c r="BQ27" i="47"/>
  <c r="BQ70" i="47"/>
  <c r="BQ6" i="47"/>
  <c r="BQ61" i="47"/>
  <c r="BQ29" i="47"/>
  <c r="BQ60" i="47"/>
  <c r="BQ72" i="47"/>
  <c r="BQ88" i="47"/>
  <c r="BQ87" i="47"/>
  <c r="BQ17" i="47"/>
  <c r="BQ54" i="47"/>
  <c r="BQ96" i="47"/>
  <c r="BQ95" i="47"/>
  <c r="BQ19" i="47"/>
  <c r="BQ50" i="47"/>
  <c r="I1" i="2" l="1"/>
  <c r="I1" i="40"/>
  <c r="I1" i="36"/>
  <c r="I1" i="37"/>
  <c r="O2" i="44"/>
  <c r="M2" i="44"/>
  <c r="O2" i="45"/>
  <c r="M2" i="45"/>
  <c r="M2" i="43"/>
  <c r="M2" i="42"/>
  <c r="M2" i="40"/>
  <c r="M2" i="39"/>
  <c r="O2" i="38"/>
  <c r="M2" i="38"/>
  <c r="O2" i="41"/>
  <c r="M2" i="41"/>
  <c r="O2" i="37"/>
  <c r="M2" i="37"/>
  <c r="O2" i="36"/>
  <c r="M2" i="36"/>
  <c r="P112" i="2" l="1"/>
  <c r="P113" i="2" l="1"/>
  <c r="P14" i="38" l="1"/>
  <c r="P12" i="40" l="1"/>
  <c r="J1" i="39" l="1"/>
  <c r="P7" i="40" l="1"/>
  <c r="P14" i="40"/>
  <c r="P13" i="38"/>
  <c r="P4" i="40"/>
  <c r="I1" i="39"/>
  <c r="P8" i="40"/>
  <c r="P5" i="40"/>
  <c r="P9" i="40"/>
  <c r="P110" i="2"/>
  <c r="P107" i="2"/>
  <c r="P104" i="2"/>
  <c r="P102" i="2"/>
  <c r="P3" i="2"/>
  <c r="P98" i="2"/>
  <c r="P99" i="2"/>
  <c r="P3" i="40"/>
  <c r="O3" i="34"/>
  <c r="O4" i="34"/>
  <c r="O5" i="34"/>
  <c r="O6" i="34"/>
  <c r="O7" i="34"/>
  <c r="O8" i="34"/>
  <c r="O9" i="34"/>
  <c r="O10" i="34"/>
  <c r="O11" i="34"/>
  <c r="O12" i="34"/>
  <c r="O13" i="34"/>
  <c r="O14" i="34"/>
  <c r="O15" i="34"/>
  <c r="O16" i="34"/>
  <c r="O17" i="34"/>
  <c r="O18" i="34"/>
  <c r="O19" i="34"/>
  <c r="O20" i="34"/>
  <c r="O21" i="34"/>
  <c r="O22" i="34"/>
  <c r="O23" i="34"/>
  <c r="O24" i="34"/>
  <c r="O25" i="34"/>
  <c r="O26" i="34"/>
  <c r="O27" i="34"/>
  <c r="O28" i="34"/>
  <c r="O29" i="34"/>
  <c r="O30" i="34"/>
  <c r="O31" i="34"/>
  <c r="O32" i="34"/>
  <c r="O33" i="34"/>
  <c r="O34" i="34"/>
  <c r="O35" i="34"/>
  <c r="O36" i="34"/>
  <c r="O37" i="34"/>
  <c r="O38" i="34"/>
  <c r="O39" i="34"/>
  <c r="O40" i="34"/>
  <c r="O41" i="34"/>
  <c r="O42" i="34"/>
  <c r="O43" i="34"/>
  <c r="O44" i="34"/>
  <c r="O45" i="34"/>
  <c r="O46" i="34"/>
  <c r="O47" i="34"/>
  <c r="O48" i="34"/>
  <c r="O49" i="34"/>
  <c r="O50" i="34"/>
  <c r="O51" i="34"/>
  <c r="O52" i="34"/>
  <c r="O53" i="34"/>
  <c r="O54" i="34"/>
  <c r="O55" i="34"/>
  <c r="O56" i="34"/>
  <c r="O57" i="34"/>
  <c r="O58" i="34"/>
  <c r="O59" i="34"/>
  <c r="O60" i="34"/>
  <c r="O61" i="34"/>
  <c r="O62" i="34"/>
  <c r="O63" i="34"/>
  <c r="O64" i="34"/>
  <c r="O65" i="34"/>
  <c r="O66" i="34"/>
  <c r="O67" i="34"/>
  <c r="O68" i="34"/>
  <c r="O69" i="34"/>
  <c r="O70" i="34"/>
  <c r="O71" i="34"/>
  <c r="O72" i="34"/>
  <c r="O73" i="34"/>
  <c r="O74" i="34"/>
  <c r="O75" i="34"/>
  <c r="O76" i="34"/>
  <c r="O77" i="34"/>
  <c r="O78" i="34"/>
  <c r="O79" i="34"/>
  <c r="O80" i="34"/>
  <c r="O81" i="34"/>
  <c r="O82" i="34"/>
  <c r="O83" i="34"/>
  <c r="O84" i="34"/>
  <c r="O85" i="34"/>
  <c r="O86" i="34"/>
  <c r="O87" i="34"/>
  <c r="O88" i="34"/>
  <c r="O89" i="34"/>
  <c r="O90" i="34"/>
  <c r="O91" i="34"/>
  <c r="O92" i="34"/>
  <c r="O93" i="34"/>
  <c r="O94" i="34"/>
  <c r="O95" i="34"/>
  <c r="O96" i="34"/>
  <c r="O97" i="34"/>
  <c r="O98" i="34"/>
  <c r="O99" i="34"/>
  <c r="O100" i="34"/>
  <c r="O101" i="34"/>
  <c r="O102" i="34"/>
  <c r="O103" i="34"/>
  <c r="O104" i="34"/>
  <c r="O2" i="34"/>
  <c r="P4" i="2" l="1"/>
  <c r="P103" i="2"/>
  <c r="P5" i="2"/>
  <c r="P10" i="40"/>
  <c r="P64" i="2"/>
  <c r="M1" i="39"/>
  <c r="P13" i="40"/>
  <c r="P11" i="40"/>
  <c r="P54" i="2"/>
  <c r="P109" i="2"/>
  <c r="P108" i="2"/>
  <c r="P97" i="2"/>
  <c r="P58" i="2"/>
  <c r="P65" i="2"/>
  <c r="P3" i="38"/>
  <c r="P90" i="2"/>
  <c r="P106" i="2"/>
  <c r="P111" i="2"/>
  <c r="P8" i="38"/>
  <c r="P69" i="2"/>
  <c r="P68" i="2"/>
  <c r="P73" i="2"/>
  <c r="P56" i="2"/>
  <c r="P94" i="2"/>
  <c r="P105" i="2"/>
  <c r="P100" i="2"/>
  <c r="P6" i="40"/>
  <c r="P80" i="2"/>
  <c r="P13" i="2"/>
  <c r="P16" i="2"/>
  <c r="P14" i="2"/>
  <c r="P55" i="2"/>
  <c r="P45" i="2"/>
  <c r="P77" i="2"/>
  <c r="P101" i="2"/>
  <c r="P44" i="2"/>
  <c r="P70" i="2"/>
  <c r="P51" i="2"/>
  <c r="P9" i="38"/>
  <c r="P72" i="2"/>
  <c r="P57" i="2"/>
  <c r="P22" i="2"/>
  <c r="P7" i="38"/>
  <c r="P35" i="2"/>
  <c r="P12" i="2"/>
  <c r="P34" i="2"/>
  <c r="P75" i="2"/>
  <c r="P15" i="2"/>
  <c r="N4" i="44" l="1"/>
  <c r="N7" i="44"/>
  <c r="N5" i="44"/>
  <c r="N6" i="44"/>
  <c r="N3" i="44"/>
  <c r="N3" i="39"/>
  <c r="N4" i="39"/>
  <c r="P95" i="2"/>
  <c r="P74" i="2"/>
  <c r="P114" i="2"/>
  <c r="P63" i="2"/>
  <c r="P20" i="2"/>
  <c r="P52" i="2"/>
  <c r="P38" i="2"/>
  <c r="P96" i="2"/>
  <c r="P50" i="2"/>
  <c r="P76" i="2"/>
  <c r="P6" i="2"/>
  <c r="P48" i="2"/>
  <c r="P47" i="2"/>
  <c r="P29" i="2"/>
  <c r="P33" i="2"/>
  <c r="P89" i="2"/>
  <c r="P93" i="2"/>
  <c r="P60" i="2"/>
  <c r="P61" i="2"/>
  <c r="P7" i="2"/>
  <c r="N13" i="38"/>
  <c r="P6" i="38"/>
  <c r="M1" i="41"/>
  <c r="M1" i="43"/>
  <c r="P25" i="2"/>
  <c r="P84" i="2"/>
  <c r="P81" i="2"/>
  <c r="P49" i="2"/>
  <c r="P46" i="2"/>
  <c r="P40" i="2"/>
  <c r="P4" i="39"/>
  <c r="P36" i="2"/>
  <c r="P67" i="2"/>
  <c r="P28" i="2"/>
  <c r="P21" i="2"/>
  <c r="P85" i="2"/>
  <c r="P91" i="2"/>
  <c r="P92" i="2"/>
  <c r="P27" i="2"/>
  <c r="P17" i="2"/>
  <c r="P8" i="2"/>
  <c r="P37" i="2"/>
  <c r="P10" i="2"/>
  <c r="N9" i="40"/>
  <c r="P10" i="38"/>
  <c r="P4" i="38"/>
  <c r="P9" i="2"/>
  <c r="P24" i="2"/>
  <c r="P86" i="2"/>
  <c r="P82" i="2"/>
  <c r="P30" i="2"/>
  <c r="P41" i="2"/>
  <c r="P43" i="2"/>
  <c r="P19" i="2"/>
  <c r="P83" i="2"/>
  <c r="P26" i="2"/>
  <c r="P11" i="2"/>
  <c r="P32" i="2"/>
  <c r="P42" i="2"/>
  <c r="P5" i="38"/>
  <c r="P87" i="2"/>
  <c r="P31" i="2"/>
  <c r="P12" i="38"/>
  <c r="P11" i="38"/>
  <c r="P39" i="2"/>
  <c r="P78" i="2"/>
  <c r="P79" i="2"/>
  <c r="P88" i="2"/>
  <c r="P23" i="2"/>
  <c r="P18" i="2"/>
  <c r="P3" i="39"/>
  <c r="P53" i="2"/>
  <c r="P59" i="2"/>
  <c r="P66" i="2"/>
  <c r="P71" i="2"/>
  <c r="N8" i="41" l="1"/>
  <c r="N9" i="41"/>
  <c r="N15" i="43"/>
  <c r="N16" i="37"/>
  <c r="N21" i="37"/>
  <c r="N8" i="42"/>
  <c r="N7" i="42"/>
  <c r="N5" i="42"/>
  <c r="N3" i="42"/>
  <c r="N9" i="42"/>
  <c r="N4" i="42"/>
  <c r="N8" i="43"/>
  <c r="N13" i="43"/>
  <c r="N11" i="43"/>
  <c r="N5" i="43"/>
  <c r="N6" i="43"/>
  <c r="N12" i="43"/>
  <c r="N9" i="43"/>
  <c r="N16" i="43"/>
  <c r="N4" i="43"/>
  <c r="N10" i="43"/>
  <c r="N14" i="43"/>
  <c r="N3" i="43"/>
  <c r="N17" i="37"/>
  <c r="N7" i="43"/>
  <c r="N6" i="42"/>
  <c r="N3" i="41"/>
  <c r="N7" i="41"/>
  <c r="N4" i="41"/>
  <c r="N5" i="41"/>
  <c r="N6" i="41"/>
  <c r="N3" i="40"/>
  <c r="N10" i="40"/>
  <c r="N13" i="40"/>
  <c r="N4" i="40"/>
  <c r="N18" i="40"/>
  <c r="N15" i="40"/>
  <c r="N14" i="40"/>
  <c r="N11" i="40"/>
  <c r="N8" i="40"/>
  <c r="N6" i="40"/>
  <c r="N5" i="40"/>
  <c r="N3" i="38"/>
  <c r="N7" i="38"/>
  <c r="N10" i="38"/>
  <c r="N8" i="38"/>
  <c r="N14" i="38"/>
  <c r="N5" i="38"/>
  <c r="N11" i="38"/>
  <c r="N6" i="38"/>
  <c r="N4" i="38"/>
  <c r="N9" i="38"/>
  <c r="N12" i="38"/>
  <c r="N3" i="37"/>
  <c r="N9" i="37"/>
  <c r="N14" i="37"/>
  <c r="N13" i="37"/>
  <c r="N20" i="37"/>
  <c r="N10" i="37"/>
  <c r="N8" i="37"/>
  <c r="N7" i="37"/>
  <c r="N18" i="37"/>
  <c r="N4" i="37"/>
  <c r="N15" i="37"/>
  <c r="N5" i="37"/>
  <c r="N6" i="37"/>
  <c r="N11" i="37"/>
  <c r="N12" i="37"/>
  <c r="N3" i="36"/>
  <c r="N17" i="36"/>
  <c r="N9" i="36"/>
  <c r="N10" i="36"/>
  <c r="N13" i="36"/>
  <c r="N4" i="36"/>
  <c r="N15" i="36"/>
  <c r="N14" i="36"/>
  <c r="N20" i="36"/>
  <c r="N16" i="36"/>
  <c r="N12" i="36"/>
  <c r="N11" i="36"/>
  <c r="N19" i="36"/>
  <c r="N18" i="36"/>
  <c r="N8" i="36"/>
  <c r="N5" i="36"/>
  <c r="N7" i="36"/>
  <c r="N6" i="36"/>
  <c r="N106" i="2"/>
  <c r="N104" i="2"/>
  <c r="N54" i="2"/>
  <c r="N36" i="2"/>
  <c r="N101" i="2"/>
  <c r="N107" i="2"/>
  <c r="N52" i="2"/>
  <c r="N90" i="2"/>
  <c r="N113" i="2"/>
  <c r="N95" i="2"/>
  <c r="I1" i="38"/>
  <c r="I1" i="41"/>
  <c r="I1" i="44"/>
  <c r="I1" i="43"/>
  <c r="N120" i="2"/>
  <c r="N114" i="2"/>
  <c r="N56" i="2"/>
  <c r="N103" i="2"/>
  <c r="N117" i="2"/>
  <c r="N86" i="2"/>
  <c r="N3" i="2"/>
  <c r="N76" i="2"/>
  <c r="N126" i="2"/>
  <c r="N94" i="2"/>
  <c r="N35" i="2"/>
  <c r="N39" i="2"/>
  <c r="N13" i="2"/>
  <c r="N48" i="2"/>
  <c r="N115" i="2"/>
  <c r="N45" i="2"/>
  <c r="N66" i="2"/>
  <c r="N77" i="2"/>
  <c r="N116" i="2"/>
  <c r="N75" i="2" l="1"/>
  <c r="N88" i="2"/>
  <c r="BG112" i="28"/>
  <c r="BG113" i="28"/>
  <c r="BF112" i="28"/>
  <c r="BF113" i="28"/>
  <c r="BE112" i="28"/>
  <c r="BE113" i="28"/>
  <c r="BD112" i="28"/>
  <c r="BD113" i="28"/>
  <c r="AT112" i="28"/>
  <c r="AT113" i="28"/>
  <c r="AS112" i="28"/>
  <c r="AS113" i="28"/>
  <c r="AR112" i="28"/>
  <c r="AR113" i="28"/>
  <c r="AQ112" i="28"/>
  <c r="AQ113" i="28"/>
  <c r="AP112" i="28"/>
  <c r="AP113" i="28"/>
  <c r="AI112" i="28"/>
  <c r="AJ112" i="28"/>
  <c r="AK112" i="28"/>
  <c r="AL112" i="28"/>
  <c r="AM112" i="28"/>
  <c r="AI113" i="28"/>
  <c r="AJ113" i="28"/>
  <c r="AK113" i="28"/>
  <c r="AL113" i="28"/>
  <c r="AM113" i="28"/>
  <c r="AF112" i="28"/>
  <c r="AF113" i="28"/>
  <c r="AC112" i="28"/>
  <c r="AC113" i="28"/>
  <c r="AB112" i="28"/>
  <c r="AB113" i="28"/>
  <c r="AA112" i="28"/>
  <c r="AA113" i="28"/>
  <c r="Z112" i="28"/>
  <c r="Z113" i="28"/>
  <c r="Y112" i="28"/>
  <c r="Y113" i="28"/>
  <c r="X112" i="28"/>
  <c r="X113" i="28"/>
  <c r="W112" i="28"/>
  <c r="W113" i="28"/>
  <c r="V112" i="28"/>
  <c r="V113" i="28"/>
  <c r="U112" i="28"/>
  <c r="U113" i="28"/>
  <c r="T112" i="28"/>
  <c r="T113" i="28"/>
  <c r="S112" i="28"/>
  <c r="S113" i="28"/>
  <c r="R112" i="28"/>
  <c r="R113" i="28"/>
  <c r="Q112" i="28"/>
  <c r="Q113" i="28"/>
  <c r="P112" i="28"/>
  <c r="P113" i="28"/>
  <c r="AE113" i="28"/>
  <c r="AE112" i="28"/>
  <c r="BG111" i="28"/>
  <c r="BF111" i="28"/>
  <c r="BE111" i="28"/>
  <c r="BD111" i="28"/>
  <c r="AT111" i="28"/>
  <c r="AS111" i="28"/>
  <c r="AR111" i="28"/>
  <c r="AQ111" i="28"/>
  <c r="AP111" i="28"/>
  <c r="AM111" i="28"/>
  <c r="AL111" i="28"/>
  <c r="AK111" i="28"/>
  <c r="AJ111" i="28"/>
  <c r="AI111" i="28"/>
  <c r="AF111" i="28"/>
  <c r="AE111" i="28"/>
  <c r="AC111" i="28"/>
  <c r="AB111" i="28"/>
  <c r="AA111" i="28"/>
  <c r="Z111" i="28"/>
  <c r="Y111" i="28"/>
  <c r="X111" i="28"/>
  <c r="W111" i="28"/>
  <c r="V111" i="28"/>
  <c r="U111" i="28"/>
  <c r="T111" i="28"/>
  <c r="S111" i="28"/>
  <c r="R111" i="28"/>
  <c r="Q111" i="28"/>
  <c r="P111" i="28"/>
  <c r="N111" i="28"/>
  <c r="BG110" i="28"/>
  <c r="BF110" i="28"/>
  <c r="BE110" i="28"/>
  <c r="BD110" i="28"/>
  <c r="AT110" i="28"/>
  <c r="AS110" i="28"/>
  <c r="AR110" i="28"/>
  <c r="AQ110" i="28"/>
  <c r="AP110" i="28"/>
  <c r="AM110" i="28"/>
  <c r="AL110" i="28"/>
  <c r="AK110" i="28"/>
  <c r="AJ110" i="28"/>
  <c r="AI110" i="28"/>
  <c r="AF110" i="28"/>
  <c r="AC110" i="28"/>
  <c r="AB110" i="28"/>
  <c r="AA110" i="28"/>
  <c r="Z110" i="28"/>
  <c r="Y110" i="28"/>
  <c r="X110" i="28"/>
  <c r="W110" i="28"/>
  <c r="V110" i="28"/>
  <c r="U110" i="28"/>
  <c r="T110" i="28"/>
  <c r="S110" i="28"/>
  <c r="R110" i="28"/>
  <c r="Q110" i="28"/>
  <c r="P110" i="28"/>
  <c r="N110" i="28"/>
  <c r="BG109" i="28"/>
  <c r="BF109" i="28"/>
  <c r="BE109" i="28"/>
  <c r="BD109" i="28"/>
  <c r="BA109" i="28"/>
  <c r="AZ109" i="28"/>
  <c r="AT109" i="28"/>
  <c r="AS109" i="28"/>
  <c r="AR109" i="28"/>
  <c r="AQ109" i="28"/>
  <c r="AP109" i="28"/>
  <c r="AO109" i="28"/>
  <c r="AN109" i="28"/>
  <c r="AM109" i="28"/>
  <c r="AL109" i="28"/>
  <c r="AK109" i="28"/>
  <c r="AJ109" i="28"/>
  <c r="AI109" i="28"/>
  <c r="AF109" i="28"/>
  <c r="AE109" i="28"/>
  <c r="AC109" i="28"/>
  <c r="AB109" i="28"/>
  <c r="AA109" i="28"/>
  <c r="Z109" i="28"/>
  <c r="Y109" i="28"/>
  <c r="X109" i="28"/>
  <c r="W109" i="28"/>
  <c r="V109" i="28"/>
  <c r="U109" i="28"/>
  <c r="T109" i="28"/>
  <c r="S109" i="28"/>
  <c r="R109" i="28"/>
  <c r="Q109" i="28"/>
  <c r="P109" i="28"/>
  <c r="N109" i="28"/>
  <c r="BG108" i="28"/>
  <c r="BF108" i="28"/>
  <c r="BE108" i="28"/>
  <c r="BD108" i="28"/>
  <c r="BC108" i="28"/>
  <c r="AT108" i="28"/>
  <c r="AS108" i="28"/>
  <c r="AR108" i="28"/>
  <c r="AQ108" i="28"/>
  <c r="AP108" i="28"/>
  <c r="AM108" i="28"/>
  <c r="AL108" i="28"/>
  <c r="AK108" i="28"/>
  <c r="AJ108" i="28"/>
  <c r="AI108" i="28"/>
  <c r="AF108" i="28"/>
  <c r="AC108" i="28"/>
  <c r="AB108" i="28"/>
  <c r="AA108" i="28"/>
  <c r="Z108" i="28"/>
  <c r="Y108" i="28"/>
  <c r="X108" i="28"/>
  <c r="W108" i="28"/>
  <c r="V108" i="28"/>
  <c r="U108" i="28"/>
  <c r="T108" i="28"/>
  <c r="S108" i="28"/>
  <c r="R108" i="28"/>
  <c r="Q108" i="28"/>
  <c r="P108" i="28"/>
  <c r="N108" i="28"/>
  <c r="BG107" i="28"/>
  <c r="BF107" i="28"/>
  <c r="BE107" i="28"/>
  <c r="BD107" i="28"/>
  <c r="AT107" i="28"/>
  <c r="AS107" i="28"/>
  <c r="AR107" i="28"/>
  <c r="AQ107" i="28"/>
  <c r="AP107" i="28"/>
  <c r="AO107" i="28"/>
  <c r="AN107" i="28"/>
  <c r="AM107" i="28"/>
  <c r="AL107" i="28"/>
  <c r="AK107" i="28"/>
  <c r="AJ107" i="28"/>
  <c r="AI107" i="28"/>
  <c r="AF107" i="28"/>
  <c r="AE107" i="28"/>
  <c r="AC107" i="28"/>
  <c r="AB107" i="28"/>
  <c r="AA107" i="28"/>
  <c r="Z107" i="28"/>
  <c r="Y107" i="28"/>
  <c r="X107" i="28"/>
  <c r="W107" i="28"/>
  <c r="V107" i="28"/>
  <c r="U107" i="28"/>
  <c r="T107" i="28"/>
  <c r="S107" i="28"/>
  <c r="R107" i="28"/>
  <c r="Q107" i="28"/>
  <c r="P107" i="28"/>
  <c r="N107" i="28"/>
  <c r="BG106" i="28"/>
  <c r="BF106" i="28"/>
  <c r="BE106" i="28"/>
  <c r="BD106" i="28"/>
  <c r="BC106" i="28"/>
  <c r="AT106" i="28"/>
  <c r="AS106" i="28"/>
  <c r="AR106" i="28"/>
  <c r="AQ106" i="28"/>
  <c r="AP106" i="28"/>
  <c r="AM106" i="28"/>
  <c r="AL106" i="28"/>
  <c r="AK106" i="28"/>
  <c r="AJ106" i="28"/>
  <c r="AI106" i="28"/>
  <c r="AF106" i="28"/>
  <c r="AC106" i="28"/>
  <c r="AB106" i="28"/>
  <c r="AA106" i="28"/>
  <c r="Z106" i="28"/>
  <c r="Y106" i="28"/>
  <c r="X106" i="28"/>
  <c r="W106" i="28"/>
  <c r="V106" i="28"/>
  <c r="U106" i="28"/>
  <c r="T106" i="28"/>
  <c r="S106" i="28"/>
  <c r="R106" i="28"/>
  <c r="Q106" i="28"/>
  <c r="P106" i="28"/>
  <c r="N106" i="28"/>
  <c r="BG105" i="28"/>
  <c r="BF105" i="28"/>
  <c r="BE105" i="28"/>
  <c r="BD105" i="28"/>
  <c r="AT105" i="28"/>
  <c r="AS105" i="28"/>
  <c r="AR105" i="28"/>
  <c r="AQ105" i="28"/>
  <c r="AP105" i="28"/>
  <c r="AO105" i="28"/>
  <c r="AN105" i="28"/>
  <c r="AM105" i="28"/>
  <c r="AL105" i="28"/>
  <c r="AK105" i="28"/>
  <c r="AJ105" i="28"/>
  <c r="AI105" i="28"/>
  <c r="AF105" i="28"/>
  <c r="AE105" i="28"/>
  <c r="AC105" i="28"/>
  <c r="AB105" i="28"/>
  <c r="AA105" i="28"/>
  <c r="Z105" i="28"/>
  <c r="Y105" i="28"/>
  <c r="X105" i="28"/>
  <c r="W105" i="28"/>
  <c r="V105" i="28"/>
  <c r="U105" i="28"/>
  <c r="T105" i="28"/>
  <c r="S105" i="28"/>
  <c r="R105" i="28"/>
  <c r="Q105" i="28"/>
  <c r="P105" i="28"/>
  <c r="N105" i="28"/>
  <c r="BG104" i="28"/>
  <c r="BF104" i="28"/>
  <c r="BE104" i="28"/>
  <c r="BD104" i="28"/>
  <c r="AT104" i="28"/>
  <c r="AS104" i="28"/>
  <c r="AR104" i="28"/>
  <c r="AQ104" i="28"/>
  <c r="AP104" i="28"/>
  <c r="AO104" i="28"/>
  <c r="AN104" i="28"/>
  <c r="AM104" i="28"/>
  <c r="AL104" i="28"/>
  <c r="AK104" i="28"/>
  <c r="AJ104" i="28"/>
  <c r="AI104" i="28"/>
  <c r="AF104" i="28"/>
  <c r="AE104" i="28"/>
  <c r="AC104" i="28"/>
  <c r="AB104" i="28"/>
  <c r="AA104" i="28"/>
  <c r="Z104" i="28"/>
  <c r="Y104" i="28"/>
  <c r="X104" i="28"/>
  <c r="W104" i="28"/>
  <c r="V104" i="28"/>
  <c r="U104" i="28"/>
  <c r="T104" i="28"/>
  <c r="S104" i="28"/>
  <c r="R104" i="28"/>
  <c r="Q104" i="28"/>
  <c r="P104" i="28"/>
  <c r="N104" i="28"/>
  <c r="BH103" i="28"/>
  <c r="AV103" i="28"/>
  <c r="AD103" i="28"/>
  <c r="BA103" i="28" s="1"/>
  <c r="BB103" i="28" s="1"/>
  <c r="BG102" i="28"/>
  <c r="BF102" i="28"/>
  <c r="BE102" i="28"/>
  <c r="BD102" i="28"/>
  <c r="BC102" i="28"/>
  <c r="AT102" i="28"/>
  <c r="AS102" i="28"/>
  <c r="AR102" i="28"/>
  <c r="AQ102" i="28"/>
  <c r="AP102" i="28"/>
  <c r="AM102" i="28"/>
  <c r="AL102" i="28"/>
  <c r="AK102" i="28"/>
  <c r="AJ102" i="28"/>
  <c r="AI102" i="28"/>
  <c r="AF102" i="28"/>
  <c r="AC102" i="28"/>
  <c r="AB102" i="28"/>
  <c r="AA102" i="28"/>
  <c r="Z102" i="28"/>
  <c r="Y102" i="28"/>
  <c r="X102" i="28"/>
  <c r="W102" i="28"/>
  <c r="V102" i="28"/>
  <c r="U102" i="28"/>
  <c r="T102" i="28"/>
  <c r="S102" i="28"/>
  <c r="R102" i="28"/>
  <c r="Q102" i="28"/>
  <c r="P102" i="28"/>
  <c r="N102" i="28"/>
  <c r="BG101" i="28"/>
  <c r="BF101" i="28"/>
  <c r="BE101" i="28"/>
  <c r="BD101" i="28"/>
  <c r="AT101" i="28"/>
  <c r="AS101" i="28"/>
  <c r="AR101" i="28"/>
  <c r="AQ101" i="28"/>
  <c r="AP101" i="28"/>
  <c r="AO101" i="28"/>
  <c r="AN101" i="28"/>
  <c r="AM101" i="28"/>
  <c r="AL101" i="28"/>
  <c r="AK101" i="28"/>
  <c r="AJ101" i="28"/>
  <c r="AI101" i="28"/>
  <c r="AF101" i="28"/>
  <c r="AE101" i="28"/>
  <c r="AC101" i="28"/>
  <c r="AB101" i="28"/>
  <c r="AA101" i="28"/>
  <c r="Z101" i="28"/>
  <c r="Y101" i="28"/>
  <c r="X101" i="28"/>
  <c r="W101" i="28"/>
  <c r="V101" i="28"/>
  <c r="U101" i="28"/>
  <c r="T101" i="28"/>
  <c r="S101" i="28"/>
  <c r="R101" i="28"/>
  <c r="Q101" i="28"/>
  <c r="P101" i="28"/>
  <c r="N101" i="28"/>
  <c r="BG100" i="28"/>
  <c r="BF100" i="28"/>
  <c r="BE100" i="28"/>
  <c r="BD100" i="28"/>
  <c r="AT100" i="28"/>
  <c r="AS100" i="28"/>
  <c r="AR100" i="28"/>
  <c r="AQ100" i="28"/>
  <c r="AP100" i="28"/>
  <c r="AO100" i="28"/>
  <c r="AN100" i="28"/>
  <c r="AM100" i="28"/>
  <c r="AL100" i="28"/>
  <c r="AK100" i="28"/>
  <c r="AJ100" i="28"/>
  <c r="AI100" i="28"/>
  <c r="AF100" i="28"/>
  <c r="AE100" i="28"/>
  <c r="AC100" i="28"/>
  <c r="AB100" i="28"/>
  <c r="AA100" i="28"/>
  <c r="Z100" i="28"/>
  <c r="Y100" i="28"/>
  <c r="X100" i="28"/>
  <c r="W100" i="28"/>
  <c r="V100" i="28"/>
  <c r="U100" i="28"/>
  <c r="T100" i="28"/>
  <c r="S100" i="28"/>
  <c r="R100" i="28"/>
  <c r="Q100" i="28"/>
  <c r="P100" i="28"/>
  <c r="N100" i="28"/>
  <c r="BG99" i="28"/>
  <c r="BF99" i="28"/>
  <c r="BE99" i="28"/>
  <c r="BD99" i="28"/>
  <c r="AT99" i="28"/>
  <c r="AS99" i="28"/>
  <c r="AR99" i="28"/>
  <c r="AQ99" i="28"/>
  <c r="AP99" i="28"/>
  <c r="AO99" i="28"/>
  <c r="AN99" i="28"/>
  <c r="AM99" i="28"/>
  <c r="AL99" i="28"/>
  <c r="AK99" i="28"/>
  <c r="AJ99" i="28"/>
  <c r="AI99" i="28"/>
  <c r="AF99" i="28"/>
  <c r="AE99" i="28"/>
  <c r="AC99" i="28"/>
  <c r="AB99" i="28"/>
  <c r="AA99" i="28"/>
  <c r="Z99" i="28"/>
  <c r="Y99" i="28"/>
  <c r="X99" i="28"/>
  <c r="W99" i="28"/>
  <c r="V99" i="28"/>
  <c r="U99" i="28"/>
  <c r="T99" i="28"/>
  <c r="S99" i="28"/>
  <c r="R99" i="28"/>
  <c r="Q99" i="28"/>
  <c r="P99" i="28"/>
  <c r="N99" i="28"/>
  <c r="BH98" i="28"/>
  <c r="AV98" i="28"/>
  <c r="O98" i="28"/>
  <c r="AD98" i="28" s="1"/>
  <c r="BH97" i="28"/>
  <c r="AV97" i="28"/>
  <c r="O97" i="28"/>
  <c r="AD97" i="28" s="1"/>
  <c r="BH96" i="28"/>
  <c r="AV96" i="28"/>
  <c r="O96" i="28"/>
  <c r="AD96" i="28" s="1"/>
  <c r="BA96" i="28" s="1"/>
  <c r="BB96" i="28" s="1"/>
  <c r="BH95" i="28"/>
  <c r="AV95" i="28"/>
  <c r="AD95" i="28"/>
  <c r="BA95" i="28" s="1"/>
  <c r="BB95" i="28" s="1"/>
  <c r="BH94" i="28"/>
  <c r="AV94" i="28"/>
  <c r="AD94" i="28"/>
  <c r="AZ94" i="28" s="1"/>
  <c r="BG93" i="28"/>
  <c r="BF93" i="28"/>
  <c r="BE93" i="28"/>
  <c r="BD93" i="28"/>
  <c r="AT93" i="28"/>
  <c r="AS93" i="28"/>
  <c r="AR93" i="28"/>
  <c r="AQ93" i="28"/>
  <c r="AP93" i="28"/>
  <c r="AO93" i="28"/>
  <c r="AN93" i="28"/>
  <c r="AM93" i="28"/>
  <c r="AL93" i="28"/>
  <c r="AK93" i="28"/>
  <c r="AJ93" i="28"/>
  <c r="AI93" i="28"/>
  <c r="AF93" i="28"/>
  <c r="AE93" i="28"/>
  <c r="AC93" i="28"/>
  <c r="AB93" i="28"/>
  <c r="AA93" i="28"/>
  <c r="Z93" i="28"/>
  <c r="Y93" i="28"/>
  <c r="X93" i="28"/>
  <c r="W93" i="28"/>
  <c r="V93" i="28"/>
  <c r="U93" i="28"/>
  <c r="T93" i="28"/>
  <c r="S93" i="28"/>
  <c r="R93" i="28"/>
  <c r="Q93" i="28"/>
  <c r="P93" i="28"/>
  <c r="N93" i="28"/>
  <c r="BG92" i="28"/>
  <c r="BF92" i="28"/>
  <c r="BE92" i="28"/>
  <c r="BD92" i="28"/>
  <c r="AT92" i="28"/>
  <c r="AS92" i="28"/>
  <c r="AR92" i="28"/>
  <c r="AQ92" i="28"/>
  <c r="AP92" i="28"/>
  <c r="AO92" i="28"/>
  <c r="AN92" i="28"/>
  <c r="AM92" i="28"/>
  <c r="AL92" i="28"/>
  <c r="AK92" i="28"/>
  <c r="AJ92" i="28"/>
  <c r="AI92" i="28"/>
  <c r="AF92" i="28"/>
  <c r="AE92" i="28"/>
  <c r="AC92" i="28"/>
  <c r="AB92" i="28"/>
  <c r="AA92" i="28"/>
  <c r="Z92" i="28"/>
  <c r="Y92" i="28"/>
  <c r="X92" i="28"/>
  <c r="W92" i="28"/>
  <c r="V92" i="28"/>
  <c r="U92" i="28"/>
  <c r="T92" i="28"/>
  <c r="S92" i="28"/>
  <c r="R92" i="28"/>
  <c r="Q92" i="28"/>
  <c r="P92" i="28"/>
  <c r="N92" i="28"/>
  <c r="BG91" i="28"/>
  <c r="BF91" i="28"/>
  <c r="BE91" i="28"/>
  <c r="BD91" i="28"/>
  <c r="AT91" i="28"/>
  <c r="AS91" i="28"/>
  <c r="AR91" i="28"/>
  <c r="AQ91" i="28"/>
  <c r="AP91" i="28"/>
  <c r="AO91" i="28"/>
  <c r="AN91" i="28"/>
  <c r="AM91" i="28"/>
  <c r="AL91" i="28"/>
  <c r="AK91" i="28"/>
  <c r="AJ91" i="28"/>
  <c r="AI91" i="28"/>
  <c r="AF91" i="28"/>
  <c r="AE91" i="28"/>
  <c r="AC91" i="28"/>
  <c r="AB91" i="28"/>
  <c r="AA91" i="28"/>
  <c r="Z91" i="28"/>
  <c r="Y91" i="28"/>
  <c r="X91" i="28"/>
  <c r="W91" i="28"/>
  <c r="V91" i="28"/>
  <c r="U91" i="28"/>
  <c r="T91" i="28"/>
  <c r="S91" i="28"/>
  <c r="R91" i="28"/>
  <c r="Q91" i="28"/>
  <c r="P91" i="28"/>
  <c r="N91" i="28"/>
  <c r="BG90" i="28"/>
  <c r="BF90" i="28"/>
  <c r="BE90" i="28"/>
  <c r="BD90" i="28"/>
  <c r="AT90" i="28"/>
  <c r="AS90" i="28"/>
  <c r="AR90" i="28"/>
  <c r="AQ90" i="28"/>
  <c r="AP90" i="28"/>
  <c r="AO90" i="28"/>
  <c r="AN90" i="28"/>
  <c r="AM90" i="28"/>
  <c r="AL90" i="28"/>
  <c r="AK90" i="28"/>
  <c r="AJ90" i="28"/>
  <c r="AI90" i="28"/>
  <c r="AF90" i="28"/>
  <c r="AE90" i="28"/>
  <c r="AC90" i="28"/>
  <c r="AB90" i="28"/>
  <c r="AA90" i="28"/>
  <c r="Z90" i="28"/>
  <c r="Y90" i="28"/>
  <c r="X90" i="28"/>
  <c r="W90" i="28"/>
  <c r="V90" i="28"/>
  <c r="U90" i="28"/>
  <c r="T90" i="28"/>
  <c r="S90" i="28"/>
  <c r="R90" i="28"/>
  <c r="Q90" i="28"/>
  <c r="P90" i="28"/>
  <c r="N90" i="28"/>
  <c r="BG89" i="28"/>
  <c r="BF89" i="28"/>
  <c r="BE89" i="28"/>
  <c r="BD89" i="28"/>
  <c r="AT89" i="28"/>
  <c r="AS89" i="28"/>
  <c r="AR89" i="28"/>
  <c r="AQ89" i="28"/>
  <c r="AP89" i="28"/>
  <c r="AO89" i="28"/>
  <c r="AN89" i="28"/>
  <c r="AM89" i="28"/>
  <c r="AL89" i="28"/>
  <c r="AK89" i="28"/>
  <c r="AJ89" i="28"/>
  <c r="AI89" i="28"/>
  <c r="AF89" i="28"/>
  <c r="AE89" i="28"/>
  <c r="AC89" i="28"/>
  <c r="AB89" i="28"/>
  <c r="AA89" i="28"/>
  <c r="Z89" i="28"/>
  <c r="Y89" i="28"/>
  <c r="X89" i="28"/>
  <c r="W89" i="28"/>
  <c r="V89" i="28"/>
  <c r="U89" i="28"/>
  <c r="T89" i="28"/>
  <c r="S89" i="28"/>
  <c r="R89" i="28"/>
  <c r="Q89" i="28"/>
  <c r="P89" i="28"/>
  <c r="N89" i="28"/>
  <c r="BG88" i="28"/>
  <c r="BF88" i="28"/>
  <c r="BE88" i="28"/>
  <c r="BD88" i="28"/>
  <c r="AT88" i="28"/>
  <c r="AS88" i="28"/>
  <c r="AR88" i="28"/>
  <c r="AQ88" i="28"/>
  <c r="AP88" i="28"/>
  <c r="AO88" i="28"/>
  <c r="AN88" i="28"/>
  <c r="AM88" i="28"/>
  <c r="AL88" i="28"/>
  <c r="AK88" i="28"/>
  <c r="AJ88" i="28"/>
  <c r="AI88" i="28"/>
  <c r="AF88" i="28"/>
  <c r="AE88" i="28"/>
  <c r="AC88" i="28"/>
  <c r="AB88" i="28"/>
  <c r="AA88" i="28"/>
  <c r="Z88" i="28"/>
  <c r="Y88" i="28"/>
  <c r="X88" i="28"/>
  <c r="W88" i="28"/>
  <c r="V88" i="28"/>
  <c r="U88" i="28"/>
  <c r="T88" i="28"/>
  <c r="S88" i="28"/>
  <c r="R88" i="28"/>
  <c r="Q88" i="28"/>
  <c r="P88" i="28"/>
  <c r="N88" i="28"/>
  <c r="BG87" i="28"/>
  <c r="BF87" i="28"/>
  <c r="BE87" i="28"/>
  <c r="BD87" i="28"/>
  <c r="BC87" i="28"/>
  <c r="AT87" i="28"/>
  <c r="AS87" i="28"/>
  <c r="AR87" i="28"/>
  <c r="AQ87" i="28"/>
  <c r="AP87" i="28"/>
  <c r="AM87" i="28"/>
  <c r="AL87" i="28"/>
  <c r="AK87" i="28"/>
  <c r="AJ87" i="28"/>
  <c r="AI87" i="28"/>
  <c r="AF87" i="28"/>
  <c r="AC87" i="28"/>
  <c r="AB87" i="28"/>
  <c r="AA87" i="28"/>
  <c r="Z87" i="28"/>
  <c r="Y87" i="28"/>
  <c r="X87" i="28"/>
  <c r="W87" i="28"/>
  <c r="V87" i="28"/>
  <c r="U87" i="28"/>
  <c r="T87" i="28"/>
  <c r="S87" i="28"/>
  <c r="R87" i="28"/>
  <c r="Q87" i="28"/>
  <c r="P87" i="28"/>
  <c r="N87" i="28"/>
  <c r="BG86" i="28"/>
  <c r="BF86" i="28"/>
  <c r="BE86" i="28"/>
  <c r="BD86" i="28"/>
  <c r="AT86" i="28"/>
  <c r="AS86" i="28"/>
  <c r="AR86" i="28"/>
  <c r="AQ86" i="28"/>
  <c r="AP86" i="28"/>
  <c r="AO86" i="28"/>
  <c r="AN86" i="28"/>
  <c r="AM86" i="28"/>
  <c r="AL86" i="28"/>
  <c r="AK86" i="28"/>
  <c r="AJ86" i="28"/>
  <c r="AI86" i="28"/>
  <c r="AF86" i="28"/>
  <c r="AE86" i="28"/>
  <c r="AC86" i="28"/>
  <c r="AB86" i="28"/>
  <c r="AA86" i="28"/>
  <c r="Z86" i="28"/>
  <c r="Y86" i="28"/>
  <c r="X86" i="28"/>
  <c r="W86" i="28"/>
  <c r="V86" i="28"/>
  <c r="U86" i="28"/>
  <c r="T86" i="28"/>
  <c r="S86" i="28"/>
  <c r="R86" i="28"/>
  <c r="Q86" i="28"/>
  <c r="P86" i="28"/>
  <c r="N86" i="28"/>
  <c r="BG85" i="28"/>
  <c r="BF85" i="28"/>
  <c r="BE85" i="28"/>
  <c r="BD85" i="28"/>
  <c r="BC85" i="28"/>
  <c r="AT85" i="28"/>
  <c r="AS85" i="28"/>
  <c r="AR85" i="28"/>
  <c r="AQ85" i="28"/>
  <c r="AP85" i="28"/>
  <c r="AM85" i="28"/>
  <c r="AL85" i="28"/>
  <c r="AK85" i="28"/>
  <c r="AJ85" i="28"/>
  <c r="AI85" i="28"/>
  <c r="AF85" i="28"/>
  <c r="AC85" i="28"/>
  <c r="AB85" i="28"/>
  <c r="AA85" i="28"/>
  <c r="Z85" i="28"/>
  <c r="Y85" i="28"/>
  <c r="X85" i="28"/>
  <c r="W85" i="28"/>
  <c r="V85" i="28"/>
  <c r="U85" i="28"/>
  <c r="T85" i="28"/>
  <c r="S85" i="28"/>
  <c r="R85" i="28"/>
  <c r="Q85" i="28"/>
  <c r="P85" i="28"/>
  <c r="N85" i="28"/>
  <c r="BG84" i="28"/>
  <c r="BF84" i="28"/>
  <c r="BE84" i="28"/>
  <c r="BD84" i="28"/>
  <c r="AT84" i="28"/>
  <c r="AS84" i="28"/>
  <c r="AR84" i="28"/>
  <c r="AQ84" i="28"/>
  <c r="AP84" i="28"/>
  <c r="AO84" i="28"/>
  <c r="AN84" i="28"/>
  <c r="AM84" i="28"/>
  <c r="AL84" i="28"/>
  <c r="AK84" i="28"/>
  <c r="AJ84" i="28"/>
  <c r="AI84" i="28"/>
  <c r="AF84" i="28"/>
  <c r="AE84" i="28"/>
  <c r="AC84" i="28"/>
  <c r="AB84" i="28"/>
  <c r="AA84" i="28"/>
  <c r="Z84" i="28"/>
  <c r="Y84" i="28"/>
  <c r="X84" i="28"/>
  <c r="W84" i="28"/>
  <c r="V84" i="28"/>
  <c r="U84" i="28"/>
  <c r="T84" i="28"/>
  <c r="S84" i="28"/>
  <c r="R84" i="28"/>
  <c r="Q84" i="28"/>
  <c r="P84" i="28"/>
  <c r="N84" i="28"/>
  <c r="BG83" i="28"/>
  <c r="BF83" i="28"/>
  <c r="BE83" i="28"/>
  <c r="BD83" i="28"/>
  <c r="BC83" i="28"/>
  <c r="AT83" i="28"/>
  <c r="AS83" i="28"/>
  <c r="AR83" i="28"/>
  <c r="AQ83" i="28"/>
  <c r="AP83" i="28"/>
  <c r="AM83" i="28"/>
  <c r="AL83" i="28"/>
  <c r="AK83" i="28"/>
  <c r="AJ83" i="28"/>
  <c r="AI83" i="28"/>
  <c r="AF83" i="28"/>
  <c r="AC83" i="28"/>
  <c r="AB83" i="28"/>
  <c r="AA83" i="28"/>
  <c r="Z83" i="28"/>
  <c r="Y83" i="28"/>
  <c r="X83" i="28"/>
  <c r="W83" i="28"/>
  <c r="V83" i="28"/>
  <c r="U83" i="28"/>
  <c r="T83" i="28"/>
  <c r="S83" i="28"/>
  <c r="R83" i="28"/>
  <c r="Q83" i="28"/>
  <c r="P83" i="28"/>
  <c r="N83" i="28"/>
  <c r="BG82" i="28"/>
  <c r="BF82" i="28"/>
  <c r="BE82" i="28"/>
  <c r="BD82" i="28"/>
  <c r="BC82" i="28"/>
  <c r="AT82" i="28"/>
  <c r="AS82" i="28"/>
  <c r="AR82" i="28"/>
  <c r="AQ82" i="28"/>
  <c r="AP82" i="28"/>
  <c r="AM82" i="28"/>
  <c r="AL82" i="28"/>
  <c r="AK82" i="28"/>
  <c r="AJ82" i="28"/>
  <c r="AI82" i="28"/>
  <c r="AF82" i="28"/>
  <c r="AC82" i="28"/>
  <c r="AB82" i="28"/>
  <c r="AA82" i="28"/>
  <c r="Z82" i="28"/>
  <c r="Y82" i="28"/>
  <c r="X82" i="28"/>
  <c r="W82" i="28"/>
  <c r="V82" i="28"/>
  <c r="U82" i="28"/>
  <c r="T82" i="28"/>
  <c r="S82" i="28"/>
  <c r="R82" i="28"/>
  <c r="Q82" i="28"/>
  <c r="P82" i="28"/>
  <c r="N82" i="28"/>
  <c r="BG81" i="28"/>
  <c r="BF81" i="28"/>
  <c r="BE81" i="28"/>
  <c r="BD81" i="28"/>
  <c r="BC81" i="28"/>
  <c r="AT81" i="28"/>
  <c r="AS81" i="28"/>
  <c r="AR81" i="28"/>
  <c r="AQ81" i="28"/>
  <c r="AP81" i="28"/>
  <c r="AM81" i="28"/>
  <c r="AL81" i="28"/>
  <c r="AK81" i="28"/>
  <c r="AJ81" i="28"/>
  <c r="AI81" i="28"/>
  <c r="AF81" i="28"/>
  <c r="AC81" i="28"/>
  <c r="AB81" i="28"/>
  <c r="AA81" i="28"/>
  <c r="Z81" i="28"/>
  <c r="Y81" i="28"/>
  <c r="X81" i="28"/>
  <c r="W81" i="28"/>
  <c r="V81" i="28"/>
  <c r="U81" i="28"/>
  <c r="T81" i="28"/>
  <c r="S81" i="28"/>
  <c r="R81" i="28"/>
  <c r="Q81" i="28"/>
  <c r="P81" i="28"/>
  <c r="N81" i="28"/>
  <c r="BG80" i="28"/>
  <c r="BF80" i="28"/>
  <c r="BE80" i="28"/>
  <c r="BD80" i="28"/>
  <c r="AT80" i="28"/>
  <c r="AS80" i="28"/>
  <c r="AR80" i="28"/>
  <c r="AQ80" i="28"/>
  <c r="AP80" i="28"/>
  <c r="AO80" i="28"/>
  <c r="AN80" i="28"/>
  <c r="AM80" i="28"/>
  <c r="AL80" i="28"/>
  <c r="AK80" i="28"/>
  <c r="AJ80" i="28"/>
  <c r="AI80" i="28"/>
  <c r="AF80" i="28"/>
  <c r="AE80" i="28"/>
  <c r="AC80" i="28"/>
  <c r="AB80" i="28"/>
  <c r="AA80" i="28"/>
  <c r="Z80" i="28"/>
  <c r="Y80" i="28"/>
  <c r="X80" i="28"/>
  <c r="W80" i="28"/>
  <c r="V80" i="28"/>
  <c r="U80" i="28"/>
  <c r="T80" i="28"/>
  <c r="S80" i="28"/>
  <c r="R80" i="28"/>
  <c r="Q80" i="28"/>
  <c r="P80" i="28"/>
  <c r="N80" i="28"/>
  <c r="BC79" i="28"/>
  <c r="AV79" i="28"/>
  <c r="AD79" i="28"/>
  <c r="BG78" i="28"/>
  <c r="BF78" i="28"/>
  <c r="BE78" i="28"/>
  <c r="BD78" i="28"/>
  <c r="AT78" i="28"/>
  <c r="AS78" i="28"/>
  <c r="AR78" i="28"/>
  <c r="AQ78" i="28"/>
  <c r="AP78" i="28"/>
  <c r="AO78" i="28"/>
  <c r="AN78" i="28"/>
  <c r="AM78" i="28"/>
  <c r="AL78" i="28"/>
  <c r="AK78" i="28"/>
  <c r="AJ78" i="28"/>
  <c r="AI78" i="28"/>
  <c r="AF78" i="28"/>
  <c r="AE78" i="28"/>
  <c r="AC78" i="28"/>
  <c r="AB78" i="28"/>
  <c r="AA78" i="28"/>
  <c r="Z78" i="28"/>
  <c r="Y78" i="28"/>
  <c r="X78" i="28"/>
  <c r="W78" i="28"/>
  <c r="V78" i="28"/>
  <c r="U78" i="28"/>
  <c r="T78" i="28"/>
  <c r="S78" i="28"/>
  <c r="R78" i="28"/>
  <c r="Q78" i="28"/>
  <c r="P78" i="28"/>
  <c r="N78" i="28"/>
  <c r="BG77" i="28"/>
  <c r="BF77" i="28"/>
  <c r="BE77" i="28"/>
  <c r="BD77" i="28"/>
  <c r="AT77" i="28"/>
  <c r="AS77" i="28"/>
  <c r="AR77" i="28"/>
  <c r="AQ77" i="28"/>
  <c r="AP77" i="28"/>
  <c r="AO77" i="28"/>
  <c r="AN77" i="28"/>
  <c r="AM77" i="28"/>
  <c r="AL77" i="28"/>
  <c r="AK77" i="28"/>
  <c r="AJ77" i="28"/>
  <c r="AI77" i="28"/>
  <c r="AF77" i="28"/>
  <c r="AE77" i="28"/>
  <c r="AC77" i="28"/>
  <c r="AB77" i="28"/>
  <c r="AA77" i="28"/>
  <c r="Z77" i="28"/>
  <c r="Y77" i="28"/>
  <c r="X77" i="28"/>
  <c r="W77" i="28"/>
  <c r="V77" i="28"/>
  <c r="U77" i="28"/>
  <c r="T77" i="28"/>
  <c r="S77" i="28"/>
  <c r="R77" i="28"/>
  <c r="Q77" i="28"/>
  <c r="P77" i="28"/>
  <c r="N77" i="28"/>
  <c r="BG76" i="28"/>
  <c r="BF76" i="28"/>
  <c r="BE76" i="28"/>
  <c r="BD76" i="28"/>
  <c r="AT76" i="28"/>
  <c r="AS76" i="28"/>
  <c r="AR76" i="28"/>
  <c r="AQ76" i="28"/>
  <c r="AP76" i="28"/>
  <c r="AO76" i="28"/>
  <c r="AN76" i="28"/>
  <c r="AM76" i="28"/>
  <c r="AL76" i="28"/>
  <c r="AK76" i="28"/>
  <c r="AJ76" i="28"/>
  <c r="AI76" i="28"/>
  <c r="AF76" i="28"/>
  <c r="AE76" i="28"/>
  <c r="AC76" i="28"/>
  <c r="AB76" i="28"/>
  <c r="AA76" i="28"/>
  <c r="Z76" i="28"/>
  <c r="Y76" i="28"/>
  <c r="X76" i="28"/>
  <c r="W76" i="28"/>
  <c r="V76" i="28"/>
  <c r="U76" i="28"/>
  <c r="T76" i="28"/>
  <c r="S76" i="28"/>
  <c r="R76" i="28"/>
  <c r="Q76" i="28"/>
  <c r="P76" i="28"/>
  <c r="N76" i="28"/>
  <c r="BG75" i="28"/>
  <c r="BF75" i="28"/>
  <c r="BE75" i="28"/>
  <c r="BD75" i="28"/>
  <c r="AT75" i="28"/>
  <c r="AS75" i="28"/>
  <c r="AR75" i="28"/>
  <c r="AQ75" i="28"/>
  <c r="AP75" i="28"/>
  <c r="AO75" i="28"/>
  <c r="AN75" i="28"/>
  <c r="AM75" i="28"/>
  <c r="AL75" i="28"/>
  <c r="AK75" i="28"/>
  <c r="AJ75" i="28"/>
  <c r="AI75" i="28"/>
  <c r="AF75" i="28"/>
  <c r="AE75" i="28"/>
  <c r="AC75" i="28"/>
  <c r="AB75" i="28"/>
  <c r="AA75" i="28"/>
  <c r="Z75" i="28"/>
  <c r="Y75" i="28"/>
  <c r="X75" i="28"/>
  <c r="W75" i="28"/>
  <c r="V75" i="28"/>
  <c r="U75" i="28"/>
  <c r="T75" i="28"/>
  <c r="S75" i="28"/>
  <c r="R75" i="28"/>
  <c r="Q75" i="28"/>
  <c r="P75" i="28"/>
  <c r="N75" i="28"/>
  <c r="BG74" i="28"/>
  <c r="BF74" i="28"/>
  <c r="BE74" i="28"/>
  <c r="BD74" i="28"/>
  <c r="AT74" i="28"/>
  <c r="AS74" i="28"/>
  <c r="AR74" i="28"/>
  <c r="AQ74" i="28"/>
  <c r="AP74" i="28"/>
  <c r="AO74" i="28"/>
  <c r="AN74" i="28"/>
  <c r="AM74" i="28"/>
  <c r="AL74" i="28"/>
  <c r="AK74" i="28"/>
  <c r="AJ74" i="28"/>
  <c r="AI74" i="28"/>
  <c r="AF74" i="28"/>
  <c r="AE74" i="28"/>
  <c r="AC74" i="28"/>
  <c r="AB74" i="28"/>
  <c r="AA74" i="28"/>
  <c r="Z74" i="28"/>
  <c r="Y74" i="28"/>
  <c r="X74" i="28"/>
  <c r="W74" i="28"/>
  <c r="V74" i="28"/>
  <c r="U74" i="28"/>
  <c r="T74" i="28"/>
  <c r="S74" i="28"/>
  <c r="R74" i="28"/>
  <c r="Q74" i="28"/>
  <c r="P74" i="28"/>
  <c r="N74" i="28"/>
  <c r="BG73" i="28"/>
  <c r="BF73" i="28"/>
  <c r="BE73" i="28"/>
  <c r="BD73" i="28"/>
  <c r="AT73" i="28"/>
  <c r="AS73" i="28"/>
  <c r="AR73" i="28"/>
  <c r="AQ73" i="28"/>
  <c r="AP73" i="28"/>
  <c r="AO73" i="28"/>
  <c r="AN73" i="28"/>
  <c r="AM73" i="28"/>
  <c r="AL73" i="28"/>
  <c r="AK73" i="28"/>
  <c r="AJ73" i="28"/>
  <c r="AI73" i="28"/>
  <c r="AF73" i="28"/>
  <c r="AE73" i="28"/>
  <c r="AC73" i="28"/>
  <c r="AB73" i="28"/>
  <c r="AA73" i="28"/>
  <c r="Z73" i="28"/>
  <c r="Y73" i="28"/>
  <c r="X73" i="28"/>
  <c r="W73" i="28"/>
  <c r="V73" i="28"/>
  <c r="U73" i="28"/>
  <c r="T73" i="28"/>
  <c r="S73" i="28"/>
  <c r="R73" i="28"/>
  <c r="Q73" i="28"/>
  <c r="P73" i="28"/>
  <c r="N73" i="28"/>
  <c r="BG72" i="28"/>
  <c r="BF72" i="28"/>
  <c r="BE72" i="28"/>
  <c r="BD72" i="28"/>
  <c r="AT72" i="28"/>
  <c r="AS72" i="28"/>
  <c r="AR72" i="28"/>
  <c r="AQ72" i="28"/>
  <c r="AP72" i="28"/>
  <c r="AO72" i="28"/>
  <c r="AN72" i="28"/>
  <c r="AM72" i="28"/>
  <c r="AL72" i="28"/>
  <c r="AK72" i="28"/>
  <c r="AJ72" i="28"/>
  <c r="AI72" i="28"/>
  <c r="AF72" i="28"/>
  <c r="AE72" i="28"/>
  <c r="AC72" i="28"/>
  <c r="AB72" i="28"/>
  <c r="AA72" i="28"/>
  <c r="Z72" i="28"/>
  <c r="Y72" i="28"/>
  <c r="X72" i="28"/>
  <c r="W72" i="28"/>
  <c r="V72" i="28"/>
  <c r="U72" i="28"/>
  <c r="T72" i="28"/>
  <c r="S72" i="28"/>
  <c r="R72" i="28"/>
  <c r="Q72" i="28"/>
  <c r="P72" i="28"/>
  <c r="N72" i="28"/>
  <c r="BG71" i="28"/>
  <c r="BF71" i="28"/>
  <c r="BE71" i="28"/>
  <c r="BD71" i="28"/>
  <c r="AT71" i="28"/>
  <c r="AS71" i="28"/>
  <c r="AR71" i="28"/>
  <c r="AQ71" i="28"/>
  <c r="AP71" i="28"/>
  <c r="AO71" i="28"/>
  <c r="AN71" i="28"/>
  <c r="AM71" i="28"/>
  <c r="AL71" i="28"/>
  <c r="AK71" i="28"/>
  <c r="AJ71" i="28"/>
  <c r="AI71" i="28"/>
  <c r="AF71" i="28"/>
  <c r="AE71" i="28"/>
  <c r="AC71" i="28"/>
  <c r="AB71" i="28"/>
  <c r="AA71" i="28"/>
  <c r="Z71" i="28"/>
  <c r="Y71" i="28"/>
  <c r="X71" i="28"/>
  <c r="W71" i="28"/>
  <c r="V71" i="28"/>
  <c r="U71" i="28"/>
  <c r="T71" i="28"/>
  <c r="S71" i="28"/>
  <c r="R71" i="28"/>
  <c r="Q71" i="28"/>
  <c r="P71" i="28"/>
  <c r="N71" i="28"/>
  <c r="BG70" i="28"/>
  <c r="BF70" i="28"/>
  <c r="BE70" i="28"/>
  <c r="BD70" i="28"/>
  <c r="AT70" i="28"/>
  <c r="AS70" i="28"/>
  <c r="AR70" i="28"/>
  <c r="AQ70" i="28"/>
  <c r="AP70" i="28"/>
  <c r="AO70" i="28"/>
  <c r="AN70" i="28"/>
  <c r="AM70" i="28"/>
  <c r="AL70" i="28"/>
  <c r="AK70" i="28"/>
  <c r="AJ70" i="28"/>
  <c r="AI70" i="28"/>
  <c r="AF70" i="28"/>
  <c r="AE70" i="28"/>
  <c r="AC70" i="28"/>
  <c r="AB70" i="28"/>
  <c r="AA70" i="28"/>
  <c r="Z70" i="28"/>
  <c r="Y70" i="28"/>
  <c r="X70" i="28"/>
  <c r="W70" i="28"/>
  <c r="V70" i="28"/>
  <c r="U70" i="28"/>
  <c r="T70" i="28"/>
  <c r="S70" i="28"/>
  <c r="R70" i="28"/>
  <c r="Q70" i="28"/>
  <c r="P70" i="28"/>
  <c r="N70" i="28"/>
  <c r="BG69" i="28"/>
  <c r="BF69" i="28"/>
  <c r="BE69" i="28"/>
  <c r="BD69" i="28"/>
  <c r="AT69" i="28"/>
  <c r="AS69" i="28"/>
  <c r="AR69" i="28"/>
  <c r="AQ69" i="28"/>
  <c r="AP69" i="28"/>
  <c r="AO69" i="28"/>
  <c r="AN69" i="28"/>
  <c r="AM69" i="28"/>
  <c r="AL69" i="28"/>
  <c r="AK69" i="28"/>
  <c r="AJ69" i="28"/>
  <c r="AI69" i="28"/>
  <c r="AF69" i="28"/>
  <c r="AE69" i="28"/>
  <c r="AC69" i="28"/>
  <c r="AB69" i="28"/>
  <c r="AA69" i="28"/>
  <c r="Z69" i="28"/>
  <c r="Y69" i="28"/>
  <c r="X69" i="28"/>
  <c r="W69" i="28"/>
  <c r="V69" i="28"/>
  <c r="U69" i="28"/>
  <c r="T69" i="28"/>
  <c r="S69" i="28"/>
  <c r="R69" i="28"/>
  <c r="Q69" i="28"/>
  <c r="P69" i="28"/>
  <c r="N69" i="28"/>
  <c r="BG68" i="28"/>
  <c r="BF68" i="28"/>
  <c r="BE68" i="28"/>
  <c r="BD68" i="28"/>
  <c r="AT68" i="28"/>
  <c r="AS68" i="28"/>
  <c r="AR68" i="28"/>
  <c r="AQ68" i="28"/>
  <c r="AP68" i="28"/>
  <c r="AO68" i="28"/>
  <c r="AN68" i="28"/>
  <c r="AM68" i="28"/>
  <c r="AL68" i="28"/>
  <c r="AK68" i="28"/>
  <c r="AJ68" i="28"/>
  <c r="AI68" i="28"/>
  <c r="AF68" i="28"/>
  <c r="AE68" i="28"/>
  <c r="AC68" i="28"/>
  <c r="AB68" i="28"/>
  <c r="AA68" i="28"/>
  <c r="Z68" i="28"/>
  <c r="Y68" i="28"/>
  <c r="X68" i="28"/>
  <c r="W68" i="28"/>
  <c r="V68" i="28"/>
  <c r="U68" i="28"/>
  <c r="T68" i="28"/>
  <c r="S68" i="28"/>
  <c r="R68" i="28"/>
  <c r="Q68" i="28"/>
  <c r="P68" i="28"/>
  <c r="N68" i="28"/>
  <c r="BG67" i="28"/>
  <c r="BF67" i="28"/>
  <c r="BE67" i="28"/>
  <c r="BD67" i="28"/>
  <c r="AT67" i="28"/>
  <c r="AS67" i="28"/>
  <c r="AR67" i="28"/>
  <c r="AQ67" i="28"/>
  <c r="AP67" i="28"/>
  <c r="AO67" i="28"/>
  <c r="AN67" i="28"/>
  <c r="AM67" i="28"/>
  <c r="AL67" i="28"/>
  <c r="AK67" i="28"/>
  <c r="AJ67" i="28"/>
  <c r="AI67" i="28"/>
  <c r="AF67" i="28"/>
  <c r="AE67" i="28"/>
  <c r="AC67" i="28"/>
  <c r="AB67" i="28"/>
  <c r="AA67" i="28"/>
  <c r="Z67" i="28"/>
  <c r="Y67" i="28"/>
  <c r="X67" i="28"/>
  <c r="W67" i="28"/>
  <c r="V67" i="28"/>
  <c r="U67" i="28"/>
  <c r="T67" i="28"/>
  <c r="S67" i="28"/>
  <c r="R67" i="28"/>
  <c r="Q67" i="28"/>
  <c r="P67" i="28"/>
  <c r="N67" i="28"/>
  <c r="BG66" i="28"/>
  <c r="BF66" i="28"/>
  <c r="BE66" i="28"/>
  <c r="BD66" i="28"/>
  <c r="AT66" i="28"/>
  <c r="AS66" i="28"/>
  <c r="AR66" i="28"/>
  <c r="AQ66" i="28"/>
  <c r="AP66" i="28"/>
  <c r="AO66" i="28"/>
  <c r="AN66" i="28"/>
  <c r="AM66" i="28"/>
  <c r="AL66" i="28"/>
  <c r="AK66" i="28"/>
  <c r="AJ66" i="28"/>
  <c r="AI66" i="28"/>
  <c r="AF66" i="28"/>
  <c r="AE66" i="28"/>
  <c r="AC66" i="28"/>
  <c r="AB66" i="28"/>
  <c r="AA66" i="28"/>
  <c r="Z66" i="28"/>
  <c r="Y66" i="28"/>
  <c r="X66" i="28"/>
  <c r="W66" i="28"/>
  <c r="V66" i="28"/>
  <c r="U66" i="28"/>
  <c r="T66" i="28"/>
  <c r="S66" i="28"/>
  <c r="R66" i="28"/>
  <c r="Q66" i="28"/>
  <c r="P66" i="28"/>
  <c r="N66" i="28"/>
  <c r="BG65" i="28"/>
  <c r="BF65" i="28"/>
  <c r="BE65" i="28"/>
  <c r="BD65" i="28"/>
  <c r="AT65" i="28"/>
  <c r="AS65" i="28"/>
  <c r="AR65" i="28"/>
  <c r="AQ65" i="28"/>
  <c r="AP65" i="28"/>
  <c r="AO65" i="28"/>
  <c r="AN65" i="28"/>
  <c r="AM65" i="28"/>
  <c r="AL65" i="28"/>
  <c r="AK65" i="28"/>
  <c r="AJ65" i="28"/>
  <c r="AI65" i="28"/>
  <c r="AF65" i="28"/>
  <c r="AE65" i="28"/>
  <c r="AC65" i="28"/>
  <c r="AB65" i="28"/>
  <c r="AA65" i="28"/>
  <c r="Z65" i="28"/>
  <c r="Y65" i="28"/>
  <c r="X65" i="28"/>
  <c r="W65" i="28"/>
  <c r="V65" i="28"/>
  <c r="U65" i="28"/>
  <c r="T65" i="28"/>
  <c r="S65" i="28"/>
  <c r="R65" i="28"/>
  <c r="Q65" i="28"/>
  <c r="P65" i="28"/>
  <c r="N65" i="28"/>
  <c r="BC64" i="28"/>
  <c r="AV64" i="28"/>
  <c r="AD64" i="28"/>
  <c r="BG63" i="28"/>
  <c r="BF63" i="28"/>
  <c r="BE63" i="28"/>
  <c r="BD63" i="28"/>
  <c r="AT63" i="28"/>
  <c r="AS63" i="28"/>
  <c r="AR63" i="28"/>
  <c r="AQ63" i="28"/>
  <c r="AP63" i="28"/>
  <c r="AO63" i="28"/>
  <c r="AN63" i="28"/>
  <c r="AM63" i="28"/>
  <c r="AL63" i="28"/>
  <c r="AK63" i="28"/>
  <c r="AJ63" i="28"/>
  <c r="AI63" i="28"/>
  <c r="AF63" i="28"/>
  <c r="AE63" i="28"/>
  <c r="AC63" i="28"/>
  <c r="AB63" i="28"/>
  <c r="AA63" i="28"/>
  <c r="Z63" i="28"/>
  <c r="Y63" i="28"/>
  <c r="X63" i="28"/>
  <c r="W63" i="28"/>
  <c r="V63" i="28"/>
  <c r="U63" i="28"/>
  <c r="T63" i="28"/>
  <c r="S63" i="28"/>
  <c r="R63" i="28"/>
  <c r="Q63" i="28"/>
  <c r="P63" i="28"/>
  <c r="N63" i="28"/>
  <c r="BG62" i="28"/>
  <c r="BF62" i="28"/>
  <c r="BE62" i="28"/>
  <c r="BD62" i="28"/>
  <c r="AT62" i="28"/>
  <c r="AS62" i="28"/>
  <c r="AR62" i="28"/>
  <c r="AQ62" i="28"/>
  <c r="AP62" i="28"/>
  <c r="AO62" i="28"/>
  <c r="AN62" i="28"/>
  <c r="AM62" i="28"/>
  <c r="AL62" i="28"/>
  <c r="AK62" i="28"/>
  <c r="AJ62" i="28"/>
  <c r="AI62" i="28"/>
  <c r="AF62" i="28"/>
  <c r="AE62" i="28"/>
  <c r="AC62" i="28"/>
  <c r="AB62" i="28"/>
  <c r="AA62" i="28"/>
  <c r="Z62" i="28"/>
  <c r="Y62" i="28"/>
  <c r="X62" i="28"/>
  <c r="W62" i="28"/>
  <c r="V62" i="28"/>
  <c r="U62" i="28"/>
  <c r="T62" i="28"/>
  <c r="S62" i="28"/>
  <c r="R62" i="28"/>
  <c r="Q62" i="28"/>
  <c r="P62" i="28"/>
  <c r="N62" i="28"/>
  <c r="BG61" i="28"/>
  <c r="BF61" i="28"/>
  <c r="BE61" i="28"/>
  <c r="BD61" i="28"/>
  <c r="AT61" i="28"/>
  <c r="AS61" i="28"/>
  <c r="AR61" i="28"/>
  <c r="AQ61" i="28"/>
  <c r="AP61" i="28"/>
  <c r="AO61" i="28"/>
  <c r="AN61" i="28"/>
  <c r="AM61" i="28"/>
  <c r="AL61" i="28"/>
  <c r="AK61" i="28"/>
  <c r="AJ61" i="28"/>
  <c r="AI61" i="28"/>
  <c r="AF61" i="28"/>
  <c r="AE61" i="28"/>
  <c r="AC61" i="28"/>
  <c r="AB61" i="28"/>
  <c r="AA61" i="28"/>
  <c r="Z61" i="28"/>
  <c r="Y61" i="28"/>
  <c r="X61" i="28"/>
  <c r="W61" i="28"/>
  <c r="V61" i="28"/>
  <c r="U61" i="28"/>
  <c r="T61" i="28"/>
  <c r="S61" i="28"/>
  <c r="R61" i="28"/>
  <c r="Q61" i="28"/>
  <c r="P61" i="28"/>
  <c r="N61" i="28"/>
  <c r="BG60" i="28"/>
  <c r="BF60" i="28"/>
  <c r="BE60" i="28"/>
  <c r="BD60" i="28"/>
  <c r="AT60" i="28"/>
  <c r="AS60" i="28"/>
  <c r="AR60" i="28"/>
  <c r="AQ60" i="28"/>
  <c r="AP60" i="28"/>
  <c r="AO60" i="28"/>
  <c r="AN60" i="28"/>
  <c r="AM60" i="28"/>
  <c r="AL60" i="28"/>
  <c r="AK60" i="28"/>
  <c r="AJ60" i="28"/>
  <c r="AI60" i="28"/>
  <c r="AF60" i="28"/>
  <c r="AE60" i="28"/>
  <c r="AC60" i="28"/>
  <c r="AB60" i="28"/>
  <c r="AA60" i="28"/>
  <c r="Z60" i="28"/>
  <c r="Y60" i="28"/>
  <c r="X60" i="28"/>
  <c r="W60" i="28"/>
  <c r="V60" i="28"/>
  <c r="U60" i="28"/>
  <c r="T60" i="28"/>
  <c r="S60" i="28"/>
  <c r="R60" i="28"/>
  <c r="Q60" i="28"/>
  <c r="P60" i="28"/>
  <c r="N60" i="28"/>
  <c r="BG59" i="28"/>
  <c r="BF59" i="28"/>
  <c r="BE59" i="28"/>
  <c r="BD59" i="28"/>
  <c r="AT59" i="28"/>
  <c r="AS59" i="28"/>
  <c r="AR59" i="28"/>
  <c r="AQ59" i="28"/>
  <c r="AP59" i="28"/>
  <c r="AO59" i="28"/>
  <c r="AN59" i="28"/>
  <c r="AM59" i="28"/>
  <c r="AL59" i="28"/>
  <c r="AK59" i="28"/>
  <c r="AJ59" i="28"/>
  <c r="AI59" i="28"/>
  <c r="AF59" i="28"/>
  <c r="AE59" i="28"/>
  <c r="AC59" i="28"/>
  <c r="AB59" i="28"/>
  <c r="AA59" i="28"/>
  <c r="Z59" i="28"/>
  <c r="Y59" i="28"/>
  <c r="X59" i="28"/>
  <c r="W59" i="28"/>
  <c r="V59" i="28"/>
  <c r="U59" i="28"/>
  <c r="T59" i="28"/>
  <c r="S59" i="28"/>
  <c r="R59" i="28"/>
  <c r="Q59" i="28"/>
  <c r="P59" i="28"/>
  <c r="N59" i="28"/>
  <c r="BH58" i="28"/>
  <c r="AV58" i="28"/>
  <c r="O58" i="28"/>
  <c r="AD58" i="28" s="1"/>
  <c r="AZ58" i="28" s="1"/>
  <c r="BG57" i="28"/>
  <c r="BF57" i="28"/>
  <c r="BE57" i="28"/>
  <c r="BD57" i="28"/>
  <c r="AT57" i="28"/>
  <c r="AS57" i="28"/>
  <c r="AR57" i="28"/>
  <c r="AQ57" i="28"/>
  <c r="AP57" i="28"/>
  <c r="AO57" i="28"/>
  <c r="AN57" i="28"/>
  <c r="AM57" i="28"/>
  <c r="AL57" i="28"/>
  <c r="AK57" i="28"/>
  <c r="AJ57" i="28"/>
  <c r="AI57" i="28"/>
  <c r="AF57" i="28"/>
  <c r="AE57" i="28"/>
  <c r="AC57" i="28"/>
  <c r="AB57" i="28"/>
  <c r="AA57" i="28"/>
  <c r="Z57" i="28"/>
  <c r="Y57" i="28"/>
  <c r="X57" i="28"/>
  <c r="W57" i="28"/>
  <c r="V57" i="28"/>
  <c r="U57" i="28"/>
  <c r="T57" i="28"/>
  <c r="S57" i="28"/>
  <c r="R57" i="28"/>
  <c r="Q57" i="28"/>
  <c r="P57" i="28"/>
  <c r="N57" i="28"/>
  <c r="BG56" i="28"/>
  <c r="BF56" i="28"/>
  <c r="BE56" i="28"/>
  <c r="BD56" i="28"/>
  <c r="AT56" i="28"/>
  <c r="AS56" i="28"/>
  <c r="AR56" i="28"/>
  <c r="AQ56" i="28"/>
  <c r="AP56" i="28"/>
  <c r="AO56" i="28"/>
  <c r="AN56" i="28"/>
  <c r="AM56" i="28"/>
  <c r="AL56" i="28"/>
  <c r="AK56" i="28"/>
  <c r="AJ56" i="28"/>
  <c r="AI56" i="28"/>
  <c r="AF56" i="28"/>
  <c r="AE56" i="28"/>
  <c r="AC56" i="28"/>
  <c r="AB56" i="28"/>
  <c r="AA56" i="28"/>
  <c r="Z56" i="28"/>
  <c r="Y56" i="28"/>
  <c r="X56" i="28"/>
  <c r="W56" i="28"/>
  <c r="V56" i="28"/>
  <c r="U56" i="28"/>
  <c r="T56" i="28"/>
  <c r="S56" i="28"/>
  <c r="R56" i="28"/>
  <c r="Q56" i="28"/>
  <c r="P56" i="28"/>
  <c r="N56" i="28"/>
  <c r="BG55" i="28"/>
  <c r="BF55" i="28"/>
  <c r="BE55" i="28"/>
  <c r="BD55" i="28"/>
  <c r="AT55" i="28"/>
  <c r="AS55" i="28"/>
  <c r="AR55" i="28"/>
  <c r="AQ55" i="28"/>
  <c r="AP55" i="28"/>
  <c r="AO55" i="28"/>
  <c r="AN55" i="28"/>
  <c r="AM55" i="28"/>
  <c r="AL55" i="28"/>
  <c r="AK55" i="28"/>
  <c r="AJ55" i="28"/>
  <c r="AI55" i="28"/>
  <c r="AF55" i="28"/>
  <c r="AE55" i="28"/>
  <c r="AC55" i="28"/>
  <c r="AB55" i="28"/>
  <c r="AA55" i="28"/>
  <c r="Z55" i="28"/>
  <c r="Y55" i="28"/>
  <c r="X55" i="28"/>
  <c r="W55" i="28"/>
  <c r="V55" i="28"/>
  <c r="U55" i="28"/>
  <c r="T55" i="28"/>
  <c r="S55" i="28"/>
  <c r="R55" i="28"/>
  <c r="Q55" i="28"/>
  <c r="P55" i="28"/>
  <c r="N55" i="28"/>
  <c r="BG54" i="28"/>
  <c r="BF54" i="28"/>
  <c r="BE54" i="28"/>
  <c r="BD54" i="28"/>
  <c r="AT54" i="28"/>
  <c r="AS54" i="28"/>
  <c r="AR54" i="28"/>
  <c r="AQ54" i="28"/>
  <c r="AP54" i="28"/>
  <c r="AO54" i="28"/>
  <c r="AN54" i="28"/>
  <c r="AM54" i="28"/>
  <c r="AL54" i="28"/>
  <c r="AK54" i="28"/>
  <c r="AJ54" i="28"/>
  <c r="AI54" i="28"/>
  <c r="AF54" i="28"/>
  <c r="AE54" i="28"/>
  <c r="AC54" i="28"/>
  <c r="AB54" i="28"/>
  <c r="AA54" i="28"/>
  <c r="Z54" i="28"/>
  <c r="Y54" i="28"/>
  <c r="X54" i="28"/>
  <c r="W54" i="28"/>
  <c r="V54" i="28"/>
  <c r="U54" i="28"/>
  <c r="T54" i="28"/>
  <c r="S54" i="28"/>
  <c r="R54" i="28"/>
  <c r="Q54" i="28"/>
  <c r="P54" i="28"/>
  <c r="N54" i="28"/>
  <c r="BG53" i="28"/>
  <c r="BF53" i="28"/>
  <c r="BE53" i="28"/>
  <c r="BD53" i="28"/>
  <c r="AT53" i="28"/>
  <c r="AS53" i="28"/>
  <c r="AR53" i="28"/>
  <c r="AQ53" i="28"/>
  <c r="AP53" i="28"/>
  <c r="AO53" i="28"/>
  <c r="AN53" i="28"/>
  <c r="AM53" i="28"/>
  <c r="AL53" i="28"/>
  <c r="AK53" i="28"/>
  <c r="AJ53" i="28"/>
  <c r="AI53" i="28"/>
  <c r="AF53" i="28"/>
  <c r="AE53" i="28"/>
  <c r="AC53" i="28"/>
  <c r="AB53" i="28"/>
  <c r="AA53" i="28"/>
  <c r="Z53" i="28"/>
  <c r="Y53" i="28"/>
  <c r="X53" i="28"/>
  <c r="W53" i="28"/>
  <c r="V53" i="28"/>
  <c r="U53" i="28"/>
  <c r="T53" i="28"/>
  <c r="S53" i="28"/>
  <c r="R53" i="28"/>
  <c r="Q53" i="28"/>
  <c r="P53" i="28"/>
  <c r="N53" i="28"/>
  <c r="BG52" i="28"/>
  <c r="BF52" i="28"/>
  <c r="BE52" i="28"/>
  <c r="BD52" i="28"/>
  <c r="AT52" i="28"/>
  <c r="AS52" i="28"/>
  <c r="AR52" i="28"/>
  <c r="AQ52" i="28"/>
  <c r="AP52" i="28"/>
  <c r="AO52" i="28"/>
  <c r="AN52" i="28"/>
  <c r="AM52" i="28"/>
  <c r="AL52" i="28"/>
  <c r="AK52" i="28"/>
  <c r="AJ52" i="28"/>
  <c r="AI52" i="28"/>
  <c r="AF52" i="28"/>
  <c r="AE52" i="28"/>
  <c r="AC52" i="28"/>
  <c r="AB52" i="28"/>
  <c r="AA52" i="28"/>
  <c r="Z52" i="28"/>
  <c r="Y52" i="28"/>
  <c r="X52" i="28"/>
  <c r="W52" i="28"/>
  <c r="V52" i="28"/>
  <c r="U52" i="28"/>
  <c r="T52" i="28"/>
  <c r="S52" i="28"/>
  <c r="R52" i="28"/>
  <c r="Q52" i="28"/>
  <c r="P52" i="28"/>
  <c r="N52" i="28"/>
  <c r="BG51" i="28"/>
  <c r="BF51" i="28"/>
  <c r="BE51" i="28"/>
  <c r="BD51" i="28"/>
  <c r="AT51" i="28"/>
  <c r="AS51" i="28"/>
  <c r="AR51" i="28"/>
  <c r="AQ51" i="28"/>
  <c r="AP51" i="28"/>
  <c r="AO51" i="28"/>
  <c r="AN51" i="28"/>
  <c r="AM51" i="28"/>
  <c r="AL51" i="28"/>
  <c r="AK51" i="28"/>
  <c r="AJ51" i="28"/>
  <c r="AI51" i="28"/>
  <c r="AF51" i="28"/>
  <c r="AE51" i="28"/>
  <c r="AC51" i="28"/>
  <c r="AB51" i="28"/>
  <c r="AA51" i="28"/>
  <c r="Z51" i="28"/>
  <c r="Y51" i="28"/>
  <c r="X51" i="28"/>
  <c r="W51" i="28"/>
  <c r="V51" i="28"/>
  <c r="U51" i="28"/>
  <c r="T51" i="28"/>
  <c r="S51" i="28"/>
  <c r="R51" i="28"/>
  <c r="Q51" i="28"/>
  <c r="P51" i="28"/>
  <c r="N51" i="28"/>
  <c r="BG50" i="28"/>
  <c r="BF50" i="28"/>
  <c r="BE50" i="28"/>
  <c r="BD50" i="28"/>
  <c r="AT50" i="28"/>
  <c r="AS50" i="28"/>
  <c r="AR50" i="28"/>
  <c r="AQ50" i="28"/>
  <c r="AP50" i="28"/>
  <c r="AO50" i="28"/>
  <c r="AN50" i="28"/>
  <c r="AM50" i="28"/>
  <c r="AL50" i="28"/>
  <c r="AK50" i="28"/>
  <c r="AJ50" i="28"/>
  <c r="AI50" i="28"/>
  <c r="AF50" i="28"/>
  <c r="AE50" i="28"/>
  <c r="AC50" i="28"/>
  <c r="AB50" i="28"/>
  <c r="AA50" i="28"/>
  <c r="Z50" i="28"/>
  <c r="Y50" i="28"/>
  <c r="X50" i="28"/>
  <c r="W50" i="28"/>
  <c r="V50" i="28"/>
  <c r="U50" i="28"/>
  <c r="T50" i="28"/>
  <c r="S50" i="28"/>
  <c r="R50" i="28"/>
  <c r="Q50" i="28"/>
  <c r="P50" i="28"/>
  <c r="N50" i="28"/>
  <c r="BG49" i="28"/>
  <c r="BF49" i="28"/>
  <c r="BE49" i="28"/>
  <c r="BD49" i="28"/>
  <c r="AT49" i="28"/>
  <c r="AS49" i="28"/>
  <c r="AR49" i="28"/>
  <c r="AQ49" i="28"/>
  <c r="AP49" i="28"/>
  <c r="AO49" i="28"/>
  <c r="AN49" i="28"/>
  <c r="AM49" i="28"/>
  <c r="AL49" i="28"/>
  <c r="AK49" i="28"/>
  <c r="AJ49" i="28"/>
  <c r="AI49" i="28"/>
  <c r="AF49" i="28"/>
  <c r="AE49" i="28"/>
  <c r="AC49" i="28"/>
  <c r="AB49" i="28"/>
  <c r="AA49" i="28"/>
  <c r="Z49" i="28"/>
  <c r="Y49" i="28"/>
  <c r="X49" i="28"/>
  <c r="W49" i="28"/>
  <c r="V49" i="28"/>
  <c r="U49" i="28"/>
  <c r="T49" i="28"/>
  <c r="S49" i="28"/>
  <c r="R49" i="28"/>
  <c r="Q49" i="28"/>
  <c r="P49" i="28"/>
  <c r="N49" i="28"/>
  <c r="BG48" i="28"/>
  <c r="BF48" i="28"/>
  <c r="BE48" i="28"/>
  <c r="BD48" i="28"/>
  <c r="AT48" i="28"/>
  <c r="AS48" i="28"/>
  <c r="AR48" i="28"/>
  <c r="AQ48" i="28"/>
  <c r="AP48" i="28"/>
  <c r="AO48" i="28"/>
  <c r="AN48" i="28"/>
  <c r="AM48" i="28"/>
  <c r="AL48" i="28"/>
  <c r="AK48" i="28"/>
  <c r="AJ48" i="28"/>
  <c r="AI48" i="28"/>
  <c r="AF48" i="28"/>
  <c r="AE48" i="28"/>
  <c r="AC48" i="28"/>
  <c r="AB48" i="28"/>
  <c r="AA48" i="28"/>
  <c r="Z48" i="28"/>
  <c r="Y48" i="28"/>
  <c r="X48" i="28"/>
  <c r="W48" i="28"/>
  <c r="V48" i="28"/>
  <c r="U48" i="28"/>
  <c r="T48" i="28"/>
  <c r="S48" i="28"/>
  <c r="R48" i="28"/>
  <c r="Q48" i="28"/>
  <c r="P48" i="28"/>
  <c r="N48" i="28"/>
  <c r="BG47" i="28"/>
  <c r="BF47" i="28"/>
  <c r="BE47" i="28"/>
  <c r="BD47" i="28"/>
  <c r="AT47" i="28"/>
  <c r="AS47" i="28"/>
  <c r="AR47" i="28"/>
  <c r="AQ47" i="28"/>
  <c r="AP47" i="28"/>
  <c r="AO47" i="28"/>
  <c r="AN47" i="28"/>
  <c r="AM47" i="28"/>
  <c r="AL47" i="28"/>
  <c r="AK47" i="28"/>
  <c r="AJ47" i="28"/>
  <c r="AI47" i="28"/>
  <c r="AF47" i="28"/>
  <c r="AE47" i="28"/>
  <c r="AC47" i="28"/>
  <c r="AB47" i="28"/>
  <c r="AA47" i="28"/>
  <c r="Z47" i="28"/>
  <c r="Y47" i="28"/>
  <c r="X47" i="28"/>
  <c r="W47" i="28"/>
  <c r="V47" i="28"/>
  <c r="U47" i="28"/>
  <c r="T47" i="28"/>
  <c r="S47" i="28"/>
  <c r="R47" i="28"/>
  <c r="Q47" i="28"/>
  <c r="P47" i="28"/>
  <c r="N47" i="28"/>
  <c r="BG46" i="28"/>
  <c r="BF46" i="28"/>
  <c r="BE46" i="28"/>
  <c r="BD46" i="28"/>
  <c r="AT46" i="28"/>
  <c r="AS46" i="28"/>
  <c r="AR46" i="28"/>
  <c r="AQ46" i="28"/>
  <c r="AP46" i="28"/>
  <c r="AO46" i="28"/>
  <c r="AN46" i="28"/>
  <c r="AM46" i="28"/>
  <c r="AL46" i="28"/>
  <c r="AK46" i="28"/>
  <c r="AJ46" i="28"/>
  <c r="AI46" i="28"/>
  <c r="AF46" i="28"/>
  <c r="AE46" i="28"/>
  <c r="AC46" i="28"/>
  <c r="AB46" i="28"/>
  <c r="AA46" i="28"/>
  <c r="Z46" i="28"/>
  <c r="Y46" i="28"/>
  <c r="X46" i="28"/>
  <c r="W46" i="28"/>
  <c r="V46" i="28"/>
  <c r="U46" i="28"/>
  <c r="T46" i="28"/>
  <c r="S46" i="28"/>
  <c r="R46" i="28"/>
  <c r="Q46" i="28"/>
  <c r="P46" i="28"/>
  <c r="N46" i="28"/>
  <c r="BG45" i="28"/>
  <c r="BF45" i="28"/>
  <c r="BE45" i="28"/>
  <c r="BD45" i="28"/>
  <c r="AT45" i="28"/>
  <c r="AS45" i="28"/>
  <c r="AR45" i="28"/>
  <c r="AQ45" i="28"/>
  <c r="AP45" i="28"/>
  <c r="AO45" i="28"/>
  <c r="AN45" i="28"/>
  <c r="AM45" i="28"/>
  <c r="AL45" i="28"/>
  <c r="AK45" i="28"/>
  <c r="AJ45" i="28"/>
  <c r="AI45" i="28"/>
  <c r="AF45" i="28"/>
  <c r="AE45" i="28"/>
  <c r="AC45" i="28"/>
  <c r="AB45" i="28"/>
  <c r="AA45" i="28"/>
  <c r="Z45" i="28"/>
  <c r="Y45" i="28"/>
  <c r="X45" i="28"/>
  <c r="W45" i="28"/>
  <c r="V45" i="28"/>
  <c r="U45" i="28"/>
  <c r="T45" i="28"/>
  <c r="S45" i="28"/>
  <c r="R45" i="28"/>
  <c r="Q45" i="28"/>
  <c r="P45" i="28"/>
  <c r="N45" i="28"/>
  <c r="BG44" i="28"/>
  <c r="BF44" i="28"/>
  <c r="BE44" i="28"/>
  <c r="BD44" i="28"/>
  <c r="AT44" i="28"/>
  <c r="AS44" i="28"/>
  <c r="AR44" i="28"/>
  <c r="AQ44" i="28"/>
  <c r="AP44" i="28"/>
  <c r="AO44" i="28"/>
  <c r="AN44" i="28"/>
  <c r="AM44" i="28"/>
  <c r="AL44" i="28"/>
  <c r="AK44" i="28"/>
  <c r="AJ44" i="28"/>
  <c r="AI44" i="28"/>
  <c r="AF44" i="28"/>
  <c r="AE44" i="28"/>
  <c r="AC44" i="28"/>
  <c r="AB44" i="28"/>
  <c r="AA44" i="28"/>
  <c r="Z44" i="28"/>
  <c r="Y44" i="28"/>
  <c r="X44" i="28"/>
  <c r="W44" i="28"/>
  <c r="V44" i="28"/>
  <c r="U44" i="28"/>
  <c r="T44" i="28"/>
  <c r="S44" i="28"/>
  <c r="R44" i="28"/>
  <c r="Q44" i="28"/>
  <c r="P44" i="28"/>
  <c r="N44" i="28"/>
  <c r="BG43" i="28"/>
  <c r="BF43" i="28"/>
  <c r="BE43" i="28"/>
  <c r="BD43" i="28"/>
  <c r="AT43" i="28"/>
  <c r="AS43" i="28"/>
  <c r="AR43" i="28"/>
  <c r="AQ43" i="28"/>
  <c r="AP43" i="28"/>
  <c r="AO43" i="28"/>
  <c r="AN43" i="28"/>
  <c r="AM43" i="28"/>
  <c r="AL43" i="28"/>
  <c r="AK43" i="28"/>
  <c r="AJ43" i="28"/>
  <c r="AI43" i="28"/>
  <c r="AF43" i="28"/>
  <c r="AE43" i="28"/>
  <c r="AC43" i="28"/>
  <c r="AB43" i="28"/>
  <c r="AA43" i="28"/>
  <c r="Z43" i="28"/>
  <c r="Y43" i="28"/>
  <c r="X43" i="28"/>
  <c r="W43" i="28"/>
  <c r="V43" i="28"/>
  <c r="U43" i="28"/>
  <c r="T43" i="28"/>
  <c r="S43" i="28"/>
  <c r="R43" i="28"/>
  <c r="Q43" i="28"/>
  <c r="P43" i="28"/>
  <c r="N43" i="28"/>
  <c r="AV42" i="28"/>
  <c r="O42" i="28"/>
  <c r="AD42" i="28" s="1"/>
  <c r="BG41" i="28"/>
  <c r="BF41" i="28"/>
  <c r="BE41" i="28"/>
  <c r="BD41" i="28"/>
  <c r="AT41" i="28"/>
  <c r="AS41" i="28"/>
  <c r="AR41" i="28"/>
  <c r="AQ41" i="28"/>
  <c r="AP41" i="28"/>
  <c r="AO41" i="28"/>
  <c r="AN41" i="28"/>
  <c r="AM41" i="28"/>
  <c r="AL41" i="28"/>
  <c r="AK41" i="28"/>
  <c r="AJ41" i="28"/>
  <c r="AI41" i="28"/>
  <c r="AF41" i="28"/>
  <c r="AE41" i="28"/>
  <c r="AC41" i="28"/>
  <c r="AB41" i="28"/>
  <c r="AA41" i="28"/>
  <c r="Z41" i="28"/>
  <c r="Y41" i="28"/>
  <c r="X41" i="28"/>
  <c r="W41" i="28"/>
  <c r="V41" i="28"/>
  <c r="U41" i="28"/>
  <c r="T41" i="28"/>
  <c r="S41" i="28"/>
  <c r="R41" i="28"/>
  <c r="Q41" i="28"/>
  <c r="P41" i="28"/>
  <c r="N41" i="28"/>
  <c r="BG40" i="28"/>
  <c r="BF40" i="28"/>
  <c r="BE40" i="28"/>
  <c r="BD40" i="28"/>
  <c r="AT40" i="28"/>
  <c r="AS40" i="28"/>
  <c r="AR40" i="28"/>
  <c r="AQ40" i="28"/>
  <c r="AP40" i="28"/>
  <c r="AO40" i="28"/>
  <c r="AN40" i="28"/>
  <c r="AM40" i="28"/>
  <c r="AL40" i="28"/>
  <c r="AK40" i="28"/>
  <c r="AJ40" i="28"/>
  <c r="AI40" i="28"/>
  <c r="AF40" i="28"/>
  <c r="AE40" i="28"/>
  <c r="AC40" i="28"/>
  <c r="AB40" i="28"/>
  <c r="AA40" i="28"/>
  <c r="Z40" i="28"/>
  <c r="Y40" i="28"/>
  <c r="X40" i="28"/>
  <c r="W40" i="28"/>
  <c r="V40" i="28"/>
  <c r="U40" i="28"/>
  <c r="T40" i="28"/>
  <c r="S40" i="28"/>
  <c r="R40" i="28"/>
  <c r="Q40" i="28"/>
  <c r="P40" i="28"/>
  <c r="N40" i="28"/>
  <c r="BG39" i="28"/>
  <c r="BF39" i="28"/>
  <c r="BE39" i="28"/>
  <c r="BD39" i="28"/>
  <c r="AT39" i="28"/>
  <c r="AS39" i="28"/>
  <c r="AR39" i="28"/>
  <c r="AQ39" i="28"/>
  <c r="AP39" i="28"/>
  <c r="AO39" i="28"/>
  <c r="AN39" i="28"/>
  <c r="AM39" i="28"/>
  <c r="AL39" i="28"/>
  <c r="AK39" i="28"/>
  <c r="AJ39" i="28"/>
  <c r="AI39" i="28"/>
  <c r="AF39" i="28"/>
  <c r="AE39" i="28"/>
  <c r="AC39" i="28"/>
  <c r="AB39" i="28"/>
  <c r="AA39" i="28"/>
  <c r="Z39" i="28"/>
  <c r="Y39" i="28"/>
  <c r="X39" i="28"/>
  <c r="W39" i="28"/>
  <c r="V39" i="28"/>
  <c r="U39" i="28"/>
  <c r="T39" i="28"/>
  <c r="S39" i="28"/>
  <c r="R39" i="28"/>
  <c r="Q39" i="28"/>
  <c r="P39" i="28"/>
  <c r="N39" i="28"/>
  <c r="BG38" i="28"/>
  <c r="BF38" i="28"/>
  <c r="BE38" i="28"/>
  <c r="BD38" i="28"/>
  <c r="AT38" i="28"/>
  <c r="AS38" i="28"/>
  <c r="AR38" i="28"/>
  <c r="AQ38" i="28"/>
  <c r="AP38" i="28"/>
  <c r="AO38" i="28"/>
  <c r="AN38" i="28"/>
  <c r="AM38" i="28"/>
  <c r="AL38" i="28"/>
  <c r="AK38" i="28"/>
  <c r="AJ38" i="28"/>
  <c r="AI38" i="28"/>
  <c r="AF38" i="28"/>
  <c r="AE38" i="28"/>
  <c r="AC38" i="28"/>
  <c r="AB38" i="28"/>
  <c r="AA38" i="28"/>
  <c r="Z38" i="28"/>
  <c r="Y38" i="28"/>
  <c r="X38" i="28"/>
  <c r="W38" i="28"/>
  <c r="V38" i="28"/>
  <c r="U38" i="28"/>
  <c r="T38" i="28"/>
  <c r="S38" i="28"/>
  <c r="R38" i="28"/>
  <c r="Q38" i="28"/>
  <c r="P38" i="28"/>
  <c r="N38" i="28"/>
  <c r="BG37" i="28"/>
  <c r="BF37" i="28"/>
  <c r="BE37" i="28"/>
  <c r="BD37" i="28"/>
  <c r="AT37" i="28"/>
  <c r="AS37" i="28"/>
  <c r="AR37" i="28"/>
  <c r="AQ37" i="28"/>
  <c r="AP37" i="28"/>
  <c r="AO37" i="28"/>
  <c r="AN37" i="28"/>
  <c r="AM37" i="28"/>
  <c r="AL37" i="28"/>
  <c r="AK37" i="28"/>
  <c r="AJ37" i="28"/>
  <c r="AI37" i="28"/>
  <c r="AF37" i="28"/>
  <c r="AE37" i="28"/>
  <c r="AC37" i="28"/>
  <c r="AB37" i="28"/>
  <c r="AA37" i="28"/>
  <c r="Z37" i="28"/>
  <c r="Y37" i="28"/>
  <c r="X37" i="28"/>
  <c r="W37" i="28"/>
  <c r="V37" i="28"/>
  <c r="U37" i="28"/>
  <c r="T37" i="28"/>
  <c r="S37" i="28"/>
  <c r="R37" i="28"/>
  <c r="Q37" i="28"/>
  <c r="P37" i="28"/>
  <c r="N37" i="28"/>
  <c r="BG36" i="28"/>
  <c r="BF36" i="28"/>
  <c r="BE36" i="28"/>
  <c r="BD36" i="28"/>
  <c r="AT36" i="28"/>
  <c r="AS36" i="28"/>
  <c r="AR36" i="28"/>
  <c r="AQ36" i="28"/>
  <c r="AP36" i="28"/>
  <c r="AO36" i="28"/>
  <c r="AN36" i="28"/>
  <c r="AM36" i="28"/>
  <c r="AL36" i="28"/>
  <c r="AK36" i="28"/>
  <c r="AJ36" i="28"/>
  <c r="AI36" i="28"/>
  <c r="AF36" i="28"/>
  <c r="AE36" i="28"/>
  <c r="AC36" i="28"/>
  <c r="AB36" i="28"/>
  <c r="AA36" i="28"/>
  <c r="Z36" i="28"/>
  <c r="Y36" i="28"/>
  <c r="X36" i="28"/>
  <c r="W36" i="28"/>
  <c r="V36" i="28"/>
  <c r="U36" i="28"/>
  <c r="T36" i="28"/>
  <c r="S36" i="28"/>
  <c r="R36" i="28"/>
  <c r="Q36" i="28"/>
  <c r="P36" i="28"/>
  <c r="N36" i="28"/>
  <c r="BG35" i="28"/>
  <c r="BF35" i="28"/>
  <c r="BE35" i="28"/>
  <c r="BD35" i="28"/>
  <c r="AT35" i="28"/>
  <c r="AS35" i="28"/>
  <c r="AR35" i="28"/>
  <c r="AQ35" i="28"/>
  <c r="AP35" i="28"/>
  <c r="AO35" i="28"/>
  <c r="AN35" i="28"/>
  <c r="AM35" i="28"/>
  <c r="AL35" i="28"/>
  <c r="AK35" i="28"/>
  <c r="AJ35" i="28"/>
  <c r="AI35" i="28"/>
  <c r="AF35" i="28"/>
  <c r="AE35" i="28"/>
  <c r="AC35" i="28"/>
  <c r="AB35" i="28"/>
  <c r="AA35" i="28"/>
  <c r="Z35" i="28"/>
  <c r="Y35" i="28"/>
  <c r="X35" i="28"/>
  <c r="W35" i="28"/>
  <c r="V35" i="28"/>
  <c r="U35" i="28"/>
  <c r="T35" i="28"/>
  <c r="S35" i="28"/>
  <c r="R35" i="28"/>
  <c r="Q35" i="28"/>
  <c r="P35" i="28"/>
  <c r="N35" i="28"/>
  <c r="BG34" i="28"/>
  <c r="BF34" i="28"/>
  <c r="BE34" i="28"/>
  <c r="BD34" i="28"/>
  <c r="AT34" i="28"/>
  <c r="AS34" i="28"/>
  <c r="AR34" i="28"/>
  <c r="AQ34" i="28"/>
  <c r="AP34" i="28"/>
  <c r="AO34" i="28"/>
  <c r="AN34" i="28"/>
  <c r="AM34" i="28"/>
  <c r="AL34" i="28"/>
  <c r="AK34" i="28"/>
  <c r="AJ34" i="28"/>
  <c r="AI34" i="28"/>
  <c r="AF34" i="28"/>
  <c r="AE34" i="28"/>
  <c r="AC34" i="28"/>
  <c r="AB34" i="28"/>
  <c r="AA34" i="28"/>
  <c r="Z34" i="28"/>
  <c r="Y34" i="28"/>
  <c r="X34" i="28"/>
  <c r="W34" i="28"/>
  <c r="V34" i="28"/>
  <c r="U34" i="28"/>
  <c r="T34" i="28"/>
  <c r="S34" i="28"/>
  <c r="R34" i="28"/>
  <c r="Q34" i="28"/>
  <c r="P34" i="28"/>
  <c r="N34" i="28"/>
  <c r="BG33" i="28"/>
  <c r="BF33" i="28"/>
  <c r="BE33" i="28"/>
  <c r="BD33" i="28"/>
  <c r="AT33" i="28"/>
  <c r="AS33" i="28"/>
  <c r="AR33" i="28"/>
  <c r="AQ33" i="28"/>
  <c r="AP33" i="28"/>
  <c r="AO33" i="28"/>
  <c r="AN33" i="28"/>
  <c r="AM33" i="28"/>
  <c r="AL33" i="28"/>
  <c r="AK33" i="28"/>
  <c r="AJ33" i="28"/>
  <c r="AI33" i="28"/>
  <c r="AF33" i="28"/>
  <c r="AE33" i="28"/>
  <c r="AC33" i="28"/>
  <c r="AB33" i="28"/>
  <c r="AA33" i="28"/>
  <c r="Z33" i="28"/>
  <c r="Y33" i="28"/>
  <c r="X33" i="28"/>
  <c r="W33" i="28"/>
  <c r="V33" i="28"/>
  <c r="U33" i="28"/>
  <c r="T33" i="28"/>
  <c r="S33" i="28"/>
  <c r="R33" i="28"/>
  <c r="Q33" i="28"/>
  <c r="P33" i="28"/>
  <c r="N33" i="28"/>
  <c r="BG32" i="28"/>
  <c r="BF32" i="28"/>
  <c r="BE32" i="28"/>
  <c r="BD32" i="28"/>
  <c r="AT32" i="28"/>
  <c r="AS32" i="28"/>
  <c r="AR32" i="28"/>
  <c r="AQ32" i="28"/>
  <c r="AP32" i="28"/>
  <c r="AO32" i="28"/>
  <c r="AN32" i="28"/>
  <c r="AM32" i="28"/>
  <c r="AL32" i="28"/>
  <c r="AK32" i="28"/>
  <c r="AJ32" i="28"/>
  <c r="AI32" i="28"/>
  <c r="AF32" i="28"/>
  <c r="AE32" i="28"/>
  <c r="AC32" i="28"/>
  <c r="AB32" i="28"/>
  <c r="AA32" i="28"/>
  <c r="Z32" i="28"/>
  <c r="Y32" i="28"/>
  <c r="X32" i="28"/>
  <c r="W32" i="28"/>
  <c r="V32" i="28"/>
  <c r="U32" i="28"/>
  <c r="T32" i="28"/>
  <c r="S32" i="28"/>
  <c r="R32" i="28"/>
  <c r="Q32" i="28"/>
  <c r="P32" i="28"/>
  <c r="N32" i="28"/>
  <c r="BG31" i="28"/>
  <c r="BF31" i="28"/>
  <c r="BE31" i="28"/>
  <c r="BD31" i="28"/>
  <c r="AT31" i="28"/>
  <c r="AS31" i="28"/>
  <c r="AR31" i="28"/>
  <c r="AQ31" i="28"/>
  <c r="AP31" i="28"/>
  <c r="AO31" i="28"/>
  <c r="AN31" i="28"/>
  <c r="AM31" i="28"/>
  <c r="AL31" i="28"/>
  <c r="AK31" i="28"/>
  <c r="AJ31" i="28"/>
  <c r="AI31" i="28"/>
  <c r="AF31" i="28"/>
  <c r="AE31" i="28"/>
  <c r="AC31" i="28"/>
  <c r="AB31" i="28"/>
  <c r="AA31" i="28"/>
  <c r="Z31" i="28"/>
  <c r="Y31" i="28"/>
  <c r="X31" i="28"/>
  <c r="W31" i="28"/>
  <c r="V31" i="28"/>
  <c r="U31" i="28"/>
  <c r="T31" i="28"/>
  <c r="S31" i="28"/>
  <c r="R31" i="28"/>
  <c r="Q31" i="28"/>
  <c r="P31" i="28"/>
  <c r="N31" i="28"/>
  <c r="BG30" i="28"/>
  <c r="BF30" i="28"/>
  <c r="BE30" i="28"/>
  <c r="BD30" i="28"/>
  <c r="AT30" i="28"/>
  <c r="AS30" i="28"/>
  <c r="AR30" i="28"/>
  <c r="AQ30" i="28"/>
  <c r="AP30" i="28"/>
  <c r="AO30" i="28"/>
  <c r="AN30" i="28"/>
  <c r="AM30" i="28"/>
  <c r="AL30" i="28"/>
  <c r="AK30" i="28"/>
  <c r="AJ30" i="28"/>
  <c r="AI30" i="28"/>
  <c r="AF30" i="28"/>
  <c r="AE30" i="28"/>
  <c r="AC30" i="28"/>
  <c r="AB30" i="28"/>
  <c r="AA30" i="28"/>
  <c r="Z30" i="28"/>
  <c r="Y30" i="28"/>
  <c r="X30" i="28"/>
  <c r="W30" i="28"/>
  <c r="V30" i="28"/>
  <c r="U30" i="28"/>
  <c r="T30" i="28"/>
  <c r="S30" i="28"/>
  <c r="R30" i="28"/>
  <c r="Q30" i="28"/>
  <c r="P30" i="28"/>
  <c r="N30" i="28"/>
  <c r="BG29" i="28"/>
  <c r="BF29" i="28"/>
  <c r="BE29" i="28"/>
  <c r="BD29" i="28"/>
  <c r="AT29" i="28"/>
  <c r="AS29" i="28"/>
  <c r="AR29" i="28"/>
  <c r="AQ29" i="28"/>
  <c r="AP29" i="28"/>
  <c r="AO29" i="28"/>
  <c r="AN29" i="28"/>
  <c r="AM29" i="28"/>
  <c r="AL29" i="28"/>
  <c r="AK29" i="28"/>
  <c r="AJ29" i="28"/>
  <c r="AI29" i="28"/>
  <c r="AF29" i="28"/>
  <c r="AE29" i="28"/>
  <c r="AC29" i="28"/>
  <c r="AB29" i="28"/>
  <c r="AA29" i="28"/>
  <c r="Z29" i="28"/>
  <c r="Y29" i="28"/>
  <c r="X29" i="28"/>
  <c r="W29" i="28"/>
  <c r="V29" i="28"/>
  <c r="U29" i="28"/>
  <c r="T29" i="28"/>
  <c r="S29" i="28"/>
  <c r="R29" i="28"/>
  <c r="Q29" i="28"/>
  <c r="P29" i="28"/>
  <c r="N29" i="28"/>
  <c r="BG28" i="28"/>
  <c r="BF28" i="28"/>
  <c r="BE28" i="28"/>
  <c r="BD28" i="28"/>
  <c r="AT28" i="28"/>
  <c r="AS28" i="28"/>
  <c r="AR28" i="28"/>
  <c r="AQ28" i="28"/>
  <c r="AP28" i="28"/>
  <c r="AO28" i="28"/>
  <c r="AN28" i="28"/>
  <c r="AM28" i="28"/>
  <c r="AL28" i="28"/>
  <c r="AK28" i="28"/>
  <c r="AJ28" i="28"/>
  <c r="AI28" i="28"/>
  <c r="AF28" i="28"/>
  <c r="AE28" i="28"/>
  <c r="AC28" i="28"/>
  <c r="AB28" i="28"/>
  <c r="AA28" i="28"/>
  <c r="Z28" i="28"/>
  <c r="Y28" i="28"/>
  <c r="X28" i="28"/>
  <c r="W28" i="28"/>
  <c r="V28" i="28"/>
  <c r="U28" i="28"/>
  <c r="T28" i="28"/>
  <c r="S28" i="28"/>
  <c r="R28" i="28"/>
  <c r="Q28" i="28"/>
  <c r="P28" i="28"/>
  <c r="N28" i="28"/>
  <c r="BG27" i="28"/>
  <c r="BF27" i="28"/>
  <c r="BE27" i="28"/>
  <c r="BD27" i="28"/>
  <c r="AT27" i="28"/>
  <c r="AS27" i="28"/>
  <c r="AR27" i="28"/>
  <c r="AQ27" i="28"/>
  <c r="AP27" i="28"/>
  <c r="AO27" i="28"/>
  <c r="AN27" i="28"/>
  <c r="AM27" i="28"/>
  <c r="AL27" i="28"/>
  <c r="AK27" i="28"/>
  <c r="AJ27" i="28"/>
  <c r="AI27" i="28"/>
  <c r="AF27" i="28"/>
  <c r="AE27" i="28"/>
  <c r="AC27" i="28"/>
  <c r="AB27" i="28"/>
  <c r="AA27" i="28"/>
  <c r="Z27" i="28"/>
  <c r="Y27" i="28"/>
  <c r="X27" i="28"/>
  <c r="W27" i="28"/>
  <c r="V27" i="28"/>
  <c r="U27" i="28"/>
  <c r="T27" i="28"/>
  <c r="S27" i="28"/>
  <c r="R27" i="28"/>
  <c r="Q27" i="28"/>
  <c r="P27" i="28"/>
  <c r="N27" i="28"/>
  <c r="BH26" i="28"/>
  <c r="AV26" i="28"/>
  <c r="O26" i="28"/>
  <c r="AD26" i="28" s="1"/>
  <c r="BA26" i="28" s="1"/>
  <c r="BB26" i="28" s="1"/>
  <c r="BG25" i="28"/>
  <c r="BF25" i="28"/>
  <c r="BE25" i="28"/>
  <c r="BD25" i="28"/>
  <c r="AT25" i="28"/>
  <c r="AS25" i="28"/>
  <c r="AR25" i="28"/>
  <c r="AQ25" i="28"/>
  <c r="AP25" i="28"/>
  <c r="AO25" i="28"/>
  <c r="AN25" i="28"/>
  <c r="AM25" i="28"/>
  <c r="AL25" i="28"/>
  <c r="AK25" i="28"/>
  <c r="AJ25" i="28"/>
  <c r="AI25" i="28"/>
  <c r="AF25" i="28"/>
  <c r="AE25" i="28"/>
  <c r="AC25" i="28"/>
  <c r="AB25" i="28"/>
  <c r="AA25" i="28"/>
  <c r="Z25" i="28"/>
  <c r="Y25" i="28"/>
  <c r="X25" i="28"/>
  <c r="W25" i="28"/>
  <c r="V25" i="28"/>
  <c r="U25" i="28"/>
  <c r="T25" i="28"/>
  <c r="S25" i="28"/>
  <c r="R25" i="28"/>
  <c r="Q25" i="28"/>
  <c r="P25" i="28"/>
  <c r="N25" i="28"/>
  <c r="BG24" i="28"/>
  <c r="BF24" i="28"/>
  <c r="BE24" i="28"/>
  <c r="BD24" i="28"/>
  <c r="AT24" i="28"/>
  <c r="AS24" i="28"/>
  <c r="AR24" i="28"/>
  <c r="AQ24" i="28"/>
  <c r="AP24" i="28"/>
  <c r="AO24" i="28"/>
  <c r="AN24" i="28"/>
  <c r="AM24" i="28"/>
  <c r="AL24" i="28"/>
  <c r="AK24" i="28"/>
  <c r="AJ24" i="28"/>
  <c r="AI24" i="28"/>
  <c r="AF24" i="28"/>
  <c r="AE24" i="28"/>
  <c r="AC24" i="28"/>
  <c r="AB24" i="28"/>
  <c r="AA24" i="28"/>
  <c r="Z24" i="28"/>
  <c r="Y24" i="28"/>
  <c r="X24" i="28"/>
  <c r="W24" i="28"/>
  <c r="V24" i="28"/>
  <c r="U24" i="28"/>
  <c r="T24" i="28"/>
  <c r="S24" i="28"/>
  <c r="R24" i="28"/>
  <c r="Q24" i="28"/>
  <c r="P24" i="28"/>
  <c r="N24" i="28"/>
  <c r="BG23" i="28"/>
  <c r="BF23" i="28"/>
  <c r="BE23" i="28"/>
  <c r="BD23" i="28"/>
  <c r="AT23" i="28"/>
  <c r="AS23" i="28"/>
  <c r="AR23" i="28"/>
  <c r="AQ23" i="28"/>
  <c r="AP23" i="28"/>
  <c r="AO23" i="28"/>
  <c r="AN23" i="28"/>
  <c r="AM23" i="28"/>
  <c r="AL23" i="28"/>
  <c r="AK23" i="28"/>
  <c r="AJ23" i="28"/>
  <c r="AI23" i="28"/>
  <c r="AF23" i="28"/>
  <c r="AE23" i="28"/>
  <c r="AC23" i="28"/>
  <c r="AB23" i="28"/>
  <c r="AA23" i="28"/>
  <c r="Z23" i="28"/>
  <c r="Y23" i="28"/>
  <c r="X23" i="28"/>
  <c r="W23" i="28"/>
  <c r="V23" i="28"/>
  <c r="U23" i="28"/>
  <c r="T23" i="28"/>
  <c r="S23" i="28"/>
  <c r="R23" i="28"/>
  <c r="Q23" i="28"/>
  <c r="P23" i="28"/>
  <c r="N23" i="28"/>
  <c r="BG22" i="28"/>
  <c r="BF22" i="28"/>
  <c r="BE22" i="28"/>
  <c r="BD22" i="28"/>
  <c r="AT22" i="28"/>
  <c r="AS22" i="28"/>
  <c r="AR22" i="28"/>
  <c r="AQ22" i="28"/>
  <c r="AP22" i="28"/>
  <c r="AO22" i="28"/>
  <c r="AN22" i="28"/>
  <c r="AM22" i="28"/>
  <c r="AL22" i="28"/>
  <c r="AK22" i="28"/>
  <c r="AJ22" i="28"/>
  <c r="AI22" i="28"/>
  <c r="AF22" i="28"/>
  <c r="AE22" i="28"/>
  <c r="AC22" i="28"/>
  <c r="AB22" i="28"/>
  <c r="AA22" i="28"/>
  <c r="Z22" i="28"/>
  <c r="Y22" i="28"/>
  <c r="X22" i="28"/>
  <c r="W22" i="28"/>
  <c r="V22" i="28"/>
  <c r="U22" i="28"/>
  <c r="T22" i="28"/>
  <c r="S22" i="28"/>
  <c r="R22" i="28"/>
  <c r="Q22" i="28"/>
  <c r="P22" i="28"/>
  <c r="N22" i="28"/>
  <c r="BH21" i="28"/>
  <c r="AV21" i="28"/>
  <c r="O21" i="28"/>
  <c r="AD21" i="28" s="1"/>
  <c r="BG20" i="28"/>
  <c r="BF20" i="28"/>
  <c r="BE20" i="28"/>
  <c r="BD20" i="28"/>
  <c r="AT20" i="28"/>
  <c r="AS20" i="28"/>
  <c r="AR20" i="28"/>
  <c r="AQ20" i="28"/>
  <c r="AP20" i="28"/>
  <c r="AO20" i="28"/>
  <c r="AN20" i="28"/>
  <c r="AM20" i="28"/>
  <c r="AL20" i="28"/>
  <c r="AK20" i="28"/>
  <c r="AJ20" i="28"/>
  <c r="AI20" i="28"/>
  <c r="AF20" i="28"/>
  <c r="AE20" i="28"/>
  <c r="AC20" i="28"/>
  <c r="AB20" i="28"/>
  <c r="AA20" i="28"/>
  <c r="Z20" i="28"/>
  <c r="Y20" i="28"/>
  <c r="X20" i="28"/>
  <c r="W20" i="28"/>
  <c r="V20" i="28"/>
  <c r="U20" i="28"/>
  <c r="T20" i="28"/>
  <c r="S20" i="28"/>
  <c r="R20" i="28"/>
  <c r="Q20" i="28"/>
  <c r="P20" i="28"/>
  <c r="N20" i="28"/>
  <c r="BG19" i="28"/>
  <c r="BF19" i="28"/>
  <c r="BE19" i="28"/>
  <c r="BD19" i="28"/>
  <c r="AT19" i="28"/>
  <c r="AS19" i="28"/>
  <c r="AR19" i="28"/>
  <c r="AQ19" i="28"/>
  <c r="AP19" i="28"/>
  <c r="AO19" i="28"/>
  <c r="AN19" i="28"/>
  <c r="AM19" i="28"/>
  <c r="AL19" i="28"/>
  <c r="AK19" i="28"/>
  <c r="AJ19" i="28"/>
  <c r="AI19" i="28"/>
  <c r="AF19" i="28"/>
  <c r="AE19" i="28"/>
  <c r="AC19" i="28"/>
  <c r="AB19" i="28"/>
  <c r="AA19" i="28"/>
  <c r="Z19" i="28"/>
  <c r="Y19" i="28"/>
  <c r="X19" i="28"/>
  <c r="W19" i="28"/>
  <c r="V19" i="28"/>
  <c r="U19" i="28"/>
  <c r="T19" i="28"/>
  <c r="S19" i="28"/>
  <c r="R19" i="28"/>
  <c r="Q19" i="28"/>
  <c r="P19" i="28"/>
  <c r="N19" i="28"/>
  <c r="BH18" i="28"/>
  <c r="AV18" i="28"/>
  <c r="AD18" i="28"/>
  <c r="BG17" i="28"/>
  <c r="BF17" i="28"/>
  <c r="BE17" i="28"/>
  <c r="BD17" i="28"/>
  <c r="AT17" i="28"/>
  <c r="AS17" i="28"/>
  <c r="AR17" i="28"/>
  <c r="AQ17" i="28"/>
  <c r="AP17" i="28"/>
  <c r="AO17" i="28"/>
  <c r="AN17" i="28"/>
  <c r="AM17" i="28"/>
  <c r="AL17" i="28"/>
  <c r="AK17" i="28"/>
  <c r="AJ17" i="28"/>
  <c r="AI17" i="28"/>
  <c r="AF17" i="28"/>
  <c r="AE17" i="28"/>
  <c r="AC17" i="28"/>
  <c r="AB17" i="28"/>
  <c r="AA17" i="28"/>
  <c r="Z17" i="28"/>
  <c r="Y17" i="28"/>
  <c r="X17" i="28"/>
  <c r="W17" i="28"/>
  <c r="V17" i="28"/>
  <c r="U17" i="28"/>
  <c r="T17" i="28"/>
  <c r="S17" i="28"/>
  <c r="R17" i="28"/>
  <c r="Q17" i="28"/>
  <c r="P17" i="28"/>
  <c r="N17" i="28"/>
  <c r="BG16" i="28"/>
  <c r="BF16" i="28"/>
  <c r="BE16" i="28"/>
  <c r="BD16" i="28"/>
  <c r="AT16" i="28"/>
  <c r="AS16" i="28"/>
  <c r="AR16" i="28"/>
  <c r="AQ16" i="28"/>
  <c r="AP16" i="28"/>
  <c r="AO16" i="28"/>
  <c r="AN16" i="28"/>
  <c r="AM16" i="28"/>
  <c r="AL16" i="28"/>
  <c r="AK16" i="28"/>
  <c r="AJ16" i="28"/>
  <c r="AI16" i="28"/>
  <c r="AF16" i="28"/>
  <c r="AE16" i="28"/>
  <c r="AC16" i="28"/>
  <c r="AB16" i="28"/>
  <c r="AA16" i="28"/>
  <c r="Z16" i="28"/>
  <c r="Y16" i="28"/>
  <c r="X16" i="28"/>
  <c r="W16" i="28"/>
  <c r="V16" i="28"/>
  <c r="U16" i="28"/>
  <c r="T16" i="28"/>
  <c r="S16" i="28"/>
  <c r="R16" i="28"/>
  <c r="Q16" i="28"/>
  <c r="P16" i="28"/>
  <c r="N16" i="28"/>
  <c r="BG15" i="28"/>
  <c r="BF15" i="28"/>
  <c r="BE15" i="28"/>
  <c r="BD15" i="28"/>
  <c r="AT15" i="28"/>
  <c r="AS15" i="28"/>
  <c r="AR15" i="28"/>
  <c r="AQ15" i="28"/>
  <c r="AP15" i="28"/>
  <c r="AO15" i="28"/>
  <c r="AN15" i="28"/>
  <c r="AM15" i="28"/>
  <c r="AL15" i="28"/>
  <c r="AK15" i="28"/>
  <c r="AJ15" i="28"/>
  <c r="AI15" i="28"/>
  <c r="AF15" i="28"/>
  <c r="AE15" i="28"/>
  <c r="AC15" i="28"/>
  <c r="AB15" i="28"/>
  <c r="AA15" i="28"/>
  <c r="Z15" i="28"/>
  <c r="Y15" i="28"/>
  <c r="X15" i="28"/>
  <c r="W15" i="28"/>
  <c r="V15" i="28"/>
  <c r="U15" i="28"/>
  <c r="T15" i="28"/>
  <c r="S15" i="28"/>
  <c r="R15" i="28"/>
  <c r="Q15" i="28"/>
  <c r="P15" i="28"/>
  <c r="N15" i="28"/>
  <c r="BG14" i="28"/>
  <c r="BF14" i="28"/>
  <c r="BE14" i="28"/>
  <c r="BD14" i="28"/>
  <c r="AT14" i="28"/>
  <c r="AS14" i="28"/>
  <c r="AR14" i="28"/>
  <c r="AQ14" i="28"/>
  <c r="AP14" i="28"/>
  <c r="AO14" i="28"/>
  <c r="AN14" i="28"/>
  <c r="AM14" i="28"/>
  <c r="AL14" i="28"/>
  <c r="AK14" i="28"/>
  <c r="AJ14" i="28"/>
  <c r="AI14" i="28"/>
  <c r="AF14" i="28"/>
  <c r="AE14" i="28"/>
  <c r="AC14" i="28"/>
  <c r="AB14" i="28"/>
  <c r="AA14" i="28"/>
  <c r="Z14" i="28"/>
  <c r="Y14" i="28"/>
  <c r="X14" i="28"/>
  <c r="W14" i="28"/>
  <c r="V14" i="28"/>
  <c r="U14" i="28"/>
  <c r="T14" i="28"/>
  <c r="S14" i="28"/>
  <c r="R14" i="28"/>
  <c r="Q14" i="28"/>
  <c r="P14" i="28"/>
  <c r="N14" i="28"/>
  <c r="BG13" i="28"/>
  <c r="BF13" i="28"/>
  <c r="BE13" i="28"/>
  <c r="BD13" i="28"/>
  <c r="AT13" i="28"/>
  <c r="AS13" i="28"/>
  <c r="AR13" i="28"/>
  <c r="AQ13" i="28"/>
  <c r="AP13" i="28"/>
  <c r="AO13" i="28"/>
  <c r="AN13" i="28"/>
  <c r="AM13" i="28"/>
  <c r="AL13" i="28"/>
  <c r="AK13" i="28"/>
  <c r="AJ13" i="28"/>
  <c r="AI13" i="28"/>
  <c r="AF13" i="28"/>
  <c r="AE13" i="28"/>
  <c r="AC13" i="28"/>
  <c r="AB13" i="28"/>
  <c r="AA13" i="28"/>
  <c r="Z13" i="28"/>
  <c r="Y13" i="28"/>
  <c r="X13" i="28"/>
  <c r="W13" i="28"/>
  <c r="V13" i="28"/>
  <c r="U13" i="28"/>
  <c r="T13" i="28"/>
  <c r="S13" i="28"/>
  <c r="R13" i="28"/>
  <c r="Q13" i="28"/>
  <c r="P13" i="28"/>
  <c r="N13" i="28"/>
  <c r="BG12" i="28"/>
  <c r="BF12" i="28"/>
  <c r="BE12" i="28"/>
  <c r="BD12" i="28"/>
  <c r="AT12" i="28"/>
  <c r="AS12" i="28"/>
  <c r="AR12" i="28"/>
  <c r="AQ12" i="28"/>
  <c r="AP12" i="28"/>
  <c r="AO12" i="28"/>
  <c r="AN12" i="28"/>
  <c r="AM12" i="28"/>
  <c r="AL12" i="28"/>
  <c r="AK12" i="28"/>
  <c r="AJ12" i="28"/>
  <c r="AI12" i="28"/>
  <c r="AF12" i="28"/>
  <c r="AE12" i="28"/>
  <c r="AC12" i="28"/>
  <c r="AB12" i="28"/>
  <c r="AA12" i="28"/>
  <c r="Z12" i="28"/>
  <c r="Y12" i="28"/>
  <c r="X12" i="28"/>
  <c r="W12" i="28"/>
  <c r="V12" i="28"/>
  <c r="U12" i="28"/>
  <c r="T12" i="28"/>
  <c r="S12" i="28"/>
  <c r="R12" i="28"/>
  <c r="Q12" i="28"/>
  <c r="P12" i="28"/>
  <c r="N12" i="28"/>
  <c r="BG11" i="28"/>
  <c r="BF11" i="28"/>
  <c r="BE11" i="28"/>
  <c r="BD11" i="28"/>
  <c r="AT11" i="28"/>
  <c r="AS11" i="28"/>
  <c r="AR11" i="28"/>
  <c r="AQ11" i="28"/>
  <c r="AP11" i="28"/>
  <c r="AO11" i="28"/>
  <c r="AN11" i="28"/>
  <c r="AM11" i="28"/>
  <c r="AL11" i="28"/>
  <c r="AK11" i="28"/>
  <c r="AJ11" i="28"/>
  <c r="AI11" i="28"/>
  <c r="AF11" i="28"/>
  <c r="AE11" i="28"/>
  <c r="AC11" i="28"/>
  <c r="AB11" i="28"/>
  <c r="AA11" i="28"/>
  <c r="Z11" i="28"/>
  <c r="Y11" i="28"/>
  <c r="X11" i="28"/>
  <c r="W11" i="28"/>
  <c r="V11" i="28"/>
  <c r="U11" i="28"/>
  <c r="T11" i="28"/>
  <c r="S11" i="28"/>
  <c r="R11" i="28"/>
  <c r="Q11" i="28"/>
  <c r="P11" i="28"/>
  <c r="N11" i="28"/>
  <c r="BG10" i="28"/>
  <c r="BF10" i="28"/>
  <c r="BE10" i="28"/>
  <c r="BD10" i="28"/>
  <c r="AT10" i="28"/>
  <c r="AS10" i="28"/>
  <c r="AR10" i="28"/>
  <c r="AQ10" i="28"/>
  <c r="AP10" i="28"/>
  <c r="AO10" i="28"/>
  <c r="AN10" i="28"/>
  <c r="AM10" i="28"/>
  <c r="AL10" i="28"/>
  <c r="AK10" i="28"/>
  <c r="AJ10" i="28"/>
  <c r="AI10" i="28"/>
  <c r="AF10" i="28"/>
  <c r="AE10" i="28"/>
  <c r="AC10" i="28"/>
  <c r="AB10" i="28"/>
  <c r="AA10" i="28"/>
  <c r="Z10" i="28"/>
  <c r="Y10" i="28"/>
  <c r="X10" i="28"/>
  <c r="W10" i="28"/>
  <c r="V10" i="28"/>
  <c r="U10" i="28"/>
  <c r="T10" i="28"/>
  <c r="S10" i="28"/>
  <c r="R10" i="28"/>
  <c r="Q10" i="28"/>
  <c r="P10" i="28"/>
  <c r="N10" i="28"/>
  <c r="BG9" i="28"/>
  <c r="BF9" i="28"/>
  <c r="BE9" i="28"/>
  <c r="BD9" i="28"/>
  <c r="AT9" i="28"/>
  <c r="AS9" i="28"/>
  <c r="AR9" i="28"/>
  <c r="AQ9" i="28"/>
  <c r="AP9" i="28"/>
  <c r="AO9" i="28"/>
  <c r="AN9" i="28"/>
  <c r="AM9" i="28"/>
  <c r="AL9" i="28"/>
  <c r="AK9" i="28"/>
  <c r="AJ9" i="28"/>
  <c r="AI9" i="28"/>
  <c r="AF9" i="28"/>
  <c r="AE9" i="28"/>
  <c r="AC9" i="28"/>
  <c r="AB9" i="28"/>
  <c r="AA9" i="28"/>
  <c r="Z9" i="28"/>
  <c r="Y9" i="28"/>
  <c r="X9" i="28"/>
  <c r="W9" i="28"/>
  <c r="V9" i="28"/>
  <c r="U9" i="28"/>
  <c r="T9" i="28"/>
  <c r="S9" i="28"/>
  <c r="R9" i="28"/>
  <c r="Q9" i="28"/>
  <c r="P9" i="28"/>
  <c r="N9" i="28"/>
  <c r="BG8" i="28"/>
  <c r="BF8" i="28"/>
  <c r="BE8" i="28"/>
  <c r="BD8" i="28"/>
  <c r="AT8" i="28"/>
  <c r="AS8" i="28"/>
  <c r="AR8" i="28"/>
  <c r="AQ8" i="28"/>
  <c r="AP8" i="28"/>
  <c r="AO8" i="28"/>
  <c r="AN8" i="28"/>
  <c r="AM8" i="28"/>
  <c r="AL8" i="28"/>
  <c r="AK8" i="28"/>
  <c r="AJ8" i="28"/>
  <c r="AI8" i="28"/>
  <c r="AF8" i="28"/>
  <c r="AE8" i="28"/>
  <c r="AC8" i="28"/>
  <c r="AB8" i="28"/>
  <c r="AA8" i="28"/>
  <c r="Z8" i="28"/>
  <c r="Y8" i="28"/>
  <c r="X8" i="28"/>
  <c r="W8" i="28"/>
  <c r="V8" i="28"/>
  <c r="U8" i="28"/>
  <c r="T8" i="28"/>
  <c r="S8" i="28"/>
  <c r="R8" i="28"/>
  <c r="Q8" i="28"/>
  <c r="P8" i="28"/>
  <c r="N8" i="28"/>
  <c r="BG7" i="28"/>
  <c r="BF7" i="28"/>
  <c r="BE7" i="28"/>
  <c r="BD7" i="28"/>
  <c r="AT7" i="28"/>
  <c r="AS7" i="28"/>
  <c r="AR7" i="28"/>
  <c r="AQ7" i="28"/>
  <c r="AP7" i="28"/>
  <c r="AO7" i="28"/>
  <c r="AN7" i="28"/>
  <c r="AM7" i="28"/>
  <c r="AL7" i="28"/>
  <c r="AK7" i="28"/>
  <c r="AJ7" i="28"/>
  <c r="AI7" i="28"/>
  <c r="AF7" i="28"/>
  <c r="AE7" i="28"/>
  <c r="AC7" i="28"/>
  <c r="AB7" i="28"/>
  <c r="AA7" i="28"/>
  <c r="Z7" i="28"/>
  <c r="Y7" i="28"/>
  <c r="X7" i="28"/>
  <c r="W7" i="28"/>
  <c r="V7" i="28"/>
  <c r="U7" i="28"/>
  <c r="T7" i="28"/>
  <c r="S7" i="28"/>
  <c r="R7" i="28"/>
  <c r="Q7" i="28"/>
  <c r="P7" i="28"/>
  <c r="N7" i="28"/>
  <c r="BG6" i="28"/>
  <c r="BF6" i="28"/>
  <c r="BE6" i="28"/>
  <c r="BD6" i="28"/>
  <c r="AT6" i="28"/>
  <c r="AS6" i="28"/>
  <c r="AR6" i="28"/>
  <c r="AQ6" i="28"/>
  <c r="AP6" i="28"/>
  <c r="AO6" i="28"/>
  <c r="AN6" i="28"/>
  <c r="AM6" i="28"/>
  <c r="AL6" i="28"/>
  <c r="AK6" i="28"/>
  <c r="AJ6" i="28"/>
  <c r="AI6" i="28"/>
  <c r="AF6" i="28"/>
  <c r="AE6" i="28"/>
  <c r="AC6" i="28"/>
  <c r="AB6" i="28"/>
  <c r="AA6" i="28"/>
  <c r="Z6" i="28"/>
  <c r="Y6" i="28"/>
  <c r="X6" i="28"/>
  <c r="W6" i="28"/>
  <c r="V6" i="28"/>
  <c r="U6" i="28"/>
  <c r="T6" i="28"/>
  <c r="S6" i="28"/>
  <c r="R6" i="28"/>
  <c r="Q6" i="28"/>
  <c r="P6" i="28"/>
  <c r="N6" i="28"/>
  <c r="BG5" i="28"/>
  <c r="BF5" i="28"/>
  <c r="BE5" i="28"/>
  <c r="BD5" i="28"/>
  <c r="AT5" i="28"/>
  <c r="AS5" i="28"/>
  <c r="AR5" i="28"/>
  <c r="AQ5" i="28"/>
  <c r="AP5" i="28"/>
  <c r="AO5" i="28"/>
  <c r="AN5" i="28"/>
  <c r="AM5" i="28"/>
  <c r="AL5" i="28"/>
  <c r="AK5" i="28"/>
  <c r="AJ5" i="28"/>
  <c r="AI5" i="28"/>
  <c r="AF5" i="28"/>
  <c r="AE5" i="28"/>
  <c r="AC5" i="28"/>
  <c r="AB5" i="28"/>
  <c r="AA5" i="28"/>
  <c r="Z5" i="28"/>
  <c r="Y5" i="28"/>
  <c r="X5" i="28"/>
  <c r="W5" i="28"/>
  <c r="V5" i="28"/>
  <c r="U5" i="28"/>
  <c r="T5" i="28"/>
  <c r="S5" i="28"/>
  <c r="R5" i="28"/>
  <c r="Q5" i="28"/>
  <c r="P5" i="28"/>
  <c r="N5" i="28"/>
  <c r="BG4" i="28"/>
  <c r="BF4" i="28"/>
  <c r="BE4" i="28"/>
  <c r="BD4" i="28"/>
  <c r="AT4" i="28"/>
  <c r="AS4" i="28"/>
  <c r="AR4" i="28"/>
  <c r="AQ4" i="28"/>
  <c r="AP4" i="28"/>
  <c r="AO4" i="28"/>
  <c r="AN4" i="28"/>
  <c r="AM4" i="28"/>
  <c r="AL4" i="28"/>
  <c r="AK4" i="28"/>
  <c r="AJ4" i="28"/>
  <c r="AI4" i="28"/>
  <c r="AF4" i="28"/>
  <c r="AE4" i="28"/>
  <c r="AC4" i="28"/>
  <c r="AB4" i="28"/>
  <c r="AA4" i="28"/>
  <c r="Z4" i="28"/>
  <c r="Y4" i="28"/>
  <c r="X4" i="28"/>
  <c r="W4" i="28"/>
  <c r="V4" i="28"/>
  <c r="U4" i="28"/>
  <c r="T4" i="28"/>
  <c r="S4" i="28"/>
  <c r="R4" i="28"/>
  <c r="Q4" i="28"/>
  <c r="P4" i="28"/>
  <c r="N4" i="28"/>
  <c r="BG3" i="28"/>
  <c r="BF3" i="28"/>
  <c r="BE3" i="28"/>
  <c r="BD3" i="28"/>
  <c r="AT3" i="28"/>
  <c r="AS3" i="28"/>
  <c r="AR3" i="28"/>
  <c r="AQ3" i="28"/>
  <c r="AP3" i="28"/>
  <c r="AO3" i="28"/>
  <c r="AN3" i="28"/>
  <c r="AM3" i="28"/>
  <c r="AL3" i="28"/>
  <c r="AK3" i="28"/>
  <c r="AJ3" i="28"/>
  <c r="AI3" i="28"/>
  <c r="AF3" i="28"/>
  <c r="AE3" i="28"/>
  <c r="AC3" i="28"/>
  <c r="AB3" i="28"/>
  <c r="AA3" i="28"/>
  <c r="Z3" i="28"/>
  <c r="Y3" i="28"/>
  <c r="X3" i="28"/>
  <c r="W3" i="28"/>
  <c r="V3" i="28"/>
  <c r="U3" i="28"/>
  <c r="T3" i="28"/>
  <c r="S3" i="28"/>
  <c r="R3" i="28"/>
  <c r="Q3" i="28"/>
  <c r="P3" i="28"/>
  <c r="N3" i="28"/>
  <c r="BG2" i="28"/>
  <c r="BF2" i="28"/>
  <c r="BE2" i="28"/>
  <c r="BD2" i="28"/>
  <c r="AT2" i="28"/>
  <c r="AS2" i="28"/>
  <c r="AR2" i="28"/>
  <c r="AQ2" i="28"/>
  <c r="AP2" i="28"/>
  <c r="AO2" i="28"/>
  <c r="AN2" i="28"/>
  <c r="AM2" i="28"/>
  <c r="AL2" i="28"/>
  <c r="AK2" i="28"/>
  <c r="AJ2" i="28"/>
  <c r="AI2" i="28"/>
  <c r="AF2" i="28"/>
  <c r="AE2" i="28"/>
  <c r="AC2" i="28"/>
  <c r="AB2" i="28"/>
  <c r="AA2" i="28"/>
  <c r="Z2" i="28"/>
  <c r="Y2" i="28"/>
  <c r="X2" i="28"/>
  <c r="W2" i="28"/>
  <c r="V2" i="28"/>
  <c r="U2" i="28"/>
  <c r="T2" i="28"/>
  <c r="S2" i="28"/>
  <c r="R2" i="28"/>
  <c r="Q2" i="28"/>
  <c r="P2" i="28"/>
  <c r="N2" i="28"/>
  <c r="BH113" i="28" l="1"/>
  <c r="BH112" i="28"/>
  <c r="AV113" i="28"/>
  <c r="AD113" i="28"/>
  <c r="BA113" i="28" s="1"/>
  <c r="BC113" i="28" s="1"/>
  <c r="AD112" i="28"/>
  <c r="BA112" i="28" s="1"/>
  <c r="BC112" i="28" s="1"/>
  <c r="AV112" i="28"/>
  <c r="AW64" i="28"/>
  <c r="AY64" i="28" s="1"/>
  <c r="BI64" i="28" s="1"/>
  <c r="AV111" i="28"/>
  <c r="BH80" i="28"/>
  <c r="BH34" i="28"/>
  <c r="BA94" i="28"/>
  <c r="BB94" i="28" s="1"/>
  <c r="AW95" i="28"/>
  <c r="AY95" i="28" s="1"/>
  <c r="BH11" i="28"/>
  <c r="BH44" i="28"/>
  <c r="BH90" i="28"/>
  <c r="AZ95" i="28"/>
  <c r="BC95" i="28" s="1"/>
  <c r="BH77" i="28"/>
  <c r="BH71" i="28"/>
  <c r="AV33" i="28"/>
  <c r="BH9" i="28"/>
  <c r="BH63" i="28"/>
  <c r="BH31" i="28"/>
  <c r="BH93" i="28"/>
  <c r="AV105" i="28"/>
  <c r="BH43" i="28"/>
  <c r="AV110" i="28"/>
  <c r="AD111" i="28"/>
  <c r="BA111" i="28" s="1"/>
  <c r="BC111" i="28" s="1"/>
  <c r="BH12" i="28"/>
  <c r="AV32" i="28"/>
  <c r="AV83" i="28"/>
  <c r="AD110" i="28"/>
  <c r="BA110" i="28" s="1"/>
  <c r="BC110" i="28" s="1"/>
  <c r="AV3" i="28"/>
  <c r="BH66" i="28"/>
  <c r="BH74" i="28"/>
  <c r="BH14" i="28"/>
  <c r="BH52" i="28"/>
  <c r="BH100" i="28"/>
  <c r="AD85" i="28"/>
  <c r="AV4" i="28"/>
  <c r="BH102" i="28"/>
  <c r="BH15" i="28"/>
  <c r="BH46" i="28"/>
  <c r="AV89" i="28"/>
  <c r="BH62" i="28"/>
  <c r="AV90" i="28"/>
  <c r="BH91" i="28"/>
  <c r="BH105" i="28"/>
  <c r="BH32" i="28"/>
  <c r="AV48" i="28"/>
  <c r="BH57" i="28"/>
  <c r="BH83" i="28"/>
  <c r="BH85" i="28"/>
  <c r="BH33" i="28"/>
  <c r="AW79" i="28"/>
  <c r="AY79" i="28" s="1"/>
  <c r="BJ79" i="28" s="1"/>
  <c r="BH84" i="28"/>
  <c r="AW42" i="28"/>
  <c r="AY42" i="28" s="1"/>
  <c r="BA42" i="28"/>
  <c r="BB42" i="28" s="1"/>
  <c r="AZ42" i="28"/>
  <c r="BH72" i="28"/>
  <c r="BH82" i="28"/>
  <c r="AV109" i="28"/>
  <c r="AW109" i="28" s="1"/>
  <c r="AY109" i="28" s="1"/>
  <c r="BH27" i="28"/>
  <c r="AV40" i="28"/>
  <c r="BA58" i="28"/>
  <c r="BB58" i="28" s="1"/>
  <c r="BH53" i="28"/>
  <c r="BH65" i="28"/>
  <c r="AV45" i="28"/>
  <c r="AV67" i="28"/>
  <c r="BH73" i="28"/>
  <c r="AD81" i="28"/>
  <c r="BH8" i="28"/>
  <c r="AV7" i="28"/>
  <c r="BH10" i="28"/>
  <c r="AV28" i="28"/>
  <c r="BH28" i="28"/>
  <c r="BH29" i="28"/>
  <c r="AV38" i="28"/>
  <c r="AV43" i="28"/>
  <c r="BH59" i="28"/>
  <c r="BH60" i="28"/>
  <c r="BH67" i="28"/>
  <c r="AV81" i="28"/>
  <c r="AV15" i="28"/>
  <c r="BH17" i="28"/>
  <c r="AV54" i="28"/>
  <c r="BH54" i="28"/>
  <c r="BH55" i="28"/>
  <c r="AV74" i="28"/>
  <c r="BH101" i="28"/>
  <c r="AV102" i="28"/>
  <c r="AV10" i="28"/>
  <c r="BH16" i="28"/>
  <c r="BH23" i="28"/>
  <c r="BH24" i="28"/>
  <c r="BH30" i="28"/>
  <c r="AV47" i="28"/>
  <c r="BH48" i="28"/>
  <c r="BH61" i="28"/>
  <c r="BH68" i="28"/>
  <c r="AV84" i="28"/>
  <c r="AV85" i="28"/>
  <c r="BH104" i="28"/>
  <c r="AV55" i="28"/>
  <c r="AV75" i="28"/>
  <c r="AV86" i="28"/>
  <c r="BH4" i="28"/>
  <c r="AV24" i="28"/>
  <c r="BH25" i="28"/>
  <c r="BH36" i="28"/>
  <c r="BH37" i="28"/>
  <c r="BH49" i="28"/>
  <c r="AV68" i="28"/>
  <c r="BH69" i="28"/>
  <c r="BH76" i="28"/>
  <c r="BH86" i="28"/>
  <c r="AV2" i="28"/>
  <c r="AV56" i="28"/>
  <c r="BH88" i="28"/>
  <c r="BH19" i="28"/>
  <c r="AV25" i="28"/>
  <c r="BH38" i="28"/>
  <c r="AV49" i="28"/>
  <c r="BH50" i="28"/>
  <c r="AV78" i="28"/>
  <c r="AD102" i="28"/>
  <c r="BH70" i="28"/>
  <c r="AV72" i="28"/>
  <c r="BH107" i="28"/>
  <c r="BH108" i="28"/>
  <c r="BH111" i="28"/>
  <c r="BH89" i="28"/>
  <c r="BH110" i="28"/>
  <c r="BH39" i="28"/>
  <c r="AV5" i="28"/>
  <c r="BH13" i="28"/>
  <c r="AV27" i="28"/>
  <c r="AV50" i="28"/>
  <c r="AV53" i="28"/>
  <c r="BH78" i="28"/>
  <c r="AD87" i="28"/>
  <c r="AV106" i="28"/>
  <c r="BH6" i="28"/>
  <c r="AV13" i="28"/>
  <c r="AV22" i="28"/>
  <c r="AV39" i="28"/>
  <c r="BH40" i="28"/>
  <c r="BH99" i="28"/>
  <c r="AD106" i="28"/>
  <c r="AV108" i="28"/>
  <c r="BH109" i="28"/>
  <c r="AV61" i="28"/>
  <c r="BH5" i="28"/>
  <c r="AV8" i="28"/>
  <c r="BH35" i="28"/>
  <c r="AV41" i="28"/>
  <c r="BH41" i="28"/>
  <c r="AV52" i="28"/>
  <c r="AV76" i="28"/>
  <c r="AV99" i="28"/>
  <c r="AV104" i="28"/>
  <c r="BA21" i="28"/>
  <c r="BB21" i="28" s="1"/>
  <c r="AZ21" i="28"/>
  <c r="AW21" i="28"/>
  <c r="AY21" i="28" s="1"/>
  <c r="AV11" i="28"/>
  <c r="AV19" i="28"/>
  <c r="AV35" i="28"/>
  <c r="AV46" i="28"/>
  <c r="AV66" i="28"/>
  <c r="AV69" i="28"/>
  <c r="BH87" i="28"/>
  <c r="AV91" i="28"/>
  <c r="BH92" i="28"/>
  <c r="BH3" i="28"/>
  <c r="AV30" i="28"/>
  <c r="BH47" i="28"/>
  <c r="AV62" i="28"/>
  <c r="AV73" i="28"/>
  <c r="BA98" i="28"/>
  <c r="BB98" i="28" s="1"/>
  <c r="AZ98" i="28"/>
  <c r="AW98" i="28"/>
  <c r="AY98" i="28" s="1"/>
  <c r="AV6" i="28"/>
  <c r="AV16" i="28"/>
  <c r="BH81" i="28"/>
  <c r="BH106" i="28"/>
  <c r="AV65" i="28"/>
  <c r="BH22" i="28"/>
  <c r="AV44" i="28"/>
  <c r="BH56" i="28"/>
  <c r="AV59" i="28"/>
  <c r="AV80" i="28"/>
  <c r="AV87" i="28"/>
  <c r="AV88" i="28"/>
  <c r="AV100" i="28"/>
  <c r="AV9" i="28"/>
  <c r="AV31" i="28"/>
  <c r="AV82" i="28"/>
  <c r="AV101" i="28"/>
  <c r="AV93" i="28"/>
  <c r="AV17" i="28"/>
  <c r="AV77" i="28"/>
  <c r="AD83" i="28"/>
  <c r="AV20" i="28"/>
  <c r="BH20" i="28"/>
  <c r="AV34" i="28"/>
  <c r="AV57" i="28"/>
  <c r="AV92" i="28"/>
  <c r="AV14" i="28"/>
  <c r="AV36" i="28"/>
  <c r="AV23" i="28"/>
  <c r="AV37" i="28"/>
  <c r="AV60" i="28"/>
  <c r="AV63" i="28"/>
  <c r="AV70" i="28"/>
  <c r="AV71" i="28"/>
  <c r="AD82" i="28"/>
  <c r="BA97" i="28"/>
  <c r="BB97" i="28" s="1"/>
  <c r="AZ97" i="28"/>
  <c r="AW97" i="28"/>
  <c r="AY97" i="28" s="1"/>
  <c r="BB109" i="28"/>
  <c r="BC109" i="28" s="1"/>
  <c r="AV12" i="28"/>
  <c r="BH2" i="28"/>
  <c r="BH7" i="28"/>
  <c r="AV107" i="28"/>
  <c r="BA18" i="28"/>
  <c r="BB18" i="28" s="1"/>
  <c r="AZ18" i="28"/>
  <c r="AW18" i="28"/>
  <c r="AY18" i="28" s="1"/>
  <c r="AV29" i="28"/>
  <c r="BH45" i="28"/>
  <c r="AV51" i="28"/>
  <c r="BH51" i="28"/>
  <c r="BH75" i="28"/>
  <c r="AD108" i="28"/>
  <c r="AW94" i="28"/>
  <c r="AY94" i="28" s="1"/>
  <c r="AW58" i="28"/>
  <c r="AY58" i="28" s="1"/>
  <c r="AW26" i="28"/>
  <c r="AY26" i="28" s="1"/>
  <c r="AZ26" i="28"/>
  <c r="BC26" i="28" s="1"/>
  <c r="AW96" i="28"/>
  <c r="AY96" i="28" s="1"/>
  <c r="AW103" i="28"/>
  <c r="AY103" i="28" s="1"/>
  <c r="AZ96" i="28"/>
  <c r="BC96" i="28" s="1"/>
  <c r="AZ103" i="28"/>
  <c r="BC103" i="28" s="1"/>
  <c r="BJ64" i="28" l="1"/>
  <c r="AW112" i="28"/>
  <c r="AY112" i="28" s="1"/>
  <c r="BJ112" i="28" s="1"/>
  <c r="AW113" i="28"/>
  <c r="AY113" i="28" s="1"/>
  <c r="BJ113" i="28" s="1"/>
  <c r="BJ95" i="28"/>
  <c r="AW111" i="28"/>
  <c r="AY111" i="28" s="1"/>
  <c r="BI111" i="28" s="1"/>
  <c r="BC94" i="28"/>
  <c r="BJ94" i="28" s="1"/>
  <c r="BI95" i="28"/>
  <c r="AW82" i="28"/>
  <c r="AY82" i="28" s="1"/>
  <c r="BI82" i="28" s="1"/>
  <c r="BI109" i="28"/>
  <c r="AW81" i="28"/>
  <c r="AY81" i="28" s="1"/>
  <c r="BI81" i="28" s="1"/>
  <c r="BC42" i="28"/>
  <c r="AW110" i="28"/>
  <c r="AY110" i="28" s="1"/>
  <c r="BI110" i="28" s="1"/>
  <c r="BC21" i="28"/>
  <c r="BJ21" i="28" s="1"/>
  <c r="BC98" i="28"/>
  <c r="BJ98" i="28" s="1"/>
  <c r="AW106" i="28"/>
  <c r="AY106" i="28" s="1"/>
  <c r="BJ106" i="28" s="1"/>
  <c r="BI79" i="28"/>
  <c r="AW83" i="28"/>
  <c r="AY83" i="28" s="1"/>
  <c r="BJ83" i="28" s="1"/>
  <c r="AW87" i="28"/>
  <c r="AY87" i="28" s="1"/>
  <c r="BJ87" i="28" s="1"/>
  <c r="AW85" i="28"/>
  <c r="AY85" i="28" s="1"/>
  <c r="BJ85" i="28" s="1"/>
  <c r="BC18" i="28"/>
  <c r="BJ18" i="28" s="1"/>
  <c r="BC58" i="28"/>
  <c r="BJ58" i="28" s="1"/>
  <c r="AW102" i="28"/>
  <c r="AY102" i="28" s="1"/>
  <c r="AW108" i="28"/>
  <c r="AY108" i="28" s="1"/>
  <c r="BJ108" i="28" s="1"/>
  <c r="BJ109" i="28"/>
  <c r="BI42" i="28"/>
  <c r="BJ42" i="28"/>
  <c r="BC97" i="28"/>
  <c r="BJ97" i="28" s="1"/>
  <c r="BI97" i="28"/>
  <c r="BJ96" i="28"/>
  <c r="BI96" i="28"/>
  <c r="BI26" i="28"/>
  <c r="BJ26" i="28"/>
  <c r="BI18" i="28"/>
  <c r="BI21" i="28"/>
  <c r="BJ103" i="28"/>
  <c r="BI103" i="28"/>
  <c r="BI98" i="28"/>
  <c r="BI58" i="28"/>
  <c r="BI94" i="28"/>
  <c r="BI112" i="28" l="1"/>
  <c r="BI113" i="28"/>
  <c r="BJ110" i="28"/>
  <c r="BJ82" i="28"/>
  <c r="BJ111" i="28"/>
  <c r="BI83" i="28"/>
  <c r="BJ81" i="28"/>
  <c r="BI85" i="28"/>
  <c r="BI106" i="28"/>
  <c r="BI87" i="28"/>
  <c r="BJ102" i="28"/>
  <c r="BI102" i="28"/>
  <c r="BI108" i="28"/>
  <c r="O65" i="28" l="1"/>
  <c r="AD65" i="28" s="1"/>
  <c r="O3" i="28" l="1"/>
  <c r="AD3" i="28" s="1"/>
  <c r="O70" i="28"/>
  <c r="AD70" i="28" s="1"/>
  <c r="O43" i="28"/>
  <c r="AD43" i="28" s="1"/>
  <c r="O55" i="28"/>
  <c r="AD55" i="28" s="1"/>
  <c r="O32" i="28"/>
  <c r="AD32" i="28" s="1"/>
  <c r="O14" i="28"/>
  <c r="AD14" i="28" s="1"/>
  <c r="O51" i="28"/>
  <c r="AD51" i="28" s="1"/>
  <c r="O77" i="28"/>
  <c r="AD77" i="28" s="1"/>
  <c r="O68" i="28"/>
  <c r="AD68" i="28" s="1"/>
  <c r="O89" i="28"/>
  <c r="AD89" i="28" s="1"/>
  <c r="O28" i="28"/>
  <c r="AD28" i="28" s="1"/>
  <c r="O105" i="28"/>
  <c r="AD105" i="28" s="1"/>
  <c r="O54" i="28"/>
  <c r="AD54" i="28" s="1"/>
  <c r="O109" i="28"/>
  <c r="O36" i="28"/>
  <c r="AD36" i="28" s="1"/>
  <c r="O10" i="28"/>
  <c r="AD10" i="28" s="1"/>
  <c r="O25" i="28"/>
  <c r="AD25" i="28" s="1"/>
  <c r="O48" i="28"/>
  <c r="AD48" i="28" s="1"/>
  <c r="O4" i="28"/>
  <c r="AD4" i="28" s="1"/>
  <c r="O72" i="28"/>
  <c r="AD72" i="28" s="1"/>
  <c r="O30" i="28"/>
  <c r="AD30" i="28" s="1"/>
  <c r="O59" i="28"/>
  <c r="AD59" i="28" s="1"/>
  <c r="O7" i="28"/>
  <c r="AD7" i="28" s="1"/>
  <c r="O6" i="28"/>
  <c r="AD6" i="28" s="1"/>
  <c r="O104" i="28"/>
  <c r="AD104" i="28" s="1"/>
  <c r="O15" i="28"/>
  <c r="AD15" i="28" s="1"/>
  <c r="O24" i="28"/>
  <c r="AD24" i="28" s="1"/>
  <c r="O60" i="28"/>
  <c r="AD60" i="28" s="1"/>
  <c r="O73" i="28"/>
  <c r="AD73" i="28" s="1"/>
  <c r="O50" i="28"/>
  <c r="AD50" i="28" s="1"/>
  <c r="O107" i="28"/>
  <c r="AD107" i="28" s="1"/>
  <c r="O99" i="28"/>
  <c r="AD99" i="28" s="1"/>
  <c r="O66" i="28"/>
  <c r="AD66" i="28" s="1"/>
  <c r="O13" i="28"/>
  <c r="AD13" i="28" s="1"/>
  <c r="O19" i="28"/>
  <c r="AD19" i="28" s="1"/>
  <c r="O39" i="28"/>
  <c r="AD39" i="28" s="1"/>
  <c r="O12" i="28"/>
  <c r="AD12" i="28" s="1"/>
  <c r="O23" i="28"/>
  <c r="AD23" i="28" s="1"/>
  <c r="BA65" i="28"/>
  <c r="BB65" i="28" s="1"/>
  <c r="AZ65" i="28"/>
  <c r="AW65" i="28"/>
  <c r="AY65" i="28" s="1"/>
  <c r="O53" i="28"/>
  <c r="AD53" i="28" s="1"/>
  <c r="O16" i="28"/>
  <c r="AD16" i="28" s="1"/>
  <c r="O61" i="28"/>
  <c r="AD61" i="28" s="1"/>
  <c r="O75" i="28"/>
  <c r="AD75" i="28" s="1"/>
  <c r="O41" i="28"/>
  <c r="AD41" i="28" s="1"/>
  <c r="O20" i="28"/>
  <c r="AD20" i="28" s="1"/>
  <c r="O17" i="28"/>
  <c r="AD17" i="28" s="1"/>
  <c r="O84" i="28"/>
  <c r="AD84" i="28" s="1"/>
  <c r="O35" i="28"/>
  <c r="AD35" i="28" s="1"/>
  <c r="O86" i="28"/>
  <c r="AD86" i="28" s="1"/>
  <c r="O45" i="28"/>
  <c r="AD45" i="28" s="1"/>
  <c r="O56" i="28"/>
  <c r="AD56" i="28" s="1"/>
  <c r="O57" i="28"/>
  <c r="AD57" i="28" s="1"/>
  <c r="O91" i="28"/>
  <c r="AD91" i="28" s="1"/>
  <c r="O22" i="28"/>
  <c r="AD22" i="28" s="1"/>
  <c r="O44" i="28"/>
  <c r="AD44" i="28" s="1"/>
  <c r="O33" i="28"/>
  <c r="AD33" i="28" s="1"/>
  <c r="O93" i="28"/>
  <c r="AD93" i="28" s="1"/>
  <c r="O49" i="28"/>
  <c r="AD49" i="28" s="1"/>
  <c r="O88" i="28"/>
  <c r="AD88" i="28" s="1"/>
  <c r="O63" i="28"/>
  <c r="AD63" i="28" s="1"/>
  <c r="O90" i="28"/>
  <c r="AD90" i="28" s="1"/>
  <c r="O52" i="28"/>
  <c r="AD52" i="28" s="1"/>
  <c r="O2" i="28"/>
  <c r="AD2" i="28" s="1"/>
  <c r="O11" i="28"/>
  <c r="AD11" i="28" s="1"/>
  <c r="O62" i="28"/>
  <c r="AD62" i="28" s="1"/>
  <c r="O40" i="28"/>
  <c r="AD40" i="28" s="1"/>
  <c r="O92" i="28"/>
  <c r="AD92" i="28" s="1"/>
  <c r="O31" i="28"/>
  <c r="AD31" i="28" s="1"/>
  <c r="O37" i="28"/>
  <c r="AD37" i="28" s="1"/>
  <c r="O67" i="28"/>
  <c r="AD67" i="28" s="1"/>
  <c r="O29" i="28"/>
  <c r="AD29" i="28" s="1"/>
  <c r="O27" i="28"/>
  <c r="AD27" i="28" s="1"/>
  <c r="O101" i="28"/>
  <c r="AD101" i="28" s="1"/>
  <c r="O76" i="28"/>
  <c r="AD76" i="28" s="1"/>
  <c r="O78" i="28"/>
  <c r="AD78" i="28" s="1"/>
  <c r="O8" i="28"/>
  <c r="AD8" i="28" s="1"/>
  <c r="O46" i="28"/>
  <c r="AD46" i="28" s="1"/>
  <c r="O80" i="28"/>
  <c r="AD80" i="28" s="1"/>
  <c r="O38" i="28"/>
  <c r="AD38" i="28" s="1"/>
  <c r="O5" i="28"/>
  <c r="AD5" i="28" s="1"/>
  <c r="O69" i="28"/>
  <c r="AD69" i="28" s="1"/>
  <c r="O9" i="28"/>
  <c r="AD9" i="28" s="1"/>
  <c r="O47" i="28"/>
  <c r="AD47" i="28" s="1"/>
  <c r="O100" i="28"/>
  <c r="AD100" i="28" s="1"/>
  <c r="O34" i="28"/>
  <c r="AD34" i="28" s="1"/>
  <c r="O71" i="28"/>
  <c r="AD71" i="28" s="1"/>
  <c r="O74" i="28"/>
  <c r="AD74" i="28" s="1"/>
  <c r="BC65" i="28" l="1"/>
  <c r="BJ65" i="28" s="1"/>
  <c r="BA100" i="28"/>
  <c r="BB100" i="28" s="1"/>
  <c r="AZ100" i="28"/>
  <c r="AW100" i="28"/>
  <c r="AY100" i="28" s="1"/>
  <c r="AW46" i="28"/>
  <c r="AY46" i="28" s="1"/>
  <c r="BI46" i="28" s="1"/>
  <c r="AZ46" i="28"/>
  <c r="BA46" i="28"/>
  <c r="BB46" i="28" s="1"/>
  <c r="BA11" i="28"/>
  <c r="BB11" i="28" s="1"/>
  <c r="AZ11" i="28"/>
  <c r="AW11" i="28"/>
  <c r="AY11" i="28" s="1"/>
  <c r="AZ49" i="28"/>
  <c r="AW49" i="28"/>
  <c r="AY49" i="28" s="1"/>
  <c r="BI49" i="28" s="1"/>
  <c r="BA49" i="28"/>
  <c r="BB49" i="28" s="1"/>
  <c r="AZ19" i="28"/>
  <c r="BA19" i="28"/>
  <c r="BB19" i="28" s="1"/>
  <c r="AW19" i="28"/>
  <c r="AY19" i="28" s="1"/>
  <c r="BI19" i="28" s="1"/>
  <c r="AZ7" i="28"/>
  <c r="BA7" i="28"/>
  <c r="BB7" i="28" s="1"/>
  <c r="AW7" i="28"/>
  <c r="AY7" i="28" s="1"/>
  <c r="BI7" i="28" s="1"/>
  <c r="BA47" i="28"/>
  <c r="BB47" i="28" s="1"/>
  <c r="AZ47" i="28"/>
  <c r="AW47" i="28"/>
  <c r="AY47" i="28" s="1"/>
  <c r="BI47" i="28" s="1"/>
  <c r="BA67" i="28"/>
  <c r="BB67" i="28" s="1"/>
  <c r="AW67" i="28"/>
  <c r="AY67" i="28" s="1"/>
  <c r="AZ67" i="28"/>
  <c r="AZ53" i="28"/>
  <c r="AW53" i="28"/>
  <c r="AY53" i="28" s="1"/>
  <c r="BI53" i="28" s="1"/>
  <c r="BA53" i="28"/>
  <c r="BB53" i="28" s="1"/>
  <c r="AZ73" i="28"/>
  <c r="AW73" i="28"/>
  <c r="AY73" i="28" s="1"/>
  <c r="BA73" i="28"/>
  <c r="BB73" i="28" s="1"/>
  <c r="BA8" i="28"/>
  <c r="BB8" i="28" s="1"/>
  <c r="AZ8" i="28"/>
  <c r="AW8" i="28"/>
  <c r="AY8" i="28" s="1"/>
  <c r="BA2" i="28"/>
  <c r="BB2" i="28" s="1"/>
  <c r="AW2" i="28"/>
  <c r="AY2" i="28" s="1"/>
  <c r="AZ2" i="28"/>
  <c r="BA93" i="28"/>
  <c r="BB93" i="28" s="1"/>
  <c r="AW93" i="28"/>
  <c r="AY93" i="28" s="1"/>
  <c r="AZ93" i="28"/>
  <c r="BA57" i="28"/>
  <c r="BB57" i="28" s="1"/>
  <c r="AW57" i="28"/>
  <c r="AY57" i="28" s="1"/>
  <c r="AZ57" i="28"/>
  <c r="AZ20" i="28"/>
  <c r="BA20" i="28"/>
  <c r="BB20" i="28" s="1"/>
  <c r="AW20" i="28"/>
  <c r="AY20" i="28" s="1"/>
  <c r="BI20" i="28" s="1"/>
  <c r="BA25" i="28"/>
  <c r="BB25" i="28" s="1"/>
  <c r="AZ25" i="28"/>
  <c r="AW25" i="28"/>
  <c r="AY25" i="28" s="1"/>
  <c r="BI25" i="28" s="1"/>
  <c r="BA28" i="28"/>
  <c r="BB28" i="28" s="1"/>
  <c r="AZ28" i="28"/>
  <c r="AW28" i="28"/>
  <c r="AY28" i="28" s="1"/>
  <c r="BA71" i="28"/>
  <c r="BB71" i="28" s="1"/>
  <c r="AZ71" i="28"/>
  <c r="AW71" i="28"/>
  <c r="AY71" i="28" s="1"/>
  <c r="BA37" i="28"/>
  <c r="BB37" i="28" s="1"/>
  <c r="AZ37" i="28"/>
  <c r="AW37" i="28"/>
  <c r="AY37" i="28" s="1"/>
  <c r="BI65" i="28"/>
  <c r="AZ13" i="28"/>
  <c r="AW13" i="28"/>
  <c r="AY13" i="28" s="1"/>
  <c r="BI13" i="28" s="1"/>
  <c r="BA13" i="28"/>
  <c r="BB13" i="28" s="1"/>
  <c r="AZ60" i="28"/>
  <c r="AW60" i="28"/>
  <c r="AY60" i="28" s="1"/>
  <c r="BI60" i="28" s="1"/>
  <c r="BA60" i="28"/>
  <c r="BB60" i="28" s="1"/>
  <c r="AZ32" i="28"/>
  <c r="AW32" i="28"/>
  <c r="AY32" i="28" s="1"/>
  <c r="BI32" i="28" s="1"/>
  <c r="BA32" i="28"/>
  <c r="BB32" i="28" s="1"/>
  <c r="BA78" i="28"/>
  <c r="BB78" i="28" s="1"/>
  <c r="AZ78" i="28"/>
  <c r="AW78" i="28"/>
  <c r="AY78" i="28" s="1"/>
  <c r="BA56" i="28"/>
  <c r="BB56" i="28" s="1"/>
  <c r="AZ56" i="28"/>
  <c r="AW56" i="28"/>
  <c r="AY56" i="28" s="1"/>
  <c r="BI56" i="28" s="1"/>
  <c r="BA10" i="28"/>
  <c r="BB10" i="28" s="1"/>
  <c r="AZ10" i="28"/>
  <c r="AW10" i="28"/>
  <c r="AY10" i="28" s="1"/>
  <c r="BA52" i="28"/>
  <c r="BB52" i="28" s="1"/>
  <c r="AZ52" i="28"/>
  <c r="AW52" i="28"/>
  <c r="AY52" i="28" s="1"/>
  <c r="BA45" i="28"/>
  <c r="BB45" i="28" s="1"/>
  <c r="AW45" i="28"/>
  <c r="AY45" i="28" s="1"/>
  <c r="AZ45" i="28"/>
  <c r="BA41" i="28"/>
  <c r="BB41" i="28" s="1"/>
  <c r="AZ41" i="28"/>
  <c r="AW41" i="28"/>
  <c r="AY41" i="28" s="1"/>
  <c r="AZ66" i="28"/>
  <c r="BA66" i="28"/>
  <c r="BB66" i="28" s="1"/>
  <c r="AW66" i="28"/>
  <c r="AY66" i="28" s="1"/>
  <c r="BA59" i="28"/>
  <c r="BB59" i="28" s="1"/>
  <c r="AW59" i="28"/>
  <c r="AY59" i="28" s="1"/>
  <c r="AZ59" i="28"/>
  <c r="BA89" i="28"/>
  <c r="BB89" i="28" s="1"/>
  <c r="AW89" i="28"/>
  <c r="AY89" i="28" s="1"/>
  <c r="AZ89" i="28"/>
  <c r="AW55" i="28"/>
  <c r="AY55" i="28" s="1"/>
  <c r="BI55" i="28" s="1"/>
  <c r="BA55" i="28"/>
  <c r="BB55" i="28" s="1"/>
  <c r="AZ55" i="28"/>
  <c r="AZ76" i="28"/>
  <c r="BA76" i="28"/>
  <c r="BB76" i="28" s="1"/>
  <c r="AW76" i="28"/>
  <c r="AY76" i="28" s="1"/>
  <c r="BI76" i="28" s="1"/>
  <c r="BA33" i="28"/>
  <c r="BB33" i="28" s="1"/>
  <c r="AW33" i="28"/>
  <c r="AY33" i="28" s="1"/>
  <c r="AZ33" i="28"/>
  <c r="BA23" i="28"/>
  <c r="BB23" i="28" s="1"/>
  <c r="AW23" i="28"/>
  <c r="AY23" i="28" s="1"/>
  <c r="AZ23" i="28"/>
  <c r="AZ24" i="28"/>
  <c r="AW24" i="28"/>
  <c r="AY24" i="28" s="1"/>
  <c r="BI24" i="28" s="1"/>
  <c r="BA24" i="28"/>
  <c r="BB24" i="28" s="1"/>
  <c r="AZ9" i="28"/>
  <c r="AW9" i="28"/>
  <c r="AY9" i="28" s="1"/>
  <c r="BI9" i="28" s="1"/>
  <c r="BA9" i="28"/>
  <c r="BB9" i="28" s="1"/>
  <c r="BA74" i="28"/>
  <c r="BB74" i="28" s="1"/>
  <c r="AW74" i="28"/>
  <c r="AY74" i="28" s="1"/>
  <c r="BI74" i="28" s="1"/>
  <c r="AZ74" i="28"/>
  <c r="AW69" i="28"/>
  <c r="AY69" i="28" s="1"/>
  <c r="BI69" i="28" s="1"/>
  <c r="BA69" i="28"/>
  <c r="BB69" i="28" s="1"/>
  <c r="AZ69" i="28"/>
  <c r="BA31" i="28"/>
  <c r="BB31" i="28" s="1"/>
  <c r="AZ31" i="28"/>
  <c r="AW31" i="28"/>
  <c r="AY31" i="28" s="1"/>
  <c r="AW30" i="28"/>
  <c r="AY30" i="28" s="1"/>
  <c r="BA30" i="28"/>
  <c r="BB30" i="28" s="1"/>
  <c r="AZ30" i="28"/>
  <c r="BA36" i="28"/>
  <c r="BB36" i="28" s="1"/>
  <c r="AZ36" i="28"/>
  <c r="AW36" i="28"/>
  <c r="AY36" i="28" s="1"/>
  <c r="BI36" i="28" s="1"/>
  <c r="BA68" i="28"/>
  <c r="BB68" i="28" s="1"/>
  <c r="AZ68" i="28"/>
  <c r="AW68" i="28"/>
  <c r="AY68" i="28" s="1"/>
  <c r="AZ92" i="28"/>
  <c r="BA92" i="28"/>
  <c r="BB92" i="28" s="1"/>
  <c r="AW92" i="28"/>
  <c r="AY92" i="28" s="1"/>
  <c r="AZ90" i="28"/>
  <c r="AW90" i="28"/>
  <c r="AY90" i="28" s="1"/>
  <c r="BI90" i="28" s="1"/>
  <c r="BA90" i="28"/>
  <c r="BB90" i="28" s="1"/>
  <c r="BA86" i="28"/>
  <c r="BB86" i="28" s="1"/>
  <c r="AZ86" i="28"/>
  <c r="AW86" i="28"/>
  <c r="AY86" i="28" s="1"/>
  <c r="AZ75" i="28"/>
  <c r="BA75" i="28"/>
  <c r="BB75" i="28" s="1"/>
  <c r="AW75" i="28"/>
  <c r="AY75" i="28" s="1"/>
  <c r="BI75" i="28" s="1"/>
  <c r="BA99" i="28"/>
  <c r="BB99" i="28" s="1"/>
  <c r="AW99" i="28"/>
  <c r="AY99" i="28" s="1"/>
  <c r="AZ99" i="28"/>
  <c r="BA15" i="28"/>
  <c r="BB15" i="28" s="1"/>
  <c r="AZ15" i="28"/>
  <c r="AW15" i="28"/>
  <c r="AY15" i="28" s="1"/>
  <c r="BA43" i="28"/>
  <c r="BB43" i="28" s="1"/>
  <c r="AW43" i="28"/>
  <c r="AY43" i="28" s="1"/>
  <c r="AZ43" i="28"/>
  <c r="AZ101" i="28"/>
  <c r="AW101" i="28"/>
  <c r="AY101" i="28" s="1"/>
  <c r="BI101" i="28" s="1"/>
  <c r="BA101" i="28"/>
  <c r="BB101" i="28" s="1"/>
  <c r="BA5" i="28"/>
  <c r="BB5" i="28" s="1"/>
  <c r="AZ5" i="28"/>
  <c r="AW5" i="28"/>
  <c r="AY5" i="28" s="1"/>
  <c r="BI5" i="28" s="1"/>
  <c r="AW35" i="28"/>
  <c r="AY35" i="28" s="1"/>
  <c r="BI35" i="28" s="1"/>
  <c r="BA35" i="28"/>
  <c r="BB35" i="28" s="1"/>
  <c r="AZ35" i="28"/>
  <c r="AW61" i="28"/>
  <c r="AY61" i="28" s="1"/>
  <c r="BI61" i="28" s="1"/>
  <c r="BA61" i="28"/>
  <c r="BB61" i="28" s="1"/>
  <c r="AZ61" i="28"/>
  <c r="BA107" i="28"/>
  <c r="BB107" i="28" s="1"/>
  <c r="AZ107" i="28"/>
  <c r="AW107" i="28"/>
  <c r="AY107" i="28" s="1"/>
  <c r="AW72" i="28"/>
  <c r="AY72" i="28" s="1"/>
  <c r="BA72" i="28"/>
  <c r="BB72" i="28" s="1"/>
  <c r="AZ72" i="28"/>
  <c r="AZ77" i="28"/>
  <c r="BA77" i="28"/>
  <c r="BB77" i="28" s="1"/>
  <c r="AW77" i="28"/>
  <c r="AY77" i="28" s="1"/>
  <c r="BI77" i="28" s="1"/>
  <c r="BA70" i="28"/>
  <c r="BB70" i="28" s="1"/>
  <c r="AZ70" i="28"/>
  <c r="AW70" i="28"/>
  <c r="AY70" i="28" s="1"/>
  <c r="BA38" i="28"/>
  <c r="BB38" i="28" s="1"/>
  <c r="AW38" i="28"/>
  <c r="AY38" i="28" s="1"/>
  <c r="AZ38" i="28"/>
  <c r="BA27" i="28"/>
  <c r="BB27" i="28" s="1"/>
  <c r="AZ27" i="28"/>
  <c r="AW27" i="28"/>
  <c r="AY27" i="28" s="1"/>
  <c r="BI27" i="28" s="1"/>
  <c r="AW40" i="28"/>
  <c r="AY40" i="28" s="1"/>
  <c r="BI40" i="28" s="1"/>
  <c r="BA40" i="28"/>
  <c r="BB40" i="28" s="1"/>
  <c r="AZ40" i="28"/>
  <c r="BA63" i="28"/>
  <c r="BB63" i="28" s="1"/>
  <c r="AW63" i="28"/>
  <c r="AY63" i="28" s="1"/>
  <c r="BI63" i="28" s="1"/>
  <c r="AZ63" i="28"/>
  <c r="BA44" i="28"/>
  <c r="BB44" i="28" s="1"/>
  <c r="AW44" i="28"/>
  <c r="AY44" i="28" s="1"/>
  <c r="AZ44" i="28"/>
  <c r="AZ12" i="28"/>
  <c r="BA12" i="28"/>
  <c r="BB12" i="28" s="1"/>
  <c r="AW12" i="28"/>
  <c r="AY12" i="28" s="1"/>
  <c r="BA104" i="28"/>
  <c r="BB104" i="28" s="1"/>
  <c r="AW104" i="28"/>
  <c r="AY104" i="28" s="1"/>
  <c r="BI104" i="28" s="1"/>
  <c r="AZ104" i="28"/>
  <c r="BA54" i="28"/>
  <c r="BB54" i="28" s="1"/>
  <c r="AW54" i="28"/>
  <c r="AY54" i="28" s="1"/>
  <c r="AZ54" i="28"/>
  <c r="AW22" i="28"/>
  <c r="AY22" i="28" s="1"/>
  <c r="BI22" i="28" s="1"/>
  <c r="BA22" i="28"/>
  <c r="BB22" i="28" s="1"/>
  <c r="AZ22" i="28"/>
  <c r="AZ4" i="28"/>
  <c r="AW4" i="28"/>
  <c r="AY4" i="28" s="1"/>
  <c r="BI4" i="28" s="1"/>
  <c r="BA4" i="28"/>
  <c r="BB4" i="28" s="1"/>
  <c r="BA34" i="28"/>
  <c r="BB34" i="28" s="1"/>
  <c r="AZ34" i="28"/>
  <c r="AW34" i="28"/>
  <c r="AY34" i="28" s="1"/>
  <c r="BI34" i="28" s="1"/>
  <c r="BA62" i="28"/>
  <c r="BB62" i="28" s="1"/>
  <c r="AW62" i="28"/>
  <c r="AY62" i="28" s="1"/>
  <c r="BI62" i="28" s="1"/>
  <c r="AZ62" i="28"/>
  <c r="BA84" i="28"/>
  <c r="BB84" i="28" s="1"/>
  <c r="AZ84" i="28"/>
  <c r="AW84" i="28"/>
  <c r="AY84" i="28" s="1"/>
  <c r="AZ39" i="28"/>
  <c r="BA39" i="28"/>
  <c r="BB39" i="28" s="1"/>
  <c r="AW39" i="28"/>
  <c r="AY39" i="28" s="1"/>
  <c r="BI39" i="28" s="1"/>
  <c r="AZ6" i="28"/>
  <c r="BA6" i="28"/>
  <c r="BB6" i="28" s="1"/>
  <c r="AW6" i="28"/>
  <c r="AY6" i="28" s="1"/>
  <c r="BI6" i="28" s="1"/>
  <c r="BA51" i="28"/>
  <c r="BB51" i="28" s="1"/>
  <c r="AZ51" i="28"/>
  <c r="AW51" i="28"/>
  <c r="AY51" i="28" s="1"/>
  <c r="BI51" i="28" s="1"/>
  <c r="BA88" i="28"/>
  <c r="BB88" i="28" s="1"/>
  <c r="AZ88" i="28"/>
  <c r="AW88" i="28"/>
  <c r="AY88" i="28" s="1"/>
  <c r="BA80" i="28"/>
  <c r="BB80" i="28" s="1"/>
  <c r="AZ80" i="28"/>
  <c r="AW80" i="28"/>
  <c r="AY80" i="28" s="1"/>
  <c r="AZ91" i="28"/>
  <c r="AW91" i="28"/>
  <c r="AY91" i="28" s="1"/>
  <c r="BA91" i="28"/>
  <c r="BB91" i="28" s="1"/>
  <c r="BA50" i="28"/>
  <c r="BB50" i="28" s="1"/>
  <c r="AW50" i="28"/>
  <c r="AY50" i="28" s="1"/>
  <c r="AZ50" i="28"/>
  <c r="BA3" i="28"/>
  <c r="BB3" i="28" s="1"/>
  <c r="AW3" i="28"/>
  <c r="AY3" i="28" s="1"/>
  <c r="BI3" i="28" s="1"/>
  <c r="AZ3" i="28"/>
  <c r="BA29" i="28"/>
  <c r="BB29" i="28" s="1"/>
  <c r="AZ29" i="28"/>
  <c r="AW29" i="28"/>
  <c r="AY29" i="28" s="1"/>
  <c r="AZ16" i="28"/>
  <c r="BA16" i="28"/>
  <c r="BB16" i="28" s="1"/>
  <c r="AW16" i="28"/>
  <c r="AY16" i="28" s="1"/>
  <c r="BA17" i="28"/>
  <c r="BB17" i="28" s="1"/>
  <c r="AZ17" i="28"/>
  <c r="AW17" i="28"/>
  <c r="AY17" i="28" s="1"/>
  <c r="BI17" i="28" s="1"/>
  <c r="BA48" i="28"/>
  <c r="BB48" i="28" s="1"/>
  <c r="AW48" i="28"/>
  <c r="AY48" i="28" s="1"/>
  <c r="AZ48" i="28"/>
  <c r="AW105" i="28"/>
  <c r="AY105" i="28" s="1"/>
  <c r="BI105" i="28" s="1"/>
  <c r="BA105" i="28"/>
  <c r="BB105" i="28" s="1"/>
  <c r="AZ105" i="28"/>
  <c r="BA14" i="28"/>
  <c r="BB14" i="28" s="1"/>
  <c r="AZ14" i="28"/>
  <c r="AW14" i="28"/>
  <c r="AY14" i="28" s="1"/>
  <c r="BC67" i="28" l="1"/>
  <c r="BJ67" i="28" s="1"/>
  <c r="BC25" i="28"/>
  <c r="BJ25" i="28" s="1"/>
  <c r="BC50" i="28"/>
  <c r="BJ50" i="28" s="1"/>
  <c r="BC105" i="28"/>
  <c r="BJ105" i="28" s="1"/>
  <c r="BC91" i="28"/>
  <c r="BJ91" i="28" s="1"/>
  <c r="BC13" i="28"/>
  <c r="BJ13" i="28" s="1"/>
  <c r="BC54" i="28"/>
  <c r="BJ54" i="28" s="1"/>
  <c r="BC99" i="28"/>
  <c r="BJ99" i="28" s="1"/>
  <c r="BC74" i="28"/>
  <c r="BJ74" i="28" s="1"/>
  <c r="BC11" i="28"/>
  <c r="BJ11" i="28" s="1"/>
  <c r="BC44" i="28"/>
  <c r="BJ44" i="28" s="1"/>
  <c r="BC55" i="28"/>
  <c r="BJ55" i="28" s="1"/>
  <c r="BC41" i="28"/>
  <c r="BJ41" i="28" s="1"/>
  <c r="BC63" i="28"/>
  <c r="BJ63" i="28" s="1"/>
  <c r="BC22" i="28"/>
  <c r="BJ22" i="28" s="1"/>
  <c r="BC38" i="28"/>
  <c r="BJ38" i="28" s="1"/>
  <c r="BC57" i="28"/>
  <c r="BJ57" i="28" s="1"/>
  <c r="BC28" i="28"/>
  <c r="BJ28" i="28" s="1"/>
  <c r="BC2" i="28"/>
  <c r="BJ2" i="28" s="1"/>
  <c r="BC88" i="28"/>
  <c r="BJ88" i="28" s="1"/>
  <c r="BC39" i="28"/>
  <c r="BJ39" i="28" s="1"/>
  <c r="BC70" i="28"/>
  <c r="BJ70" i="28" s="1"/>
  <c r="BC68" i="28"/>
  <c r="BJ68" i="28" s="1"/>
  <c r="BC10" i="28"/>
  <c r="BJ10" i="28" s="1"/>
  <c r="BC17" i="28"/>
  <c r="BJ17" i="28" s="1"/>
  <c r="BC77" i="28"/>
  <c r="BJ77" i="28" s="1"/>
  <c r="BC35" i="28"/>
  <c r="BJ35" i="28" s="1"/>
  <c r="BC19" i="28"/>
  <c r="BJ19" i="28" s="1"/>
  <c r="BC14" i="28"/>
  <c r="BJ14" i="28" s="1"/>
  <c r="BC34" i="28"/>
  <c r="BJ34" i="28" s="1"/>
  <c r="BC15" i="28"/>
  <c r="BJ15" i="28" s="1"/>
  <c r="BC31" i="28"/>
  <c r="BJ31" i="28" s="1"/>
  <c r="BC78" i="28"/>
  <c r="BJ78" i="28" s="1"/>
  <c r="BC71" i="28"/>
  <c r="BJ71" i="28" s="1"/>
  <c r="BC80" i="28"/>
  <c r="BJ80" i="28" s="1"/>
  <c r="BC7" i="28"/>
  <c r="BJ7" i="28" s="1"/>
  <c r="BC32" i="28"/>
  <c r="BJ32" i="28" s="1"/>
  <c r="BC45" i="28"/>
  <c r="BJ45" i="28" s="1"/>
  <c r="BC61" i="28"/>
  <c r="BJ61" i="28" s="1"/>
  <c r="BC5" i="28"/>
  <c r="BJ5" i="28" s="1"/>
  <c r="BC86" i="28"/>
  <c r="BJ86" i="28" s="1"/>
  <c r="BC62" i="28"/>
  <c r="BJ62" i="28" s="1"/>
  <c r="BC59" i="28"/>
  <c r="BJ59" i="28" s="1"/>
  <c r="BC16" i="28"/>
  <c r="BJ16" i="28" s="1"/>
  <c r="BC27" i="28"/>
  <c r="BJ27" i="28" s="1"/>
  <c r="BC52" i="28"/>
  <c r="BJ52" i="28" s="1"/>
  <c r="BC47" i="28"/>
  <c r="BJ47" i="28" s="1"/>
  <c r="BC20" i="28"/>
  <c r="BJ20" i="28" s="1"/>
  <c r="BC12" i="28"/>
  <c r="BJ12" i="28" s="1"/>
  <c r="BI99" i="28"/>
  <c r="BC24" i="28"/>
  <c r="BJ24" i="28" s="1"/>
  <c r="BI11" i="28"/>
  <c r="BC29" i="28"/>
  <c r="BJ29" i="28" s="1"/>
  <c r="BI80" i="28"/>
  <c r="BI54" i="28"/>
  <c r="BC107" i="28"/>
  <c r="BJ107" i="28" s="1"/>
  <c r="BC23" i="28"/>
  <c r="BJ23" i="28" s="1"/>
  <c r="BC66" i="28"/>
  <c r="BJ66" i="28" s="1"/>
  <c r="BC93" i="28"/>
  <c r="BJ93" i="28" s="1"/>
  <c r="BC48" i="28"/>
  <c r="BJ48" i="28" s="1"/>
  <c r="BC69" i="28"/>
  <c r="BJ69" i="28" s="1"/>
  <c r="BI23" i="28"/>
  <c r="BI41" i="28"/>
  <c r="BI28" i="28"/>
  <c r="BI93" i="28"/>
  <c r="BI12" i="28"/>
  <c r="BC76" i="28"/>
  <c r="BJ76" i="28" s="1"/>
  <c r="BI48" i="28"/>
  <c r="BI50" i="28"/>
  <c r="BI44" i="28"/>
  <c r="BC43" i="28"/>
  <c r="BJ43" i="28" s="1"/>
  <c r="BI91" i="28"/>
  <c r="BI78" i="28"/>
  <c r="BC49" i="28"/>
  <c r="BJ49" i="28" s="1"/>
  <c r="BI88" i="28"/>
  <c r="BI70" i="28"/>
  <c r="BI43" i="28"/>
  <c r="BC75" i="28"/>
  <c r="BJ75" i="28" s="1"/>
  <c r="BI68" i="28"/>
  <c r="BI10" i="28"/>
  <c r="BC56" i="28"/>
  <c r="BJ56" i="28" s="1"/>
  <c r="BI29" i="28"/>
  <c r="BC92" i="28"/>
  <c r="BJ92" i="28" s="1"/>
  <c r="BI38" i="28"/>
  <c r="BI66" i="28"/>
  <c r="BI86" i="28"/>
  <c r="BC3" i="28"/>
  <c r="BJ3" i="28" s="1"/>
  <c r="BI84" i="28"/>
  <c r="BC104" i="28"/>
  <c r="BJ104" i="28" s="1"/>
  <c r="BC101" i="28"/>
  <c r="BJ101" i="28" s="1"/>
  <c r="BC89" i="28"/>
  <c r="BJ89" i="28" s="1"/>
  <c r="BI45" i="28"/>
  <c r="BI37" i="28"/>
  <c r="BI67" i="28"/>
  <c r="BI72" i="28"/>
  <c r="BI71" i="28"/>
  <c r="BI107" i="28"/>
  <c r="BI2" i="28"/>
  <c r="BC84" i="28"/>
  <c r="BJ84" i="28" s="1"/>
  <c r="BC4" i="28"/>
  <c r="BJ4" i="28" s="1"/>
  <c r="BC33" i="28"/>
  <c r="BJ33" i="28" s="1"/>
  <c r="BI89" i="28"/>
  <c r="BC37" i="28"/>
  <c r="BJ37" i="28" s="1"/>
  <c r="BI8" i="28"/>
  <c r="BI73" i="28"/>
  <c r="BC46" i="28"/>
  <c r="BJ46" i="28" s="1"/>
  <c r="BI14" i="28"/>
  <c r="BI15" i="28"/>
  <c r="BI30" i="28"/>
  <c r="BC40" i="28"/>
  <c r="BJ40" i="28" s="1"/>
  <c r="BC36" i="28"/>
  <c r="BJ36" i="28" s="1"/>
  <c r="BI33" i="28"/>
  <c r="BC8" i="28"/>
  <c r="BJ8" i="28" s="1"/>
  <c r="BC73" i="28"/>
  <c r="BJ73" i="28" s="1"/>
  <c r="BI100" i="28"/>
  <c r="BI31" i="28"/>
  <c r="BC6" i="28"/>
  <c r="BJ6" i="28" s="1"/>
  <c r="BI57" i="28"/>
  <c r="BI16" i="28"/>
  <c r="BC72" i="28"/>
  <c r="BJ72" i="28" s="1"/>
  <c r="BC90" i="28"/>
  <c r="BJ90" i="28" s="1"/>
  <c r="BC30" i="28"/>
  <c r="BJ30" i="28" s="1"/>
  <c r="BC9" i="28"/>
  <c r="BJ9" i="28" s="1"/>
  <c r="BI59" i="28"/>
  <c r="BC60" i="28"/>
  <c r="BJ60" i="28" s="1"/>
  <c r="BC100" i="28"/>
  <c r="BJ100" i="28" s="1"/>
  <c r="BC51" i="28"/>
  <c r="BJ51" i="28" s="1"/>
  <c r="BI92" i="28"/>
  <c r="BI52" i="28"/>
  <c r="BC53" i="28"/>
  <c r="BJ53" i="28" s="1"/>
  <c r="N92" i="2" l="1"/>
  <c r="N18" i="2"/>
  <c r="N68" i="2"/>
  <c r="N79" i="2"/>
  <c r="N42" i="2"/>
  <c r="N34" i="2"/>
  <c r="N17" i="2"/>
  <c r="N59" i="2"/>
  <c r="N30" i="2"/>
  <c r="N99" i="2"/>
  <c r="N6" i="2"/>
  <c r="N33" i="2"/>
  <c r="N46" i="2"/>
  <c r="N23" i="2"/>
  <c r="N73" i="2"/>
  <c r="N87" i="2"/>
  <c r="N15" i="2"/>
  <c r="N60" i="2"/>
  <c r="N110" i="2"/>
  <c r="N98" i="2"/>
  <c r="N9" i="2"/>
  <c r="N50" i="2"/>
  <c r="N51" i="2"/>
  <c r="N38" i="2"/>
  <c r="N5" i="2"/>
  <c r="N26" i="2"/>
  <c r="N47" i="2"/>
  <c r="N14" i="2"/>
  <c r="N55" i="2"/>
  <c r="N8" i="2"/>
  <c r="N72" i="2"/>
  <c r="N28" i="2"/>
  <c r="N49" i="2"/>
  <c r="N80" i="2"/>
  <c r="N71" i="2"/>
  <c r="N82" i="2"/>
  <c r="N32" i="2"/>
  <c r="N81" i="2"/>
  <c r="N7" i="2"/>
  <c r="N69" i="2"/>
  <c r="N21" i="2"/>
  <c r="N41" i="2"/>
  <c r="N40" i="2"/>
  <c r="N43" i="2"/>
  <c r="N20" i="2"/>
  <c r="N78" i="2"/>
  <c r="N31" i="2"/>
  <c r="N85" i="2"/>
  <c r="N102" i="2"/>
  <c r="N53" i="2"/>
  <c r="N64" i="2"/>
  <c r="N25" i="2"/>
  <c r="N12" i="2"/>
  <c r="N44" i="2"/>
  <c r="N22" i="2"/>
  <c r="N67" i="2"/>
  <c r="N65" i="2"/>
  <c r="N10" i="2"/>
  <c r="N74" i="2"/>
  <c r="N70" i="2"/>
  <c r="N29" i="2"/>
  <c r="N57" i="2"/>
  <c r="N11" i="2"/>
  <c r="N4" i="2"/>
  <c r="N37" i="2"/>
  <c r="N19" i="2"/>
  <c r="N63" i="2"/>
  <c r="N93" i="2"/>
  <c r="N27" i="2"/>
  <c r="N58" i="2"/>
  <c r="N83" i="2"/>
  <c r="N112" i="2"/>
  <c r="I1" i="46" l="1"/>
  <c r="N6" i="46"/>
  <c r="N5" i="46" l="1"/>
  <c r="N3" i="46"/>
  <c r="N4" i="46"/>
  <c r="A4" i="44"/>
  <c r="M1" i="45"/>
  <c r="I1" i="45"/>
  <c r="P3" i="45"/>
  <c r="N10" i="45" l="1"/>
  <c r="N12" i="45"/>
  <c r="N11" i="45"/>
  <c r="N9" i="45"/>
  <c r="N3" i="45"/>
  <c r="N7" i="45"/>
  <c r="N8" i="45"/>
  <c r="N6" i="45"/>
  <c r="N4" i="45"/>
  <c r="N5" i="45"/>
  <c r="A4" i="2"/>
  <c r="A5" i="2" s="1"/>
  <c r="A6" i="2" s="1"/>
  <c r="A5" i="37"/>
  <c r="A6" i="37" s="1"/>
  <c r="A7" i="37" s="1"/>
  <c r="A8" i="37" s="1"/>
  <c r="A9" i="37" s="1"/>
  <c r="A10" i="37" s="1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5" i="38"/>
  <c r="A6" i="38" s="1"/>
  <c r="A7" i="38" s="1"/>
  <c r="A8" i="38" s="1"/>
  <c r="A9" i="38" s="1"/>
  <c r="A10" i="38" s="1"/>
  <c r="A11" i="38" s="1"/>
  <c r="A12" i="38" s="1"/>
  <c r="A13" i="38" s="1"/>
  <c r="A14" i="38" s="1"/>
  <c r="A6" i="40"/>
  <c r="A7" i="40" s="1"/>
  <c r="A8" i="40" s="1"/>
  <c r="A9" i="40" s="1"/>
  <c r="A10" i="40" s="1"/>
  <c r="A11" i="40" s="1"/>
  <c r="A15" i="38" l="1"/>
  <c r="A16" i="38" s="1"/>
  <c r="A17" i="38" s="1"/>
  <c r="A18" i="38" s="1"/>
  <c r="A12" i="40"/>
  <c r="A13" i="40" s="1"/>
  <c r="A7" i="43"/>
  <c r="A8" i="43" s="1"/>
  <c r="A9" i="43" s="1"/>
  <c r="A10" i="43" s="1"/>
  <c r="A11" i="43" s="1"/>
  <c r="A12" i="43" s="1"/>
  <c r="A13" i="43" s="1"/>
  <c r="A14" i="43" s="1"/>
  <c r="A15" i="43" s="1"/>
  <c r="A16" i="43" s="1"/>
  <c r="A4" i="43"/>
  <c r="A5" i="43" s="1"/>
  <c r="A5" i="44"/>
  <c r="A6" i="44"/>
  <c r="A7" i="44" s="1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tc={B266D3B2-ADE7-4EA9-9C2D-DC8B4AED3C2A}</author>
    <author>tc={D249B14B-6B0D-433B-AE54-D888FC302B15}</author>
    <author>tc={D3FF8E98-376C-44AF-8176-12BE07784E23}</author>
    <author>tc={55886A05-BB7C-4047-8979-1BBEE8F072F3}</author>
    <author>tc={AFEE46B5-294C-4E74-BD14-32CC1DD65498}</author>
    <author>tc={F038AEBC-3F91-4D38-B9D9-F29B946537CB}</author>
  </authors>
  <commentList>
    <comment ref="AL1" authorId="0" shapeId="0" xr:uid="{B266D3B2-ADE7-4EA9-9C2D-DC8B4AED3C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Coluna Ossucci = PRODUÇÃO</t>
      </text>
    </comment>
    <comment ref="AN1" authorId="1" shapeId="0" xr:uid="{D249B14B-6B0D-433B-AE54-D888FC302B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Coluna Ossucci = PRENSA</t>
      </text>
    </comment>
    <comment ref="AO1" authorId="2" shapeId="0" xr:uid="{D3FF8E98-376C-44AF-8176-12BE07784E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Coluna Ossucci = CONTAINER</t>
      </text>
    </comment>
    <comment ref="AP1" authorId="3" shapeId="0" xr:uid="{55886A05-BB7C-4047-8979-1BBEE8F072F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Coluna Ossucci = PREMIOS</t>
      </text>
    </comment>
    <comment ref="AQ1" authorId="4" shapeId="0" xr:uid="{AFEE46B5-294C-4E74-BD14-32CC1DD654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Coluna Ossucci = OPERADORES</t>
      </text>
    </comment>
    <comment ref="BE10" authorId="5" shapeId="0" xr:uid="{F038AEBC-3F91-4D38-B9D9-F29B946537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[Tasks]
Há uma tarefa ancorada a este comentário que não pode ser exibida no cliente.
Comentário:
    @Giovane Porto | Seletiva valor da nota fiscal lançado como PF, por favor, analisar é a melhor opção. At.te, Luciano</t>
      </text>
    </comment>
  </commentList>
</comments>
</file>

<file path=xl/sharedStrings.xml><?xml version="1.0" encoding="utf-8"?>
<sst xmlns="http://schemas.openxmlformats.org/spreadsheetml/2006/main" count="6507" uniqueCount="693">
  <si>
    <t>TOMADOR</t>
  </si>
  <si>
    <t>(Vários itens)</t>
  </si>
  <si>
    <t>MODALIDADE</t>
  </si>
  <si>
    <t>Contagem de FUNCIONÁRIO</t>
  </si>
  <si>
    <t>Soma de TOTAL BRUTO + PF</t>
  </si>
  <si>
    <t>CLT</t>
  </si>
  <si>
    <t>ESTÁGIO</t>
  </si>
  <si>
    <t>PF</t>
  </si>
  <si>
    <t>PJ</t>
  </si>
  <si>
    <t>Total Geral</t>
  </si>
  <si>
    <t>FUNCIONARIO</t>
  </si>
  <si>
    <t>COMPETENCIA</t>
  </si>
  <si>
    <t>EMPRESA</t>
  </si>
  <si>
    <t>CNPJ</t>
  </si>
  <si>
    <t>SETOR</t>
  </si>
  <si>
    <t>SECAO</t>
  </si>
  <si>
    <t>ADMISSAO</t>
  </si>
  <si>
    <t>DEMISSAO</t>
  </si>
  <si>
    <t>C CUSTO</t>
  </si>
  <si>
    <t>FUNCAO</t>
  </si>
  <si>
    <t>SAL. BASE</t>
  </si>
  <si>
    <t>SAL. PAGO</t>
  </si>
  <si>
    <t>ATESTADO</t>
  </si>
  <si>
    <t>SAL.PAGO + ATESTADO</t>
  </si>
  <si>
    <t>AUX.MATERNID</t>
  </si>
  <si>
    <t>FERIAS</t>
  </si>
  <si>
    <t>ABONO PEC</t>
  </si>
  <si>
    <t>AD. FUNCAO</t>
  </si>
  <si>
    <t>AD. INSALUB</t>
  </si>
  <si>
    <t>AD. PERICUL</t>
  </si>
  <si>
    <t>GRAT FUNÇÃO 40%</t>
  </si>
  <si>
    <t>GRAT(ADRIANA)</t>
  </si>
  <si>
    <t>ADICTPOSERV</t>
  </si>
  <si>
    <t>ADIC NOTURNO</t>
  </si>
  <si>
    <t>HRS EXTRAS</t>
  </si>
  <si>
    <t>DSR HRS EXTRAS</t>
  </si>
  <si>
    <t>COMISSOES</t>
  </si>
  <si>
    <t>DSR COMISSOES</t>
  </si>
  <si>
    <t>DIF CONVENCAO</t>
  </si>
  <si>
    <t>QUEBRA CAIXA</t>
  </si>
  <si>
    <t>TT EV TRIB (INSS/IRRF/FGTS)</t>
  </si>
  <si>
    <t>P. GRAT G3S</t>
  </si>
  <si>
    <t>P.PRODUCAO</t>
  </si>
  <si>
    <t>P.CHECKLIST</t>
  </si>
  <si>
    <t>P.PRENSA</t>
  </si>
  <si>
    <t>P.PORTA</t>
  </si>
  <si>
    <t>P.CONTAINER</t>
  </si>
  <si>
    <t>P.OPERADORES</t>
  </si>
  <si>
    <t>P.V.UNIDADES</t>
  </si>
  <si>
    <t>PREMIOS</t>
  </si>
  <si>
    <t>P ANUAL SETCESP</t>
  </si>
  <si>
    <t>TT EV EXCL IRRF</t>
  </si>
  <si>
    <t>ESTAGIARIOS</t>
  </si>
  <si>
    <t>AJ DE CUSTO</t>
  </si>
  <si>
    <t>CESTA BASICA R$</t>
  </si>
  <si>
    <t>DIARIA REF</t>
  </si>
  <si>
    <t>DIARIA DIFER</t>
  </si>
  <si>
    <t>SAL FAMILIA</t>
  </si>
  <si>
    <t>PLANO SAUDE</t>
  </si>
  <si>
    <t>AB EVENTUAL</t>
  </si>
  <si>
    <t>PLR</t>
  </si>
  <si>
    <t>AJ. ALUGUEL</t>
  </si>
  <si>
    <t>P.PROD(ANT)</t>
  </si>
  <si>
    <t>P.BON(ANT)</t>
  </si>
  <si>
    <t>TT EVENT Ñ TRIBUT</t>
  </si>
  <si>
    <t>LIQ RESCISAO</t>
  </si>
  <si>
    <t>GUIA RESCISAO</t>
  </si>
  <si>
    <t>TOTAL RESCISAO</t>
  </si>
  <si>
    <t>TOTAL BRUTO</t>
  </si>
  <si>
    <t>TOTAL DESC</t>
  </si>
  <si>
    <t>TOTAL LIQUIDO</t>
  </si>
  <si>
    <t>FGTS</t>
  </si>
  <si>
    <t>INSS EMPRESA</t>
  </si>
  <si>
    <t>RAT</t>
  </si>
  <si>
    <t>TERCEIROS</t>
  </si>
  <si>
    <t>TOTAL ENCARGOS</t>
  </si>
  <si>
    <t>CUSTO</t>
  </si>
  <si>
    <t>KAMYLA FERNANDA FORIM</t>
  </si>
  <si>
    <t>Empregado – Geral</t>
  </si>
  <si>
    <t>G3S  FL 08 - LONDRINA</t>
  </si>
  <si>
    <t>20.947.332/0008-61</t>
  </si>
  <si>
    <t>ADMINISTRATIVO</t>
  </si>
  <si>
    <t>ATENDIMENTO</t>
  </si>
  <si>
    <t>SELETIVA LONDRINA</t>
  </si>
  <si>
    <t>1.2.3.1 ADMINISTRATIVO</t>
  </si>
  <si>
    <t>AUX ADMINISTRATIVO SENIOR</t>
  </si>
  <si>
    <t>PAULO VITOR TOOKUNI DE LIMA</t>
  </si>
  <si>
    <t>OPERACIONAL</t>
  </si>
  <si>
    <t>PATIO</t>
  </si>
  <si>
    <t>1.2.3.3 OPERACIONAL</t>
  </si>
  <si>
    <t>GERENTE DE PATIO SENIOR</t>
  </si>
  <si>
    <t>HERALDO CARVALHO DE SOUZA</t>
  </si>
  <si>
    <t>OPERADOR MANTENEDOR</t>
  </si>
  <si>
    <t>LUIS DO CARMO PEREIRA</t>
  </si>
  <si>
    <t>G S MATRIZ - PRES PRUD</t>
  </si>
  <si>
    <t>20.504.237/0001-17</t>
  </si>
  <si>
    <t>LOGISTICA</t>
  </si>
  <si>
    <t>TRANSPORTE</t>
  </si>
  <si>
    <t>SELETIVA PRESIDENTE PRUDENTE</t>
  </si>
  <si>
    <t>MOTORISTA CARRETEIRO</t>
  </si>
  <si>
    <t>CELIO MATEUS</t>
  </si>
  <si>
    <t>1.2.5.3 OPERACIONAL</t>
  </si>
  <si>
    <t>OPERADOR MANTENEDOR JR</t>
  </si>
  <si>
    <t>MARCIO AFONSO</t>
  </si>
  <si>
    <t>1.7.8.4 LOGISTICA</t>
  </si>
  <si>
    <t>MOTORISTA CARRETEIRO MANTENEDOR SENIOR III</t>
  </si>
  <si>
    <t>JULIANO VIEIRA DE SANTANA</t>
  </si>
  <si>
    <t>SELETIVA CORPORATIVO SUCATA</t>
  </si>
  <si>
    <t>MONIQUE ISABELE DE LIMA</t>
  </si>
  <si>
    <t>TRANSMOVE</t>
  </si>
  <si>
    <t>TRANSMOVE GSL</t>
  </si>
  <si>
    <t>1.4.1.2 ADMINISTRATIVO</t>
  </si>
  <si>
    <t>ANALISTA ADMINISTRATIVO SENIOR</t>
  </si>
  <si>
    <t>THAIS SILVA ROCHA</t>
  </si>
  <si>
    <t>INTRA-LOGISTICA</t>
  </si>
  <si>
    <t>EKIPA LOCACOES E SERV G&amp;S</t>
  </si>
  <si>
    <t>1.7.1.1  APOIO</t>
  </si>
  <si>
    <t>ANALISTA ADMINISTRATIVO OPERACIONAL JUNIOR</t>
  </si>
  <si>
    <t>MARCELO VITOR</t>
  </si>
  <si>
    <t>1.2.5.5 PRENSA FIXA JCG800</t>
  </si>
  <si>
    <t>OPERADOR MANTENEDOR SENIOR</t>
  </si>
  <si>
    <t>EDILEUSA PEREIRA LISBOA</t>
  </si>
  <si>
    <t>MURILO BONI CANDIDO</t>
  </si>
  <si>
    <t>Bolsista - Estagiário</t>
  </si>
  <si>
    <t>1.7.2.1  ADMINISTRATIVO</t>
  </si>
  <si>
    <t>AUXILIAR DE MARKETING - ESTAGIARIO</t>
  </si>
  <si>
    <t>FERNANDO THALLES SOUZA OLIVEIRA</t>
  </si>
  <si>
    <t>AUXILIAR DE ENGENHARIA - ESTAGIARIO</t>
  </si>
  <si>
    <t>PATRICIO SANTANA DA SILVA THEODORO</t>
  </si>
  <si>
    <t>G S FL 04 - MARINGA</t>
  </si>
  <si>
    <t>20.504.237/0004-60</t>
  </si>
  <si>
    <t>SELETIVA MARINGA DISTRITO</t>
  </si>
  <si>
    <t>1.2.4.3 OPERACIONAL</t>
  </si>
  <si>
    <t>RUBENS DE ARAUJO MOTA</t>
  </si>
  <si>
    <t>1.7.7.4 LOGISTICA</t>
  </si>
  <si>
    <t>MOTORISTA CARRETEIRO MANTENEDOR SENIOR I</t>
  </si>
  <si>
    <t>WILLIAM CRISTIAN LUPION</t>
  </si>
  <si>
    <t>FERNANDO FERRAREZI DOS SANTOS</t>
  </si>
  <si>
    <t>JOHNNIS GUANDALINI SCHIAVON</t>
  </si>
  <si>
    <t>ANTONIO APARECIDO FAQUIANO SOBRINHO</t>
  </si>
  <si>
    <t>G S FL 03 - DOURADOS</t>
  </si>
  <si>
    <t>20.504.237/0003-89</t>
  </si>
  <si>
    <t>SELETIVA DOURADOS</t>
  </si>
  <si>
    <t>1.7.5.4 LOGISTICA</t>
  </si>
  <si>
    <t>ERNESTO EUGENIO DA SILVA</t>
  </si>
  <si>
    <t>EVERTON BENITES SOBRINHO</t>
  </si>
  <si>
    <t>JOSE MANOEL DOS SANTOS</t>
  </si>
  <si>
    <t>1.2.2.3 OPERACIONAL</t>
  </si>
  <si>
    <t>DANIEL JUNIOR SANTOS</t>
  </si>
  <si>
    <t>G S FL 05 - BARUERI</t>
  </si>
  <si>
    <t>20.504.237/0005-40</t>
  </si>
  <si>
    <t>RESENDE - RJ</t>
  </si>
  <si>
    <t>1.7.1.2.1 ARCELOR/ RESENDE/R</t>
  </si>
  <si>
    <t>CRISTIANO LUCAS BACHIO</t>
  </si>
  <si>
    <t>TUPY/JOINVILLE - SC</t>
  </si>
  <si>
    <t>1.7.8.1.1 TUPY - JOINVILLE/S</t>
  </si>
  <si>
    <t>OPERADOR MANTENEDOR PLENO</t>
  </si>
  <si>
    <t>JOAO BATISTA RIBEIRO SILVA</t>
  </si>
  <si>
    <t>MARCOS ANTONIO CLAUDIO</t>
  </si>
  <si>
    <t>ARCELOR/PIRACICABA - SP</t>
  </si>
  <si>
    <t>1.7.1.4.1 ARCELOR/PIRACICABA</t>
  </si>
  <si>
    <t>RIVAEL BARRETO DA SILVA</t>
  </si>
  <si>
    <t>ROBERTT FERNANDO SIQUEIRA</t>
  </si>
  <si>
    <t>ARCELOR/BARRA MANSA - RJ</t>
  </si>
  <si>
    <t>1.7.1.3.1 ARCELOR/BARRA MANS</t>
  </si>
  <si>
    <t>SANDRILEI MOREIRA JUNIOR</t>
  </si>
  <si>
    <t>SILVANO VIEIRA DE SANTANA</t>
  </si>
  <si>
    <t>1.7.3.3 OPERACIONAL</t>
  </si>
  <si>
    <t>WALLANCE ALIEL FURTADO</t>
  </si>
  <si>
    <t>WAGNER APARECIDO DO NASCIMENTO</t>
  </si>
  <si>
    <t>PRENSA MOVEL</t>
  </si>
  <si>
    <t>MOTORISTA CARRETEIRO MANTENEDOR SENIOR II</t>
  </si>
  <si>
    <t>SERGIO LUIZ RIBEIRO</t>
  </si>
  <si>
    <t>LAERME MUNIZ</t>
  </si>
  <si>
    <t>1.7.1.3 ARCELOR - BARRA MANS</t>
  </si>
  <si>
    <t>ANTONIO BATISTA DA SILVA</t>
  </si>
  <si>
    <t>G S FL 06 - CAMPO GRANDE</t>
  </si>
  <si>
    <t>20.504.237/0006-21</t>
  </si>
  <si>
    <t>SELETIVA C GRANDE</t>
  </si>
  <si>
    <t>1.7.4.4 LOGISTICA</t>
  </si>
  <si>
    <t>MOTORISTA CARRETEIRO MANTENEDOR PLENO</t>
  </si>
  <si>
    <t>RAMON FELIPE DE OLIVEIRA FREITAS</t>
  </si>
  <si>
    <t>MOTORISTA CARRETEIRO MANTENEDOR PLENO II</t>
  </si>
  <si>
    <t>VALDECI DOS SANTOS MARTINS</t>
  </si>
  <si>
    <t>1.2.7.3 OPERACIONAL</t>
  </si>
  <si>
    <t>EDUARDO DE OLIVEIRA ALMEIDA</t>
  </si>
  <si>
    <t>LUCAS DA SILVA CONCEICAO</t>
  </si>
  <si>
    <t>G S FL 07 - LONDRINA</t>
  </si>
  <si>
    <t>20.504.237/0007-02</t>
  </si>
  <si>
    <t>MARCIO APARECIDO DA COSTA</t>
  </si>
  <si>
    <t>1.7.6.4 LOGISTICA</t>
  </si>
  <si>
    <t>TIAGO LUIS DE SOUZA</t>
  </si>
  <si>
    <t>BRUNO RUANI SCARFONI</t>
  </si>
  <si>
    <t>RSE COM DE FERRO,ACO E LOCA</t>
  </si>
  <si>
    <t>6.916.551/0001-86</t>
  </si>
  <si>
    <t>COMERCIAL</t>
  </si>
  <si>
    <t>1.5.1.2 COMERCIAL</t>
  </si>
  <si>
    <t>VENDEDOR (A)</t>
  </si>
  <si>
    <t>ADRIANA CANDIDO FIGUEIREDO</t>
  </si>
  <si>
    <t>G3S FL 10 - PRES PRUD</t>
  </si>
  <si>
    <t>20.947.332/0010-86</t>
  </si>
  <si>
    <t>GESTÃO DE GENTE</t>
  </si>
  <si>
    <t>DEPTO PESSOAL</t>
  </si>
  <si>
    <t>PILARES</t>
  </si>
  <si>
    <t>1.1.10 PESSOAS</t>
  </si>
  <si>
    <t>ANALISTA DE DEPTO PESSOAL</t>
  </si>
  <si>
    <t>AMANDA DE OLIVEIRA VINCO</t>
  </si>
  <si>
    <t>CONTABILIDADE</t>
  </si>
  <si>
    <t>1.1.4 CONTABILIDADE/FISCAL</t>
  </si>
  <si>
    <t>ANALISTA CONTABIL JUNIOR</t>
  </si>
  <si>
    <t>BEATRIZ FERREIRA DE SOUZA</t>
  </si>
  <si>
    <t>1.2.1.1 APOIO</t>
  </si>
  <si>
    <t>ASSISTENTE COMERCIAL</t>
  </si>
  <si>
    <t>DANIELA SANTOS MORAES</t>
  </si>
  <si>
    <t>ANALISTA CONTABIL SENIOR</t>
  </si>
  <si>
    <t>GIOVANNA SILVA DE OLIVEIRA</t>
  </si>
  <si>
    <t>ANALISTA COMERCIAL SENIOR</t>
  </si>
  <si>
    <t>MARIA EDUARDA FREITAS MESSIAS</t>
  </si>
  <si>
    <t>FINANCEIRO</t>
  </si>
  <si>
    <t>1.1.3 FINANCEIRO</t>
  </si>
  <si>
    <t>ANALISTA FINANCEIRO SENIOR II</t>
  </si>
  <si>
    <t>MARIANE APARECIDA MOREIRA DE CRISTOFANO</t>
  </si>
  <si>
    <t>SEGURANCA DO TRABALHO</t>
  </si>
  <si>
    <t>ANALISTA DE SESMT</t>
  </si>
  <si>
    <t>THAIS BARBOSA DA SILVA ROSA</t>
  </si>
  <si>
    <t>1.2.5.1 ADMINISTRATIVO</t>
  </si>
  <si>
    <t>AUX ADMINISTRATIVO JUNIOR</t>
  </si>
  <si>
    <t>WILGNER DAVALO DA SILVA</t>
  </si>
  <si>
    <t>ANALISTA FINANCEIRO JUNIOR</t>
  </si>
  <si>
    <t>FERNANDA OLIVEIRA SILVA CARDOSO</t>
  </si>
  <si>
    <t>FISCAL</t>
  </si>
  <si>
    <t>ANALISTA FISCAL SENIOR I</t>
  </si>
  <si>
    <t>ELAINE CRISTINA PANIZZA SILVA</t>
  </si>
  <si>
    <t>RECURSOS HUMANOS</t>
  </si>
  <si>
    <t>1.1.9 RECURSOS HUMANOS</t>
  </si>
  <si>
    <t>ANALISTA DE RECURSOS HUMANOS SENIOR</t>
  </si>
  <si>
    <t>LAYZA PINHEIRO FRANCESQUETTE</t>
  </si>
  <si>
    <t>EDUARDO YUICHI CHINMEI</t>
  </si>
  <si>
    <t>MARIANA SIQUEIRA</t>
  </si>
  <si>
    <t>PEDRO MARQUES GUARNIERI</t>
  </si>
  <si>
    <t>QUALIDADE</t>
  </si>
  <si>
    <t>1.1.5 QUALIDADE</t>
  </si>
  <si>
    <t>AUXILIAR ADMINISTRATIVO - ESTAGIARIO(A)</t>
  </si>
  <si>
    <t>GABRIEL SATOSHI DA SILVA SAKATA</t>
  </si>
  <si>
    <t>SUPRIMENTOS</t>
  </si>
  <si>
    <t>1.1.14 SUPRIMENTOS</t>
  </si>
  <si>
    <t>MELISSA DE FREITAS ORRIGO</t>
  </si>
  <si>
    <t>AUXILIAR COMERCIAL - ESTAGIARIO</t>
  </si>
  <si>
    <t>JOAO PAULO MARTINS OZORES</t>
  </si>
  <si>
    <t>JOAO EMANUEL SANTOS SILVA</t>
  </si>
  <si>
    <t>AUXILIAR FINANCEIRO - ESTAGIARIO</t>
  </si>
  <si>
    <t>ISADORA THAYNA VIOTTO DIAS</t>
  </si>
  <si>
    <t>RENDER LOCACOES</t>
  </si>
  <si>
    <t>1.8.1 ADMINISTRATIVO</t>
  </si>
  <si>
    <t>CAIO MURILO SPINDOLA DOS SANTOS</t>
  </si>
  <si>
    <t>ESTER TAVARES FERREIRA</t>
  </si>
  <si>
    <t>BRUNA RIBEIRO SANCHEZ</t>
  </si>
  <si>
    <t>MURILO SCHISBELGS DIAS</t>
  </si>
  <si>
    <t>LUCAS VICTOR MENDONÇA RUBIO</t>
  </si>
  <si>
    <t>AUXILIAR CONTABIL - ESTAGIARIO</t>
  </si>
  <si>
    <t>JULIO OLIVEIRA SANTANA</t>
  </si>
  <si>
    <t>AUXILIAR DE QUALIDADE - ESTAGIARIO</t>
  </si>
  <si>
    <t>ADEMIR DOS SANTOS</t>
  </si>
  <si>
    <t>G3S FL 11 - MARINGA</t>
  </si>
  <si>
    <t>20.947.332/0011-67</t>
  </si>
  <si>
    <t>SELETIVA MARINGA CIDADE ALTA</t>
  </si>
  <si>
    <t>1.2.8.3. OPERACIONAL</t>
  </si>
  <si>
    <t>AUXILIAR DE PATIO SENIOR</t>
  </si>
  <si>
    <t>ALEKSANDER APARECIDO GONÇALVES DA SILVA</t>
  </si>
  <si>
    <t>DYESSILA MARY ALVES</t>
  </si>
  <si>
    <t>1.2.4.1 ADMINISTRATIVO</t>
  </si>
  <si>
    <t>GUSTAVO LINO DUARTE</t>
  </si>
  <si>
    <t>G3S CMATRIZ - CAMPO GRANDE</t>
  </si>
  <si>
    <t>20.947.332/0001-95</t>
  </si>
  <si>
    <t>AUXILIAR DE PATIO JUNIOR</t>
  </si>
  <si>
    <t>PATRICIA DANIELLE SILVA</t>
  </si>
  <si>
    <t>1.2.7.1 ADMINISTRATIVO</t>
  </si>
  <si>
    <t>AUX ADMINISTRATIVO PLENO</t>
  </si>
  <si>
    <t>LUIZ GUILHERME BRAGHINI</t>
  </si>
  <si>
    <t>PEDRO FELIPE PINA DO NASCIMENTO</t>
  </si>
  <si>
    <t>RAFAEL RAMIRES DE ARAUJO</t>
  </si>
  <si>
    <t>VINICIUS LIMA SALDANHA</t>
  </si>
  <si>
    <t>G3S  FL 03 - DOURADOS</t>
  </si>
  <si>
    <t>20.947.332/0003-57</t>
  </si>
  <si>
    <t>LAIS VERON TEIXEIRA RIQUELME</t>
  </si>
  <si>
    <t>1.2.2.1 ADMINISTRATIVO</t>
  </si>
  <si>
    <t>POLIANA CORREA DA SILVA</t>
  </si>
  <si>
    <t>RODOLFO SALU DE OLIVEIRA</t>
  </si>
  <si>
    <t>MACARIQUEIRO PLENO</t>
  </si>
  <si>
    <t>GEOVANI RODRIGUES DUTRA</t>
  </si>
  <si>
    <t>WAGNER DARCI DOS SANTOS</t>
  </si>
  <si>
    <t>G3S  FL 04 - PRES PRUD</t>
  </si>
  <si>
    <t>20.947.332/0004-38</t>
  </si>
  <si>
    <t>SERVIÇOS GERAIS</t>
  </si>
  <si>
    <t>SERVICOS GERAIS (COMERCIO)</t>
  </si>
  <si>
    <t>MARCELO BARBOSA SARTO</t>
  </si>
  <si>
    <t>NIVALDO MATEUS</t>
  </si>
  <si>
    <t>GERENTE DE PATIO SENIOR PP</t>
  </si>
  <si>
    <t>LUCIMARA PAIZ DE OLIVEIRA</t>
  </si>
  <si>
    <t>FAXINEIRO (EMPRESA)</t>
  </si>
  <si>
    <t>ANTONIO ANACLETO DE OLIVEIRA</t>
  </si>
  <si>
    <t>MARCOS MEDEIROS</t>
  </si>
  <si>
    <t>SOLDADOR MAÇARIQUEIRO</t>
  </si>
  <si>
    <t>ANDRESSA MEIRIELLE DE OLIVEIRA TOKAWA</t>
  </si>
  <si>
    <t>ALESSANDRA ARAUJO MOURA</t>
  </si>
  <si>
    <t>SUPERVISOR(A) ADMINISTRATIVO(A)</t>
  </si>
  <si>
    <t>MAURICIO ANTONIO SALETE</t>
  </si>
  <si>
    <t>JOSE ANTONIO CAETANO</t>
  </si>
  <si>
    <t>CLASSIFICADOR SENIOR</t>
  </si>
  <si>
    <t>ANDERSON RODRIGO FERREIRA DE LIMA</t>
  </si>
  <si>
    <t>REGINALDO DELA COSTA</t>
  </si>
  <si>
    <t>G3S FL 05 - PRES PRUD</t>
  </si>
  <si>
    <t>20.947.332/0005-19</t>
  </si>
  <si>
    <t>BRACOFER</t>
  </si>
  <si>
    <t>1.3.1.4 LOGISTICA</t>
  </si>
  <si>
    <t>MOTORISTA TRUCK MANTENEDOR SENIOR</t>
  </si>
  <si>
    <t>ROBERTO DOS SANTOS</t>
  </si>
  <si>
    <t>VENDAS</t>
  </si>
  <si>
    <t>1.3.1.2 COMERCIAL</t>
  </si>
  <si>
    <t>VENDEDOR(A)</t>
  </si>
  <si>
    <t>PAULO DIAS CORREA</t>
  </si>
  <si>
    <t>LARISSA APARECIDA LIMA QUEIROZ</t>
  </si>
  <si>
    <t>1.3.1.1 ADMINISTRATIVO</t>
  </si>
  <si>
    <t>ANALISTA FINANCEIRO PLENO</t>
  </si>
  <si>
    <t>ADRIANA APARECIDA GUABERTO PALANCIO</t>
  </si>
  <si>
    <t>ANALISTA FINANCEIRO SENIOR I</t>
  </si>
  <si>
    <t>LUIZ CARLOS DE SOUZA</t>
  </si>
  <si>
    <t>1.3.1.3 OPERACIONAL</t>
  </si>
  <si>
    <t>THIAGO OLIVEIRA DOS SANTOS</t>
  </si>
  <si>
    <t>CORTE E DOBRA</t>
  </si>
  <si>
    <t>1.3.1.5 CORTE E DOBRA</t>
  </si>
  <si>
    <t>GERENTE DE PATIO JUNIOR</t>
  </si>
  <si>
    <t>ELISMAR FERREIRA MEDEIROS</t>
  </si>
  <si>
    <t>AUXILIAR DE PATIO PLENO</t>
  </si>
  <si>
    <t>DIEGO LEANDRO DE OLIVEIRA</t>
  </si>
  <si>
    <t>LUIS AUGUSTO DUARTE SILVA</t>
  </si>
  <si>
    <t>MARCOS ROBERTO DA SILVA MARTINS</t>
  </si>
  <si>
    <t>MOTORISTA TRUCK MANTENEDOR JUNIOR</t>
  </si>
  <si>
    <t>LUIS HENRIQUE SEMENSATO</t>
  </si>
  <si>
    <t>ANDRESSA FRANCINI CRUZ DE SOUZA</t>
  </si>
  <si>
    <t>SUPERVISOR(A) DE LOGISTICA</t>
  </si>
  <si>
    <t>MURILO LIMA DE CARVALHO SILVA</t>
  </si>
  <si>
    <t>AUXILIAR FINANCEIRO</t>
  </si>
  <si>
    <t>LUIS DOUGLAS SANTOS BRAS</t>
  </si>
  <si>
    <t>EDUARDO SOARES E SILVA</t>
  </si>
  <si>
    <t>JUNIOR CESAR SOARES</t>
  </si>
  <si>
    <t>VENDEDOR INTERNO SENIOR</t>
  </si>
  <si>
    <t>GABRIELA BARBOSA FONTE BASSO</t>
  </si>
  <si>
    <t>VENDEDOR INTERNO PLENO</t>
  </si>
  <si>
    <t>JOAO PAULO BENEVENTO NETO</t>
  </si>
  <si>
    <t>NATALIA BAROSSI TREVISAN</t>
  </si>
  <si>
    <t>AUXILIAR CONTABIL</t>
  </si>
  <si>
    <t>HELENA SOARES GOES DA SILVA</t>
  </si>
  <si>
    <t>EDUARDO PEDRETTI ARRUDA RONCHESEL</t>
  </si>
  <si>
    <t>VALTER LEITE VIEIRA</t>
  </si>
  <si>
    <t>G3S FL 06 - MARINGA</t>
  </si>
  <si>
    <t>20.947.332/0006-08</t>
  </si>
  <si>
    <t>PATRICIA CECILIA GUIDOTTI DE FREITAS</t>
  </si>
  <si>
    <t>ALIFER BRENO PEREIRA ALMEIDA DE JESUS</t>
  </si>
  <si>
    <t>PABLO HENRYQUE BARBOSA DE CASTRO</t>
  </si>
  <si>
    <t>CLASSIFICADOR PLENO</t>
  </si>
  <si>
    <t>ANDREW GABRYEL ARCANJO DE SOUZA</t>
  </si>
  <si>
    <t>FUNCIONÁRIO</t>
  </si>
  <si>
    <t>COMPETÊNCIA</t>
  </si>
  <si>
    <t>FILIAL</t>
  </si>
  <si>
    <t>EMPRESA + FILIAL</t>
  </si>
  <si>
    <t>SEÇÃO</t>
  </si>
  <si>
    <t>ADMISSÃO</t>
  </si>
  <si>
    <t>DEMISSÃO</t>
  </si>
  <si>
    <t>RESPONSÁVEL</t>
  </si>
  <si>
    <t>CENTRO DE CUSTO</t>
  </si>
  <si>
    <t>FUNÇÃO</t>
  </si>
  <si>
    <t>SALÁRIO</t>
  </si>
  <si>
    <t>AUX. MATERNIDADE</t>
  </si>
  <si>
    <t>FÉRIAS</t>
  </si>
  <si>
    <t>AD. FUNÇÃO 20%</t>
  </si>
  <si>
    <t>AD. INSALUBRIDADE 20%</t>
  </si>
  <si>
    <t>AD. PERICULOSIDADE 30%</t>
  </si>
  <si>
    <t>GRATIFICAÇÃO 40%</t>
  </si>
  <si>
    <t>BIÊNIO 5%</t>
  </si>
  <si>
    <t>AD. NOTURNO 20%</t>
  </si>
  <si>
    <t>HORA EXTRA</t>
  </si>
  <si>
    <t>H. EXTRA DSR</t>
  </si>
  <si>
    <t>COMISSÃO</t>
  </si>
  <si>
    <t>COMISSÃO DSR</t>
  </si>
  <si>
    <t>DIF. CONVENÇÃO</t>
  </si>
  <si>
    <t>QUEBRA DE CAIXA</t>
  </si>
  <si>
    <t>TOTAL EVENTOS COM IMPOSTOS</t>
  </si>
  <si>
    <t>AJUDA 
CUSTO VT</t>
  </si>
  <si>
    <t>CESTA BASICA DINHEIRO</t>
  </si>
  <si>
    <t>CESTA BASICA PRODUTO</t>
  </si>
  <si>
    <t>PRODUÇÃO FIXO</t>
  </si>
  <si>
    <t>PRODUÇÃO CHECK LIST MOTORISTA</t>
  </si>
  <si>
    <t>PRODUÇÃO PRENSA</t>
  </si>
  <si>
    <t>CAÇAMBA/CONTAINER</t>
  </si>
  <si>
    <t>PRÊMIO FIXO</t>
  </si>
  <si>
    <t>PRÊMIO OPERADORES</t>
  </si>
  <si>
    <t>PRÊMIO VENDAS UNIDADES</t>
  </si>
  <si>
    <t>PRÊMIO PORTA</t>
  </si>
  <si>
    <t>PRÊMIO ANUÊNIO</t>
  </si>
  <si>
    <t>REFEIÇÃO</t>
  </si>
  <si>
    <t>DIÁRIA DIFERENCIADA</t>
  </si>
  <si>
    <t>ABONO PECUNIÁRIO FÉRIAS</t>
  </si>
  <si>
    <t>SALÁRIO FAMÍLIA</t>
  </si>
  <si>
    <t>PLANO DE SAÚDE</t>
  </si>
  <si>
    <t>ASSISTÊNCIA SAÚDE</t>
  </si>
  <si>
    <t>AJUDA DE ALUGUEL</t>
  </si>
  <si>
    <t>PREMIO GRATIFICAÇÃO</t>
  </si>
  <si>
    <t>TOTAL EVENTOS SEM IMPOSTOS</t>
  </si>
  <si>
    <t>SALÁRIO PF</t>
  </si>
  <si>
    <t>TOTAL BRUTO + PF</t>
  </si>
  <si>
    <t>PROV. 13º</t>
  </si>
  <si>
    <t>PROV. FÉRIAS</t>
  </si>
  <si>
    <t>PROV. 1/3 FERIAS</t>
  </si>
  <si>
    <t>TOTAL PROVISÕES</t>
  </si>
  <si>
    <t>INSS</t>
  </si>
  <si>
    <t>TOTAL CUSTO FOLHA (SEM PROVISÕES, COM ENCARGOS)</t>
  </si>
  <si>
    <t>TOTAL GERAL (COM PROVISÕES E ENCARGOS)</t>
  </si>
  <si>
    <t>STATUS</t>
  </si>
  <si>
    <t>MARCONDES</t>
  </si>
  <si>
    <t>JULIO VIEIRA DE SANTANA</t>
  </si>
  <si>
    <t>MANUTENCAO</t>
  </si>
  <si>
    <t>HUGO</t>
  </si>
  <si>
    <t>ADRIANA REGINA NOGUEIRA DOS SANTOS</t>
  </si>
  <si>
    <t>CONTRATO PJ</t>
  </si>
  <si>
    <t>SUPERVISOR(A) FINANCEIRO</t>
  </si>
  <si>
    <t>Ativo</t>
  </si>
  <si>
    <t>ANDERSON ZANUTO</t>
  </si>
  <si>
    <t>GERENCIA</t>
  </si>
  <si>
    <t>GERENTE COMERCIAL</t>
  </si>
  <si>
    <t>BRUNO JUSTINIANO MATOS</t>
  </si>
  <si>
    <t>1.2.7.2 COMERCIAL</t>
  </si>
  <si>
    <t>COMPRADOR</t>
  </si>
  <si>
    <t>CRISTINA SUGUI</t>
  </si>
  <si>
    <t>RENATO</t>
  </si>
  <si>
    <t>1.1.2 ADMINISTRATIVO</t>
  </si>
  <si>
    <t>CONSULTOR</t>
  </si>
  <si>
    <t>EDMILSON DA COSTA LEITAO</t>
  </si>
  <si>
    <t>G S FL 01 - PRUDENTE</t>
  </si>
  <si>
    <t>ENCARREGADO MANUT MAQ E EQUIPAMENTOS</t>
  </si>
  <si>
    <t>EVALDO JANES DE CANDIDO OLIVIERA</t>
  </si>
  <si>
    <t>1.7.2.2 COMERCIAL</t>
  </si>
  <si>
    <t>GERENTE</t>
  </si>
  <si>
    <t>FERNANDO DA COSTA FERREIRA</t>
  </si>
  <si>
    <t>SELETIVA APOIO</t>
  </si>
  <si>
    <t>FRANCISCO CARLOS DA SILVA</t>
  </si>
  <si>
    <t>COORDENACAO SP</t>
  </si>
  <si>
    <t>1.2.5.2 COMERCIAL</t>
  </si>
  <si>
    <t>GERENTE DE COMPRAS</t>
  </si>
  <si>
    <t>GIOVANE PORTO</t>
  </si>
  <si>
    <t>GISELE APARECIDA TONETTO SANTOS</t>
  </si>
  <si>
    <t>GERENTE ADMINISTRATIVO</t>
  </si>
  <si>
    <t>HUGO BIANCHI BOSSOLANI</t>
  </si>
  <si>
    <t>LEONARDO SOARES CAVALHEIRO</t>
  </si>
  <si>
    <t>1.2.2.2 COMERCIAL</t>
  </si>
  <si>
    <t>Desligado</t>
  </si>
  <si>
    <t>LUCIANO ROGERIO FARIA</t>
  </si>
  <si>
    <t>COORDENADOR DE QUALIDADE</t>
  </si>
  <si>
    <t>MARCONDES VALENTIM VICTORINO</t>
  </si>
  <si>
    <t>DIRETORIA</t>
  </si>
  <si>
    <t>DIRETOR COMERCIAL COMPRA SUCATA</t>
  </si>
  <si>
    <t>MURILO PRADO</t>
  </si>
  <si>
    <t>OSWALDO JONATAN PEREIRA DE CASTRO</t>
  </si>
  <si>
    <t>RODRIGO DA SILVA NORCIA</t>
  </si>
  <si>
    <t>SELETIVA MARINGA</t>
  </si>
  <si>
    <t>1.2.4.2 COMERCIAL</t>
  </si>
  <si>
    <t>VINICIUS AUGUSTO ALVES VILELA</t>
  </si>
  <si>
    <t>G3S  FL 10 - PRES PRUD</t>
  </si>
  <si>
    <t>ANALISTA DE COMPRAS</t>
  </si>
  <si>
    <t>WAGNER CALDEIRA DA SILVA JUNIOR</t>
  </si>
  <si>
    <t>1.1.15 MANUTENCAO DE MAQUINA</t>
  </si>
  <si>
    <t>Rótulos de Linha</t>
  </si>
  <si>
    <t>Soma de VALOR UNITÁRIO</t>
  </si>
  <si>
    <t>ALIFER BRENO PEREIRA DE ALMEIDA DE JESUS</t>
  </si>
  <si>
    <t>ANDRESSA FRANCINE CRUZ DE SOUZA</t>
  </si>
  <si>
    <t>DYESSILA MARY ALVES SEMPREBON FREIRE</t>
  </si>
  <si>
    <t>EDMILSON COSTA LEITÃO</t>
  </si>
  <si>
    <t>EVALDO JANES DE CANDIDO OLIVEIRA</t>
  </si>
  <si>
    <t>GIOVANE PORTO GONCALES</t>
  </si>
  <si>
    <t>GIOVANI RODRIGUES DUTRA</t>
  </si>
  <si>
    <t>MARCONDES VALENTIM VITORINO</t>
  </si>
  <si>
    <t>RENATO JOSÉ APARECIDO SALTEIRO</t>
  </si>
  <si>
    <t>SERGIO ANTONIO DA SILVA</t>
  </si>
  <si>
    <t>SAL. (PAGO+ATEST.)</t>
  </si>
  <si>
    <t>AD. INSALUBRIDADE</t>
  </si>
  <si>
    <t>AD. PERICULOSIDADE</t>
  </si>
  <si>
    <t>AUX MATERNIDADE</t>
  </si>
  <si>
    <t>TT EV TRIBUTADOS</t>
  </si>
  <si>
    <t>PRODUCAO</t>
  </si>
  <si>
    <t>CHECKLIST</t>
  </si>
  <si>
    <t>PRENSA</t>
  </si>
  <si>
    <t>PORTA</t>
  </si>
  <si>
    <t>CONTAINER</t>
  </si>
  <si>
    <t>OPERADORES</t>
  </si>
  <si>
    <t>V.UNIDADES</t>
  </si>
  <si>
    <t>P ANUAL</t>
  </si>
  <si>
    <t>DIARIA REFEIC</t>
  </si>
  <si>
    <t>DIARIA DIF</t>
  </si>
  <si>
    <t>AB PECUNIARIO</t>
  </si>
  <si>
    <t>AUX ADM BALANCA E ATENDIMENTO II</t>
  </si>
  <si>
    <t>MARIO CESAR DA COSTA FARIAS</t>
  </si>
  <si>
    <t>COMPRAS</t>
  </si>
  <si>
    <t>1.2.1.3 COORDENACAO PR</t>
  </si>
  <si>
    <t>REGIANO MARCOS VITALINO</t>
  </si>
  <si>
    <t>AUXILIAR DE PATIO</t>
  </si>
  <si>
    <t>CLASSIFICADOR</t>
  </si>
  <si>
    <t>OPERADOR DE MAQUINA</t>
  </si>
  <si>
    <t>1.2.5.4 LOGISTICA</t>
  </si>
  <si>
    <t>MOTORISTA CARRETEIRO MANTENEDOR</t>
  </si>
  <si>
    <t>ALEX NUNES CAMPOS</t>
  </si>
  <si>
    <t>ANALISTA ADMINISTRATIVO OPERACIONAL</t>
  </si>
  <si>
    <t>OPERADOR DE ESCAVADEIRA MANTENEDOR</t>
  </si>
  <si>
    <t>RODRIGO PEREIRA DOS SANTOS</t>
  </si>
  <si>
    <t>1.2.4.4 LOGISTICA</t>
  </si>
  <si>
    <t>1.7.1.4 ARCELOR - PIRACICABA</t>
  </si>
  <si>
    <t>ANTONIO CARLOS FIGUEREDO</t>
  </si>
  <si>
    <t>1.7.1.2 ARCELOR - RESENDE/RJ</t>
  </si>
  <si>
    <t>1.7.1.8 TUPY - JOINVILLE/SC</t>
  </si>
  <si>
    <t>LUCAS NOGUEIRA TORRES</t>
  </si>
  <si>
    <t>1.2.1.8 PRENSA MOVEL</t>
  </si>
  <si>
    <t>COORDENACAO</t>
  </si>
  <si>
    <t>COORDENACAO MS</t>
  </si>
  <si>
    <t>1.2.1.2 COORDENACAO MS</t>
  </si>
  <si>
    <t>1.1.17 MANUTENCAO DE VEICULO</t>
  </si>
  <si>
    <t>1.2.7.4 LOGISTICA</t>
  </si>
  <si>
    <t>1.2.3.4 LOGISTICA</t>
  </si>
  <si>
    <t>LETICIA NOVAIS GASPAR GULLICH</t>
  </si>
  <si>
    <t>ANALISTA DE RECURSOS HUMANOS</t>
  </si>
  <si>
    <t>ANA JULIA MAGALHAES DE SOUZA</t>
  </si>
  <si>
    <t>ANALISTA FINANCEIRO SENIOR</t>
  </si>
  <si>
    <t>MARIA FERNANDA DE SALES LIBORIO</t>
  </si>
  <si>
    <t>GABRIEL DE SOUZA BARROS</t>
  </si>
  <si>
    <t>JENIFER NATHIELE GOMES BARROSO</t>
  </si>
  <si>
    <t>LUCAS GABRIEL LEANDRO LINS DA SILVA</t>
  </si>
  <si>
    <t>NATASHA RIBEIRO DA SILVA</t>
  </si>
  <si>
    <t>1.2.2.4 LOGISTICA</t>
  </si>
  <si>
    <t>AUXILIAR DE LOGISTICA - ESTAGIARIO</t>
  </si>
  <si>
    <t>PROJETOS</t>
  </si>
  <si>
    <t>AUX. ADM. BALANÇA E ATENDIMENTO I</t>
  </si>
  <si>
    <t>GERENTE DE PATIO PLENO</t>
  </si>
  <si>
    <t>LAIS VERON TEIXEIRA</t>
  </si>
  <si>
    <t>AUX ADM BALANCA E ATENDIMENTO I</t>
  </si>
  <si>
    <t>MACARIQUEIRO</t>
  </si>
  <si>
    <t>MOTORISTA CARRETA</t>
  </si>
  <si>
    <t>HIGIENE E LIMPEZA</t>
  </si>
  <si>
    <t>ELAINE TOKAWA DO NASCIMENTO PERUCHE</t>
  </si>
  <si>
    <t>ANALISTA DE GESTAO DE PESSOAS</t>
  </si>
  <si>
    <t>CLASSIFICADOR III</t>
  </si>
  <si>
    <t>JOSE DA SILVA SOUZA</t>
  </si>
  <si>
    <t>SOLDADOR</t>
  </si>
  <si>
    <t>LUAN BACCAR FONSECA CASAROTTO</t>
  </si>
  <si>
    <t>ANDREW FERREIRA ALVES</t>
  </si>
  <si>
    <t>MOTORISTA TRUCK MANTENEDOR</t>
  </si>
  <si>
    <t>ODAIR HIPOLITO DOS SANTOS</t>
  </si>
  <si>
    <t>KAUE SASSI DE CARVALHO</t>
  </si>
  <si>
    <t>THAYNA RANI FERNANDES</t>
  </si>
  <si>
    <t>ANALISTA CONTABIL PLENO</t>
  </si>
  <si>
    <t>ROBERTH SANTOS SILVA</t>
  </si>
  <si>
    <t>FRANCYELLY RIZZOTTO</t>
  </si>
  <si>
    <t>CLASSIFICADOR II</t>
  </si>
  <si>
    <t>G3S COMERCIO E IND FL 08</t>
  </si>
  <si>
    <t>EKIPA SERVICOS</t>
  </si>
  <si>
    <t>COORDENACAO PR</t>
  </si>
  <si>
    <t>ENCARREGADO(A) DE PATIO</t>
  </si>
  <si>
    <t>G G TRANSPORTE MTZ</t>
  </si>
  <si>
    <t>JOINVILLE - SC</t>
  </si>
  <si>
    <t>SELETIVA PRUDENTE</t>
  </si>
  <si>
    <t>BARRA MANSA - RJ</t>
  </si>
  <si>
    <t>PIRACICABA - SP</t>
  </si>
  <si>
    <t>G G TRANSPORTE FL 05</t>
  </si>
  <si>
    <t>CLAUDINEI CANUTO MATIAS</t>
  </si>
  <si>
    <t>S4 EMPREENDIMENTO IMOBILIARIO</t>
  </si>
  <si>
    <t>41.456.367/0001-00</t>
  </si>
  <si>
    <t>RENDER</t>
  </si>
  <si>
    <t>ROSANA - SP</t>
  </si>
  <si>
    <t>1.8.13.4 ALMOXARIFADO - LOTE</t>
  </si>
  <si>
    <t>ZELADOR(A)</t>
  </si>
  <si>
    <t>G3S COMERCIO E IND E FERRO</t>
  </si>
  <si>
    <t>MARIO CESAR JESUS DE SOUZA</t>
  </si>
  <si>
    <t>G3S COMERCIO E IND FL 03</t>
  </si>
  <si>
    <t>ENCARREGADO DE OPERACAO DE MAQUINAS</t>
  </si>
  <si>
    <t>THIAGO ALESSANDRO BRAGHINI</t>
  </si>
  <si>
    <t>G3S COMERCIO E IND FL 04</t>
  </si>
  <si>
    <t>ANALISTA JUNIOR</t>
  </si>
  <si>
    <t>ANALISTA ADMINISTRATIVO (A)</t>
  </si>
  <si>
    <t>ASSISTENTE FINANCEIRO</t>
  </si>
  <si>
    <t>RAFAEL AUGUSTO DE SOUZA RIBEIRO</t>
  </si>
  <si>
    <t>JOAO GABRIEL LINS PECORARI</t>
  </si>
  <si>
    <t>G3S COMERCIO E IND FL 05</t>
  </si>
  <si>
    <t>ANALISTA FINANCEIRO</t>
  </si>
  <si>
    <t>MARCELO FILIPE TEIXEIRA DE SIQUEIRA</t>
  </si>
  <si>
    <t>ASSISTENTE DE ENGENHARIA</t>
  </si>
  <si>
    <t>PAULO CESAR TROMBINI SPERINI</t>
  </si>
  <si>
    <t>GERENTE DE LOJA</t>
  </si>
  <si>
    <t>G3S COMERCIO E IND FL 06</t>
  </si>
  <si>
    <t>SUPERVISOR(A) DE PATIO</t>
  </si>
  <si>
    <t>1.2.1.4 COORDENACAO SP</t>
  </si>
  <si>
    <t>G3S</t>
  </si>
  <si>
    <t>GG</t>
  </si>
  <si>
    <t>SUPERVISOR DE LOGISTICA</t>
  </si>
  <si>
    <t>Consultor</t>
  </si>
  <si>
    <t>1.2.1.5 DIRETORIA COMERCIAL COMPRA SUCATA</t>
  </si>
  <si>
    <t>Diretor Comercia Compra Sucata</t>
  </si>
  <si>
    <t>MICHELLE CAMPHORA STAQUECINI</t>
  </si>
  <si>
    <t>SUPERVISOR CONTABIL/FISCAL</t>
  </si>
  <si>
    <t>EDSON CROSCATTO</t>
  </si>
  <si>
    <t>AJUDA CUSTO VT</t>
  </si>
  <si>
    <t>COMERIO E INF FL 08</t>
  </si>
  <si>
    <t>EKIPA SERVIÇOS</t>
  </si>
  <si>
    <t>MANUTENÇÃO</t>
  </si>
  <si>
    <t>MOTORISTA TRUCK</t>
  </si>
  <si>
    <t>1.2.18 PRENSA MOVEL</t>
  </si>
  <si>
    <t>NVS LOCACOES EQUIPAMENTOS -MTZ</t>
  </si>
  <si>
    <t>33.678.173/0002-01</t>
  </si>
  <si>
    <t>ISABEL CRISTINA MARCONDES RISSATO</t>
  </si>
  <si>
    <t>G&amp;G FILIAL BARUERI</t>
  </si>
  <si>
    <t>LUCAS FABRICIO OLIVEIRA DA SILVA</t>
  </si>
  <si>
    <t>SUPERVISOR(A) ADMINISTRATIVO</t>
  </si>
  <si>
    <t>GILBERTO JEAN DA SILVA</t>
  </si>
  <si>
    <t>GLAUBER HENRIQUE PINTO</t>
  </si>
  <si>
    <t>DANUZA MATOS BARBOSA</t>
  </si>
  <si>
    <t>AUX ADM BALANCA E ATENDIMENTO</t>
  </si>
  <si>
    <t>MAYARA SANTOS ANANIAS</t>
  </si>
  <si>
    <t>APRENDIZ</t>
  </si>
  <si>
    <t>FLAVIO PINHEIRO LIMA</t>
  </si>
  <si>
    <t>JULIA VITORIA DE BRITO</t>
  </si>
  <si>
    <t>APRENDIZ - ADMINISTRATIVO</t>
  </si>
  <si>
    <t>RAFAEL DOS REIS ARAGOSO</t>
  </si>
  <si>
    <t>LUIS FELIPE SOUZA BENITES</t>
  </si>
  <si>
    <t>JAILSON DE SOUZA SANTOS</t>
  </si>
  <si>
    <t>33.678.173/0001-12</t>
  </si>
  <si>
    <t>TIAGO PINHO FERREIRA</t>
  </si>
  <si>
    <t>MATHEUS KIILL DA SILVA - FUNDAÇÃO</t>
  </si>
  <si>
    <t>BRAÇOFER</t>
  </si>
  <si>
    <t>ANNAHI BIANCA DE OLIVEIRA CRUZ</t>
  </si>
  <si>
    <t>GABRIEL CARDOSO MOREIRA NEUBANER</t>
  </si>
  <si>
    <t>1.7.1.3 ARCELOR - BARRA MANSA</t>
  </si>
  <si>
    <t>ESTAGIARIO</t>
  </si>
  <si>
    <t>ESTAGIÁRIA COMERCIAL</t>
  </si>
  <si>
    <t>RAFAEL KENJI HIRATA</t>
  </si>
  <si>
    <t>1.7.1.3 ARCELOR - BARRA</t>
  </si>
  <si>
    <t>ESTAGIÁRIO</t>
  </si>
  <si>
    <t>PEDRO HENRIQUE VEIGA AMARAL GURGEL</t>
  </si>
  <si>
    <t>JUNIOR DOS SANTOS GONÇALVES</t>
  </si>
  <si>
    <t xml:space="preserve">SELETIVA PRUDENTE </t>
  </si>
  <si>
    <t>VENDEDOR</t>
  </si>
  <si>
    <t>OPERADOR MANTENDOR</t>
  </si>
  <si>
    <t>1.3.1.1 ADMINSITRATIVO</t>
  </si>
  <si>
    <t>ESTAGIARIO FINANCEIRO</t>
  </si>
  <si>
    <t>VINICIUS VIDAL CIAN</t>
  </si>
  <si>
    <t>ESTAGIO</t>
  </si>
  <si>
    <t>1.4.1.2 ADMINSTRATIVO</t>
  </si>
  <si>
    <t>AUXILIAR LOGISTICA</t>
  </si>
  <si>
    <t>CLAUDIA VIVIANY QUIRINO VIEIRA</t>
  </si>
  <si>
    <t>MARIA EDUARDA ALVES GOMES DOS SANTOS</t>
  </si>
  <si>
    <t xml:space="preserve">1.2.5.2 COMERCIAL </t>
  </si>
  <si>
    <t>AUXILIAR FINACEIRO</t>
  </si>
  <si>
    <t>RSE</t>
  </si>
  <si>
    <t>06.916.551/0001-86</t>
  </si>
  <si>
    <t>OSWALDO JONATANPEREIRA DE CASTRO</t>
  </si>
  <si>
    <t>GERSON TELES DA ROSA</t>
  </si>
  <si>
    <t>EDUARDO DO NASCIMENTO GARCIA</t>
  </si>
  <si>
    <t>MARIO CESAR DA COSTA FARIAS - AFASTADO INSS</t>
  </si>
  <si>
    <t>MAYARA SANTOS ANANIAS - FUNDAÇÃO</t>
  </si>
  <si>
    <t>ESTAGIARIO QUALIDADE</t>
  </si>
  <si>
    <t>ESTAGIÁRIO COMERCIAL</t>
  </si>
  <si>
    <t>IRIS VITORIA ANTONIO DA SILVA</t>
  </si>
  <si>
    <t>GERAL</t>
  </si>
  <si>
    <t>FOLHA DE PAGAMENTO MARÇO/2026</t>
  </si>
  <si>
    <t>Soma</t>
  </si>
  <si>
    <t>Qtde</t>
  </si>
  <si>
    <t>Tipo</t>
  </si>
  <si>
    <t>Setor</t>
  </si>
  <si>
    <t xml:space="preserve">Função </t>
  </si>
  <si>
    <t>Status</t>
  </si>
  <si>
    <t>Empresa Registro</t>
  </si>
  <si>
    <t>Provisão
de Férias + 13º</t>
  </si>
  <si>
    <t>Provisão 
de Encargos</t>
  </si>
  <si>
    <t>Eventos Folha
(Caixa)</t>
  </si>
  <si>
    <t>Sal PF</t>
  </si>
  <si>
    <t>TT BRUTO
MARÇO</t>
  </si>
  <si>
    <t>%</t>
  </si>
  <si>
    <t>TT BRUTO
FEVEREIRO</t>
  </si>
  <si>
    <t/>
  </si>
  <si>
    <t>FUNCIONÁRIOS</t>
  </si>
  <si>
    <t>TT BRUTO</t>
  </si>
  <si>
    <t>TOTAL</t>
  </si>
  <si>
    <t>Soma de TT BRUTO
MARÇO</t>
  </si>
  <si>
    <t>EKIPA</t>
  </si>
  <si>
    <t>SELETIVA CG</t>
  </si>
  <si>
    <t>SELETIVA PP</t>
  </si>
  <si>
    <t>SELETIVA MARINGÁ</t>
  </si>
  <si>
    <t>SELETIVA
CID 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</si>
</sst>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416]mmm\-yy;@"/>
    <numFmt numFmtId="165" formatCode="_-&quot;R$&quot;\ * #,##0.00_-;\-&quot;R$&quot;\ * #,##0.00_-;_-&quot;R$&quot;\ * &quot;-&quot;_-;_-@_-"/>
    <numFmt numFmtId="166" formatCode="_-&quot;R$&quot;\ * #,##0_-;\-&quot;R$&quot;\ * #,##0_-;_-&quot;R$&quot;\ * &quot;-&quot;??_-;_-@_-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Calibri"/>
      <family val="2"/>
      <charset val="1"/>
    </font>
    <font>
      <sz val="11"/>
      <name val="Aptos Narrow"/>
      <family val="2"/>
      <scheme val="minor"/>
    </font>
    <font>
      <b/>
      <sz val="10"/>
      <name val="Aptos Narrow"/>
      <family val="2"/>
    </font>
    <font>
      <b/>
      <sz val="11"/>
      <name val="Aptos Narrow"/>
      <family val="2"/>
    </font>
    <font>
      <b/>
      <sz val="11"/>
      <color rgb="FFFF0000"/>
      <name val="Aptos Narrow"/>
      <family val="2"/>
    </font>
    <font>
      <sz val="11"/>
      <color rgb="FF000000"/>
      <name val="Aptos Narrow"/>
      <family val="2"/>
    </font>
    <font>
      <sz val="11"/>
      <color rgb="FFFF0000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b/>
      <sz val="11"/>
      <color rgb="FF156082"/>
      <name val="Aptos Narrow"/>
      <family val="2"/>
    </font>
    <font>
      <sz val="11"/>
      <color rgb="FF00B05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2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color rgb="FFFF0000"/>
      <name val="Calibri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C0E6F5"/>
        <bgColor rgb="FFC0E6F5"/>
      </patternFill>
    </fill>
  </fills>
  <borders count="9">
    <border>
      <left/>
      <right/>
      <top/>
      <bottom/>
      <diagonal/>
    </border>
    <border>
      <left style="hair">
        <color rgb="FFE7E6E6"/>
      </left>
      <right style="hair">
        <color rgb="FFE7E6E6"/>
      </right>
      <top style="hair">
        <color rgb="FFE7E6E6"/>
      </top>
      <bottom style="hair">
        <color rgb="FFE7E6E6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44" fontId="1" fillId="0" borderId="0" applyFont="0" applyFill="0" applyBorder="0" applyAlignment="0" applyProtection="0"/>
  </cellStyleXfs>
  <cellXfs count="16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9" fontId="2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44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9" fontId="3" fillId="3" borderId="0" xfId="1" applyFont="1" applyFill="1" applyAlignment="1">
      <alignment horizontal="center" vertical="center" wrapText="1"/>
    </xf>
    <xf numFmtId="14" fontId="0" fillId="0" borderId="0" xfId="0" applyNumberFormat="1"/>
    <xf numFmtId="164" fontId="0" fillId="0" borderId="0" xfId="0" applyNumberFormat="1"/>
    <xf numFmtId="3" fontId="0" fillId="0" borderId="0" xfId="0" applyNumberFormat="1" applyAlignment="1">
      <alignment horizontal="center" vertical="center"/>
    </xf>
    <xf numFmtId="0" fontId="6" fillId="4" borderId="2" xfId="2" applyFont="1" applyFill="1" applyBorder="1" applyAlignment="1">
      <alignment horizontal="left" vertical="center" wrapText="1"/>
    </xf>
    <xf numFmtId="0" fontId="7" fillId="4" borderId="2" xfId="2" applyFont="1" applyFill="1" applyBorder="1" applyAlignment="1">
      <alignment horizontal="left" vertical="center" wrapText="1"/>
    </xf>
    <xf numFmtId="0" fontId="8" fillId="4" borderId="2" xfId="2" applyFont="1" applyFill="1" applyBorder="1" applyAlignment="1">
      <alignment horizontal="left" vertical="center" wrapText="1"/>
    </xf>
    <xf numFmtId="0" fontId="7" fillId="5" borderId="2" xfId="2" applyFont="1" applyFill="1" applyBorder="1" applyAlignment="1">
      <alignment horizontal="left" vertical="center" wrapText="1"/>
    </xf>
    <xf numFmtId="0" fontId="7" fillId="6" borderId="2" xfId="2" applyFont="1" applyFill="1" applyBorder="1" applyAlignment="1">
      <alignment horizontal="left" vertical="center" wrapText="1"/>
    </xf>
    <xf numFmtId="0" fontId="7" fillId="6" borderId="2" xfId="2" applyFont="1" applyFill="1" applyBorder="1" applyAlignment="1">
      <alignment horizontal="center" vertical="center" wrapText="1"/>
    </xf>
    <xf numFmtId="164" fontId="9" fillId="0" borderId="0" xfId="2" applyNumberFormat="1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14" fontId="9" fillId="0" borderId="0" xfId="2" applyNumberFormat="1" applyFont="1" applyAlignment="1">
      <alignment horizontal="left" vertical="center"/>
    </xf>
    <xf numFmtId="14" fontId="10" fillId="0" borderId="0" xfId="2" applyNumberFormat="1" applyFont="1" applyAlignment="1">
      <alignment horizontal="left" vertical="center"/>
    </xf>
    <xf numFmtId="14" fontId="11" fillId="0" borderId="0" xfId="2" applyNumberFormat="1" applyFont="1" applyAlignment="1">
      <alignment horizontal="left" vertical="center"/>
    </xf>
    <xf numFmtId="0" fontId="11" fillId="0" borderId="0" xfId="2" applyFont="1" applyAlignment="1">
      <alignment horizontal="left" vertical="center"/>
    </xf>
    <xf numFmtId="44" fontId="11" fillId="0" borderId="0" xfId="2" applyNumberFormat="1" applyFont="1" applyAlignment="1">
      <alignment horizontal="left" vertical="center"/>
    </xf>
    <xf numFmtId="44" fontId="11" fillId="5" borderId="0" xfId="2" applyNumberFormat="1" applyFont="1" applyFill="1" applyAlignment="1">
      <alignment horizontal="left" vertical="center"/>
    </xf>
    <xf numFmtId="44" fontId="11" fillId="7" borderId="0" xfId="2" applyNumberFormat="1" applyFont="1" applyFill="1" applyAlignment="1">
      <alignment horizontal="left" vertical="center"/>
    </xf>
    <xf numFmtId="44" fontId="7" fillId="7" borderId="0" xfId="2" applyNumberFormat="1" applyFont="1" applyFill="1" applyAlignment="1">
      <alignment horizontal="left" vertical="center"/>
    </xf>
    <xf numFmtId="14" fontId="11" fillId="8" borderId="0" xfId="2" applyNumberFormat="1" applyFont="1" applyFill="1" applyAlignment="1">
      <alignment horizontal="left" vertical="center"/>
    </xf>
    <xf numFmtId="0" fontId="11" fillId="8" borderId="0" xfId="2" applyFont="1" applyFill="1" applyAlignment="1">
      <alignment horizontal="left" vertical="center"/>
    </xf>
    <xf numFmtId="44" fontId="11" fillId="8" borderId="0" xfId="2" applyNumberFormat="1" applyFont="1" applyFill="1" applyAlignment="1">
      <alignment horizontal="left" vertical="center"/>
    </xf>
    <xf numFmtId="164" fontId="12" fillId="0" borderId="0" xfId="2" applyNumberFormat="1" applyFont="1" applyAlignment="1">
      <alignment horizontal="left" vertical="center"/>
    </xf>
    <xf numFmtId="0" fontId="12" fillId="0" borderId="0" xfId="2" applyFont="1" applyAlignment="1">
      <alignment horizontal="left" vertical="center"/>
    </xf>
    <xf numFmtId="14" fontId="12" fillId="0" borderId="0" xfId="2" applyNumberFormat="1" applyFont="1" applyAlignment="1">
      <alignment horizontal="left" vertical="center"/>
    </xf>
    <xf numFmtId="0" fontId="13" fillId="8" borderId="0" xfId="0" applyFont="1" applyFill="1"/>
    <xf numFmtId="14" fontId="13" fillId="8" borderId="0" xfId="0" applyNumberFormat="1" applyFont="1" applyFill="1" applyAlignment="1">
      <alignment horizontal="left" vertical="center"/>
    </xf>
    <xf numFmtId="0" fontId="12" fillId="8" borderId="0" xfId="0" applyFont="1" applyFill="1"/>
    <xf numFmtId="164" fontId="9" fillId="8" borderId="0" xfId="2" applyNumberFormat="1" applyFont="1" applyFill="1" applyAlignment="1">
      <alignment horizontal="left" vertical="center"/>
    </xf>
    <xf numFmtId="0" fontId="9" fillId="8" borderId="0" xfId="2" applyFont="1" applyFill="1" applyAlignment="1">
      <alignment horizontal="left" vertical="center"/>
    </xf>
    <xf numFmtId="3" fontId="2" fillId="0" borderId="0" xfId="0" applyNumberFormat="1" applyFont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 wrapText="1"/>
    </xf>
    <xf numFmtId="42" fontId="0" fillId="0" borderId="0" xfId="0" applyNumberFormat="1"/>
    <xf numFmtId="0" fontId="2" fillId="0" borderId="3" xfId="0" applyFont="1" applyBorder="1" applyAlignment="1">
      <alignment horizontal="center" vertical="center"/>
    </xf>
    <xf numFmtId="17" fontId="0" fillId="0" borderId="0" xfId="0" applyNumberFormat="1"/>
    <xf numFmtId="0" fontId="0" fillId="9" borderId="0" xfId="0" applyFill="1"/>
    <xf numFmtId="49" fontId="0" fillId="0" borderId="0" xfId="0" applyNumberFormat="1"/>
    <xf numFmtId="0" fontId="15" fillId="0" borderId="0" xfId="0" applyFont="1"/>
    <xf numFmtId="42" fontId="2" fillId="0" borderId="0" xfId="0" applyNumberFormat="1" applyFont="1" applyAlignment="1">
      <alignment horizontal="center" vertical="center"/>
    </xf>
    <xf numFmtId="42" fontId="2" fillId="0" borderId="0" xfId="0" applyNumberFormat="1" applyFont="1" applyAlignment="1">
      <alignment horizontal="left" vertical="center"/>
    </xf>
    <xf numFmtId="10" fontId="2" fillId="0" borderId="0" xfId="1" applyNumberFormat="1" applyFont="1" applyFill="1" applyBorder="1" applyAlignment="1">
      <alignment horizontal="center" vertical="center"/>
    </xf>
    <xf numFmtId="0" fontId="0" fillId="12" borderId="0" xfId="0" applyFill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42" fontId="0" fillId="0" borderId="0" xfId="0" applyNumberFormat="1" applyAlignment="1">
      <alignment horizontal="left" vertical="center"/>
    </xf>
    <xf numFmtId="42" fontId="14" fillId="0" borderId="0" xfId="0" applyNumberFormat="1" applyFont="1" applyAlignment="1">
      <alignment horizontal="left" vertical="center"/>
    </xf>
    <xf numFmtId="42" fontId="0" fillId="10" borderId="0" xfId="0" applyNumberFormat="1" applyFill="1" applyAlignment="1">
      <alignment horizontal="left" vertical="center"/>
    </xf>
    <xf numFmtId="42" fontId="15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42" fontId="17" fillId="0" borderId="0" xfId="0" applyNumberFormat="1" applyFont="1" applyAlignment="1">
      <alignment horizontal="left" vertical="center"/>
    </xf>
    <xf numFmtId="42" fontId="5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42" fontId="18" fillId="0" borderId="0" xfId="0" applyNumberFormat="1" applyFont="1" applyAlignment="1">
      <alignment horizontal="left" vertical="center"/>
    </xf>
    <xf numFmtId="0" fontId="5" fillId="0" borderId="0" xfId="0" applyFont="1"/>
    <xf numFmtId="0" fontId="19" fillId="0" borderId="0" xfId="0" applyFont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10" fontId="2" fillId="0" borderId="0" xfId="1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42" fontId="2" fillId="0" borderId="3" xfId="0" applyNumberFormat="1" applyFont="1" applyBorder="1" applyAlignment="1">
      <alignment horizontal="left" vertical="center"/>
    </xf>
    <xf numFmtId="42" fontId="2" fillId="0" borderId="3" xfId="0" applyNumberFormat="1" applyFont="1" applyBorder="1" applyAlignment="1">
      <alignment horizontal="center" vertical="center"/>
    </xf>
    <xf numFmtId="10" fontId="2" fillId="0" borderId="3" xfId="1" applyNumberFormat="1" applyFont="1" applyFill="1" applyBorder="1" applyAlignment="1">
      <alignment horizontal="center" vertical="center"/>
    </xf>
    <xf numFmtId="10" fontId="19" fillId="0" borderId="3" xfId="1" applyNumberFormat="1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top"/>
    </xf>
    <xf numFmtId="14" fontId="5" fillId="0" borderId="0" xfId="0" applyNumberFormat="1" applyFont="1" applyAlignment="1">
      <alignment horizontal="left" vertical="center"/>
    </xf>
    <xf numFmtId="42" fontId="5" fillId="10" borderId="0" xfId="0" applyNumberFormat="1" applyFont="1" applyFill="1" applyAlignment="1">
      <alignment horizontal="left" vertical="center"/>
    </xf>
    <xf numFmtId="42" fontId="3" fillId="2" borderId="0" xfId="0" applyNumberFormat="1" applyFont="1" applyFill="1" applyAlignment="1">
      <alignment horizontal="center" vertical="center"/>
    </xf>
    <xf numFmtId="0" fontId="21" fillId="0" borderId="0" xfId="0" applyFont="1" applyAlignment="1">
      <alignment horizontal="left" vertical="center"/>
    </xf>
    <xf numFmtId="14" fontId="18" fillId="0" borderId="0" xfId="0" applyNumberFormat="1" applyFont="1" applyAlignment="1">
      <alignment horizontal="left" vertical="center"/>
    </xf>
    <xf numFmtId="14" fontId="22" fillId="0" borderId="1" xfId="0" applyNumberFormat="1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17" fontId="0" fillId="0" borderId="0" xfId="0" applyNumberForma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4" fillId="11" borderId="2" xfId="2" applyFont="1" applyFill="1" applyBorder="1" applyAlignment="1">
      <alignment horizontal="left" vertical="center" wrapText="1"/>
    </xf>
    <xf numFmtId="0" fontId="26" fillId="11" borderId="2" xfId="2" applyFont="1" applyFill="1" applyBorder="1" applyAlignment="1">
      <alignment horizontal="left" vertical="center" wrapText="1"/>
    </xf>
    <xf numFmtId="0" fontId="25" fillId="11" borderId="2" xfId="2" applyFont="1" applyFill="1" applyBorder="1" applyAlignment="1">
      <alignment horizontal="left" vertical="center" wrapText="1"/>
    </xf>
    <xf numFmtId="0" fontId="24" fillId="13" borderId="2" xfId="2" applyFont="1" applyFill="1" applyBorder="1" applyAlignment="1">
      <alignment horizontal="left" vertical="center" wrapText="1"/>
    </xf>
    <xf numFmtId="0" fontId="24" fillId="6" borderId="2" xfId="2" applyFont="1" applyFill="1" applyBorder="1" applyAlignment="1">
      <alignment horizontal="left" vertical="center" wrapText="1"/>
    </xf>
    <xf numFmtId="0" fontId="18" fillId="2" borderId="0" xfId="0" applyFont="1" applyFill="1" applyAlignment="1">
      <alignment horizontal="left" vertical="center"/>
    </xf>
    <xf numFmtId="0" fontId="2" fillId="0" borderId="0" xfId="0" pivotButton="1" applyFont="1" applyAlignment="1">
      <alignment horizontal="center" vertical="center"/>
    </xf>
    <xf numFmtId="0" fontId="2" fillId="0" borderId="0" xfId="0" applyFont="1" applyAlignment="1">
      <alignment horizontal="right" vertical="center" indent="1"/>
    </xf>
    <xf numFmtId="0" fontId="2" fillId="0" borderId="0" xfId="0" applyFont="1" applyAlignment="1">
      <alignment horizontal="right" vertical="center"/>
    </xf>
    <xf numFmtId="0" fontId="2" fillId="0" borderId="0" xfId="0" applyFont="1"/>
    <xf numFmtId="0" fontId="2" fillId="0" borderId="0" xfId="0" pivotButton="1" applyFont="1" applyAlignment="1">
      <alignment horizontal="left" vertical="center"/>
    </xf>
    <xf numFmtId="0" fontId="2" fillId="0" borderId="0" xfId="0" applyFont="1" applyAlignment="1">
      <alignment vertical="center"/>
    </xf>
    <xf numFmtId="4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11" fillId="0" borderId="0" xfId="0" applyFont="1"/>
    <xf numFmtId="0" fontId="0" fillId="0" borderId="0" xfId="0" applyAlignment="1">
      <alignment horizontal="center"/>
    </xf>
    <xf numFmtId="0" fontId="24" fillId="11" borderId="2" xfId="2" applyFont="1" applyFill="1" applyBorder="1" applyAlignment="1">
      <alignment horizontal="right" vertical="center" wrapText="1"/>
    </xf>
    <xf numFmtId="42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42" fontId="5" fillId="14" borderId="0" xfId="0" applyNumberFormat="1" applyFont="1" applyFill="1" applyAlignment="1">
      <alignment horizontal="left" vertical="center"/>
    </xf>
    <xf numFmtId="42" fontId="5" fillId="2" borderId="0" xfId="0" applyNumberFormat="1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5" fontId="0" fillId="10" borderId="0" xfId="0" applyNumberFormat="1" applyFill="1" applyAlignment="1">
      <alignment horizontal="left" vertical="center"/>
    </xf>
    <xf numFmtId="165" fontId="14" fillId="0" borderId="0" xfId="0" applyNumberFormat="1" applyFont="1" applyAlignment="1">
      <alignment horizontal="left" vertical="center"/>
    </xf>
    <xf numFmtId="42" fontId="0" fillId="2" borderId="0" xfId="0" applyNumberFormat="1" applyFill="1" applyAlignment="1">
      <alignment horizontal="left" vertical="center"/>
    </xf>
    <xf numFmtId="3" fontId="0" fillId="2" borderId="0" xfId="0" applyNumberFormat="1" applyFill="1" applyAlignment="1">
      <alignment horizontal="left" vertical="center"/>
    </xf>
    <xf numFmtId="0" fontId="0" fillId="2" borderId="0" xfId="0" applyFill="1"/>
    <xf numFmtId="44" fontId="24" fillId="13" borderId="2" xfId="2" applyNumberFormat="1" applyFont="1" applyFill="1" applyBorder="1" applyAlignment="1">
      <alignment horizontal="left" vertical="center" wrapText="1"/>
    </xf>
    <xf numFmtId="44" fontId="5" fillId="0" borderId="0" xfId="0" applyNumberFormat="1" applyFont="1" applyAlignment="1">
      <alignment horizontal="left" vertical="center"/>
    </xf>
    <xf numFmtId="44" fontId="0" fillId="0" borderId="0" xfId="0" applyNumberFormat="1" applyAlignment="1">
      <alignment horizontal="left" vertical="center"/>
    </xf>
    <xf numFmtId="44" fontId="5" fillId="0" borderId="0" xfId="3" applyFont="1" applyAlignment="1">
      <alignment horizontal="left" vertical="center"/>
    </xf>
    <xf numFmtId="44" fontId="24" fillId="11" borderId="2" xfId="2" applyNumberFormat="1" applyFont="1" applyFill="1" applyBorder="1" applyAlignment="1">
      <alignment horizontal="left" vertical="center" wrapText="1"/>
    </xf>
    <xf numFmtId="166" fontId="24" fillId="13" borderId="2" xfId="2" applyNumberFormat="1" applyFont="1" applyFill="1" applyBorder="1" applyAlignment="1">
      <alignment horizontal="left" vertical="center" wrapText="1"/>
    </xf>
    <xf numFmtId="166" fontId="15" fillId="0" borderId="0" xfId="0" applyNumberFormat="1" applyFont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166" fontId="5" fillId="0" borderId="0" xfId="0" applyNumberFormat="1" applyFont="1" applyAlignment="1">
      <alignment horizontal="left" vertical="center"/>
    </xf>
    <xf numFmtId="166" fontId="24" fillId="13" borderId="2" xfId="2" applyNumberFormat="1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7" fontId="21" fillId="0" borderId="0" xfId="0" applyNumberFormat="1" applyFont="1" applyAlignment="1">
      <alignment horizontal="left" vertical="center"/>
    </xf>
    <xf numFmtId="14" fontId="21" fillId="0" borderId="0" xfId="0" applyNumberFormat="1" applyFont="1" applyAlignment="1">
      <alignment horizontal="left" vertical="center"/>
    </xf>
    <xf numFmtId="0" fontId="21" fillId="0" borderId="0" xfId="0" applyFont="1"/>
    <xf numFmtId="17" fontId="15" fillId="0" borderId="0" xfId="0" applyNumberFormat="1" applyFont="1" applyAlignment="1">
      <alignment horizontal="left" vertical="center"/>
    </xf>
    <xf numFmtId="42" fontId="15" fillId="10" borderId="0" xfId="0" applyNumberFormat="1" applyFont="1" applyFill="1" applyAlignment="1">
      <alignment horizontal="left" vertical="center"/>
    </xf>
    <xf numFmtId="44" fontId="15" fillId="0" borderId="0" xfId="0" applyNumberFormat="1" applyFont="1" applyAlignment="1">
      <alignment horizontal="left" vertical="center"/>
    </xf>
    <xf numFmtId="42" fontId="15" fillId="2" borderId="0" xfId="0" applyNumberFormat="1" applyFont="1" applyFill="1" applyAlignment="1">
      <alignment horizontal="left" vertical="center"/>
    </xf>
    <xf numFmtId="42" fontId="15" fillId="0" borderId="0" xfId="0" applyNumberFormat="1" applyFont="1" applyAlignment="1">
      <alignment horizontal="right" vertical="center"/>
    </xf>
    <xf numFmtId="14" fontId="27" fillId="0" borderId="1" xfId="0" applyNumberFormat="1" applyFont="1" applyBorder="1" applyAlignment="1">
      <alignment horizontal="left" vertical="center"/>
    </xf>
    <xf numFmtId="0" fontId="28" fillId="15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42" fontId="19" fillId="0" borderId="5" xfId="0" applyNumberFormat="1" applyFont="1" applyBorder="1" applyAlignment="1">
      <alignment horizontal="left" vertical="center"/>
    </xf>
    <xf numFmtId="42" fontId="19" fillId="0" borderId="5" xfId="0" applyNumberFormat="1" applyFont="1" applyBorder="1" applyAlignment="1">
      <alignment horizontal="center" vertical="center"/>
    </xf>
    <xf numFmtId="10" fontId="19" fillId="0" borderId="5" xfId="1" applyNumberFormat="1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19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left" vertical="center"/>
    </xf>
    <xf numFmtId="42" fontId="19" fillId="0" borderId="3" xfId="0" applyNumberFormat="1" applyFont="1" applyBorder="1" applyAlignment="1">
      <alignment horizontal="left" vertical="center"/>
    </xf>
    <xf numFmtId="42" fontId="19" fillId="0" borderId="3" xfId="0" applyNumberFormat="1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42" fontId="2" fillId="0" borderId="0" xfId="0" applyNumberFormat="1" applyFont="1" applyAlignment="1">
      <alignment horizontal="right" vertical="center"/>
    </xf>
    <xf numFmtId="0" fontId="0" fillId="0" borderId="0" xfId="0" pivotButton="1"/>
    <xf numFmtId="4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2" fontId="2" fillId="0" borderId="0" xfId="0" applyNumberFormat="1" applyFont="1" applyAlignment="1">
      <alignment horizontal="center" vertical="center"/>
    </xf>
    <xf numFmtId="41" fontId="2" fillId="0" borderId="0" xfId="0" applyNumberFormat="1" applyFont="1" applyAlignment="1">
      <alignment horizontal="center" vertical="center"/>
    </xf>
  </cellXfs>
  <cellStyles count="4">
    <cellStyle name="Moeda" xfId="3" builtinId="4"/>
    <cellStyle name="Normal" xfId="0" builtinId="0"/>
    <cellStyle name="Normal 2" xfId="2" xr:uid="{7FEAAEC2-A90E-4A1C-B83F-6F89A2CEDE49}"/>
    <cellStyle name="Porcentagem" xfId="1" builtinId="5"/>
  </cellStyles>
  <dxfs count="799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right" indent="1"/>
    </dxf>
    <dxf>
      <alignment horizontal="right" indent="1"/>
    </dxf>
    <dxf>
      <alignment horizontal="left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general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general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right" indent="1"/>
    </dxf>
    <dxf>
      <alignment horizontal="right" indent="1"/>
    </dxf>
    <dxf>
      <alignment horizontal="left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right" indent="1"/>
    </dxf>
    <dxf>
      <alignment horizontal="right" indent="1"/>
    </dxf>
    <dxf>
      <alignment horizontal="left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9C0006"/>
      </font>
      <fill>
        <patternFill>
          <bgColor rgb="FFFFC7CE"/>
        </patternFill>
      </fill>
    </dxf>
    <dxf>
      <alignment horizontal="right" indent="1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right" indent="1"/>
    </dxf>
    <dxf>
      <alignment horizontal="left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general"/>
    </dxf>
    <dxf>
      <alignment horizontal="general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left"/>
    </dxf>
    <dxf>
      <alignment horizontal="general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right" indent="1"/>
    </dxf>
    <dxf>
      <alignment horizontal="left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9C0006"/>
      </font>
      <fill>
        <patternFill>
          <bgColor rgb="FFFFC7CE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right" indent="1"/>
    </dxf>
    <dxf>
      <alignment horizontal="right" indent="1"/>
    </dxf>
    <dxf>
      <alignment horizontal="left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general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9C0006"/>
      </font>
      <fill>
        <patternFill>
          <bgColor rgb="FFFFC7CE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right" indent="1"/>
    </dxf>
    <dxf>
      <alignment horizontal="left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9C0006"/>
      </font>
      <fill>
        <patternFill>
          <bgColor rgb="FFFFC7CE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left"/>
    </dxf>
    <dxf>
      <alignment horizontal="general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right" indent="1"/>
    </dxf>
    <dxf>
      <alignment horizontal="right" indent="1"/>
    </dxf>
    <dxf>
      <alignment horizontal="left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right" indent="1"/>
    </dxf>
    <dxf>
      <alignment horizontal="general" indent="0"/>
    </dxf>
    <dxf>
      <alignment horizontal="left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general"/>
    </dxf>
    <dxf>
      <alignment horizontal="general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9C0006"/>
      </font>
      <fill>
        <patternFill>
          <bgColor rgb="FFFFC7CE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general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right"/>
    </dxf>
    <dxf>
      <alignment horizontal="general" indent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right" indent="1"/>
    </dxf>
    <dxf>
      <alignment horizontal="left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right" indent="1"/>
    </dxf>
    <dxf>
      <alignment horizontal="left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left"/>
    </dxf>
    <dxf>
      <alignment horizontal="general"/>
    </dxf>
    <dxf>
      <alignment horizontal="general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5" formatCode="_-* #,##0.00_-;\-* #,##0.00_-;_-* &quot;-&quot;??_-;_-@_-"/>
    </dxf>
    <dxf>
      <alignment horizontal="center"/>
    </dxf>
    <dxf>
      <alignment horizontal="center"/>
    </dxf>
    <dxf>
      <alignment horizontal="center"/>
    </dxf>
    <dxf>
      <alignment horizontal="right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right"/>
    </dxf>
    <dxf>
      <alignment horizontal="center" indent="0"/>
    </dxf>
    <dxf>
      <alignment horizontal="right" indent="1"/>
    </dxf>
    <dxf>
      <alignment horizontal="left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left"/>
    </dxf>
    <dxf>
      <font>
        <sz val="11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colors>
    <mruColors>
      <color rgb="FFCE3618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4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.xml"/><Relationship Id="rId34" Type="http://schemas.openxmlformats.org/officeDocument/2006/relationships/pivotCacheDefinition" Target="pivotCache/pivotCacheDefinition12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7.xml"/><Relationship Id="rId4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32" Type="http://schemas.openxmlformats.org/officeDocument/2006/relationships/pivotCacheDefinition" Target="pivotCache/pivotCacheDefinition10.xml"/><Relationship Id="rId37" Type="http://schemas.openxmlformats.org/officeDocument/2006/relationships/pivotCacheDefinition" Target="pivotCache/pivotCacheDefinition15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pivotCacheDefinition" Target="pivotCache/pivotCacheDefinition6.xml"/><Relationship Id="rId36" Type="http://schemas.openxmlformats.org/officeDocument/2006/relationships/pivotCacheDefinition" Target="pivotCache/pivotCacheDefinition1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pivotCacheDefinition" Target="pivotCache/pivotCacheDefinition5.xml"/><Relationship Id="rId30" Type="http://schemas.openxmlformats.org/officeDocument/2006/relationships/pivotCacheDefinition" Target="pivotCache/pivotCacheDefinition8.xml"/><Relationship Id="rId35" Type="http://schemas.openxmlformats.org/officeDocument/2006/relationships/pivotCacheDefinition" Target="pivotCache/pivotCacheDefinition13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33" Type="http://schemas.openxmlformats.org/officeDocument/2006/relationships/pivotCacheDefinition" Target="pivotCache/pivotCacheDefinition11.xml"/><Relationship Id="rId38" Type="http://schemas.openxmlformats.org/officeDocument/2006/relationships/theme" Target="theme/theme1.xml"/></Relationships>
</file>

<file path=xl/documenttasks/documenttask1.xml><?xml version="1.0" encoding="utf-8"?>
<Tasks xmlns="http://schemas.microsoft.com/office/tasks/2019/documenttasks">
  <Task id="{91473FE0-9551-4966-B0B9-4C13A5320DE2}">
    <Anchor>
      <Comment id="{F038AEBC-3F91-4D38-B9D9-F29B946537CB}"/>
    </Anchor>
    <History>
      <Event time="2025-10-06T19:58:45.45" id="{CDEF6F08-5848-42F9-8A3E-60B8A9926BEF}">
        <Attribution userId="S::luciano.faria@pilares.adm.br::35a23d0e-8c4b-4e16-9e00-2967167d731e" userName="Luciano Faria | Pilares" userProvider="AD"/>
        <Anchor>
          <Comment id="{F038AEBC-3F91-4D38-B9D9-F29B946537CB}"/>
        </Anchor>
        <Create/>
      </Event>
      <Event time="2025-10-06T19:58:45.45" id="{3DE988C5-F3D7-486F-886B-006A8194A154}">
        <Attribution userId="S::luciano.faria@pilares.adm.br::35a23d0e-8c4b-4e16-9e00-2967167d731e" userName="Luciano Faria | Pilares" userProvider="AD"/>
        <Anchor>
          <Comment id="{F038AEBC-3F91-4D38-B9D9-F29B946537CB}"/>
        </Anchor>
        <Assign userId="S::giovane.porto@seletiva.ind.br::a79fe8d3-aaef-4b75-82ee-09692dc14a76" userName="Giovane Porto | Seletiva" userProvider="AD"/>
      </Event>
      <Event time="2025-10-06T19:58:45.45" id="{A275A11A-25D0-4960-954D-3C38E6D4A822}">
        <Attribution userId="S::luciano.faria@pilares.adm.br::35a23d0e-8c4b-4e16-9e00-2967167d731e" userName="Luciano Faria | Pilares" userProvider="AD"/>
        <Anchor>
          <Comment id="{F038AEBC-3F91-4D38-B9D9-F29B946537CB}"/>
        </Anchor>
        <SetTitle title="@Giovane Porto | Seletiva valor da nota fiscal lançado como PF, por favor, analisar é a melhor opção. At.te, Luciano"/>
      </Event>
    </History>
  </Task>
</Task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letivaindbr-my.sharepoint.com/personal/cristina_sugui_seletiva_ind_br/Documents/RH/GP/DP1/PLANILHA%20FOPA%20GERAL/Relatorio%20Renato/2026/2026_Fev_Rel_FOPA.xlsx" TargetMode="External"/><Relationship Id="rId1" Type="http://schemas.openxmlformats.org/officeDocument/2006/relationships/externalLinkPath" Target="https://seletivaindbr-my.sharepoint.com/personal/cristina_sugui_seletiva_ind_br/Documents/RH/GP/DP1/PLANILHA%20FOPA%20GERAL/Relatorio%20Renato/2026/2026_Fev_Rel_FOP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letivaindbr-my.sharepoint.com/personal/cristina_sugui_seletiva_ind_br/Documents/RH/GP/DP1/PLANILHA%20FOPA%20GERAL/Relatorio%20Renato/2026/2026_Jan_Rel_FOPA.xlsx" TargetMode="External"/><Relationship Id="rId1" Type="http://schemas.openxmlformats.org/officeDocument/2006/relationships/externalLinkPath" Target="https://seletivaindbr-my.sharepoint.com/personal/cristina_sugui_seletiva_ind_br/Documents/RH/GP/DP1/PLANILHA%20FOPA%20GERAL/Relatorio%20Renato/2026/2026_Jan_Rel_FO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_Fopag (2)"/>
      <sheetName val="BASE+TOMADOR"/>
      <sheetName val="Custo_Fopag.CSV"/>
      <sheetName val="mar-25"/>
      <sheetName val="Planilha1"/>
      <sheetName val="Planilha3"/>
      <sheetName val="GERAL"/>
      <sheetName val="PILARES"/>
      <sheetName val="BRACOFER"/>
      <sheetName val="EKIPA"/>
      <sheetName val="TRANSMOVE"/>
      <sheetName val="SELETIVA APOIO"/>
      <sheetName val="SELETIVA C GRANDE"/>
      <sheetName val="SELETIVA DOURADOS"/>
      <sheetName val="SELETIVA PRUDENTE"/>
      <sheetName val="SELETIVA MARINGÁ"/>
      <sheetName val="SELETIVA CIDADE ALTA"/>
      <sheetName val="SELETIVA LONDRINA"/>
    </sheetNames>
    <sheetDataSet>
      <sheetData sheetId="0"/>
      <sheetData sheetId="1">
        <row r="1">
          <cell r="A1" t="str">
            <v>FUNCIONÁRIO</v>
          </cell>
          <cell r="B1" t="str">
            <v>COMPETÊNCIA</v>
          </cell>
          <cell r="C1" t="str">
            <v>MODALIDADE</v>
          </cell>
          <cell r="D1" t="str">
            <v>EMPRESA</v>
          </cell>
          <cell r="E1" t="str">
            <v>FILIAL</v>
          </cell>
          <cell r="F1" t="str">
            <v>EMPRESA + FILIAL</v>
          </cell>
          <cell r="G1" t="str">
            <v>CNPJ</v>
          </cell>
          <cell r="H1" t="str">
            <v>SETOR</v>
          </cell>
          <cell r="I1" t="str">
            <v>SEÇÃO</v>
          </cell>
          <cell r="J1" t="str">
            <v>TOMADOR</v>
          </cell>
          <cell r="K1" t="str">
            <v>ADMISSÃO</v>
          </cell>
          <cell r="L1" t="str">
            <v>DEMISSÃO</v>
          </cell>
          <cell r="M1" t="str">
            <v>RESPONSÁVEL</v>
          </cell>
          <cell r="N1" t="str">
            <v>CENTRO DE CUSTO</v>
          </cell>
          <cell r="O1" t="str">
            <v>FUNÇÃO</v>
          </cell>
          <cell r="P1" t="str">
            <v>SAL. BASE</v>
          </cell>
          <cell r="Q1" t="str">
            <v>SALÁRIO</v>
          </cell>
          <cell r="R1" t="str">
            <v>AUX. MATERNIDADE</v>
          </cell>
          <cell r="S1" t="str">
            <v>FÉRIAS</v>
          </cell>
          <cell r="T1" t="str">
            <v>AD. FUNÇÃO 20%</v>
          </cell>
          <cell r="U1" t="str">
            <v>AD. INSALUBRIDADE 20%</v>
          </cell>
          <cell r="V1" t="str">
            <v>AD. PERICULOSIDADE 30%</v>
          </cell>
          <cell r="W1" t="str">
            <v>GRATIFICAÇÃO 40%</v>
          </cell>
          <cell r="X1" t="str">
            <v>GRAT(ADRIANA)</v>
          </cell>
          <cell r="Y1" t="str">
            <v>BIÊNIO 5%</v>
          </cell>
          <cell r="Z1" t="str">
            <v>AD. NOTURNO 20%</v>
          </cell>
          <cell r="AA1" t="str">
            <v>HORA EXTRA</v>
          </cell>
          <cell r="AB1" t="str">
            <v>H. EXTRA DSR</v>
          </cell>
          <cell r="AC1" t="str">
            <v>COMISSÃO</v>
          </cell>
          <cell r="AD1" t="str">
            <v>COMISSÃO DSR</v>
          </cell>
          <cell r="AE1" t="str">
            <v>DIF. CONVENÇÃO</v>
          </cell>
          <cell r="AF1" t="str">
            <v>QUEBRA DE CAIXA</v>
          </cell>
          <cell r="AG1" t="str">
            <v>TOTAL EVENTOS COM IMPOSTOS</v>
          </cell>
          <cell r="AH1" t="str">
            <v>ESTAGIARIOS</v>
          </cell>
          <cell r="AI1" t="str">
            <v>AJUDA 
CUSTO VT</v>
          </cell>
          <cell r="AJ1" t="str">
            <v>CESTA BASICA DINHEIRO</v>
          </cell>
          <cell r="AK1" t="str">
            <v>CESTA BASICA PRODUTO</v>
          </cell>
          <cell r="AL1" t="str">
            <v>PRODUÇÃO FIXO</v>
          </cell>
          <cell r="AM1" t="str">
            <v>PRODUÇÃO CHECK LIST MOTORISTA</v>
          </cell>
          <cell r="AN1" t="str">
            <v>PRODUÇÃO PRENSA</v>
          </cell>
          <cell r="AO1" t="str">
            <v>CAÇAMBA/CONTAINER</v>
          </cell>
          <cell r="AP1" t="str">
            <v>PRÊMIO FIXO</v>
          </cell>
          <cell r="AQ1" t="str">
            <v>PRÊMIO OPERADORES</v>
          </cell>
          <cell r="AR1" t="str">
            <v>PRÊMIO VENDAS UNIDADES</v>
          </cell>
          <cell r="AS1" t="str">
            <v>PRÊMIO PORTA</v>
          </cell>
          <cell r="AT1" t="str">
            <v>PRÊMIO ANUÊNIO</v>
          </cell>
          <cell r="AU1" t="str">
            <v>REFEIÇÃO</v>
          </cell>
          <cell r="AV1" t="str">
            <v>DIÁRIA DIFERENCIADA</v>
          </cell>
          <cell r="AW1" t="str">
            <v>ABONO PECUNIÁRIO FÉRIAS</v>
          </cell>
          <cell r="AX1" t="str">
            <v>SALÁRIO FAMÍLIA</v>
          </cell>
          <cell r="AY1" t="str">
            <v>PLANO DE SAÚDE</v>
          </cell>
          <cell r="AZ1" t="str">
            <v>ASSISTÊNCIA SAÚDE</v>
          </cell>
          <cell r="BA1" t="str">
            <v>AJUDA DE ALUGUEL</v>
          </cell>
          <cell r="BB1" t="str">
            <v>PREMIO GRATIFICAÇÃO</v>
          </cell>
          <cell r="BC1" t="str">
            <v>TOTAL EVENTOS SEM IMPOSTOS</v>
          </cell>
          <cell r="BD1" t="str">
            <v>TOTAL BRUTO</v>
          </cell>
          <cell r="BE1" t="str">
            <v>SALÁRIO PF</v>
          </cell>
          <cell r="BF1" t="str">
            <v>TOTAL BRUTO + PF</v>
          </cell>
        </row>
        <row r="2">
          <cell r="A2" t="str">
            <v>ADEMIR DOS SANTOS</v>
          </cell>
          <cell r="B2">
            <v>46054</v>
          </cell>
          <cell r="C2" t="str">
            <v>CLT</v>
          </cell>
          <cell r="D2" t="str">
            <v>G3S FL 11 - MARINGA</v>
          </cell>
          <cell r="E2"/>
          <cell r="F2"/>
          <cell r="G2" t="str">
            <v>20.947.332/0011-67</v>
          </cell>
          <cell r="H2" t="str">
            <v>OPERACIONAL</v>
          </cell>
          <cell r="I2" t="str">
            <v>PATIO</v>
          </cell>
          <cell r="J2" t="str">
            <v>SELETIVA MARINGA CIDADE ALTA</v>
          </cell>
          <cell r="K2">
            <v>45915</v>
          </cell>
          <cell r="N2" t="str">
            <v>1.2.8.3. OPERACIONAL</v>
          </cell>
          <cell r="O2" t="str">
            <v>AUXILIAR DE PATIO SENIOR</v>
          </cell>
          <cell r="P2">
            <v>2600</v>
          </cell>
          <cell r="Q2">
            <v>2600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31.96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2631.96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216.05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216.05</v>
          </cell>
          <cell r="BD2">
            <v>2848.01</v>
          </cell>
          <cell r="BE2"/>
          <cell r="BF2">
            <v>2848.01</v>
          </cell>
        </row>
        <row r="3">
          <cell r="A3" t="str">
            <v>ADRIANA APARECIDA GUABERTO PALANCIO</v>
          </cell>
          <cell r="B3">
            <v>46054</v>
          </cell>
          <cell r="C3" t="str">
            <v>CLT</v>
          </cell>
          <cell r="D3" t="str">
            <v>G3S FL 05 - PRES PRUD</v>
          </cell>
          <cell r="E3"/>
          <cell r="F3"/>
          <cell r="G3" t="str">
            <v>20.947.332/0005-19</v>
          </cell>
          <cell r="H3" t="str">
            <v>ADMINISTRATIVO</v>
          </cell>
          <cell r="I3" t="str">
            <v>FINANCEIRO</v>
          </cell>
          <cell r="J3" t="str">
            <v>SELETIVA CORPORATIVO SUCATA</v>
          </cell>
          <cell r="K3">
            <v>43866</v>
          </cell>
          <cell r="N3" t="str">
            <v>1.2.1.1 APOIO</v>
          </cell>
          <cell r="O3" t="str">
            <v>ANALISTA FINANCEIRO SENIOR I</v>
          </cell>
          <cell r="P3">
            <v>3500</v>
          </cell>
          <cell r="Q3">
            <v>3500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57.91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3557.91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3557.91</v>
          </cell>
          <cell r="BE3"/>
          <cell r="BF3">
            <v>3557.91</v>
          </cell>
        </row>
        <row r="4">
          <cell r="A4" t="str">
            <v>ADRIANA CANDIDO FIGUEIREDO</v>
          </cell>
          <cell r="B4">
            <v>46054</v>
          </cell>
          <cell r="C4" t="str">
            <v>CLT</v>
          </cell>
          <cell r="D4" t="str">
            <v>G3S FL 10 - PRES PRUD</v>
          </cell>
          <cell r="E4"/>
          <cell r="F4"/>
          <cell r="G4" t="str">
            <v>20.947.332/0010-86</v>
          </cell>
          <cell r="H4" t="str">
            <v>GESTÃO DE GENTE</v>
          </cell>
          <cell r="I4" t="str">
            <v>DEPTO PESSOAL</v>
          </cell>
          <cell r="J4" t="str">
            <v>PILARES</v>
          </cell>
          <cell r="K4">
            <v>43692</v>
          </cell>
          <cell r="N4" t="str">
            <v>1.1.10 PESSOAS</v>
          </cell>
          <cell r="O4" t="str">
            <v>ANALISTA DE DEPTO PESSOAL</v>
          </cell>
          <cell r="P4">
            <v>4568.75</v>
          </cell>
          <cell r="Q4">
            <v>4568.75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268.75</v>
          </cell>
          <cell r="AF4">
            <v>0</v>
          </cell>
          <cell r="AG4">
            <v>4837.5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4837.5</v>
          </cell>
          <cell r="BE4"/>
          <cell r="BF4">
            <v>4837.5</v>
          </cell>
        </row>
        <row r="5">
          <cell r="A5" t="str">
            <v>ALEKSANDER APARECIDO GONÇALVES DA SILVA</v>
          </cell>
          <cell r="B5">
            <v>46054</v>
          </cell>
          <cell r="C5" t="str">
            <v>CLT</v>
          </cell>
          <cell r="D5" t="str">
            <v>G3S FL 11 - MARINGA</v>
          </cell>
          <cell r="E5"/>
          <cell r="F5"/>
          <cell r="G5" t="str">
            <v>20.947.332/0011-67</v>
          </cell>
          <cell r="H5" t="str">
            <v>OPERACIONAL</v>
          </cell>
          <cell r="I5" t="str">
            <v>PATIO</v>
          </cell>
          <cell r="J5" t="str">
            <v>SELETIVA MARINGA CIDADE ALTA</v>
          </cell>
          <cell r="K5">
            <v>46050</v>
          </cell>
          <cell r="N5" t="str">
            <v>1.2.8.3. OPERACIONAL</v>
          </cell>
          <cell r="O5" t="str">
            <v>GERENTE DE PATIO SENIOR</v>
          </cell>
          <cell r="P5">
            <v>3679.83</v>
          </cell>
          <cell r="Q5">
            <v>3679.83</v>
          </cell>
          <cell r="R5">
            <v>0</v>
          </cell>
          <cell r="S5">
            <v>0</v>
          </cell>
          <cell r="T5">
            <v>735.97</v>
          </cell>
          <cell r="U5">
            <v>0</v>
          </cell>
          <cell r="V5">
            <v>1103.95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356.02</v>
          </cell>
          <cell r="AB5">
            <v>59.34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5935.1100000000006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216.05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216.05</v>
          </cell>
          <cell r="BD5">
            <v>6151.1600000000008</v>
          </cell>
          <cell r="BE5"/>
          <cell r="BF5">
            <v>6151.1600000000008</v>
          </cell>
        </row>
        <row r="6">
          <cell r="A6" t="str">
            <v>ALESSANDRA ARAUJO MOURA</v>
          </cell>
          <cell r="B6">
            <v>46054</v>
          </cell>
          <cell r="C6" t="str">
            <v>CLT</v>
          </cell>
          <cell r="D6" t="str">
            <v>G3S  FL 04 - PRES PRUD</v>
          </cell>
          <cell r="E6"/>
          <cell r="F6"/>
          <cell r="G6" t="str">
            <v>20.947.332/0004-38</v>
          </cell>
          <cell r="H6" t="str">
            <v>ADMINISTRATIVO</v>
          </cell>
          <cell r="I6" t="str">
            <v>ATENDIMENTO</v>
          </cell>
          <cell r="J6" t="str">
            <v>SELETIVA CORPORATIVO SUCATA</v>
          </cell>
          <cell r="K6">
            <v>44783</v>
          </cell>
          <cell r="N6" t="str">
            <v>1.2.1.1 APOIO</v>
          </cell>
          <cell r="O6" t="str">
            <v>SUPERVISOR(A) ADMINISTRATIVO(A)</v>
          </cell>
          <cell r="P6">
            <v>3392</v>
          </cell>
          <cell r="Q6">
            <v>3392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1356.8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4748.8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481.93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481.93</v>
          </cell>
          <cell r="BD6">
            <v>5230.7300000000005</v>
          </cell>
          <cell r="BE6"/>
          <cell r="BF6">
            <v>5230.7300000000005</v>
          </cell>
        </row>
        <row r="7">
          <cell r="A7" t="str">
            <v>ALIFER BRENO PEREIRA ALMEIDA DE JESUS</v>
          </cell>
          <cell r="B7">
            <v>46054</v>
          </cell>
          <cell r="C7" t="str">
            <v>CLT</v>
          </cell>
          <cell r="D7" t="str">
            <v>G3S FL 06 - MARINGA</v>
          </cell>
          <cell r="E7"/>
          <cell r="F7"/>
          <cell r="G7" t="str">
            <v>20.947.332/0006-08</v>
          </cell>
          <cell r="H7" t="str">
            <v>ADMINISTRATIVO</v>
          </cell>
          <cell r="I7" t="str">
            <v>ATENDIMENTO</v>
          </cell>
          <cell r="J7" t="str">
            <v>SELETIVA MARINGA DISTRITO</v>
          </cell>
          <cell r="K7">
            <v>46034</v>
          </cell>
          <cell r="N7" t="str">
            <v>1.2.4.1 ADMINISTRATIVO</v>
          </cell>
          <cell r="O7" t="str">
            <v>AUX ADMINISTRATIVO JUNIOR</v>
          </cell>
          <cell r="P7">
            <v>2320</v>
          </cell>
          <cell r="Q7">
            <v>2320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2320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10.28</v>
          </cell>
          <cell r="AS7">
            <v>0</v>
          </cell>
          <cell r="AT7">
            <v>0</v>
          </cell>
          <cell r="AU7">
            <v>528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538.28</v>
          </cell>
          <cell r="BD7">
            <v>2858.2799999999997</v>
          </cell>
          <cell r="BE7"/>
          <cell r="BF7">
            <v>2858.2799999999997</v>
          </cell>
        </row>
        <row r="8">
          <cell r="A8" t="str">
            <v>AMANDA DE OLIVEIRA VINCO</v>
          </cell>
          <cell r="B8">
            <v>46054</v>
          </cell>
          <cell r="C8" t="str">
            <v>CLT</v>
          </cell>
          <cell r="D8" t="str">
            <v>G3S FL 10 - PRES PRUD</v>
          </cell>
          <cell r="E8"/>
          <cell r="F8"/>
          <cell r="G8" t="str">
            <v>20.947.332/0010-86</v>
          </cell>
          <cell r="H8" t="str">
            <v>ADMINISTRATIVO</v>
          </cell>
          <cell r="I8" t="str">
            <v>CONTABILIDADE</v>
          </cell>
          <cell r="J8" t="str">
            <v>PILARES</v>
          </cell>
          <cell r="K8">
            <v>45552</v>
          </cell>
          <cell r="N8" t="str">
            <v>1.1.4 CONTABILIDADE/FISCAL</v>
          </cell>
          <cell r="O8" t="str">
            <v>ANALISTA CONTABIL JUNIOR</v>
          </cell>
          <cell r="P8">
            <v>2656.25</v>
          </cell>
          <cell r="Q8">
            <v>2656.25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166.67</v>
          </cell>
          <cell r="AF8">
            <v>0</v>
          </cell>
          <cell r="AG8">
            <v>2822.92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2822.92</v>
          </cell>
          <cell r="BE8"/>
          <cell r="BF8">
            <v>2822.92</v>
          </cell>
        </row>
        <row r="9">
          <cell r="A9" t="str">
            <v>ANDERSON RODRIGO FERREIRA DE LIMA</v>
          </cell>
          <cell r="B9">
            <v>46054</v>
          </cell>
          <cell r="C9" t="str">
            <v>CLT</v>
          </cell>
          <cell r="D9" t="str">
            <v>G3S  FL 04 - PRES PRUD</v>
          </cell>
          <cell r="E9"/>
          <cell r="F9"/>
          <cell r="G9" t="str">
            <v>20.947.332/0004-38</v>
          </cell>
          <cell r="H9" t="str">
            <v>OPERACIONAL</v>
          </cell>
          <cell r="I9" t="str">
            <v>PATIO</v>
          </cell>
          <cell r="J9" t="str">
            <v>SELETIVA PRESIDENTE PRUDENTE</v>
          </cell>
          <cell r="K9">
            <v>46064</v>
          </cell>
          <cell r="N9" t="str">
            <v>1.2.5.3 OPERACIONAL</v>
          </cell>
          <cell r="O9" t="str">
            <v>MACARIQUEIRO PLENO</v>
          </cell>
          <cell r="P9">
            <v>2587.5</v>
          </cell>
          <cell r="Q9">
            <v>1725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1725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481.93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40.520000000000003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522.45000000000005</v>
          </cell>
          <cell r="BD9">
            <v>2247.4499999999998</v>
          </cell>
          <cell r="BE9"/>
          <cell r="BF9">
            <v>2247.4499999999998</v>
          </cell>
        </row>
        <row r="10">
          <cell r="A10" t="str">
            <v>ANDRESSA FRANCINI CRUZ DE SOUZA</v>
          </cell>
          <cell r="B10">
            <v>46054</v>
          </cell>
          <cell r="C10" t="str">
            <v>CLT</v>
          </cell>
          <cell r="D10" t="str">
            <v>G3S FL 05 - PRES PRUD</v>
          </cell>
          <cell r="E10"/>
          <cell r="F10"/>
          <cell r="G10" t="str">
            <v>20.947.332/0005-19</v>
          </cell>
          <cell r="H10" t="str">
            <v>TRANSMOVE</v>
          </cell>
          <cell r="I10" t="str">
            <v>ADMINISTRATIVO</v>
          </cell>
          <cell r="J10" t="str">
            <v>TRANSMOVE GSL</v>
          </cell>
          <cell r="K10">
            <v>45925</v>
          </cell>
          <cell r="N10" t="str">
            <v>1.4.1.2 ADMINISTRATIVO</v>
          </cell>
          <cell r="O10" t="str">
            <v>SUPERVISOR(A) DE LOGISTICA</v>
          </cell>
          <cell r="P10">
            <v>3500</v>
          </cell>
          <cell r="Q10">
            <v>3500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1400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4900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100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100</v>
          </cell>
          <cell r="BD10">
            <v>5000</v>
          </cell>
          <cell r="BE10"/>
          <cell r="BF10">
            <v>5000</v>
          </cell>
        </row>
        <row r="11">
          <cell r="A11" t="str">
            <v>ANDRESSA MEIRIELLE DE OLIVEIRA TOKAWA</v>
          </cell>
          <cell r="B11">
            <v>46054</v>
          </cell>
          <cell r="C11" t="str">
            <v>CLT</v>
          </cell>
          <cell r="D11" t="str">
            <v>G3S  FL 04 - PRES PRUD</v>
          </cell>
          <cell r="E11"/>
          <cell r="F11"/>
          <cell r="G11" t="str">
            <v>20.947.332/0004-38</v>
          </cell>
          <cell r="H11" t="str">
            <v>ADMINISTRATIVO</v>
          </cell>
          <cell r="I11" t="str">
            <v>ATENDIMENTO</v>
          </cell>
          <cell r="J11" t="str">
            <v>SELETIVA CORPORATIVO SUCATA</v>
          </cell>
          <cell r="K11">
            <v>44635</v>
          </cell>
          <cell r="N11" t="str">
            <v>1.2.1.1 APOIO</v>
          </cell>
          <cell r="O11" t="str">
            <v>AUX ADMINISTRATIVO SENIOR</v>
          </cell>
          <cell r="P11">
            <v>2950</v>
          </cell>
          <cell r="Q11">
            <v>2950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392.26</v>
          </cell>
          <cell r="AB11">
            <v>65.38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3407.6400000000003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481.93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481.93</v>
          </cell>
          <cell r="BD11">
            <v>3889.57</v>
          </cell>
          <cell r="BE11"/>
          <cell r="BF11">
            <v>3889.57</v>
          </cell>
        </row>
        <row r="12">
          <cell r="A12" t="str">
            <v>ANTONIO ANACLETO DE OLIVEIRA</v>
          </cell>
          <cell r="B12">
            <v>46054</v>
          </cell>
          <cell r="C12" t="str">
            <v>CLT</v>
          </cell>
          <cell r="D12" t="str">
            <v>G3S  FL 04 - PRES PRUD</v>
          </cell>
          <cell r="E12"/>
          <cell r="F12"/>
          <cell r="G12" t="str">
            <v>20.947.332/0004-38</v>
          </cell>
          <cell r="H12" t="str">
            <v>OPERACIONAL</v>
          </cell>
          <cell r="I12" t="str">
            <v>PATIO</v>
          </cell>
          <cell r="J12" t="str">
            <v>SELETIVA PRESIDENTE PRUDENTE</v>
          </cell>
          <cell r="K12">
            <v>40118</v>
          </cell>
          <cell r="N12" t="str">
            <v>1.2.5.3 OPERACIONAL</v>
          </cell>
          <cell r="O12" t="str">
            <v>AUXILIAR DE PATIO SENIOR</v>
          </cell>
          <cell r="P12">
            <v>2600</v>
          </cell>
          <cell r="Q12">
            <v>1386.67</v>
          </cell>
          <cell r="R12">
            <v>0</v>
          </cell>
          <cell r="S12">
            <v>1744.77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3131.44</v>
          </cell>
          <cell r="AH12">
            <v>0</v>
          </cell>
          <cell r="AI12">
            <v>450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1080</v>
          </cell>
          <cell r="AQ12">
            <v>0</v>
          </cell>
          <cell r="AR12">
            <v>481.93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1213.33</v>
          </cell>
          <cell r="BC12">
            <v>3225.26</v>
          </cell>
          <cell r="BD12">
            <v>6356.7000000000007</v>
          </cell>
          <cell r="BE12"/>
          <cell r="BF12">
            <v>6356.7000000000007</v>
          </cell>
        </row>
        <row r="13">
          <cell r="A13" t="str">
            <v>ANTONIO APARECIDO FAQUIANO SOBRINHO</v>
          </cell>
          <cell r="B13">
            <v>46054</v>
          </cell>
          <cell r="C13" t="str">
            <v>CLT</v>
          </cell>
          <cell r="D13" t="str">
            <v>G S FL 03 - DOURADOS</v>
          </cell>
          <cell r="E13"/>
          <cell r="F13"/>
          <cell r="G13" t="str">
            <v>20.504.237/0003-89</v>
          </cell>
          <cell r="H13" t="str">
            <v>LOGISTICA</v>
          </cell>
          <cell r="I13" t="str">
            <v>TRANSPORTE</v>
          </cell>
          <cell r="J13" t="str">
            <v>SELETIVA DOURADOS</v>
          </cell>
          <cell r="K13">
            <v>43521</v>
          </cell>
          <cell r="N13" t="str">
            <v>1.2.2.4 LOGISTICA</v>
          </cell>
          <cell r="O13" t="str">
            <v>MOTORISTA CARRETEIRO MANTENEDOR SENIOR I</v>
          </cell>
          <cell r="P13">
            <v>2690.66</v>
          </cell>
          <cell r="Q13">
            <v>2690.66</v>
          </cell>
          <cell r="R13">
            <v>0</v>
          </cell>
          <cell r="S13">
            <v>0</v>
          </cell>
          <cell r="T13">
            <v>538.13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3.43</v>
          </cell>
          <cell r="AA13">
            <v>1307.05</v>
          </cell>
          <cell r="AB13">
            <v>217.84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4757.1099999999997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141.6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600</v>
          </cell>
          <cell r="AS13">
            <v>0</v>
          </cell>
          <cell r="AT13">
            <v>0</v>
          </cell>
          <cell r="AU13">
            <v>1342</v>
          </cell>
          <cell r="AV13">
            <v>0</v>
          </cell>
          <cell r="AW13">
            <v>0</v>
          </cell>
          <cell r="AX13">
            <v>0</v>
          </cell>
          <cell r="AY13">
            <v>96.2</v>
          </cell>
          <cell r="AZ13">
            <v>0</v>
          </cell>
          <cell r="BA13">
            <v>0</v>
          </cell>
          <cell r="BB13">
            <v>0</v>
          </cell>
          <cell r="BC13">
            <v>2179.7999999999997</v>
          </cell>
          <cell r="BD13">
            <v>6936.91</v>
          </cell>
          <cell r="BE13"/>
          <cell r="BF13">
            <v>6936.91</v>
          </cell>
        </row>
        <row r="14">
          <cell r="A14" t="str">
            <v>ANTONIO BATISTA DA SILVA</v>
          </cell>
          <cell r="B14">
            <v>46054</v>
          </cell>
          <cell r="C14" t="str">
            <v>CLT</v>
          </cell>
          <cell r="D14" t="str">
            <v>G S FL 06 - CAMPO GRANDE</v>
          </cell>
          <cell r="E14"/>
          <cell r="F14"/>
          <cell r="G14" t="str">
            <v>20.504.237/0006-21</v>
          </cell>
          <cell r="H14" t="str">
            <v>LOGISTICA</v>
          </cell>
          <cell r="I14" t="str">
            <v>TRANSPORTE</v>
          </cell>
          <cell r="J14" t="str">
            <v>SELETIVA C GRANDE</v>
          </cell>
          <cell r="K14">
            <v>45597</v>
          </cell>
          <cell r="N14" t="str">
            <v>1.2.7.4 LOGISTICA</v>
          </cell>
          <cell r="O14" t="str">
            <v>MOTORISTA CARRETEIRO MANTENEDOR PLENO</v>
          </cell>
          <cell r="P14">
            <v>2591</v>
          </cell>
          <cell r="Q14">
            <v>2591</v>
          </cell>
          <cell r="R14">
            <v>0</v>
          </cell>
          <cell r="S14">
            <v>0</v>
          </cell>
          <cell r="T14">
            <v>500.93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84.8</v>
          </cell>
          <cell r="AB14">
            <v>14.75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3191.48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685.63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520.45000000000005</v>
          </cell>
          <cell r="AS14">
            <v>0</v>
          </cell>
          <cell r="AT14">
            <v>0</v>
          </cell>
          <cell r="AU14">
            <v>224</v>
          </cell>
          <cell r="AV14">
            <v>0</v>
          </cell>
          <cell r="AW14">
            <v>0</v>
          </cell>
          <cell r="AX14">
            <v>0</v>
          </cell>
          <cell r="AY14">
            <v>96.2</v>
          </cell>
          <cell r="AZ14">
            <v>0</v>
          </cell>
          <cell r="BA14">
            <v>0</v>
          </cell>
          <cell r="BB14">
            <v>0</v>
          </cell>
          <cell r="BC14">
            <v>1526.28</v>
          </cell>
          <cell r="BD14">
            <v>4717.76</v>
          </cell>
          <cell r="BE14"/>
          <cell r="BF14">
            <v>4717.76</v>
          </cell>
        </row>
        <row r="15">
          <cell r="A15" t="str">
            <v>BEATRIZ FERREIRA DE SOUZA</v>
          </cell>
          <cell r="B15">
            <v>46054</v>
          </cell>
          <cell r="C15" t="str">
            <v>CLT</v>
          </cell>
          <cell r="D15" t="str">
            <v>G3S FL 10 - PRES PRUD</v>
          </cell>
          <cell r="G15" t="str">
            <v>20.947.332/0010-86</v>
          </cell>
          <cell r="H15" t="str">
            <v>COMERCIAL</v>
          </cell>
          <cell r="I15" t="str">
            <v>COMERCIAL</v>
          </cell>
          <cell r="J15" t="str">
            <v>SELETIVA CORPORATIVO SUCATA</v>
          </cell>
          <cell r="K15">
            <v>45628</v>
          </cell>
          <cell r="L15"/>
          <cell r="M15"/>
          <cell r="N15" t="str">
            <v>1.2.1.1 APOIO</v>
          </cell>
          <cell r="O15" t="str">
            <v>ASSISTENTE COMERCIAL</v>
          </cell>
          <cell r="P15">
            <v>2098</v>
          </cell>
          <cell r="Q15">
            <v>2098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145.97</v>
          </cell>
          <cell r="AB15">
            <v>24.33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2268.2999999999997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709.65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709.65</v>
          </cell>
          <cell r="BD15">
            <v>2977.95</v>
          </cell>
          <cell r="BE15"/>
          <cell r="BF15">
            <v>2977.95</v>
          </cell>
        </row>
        <row r="16">
          <cell r="A16" t="str">
            <v>BRUNA RIBEIRO SANCHEZ</v>
          </cell>
          <cell r="B16">
            <v>46054</v>
          </cell>
          <cell r="C16" t="str">
            <v>ESTÁGIO</v>
          </cell>
          <cell r="D16" t="str">
            <v>G3S FL 10 - PRES PRUD</v>
          </cell>
          <cell r="E16"/>
          <cell r="F16"/>
          <cell r="G16" t="str">
            <v>20.947.332/0010-86</v>
          </cell>
          <cell r="H16" t="str">
            <v>GESTÃO DE GENTE</v>
          </cell>
          <cell r="I16" t="str">
            <v>DEPTO PESSOAL</v>
          </cell>
          <cell r="J16" t="str">
            <v>PILARES</v>
          </cell>
          <cell r="K16">
            <v>46071</v>
          </cell>
          <cell r="N16" t="str">
            <v>1.1.10 PESSOAS</v>
          </cell>
          <cell r="O16" t="str">
            <v>AUXILIAR ADMINISTRATIVO - ESTAGIARIO(A)</v>
          </cell>
          <cell r="P16">
            <v>1000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900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900</v>
          </cell>
          <cell r="BD16">
            <v>900</v>
          </cell>
          <cell r="BE16"/>
          <cell r="BF16">
            <v>900</v>
          </cell>
        </row>
        <row r="17">
          <cell r="A17" t="str">
            <v>BRUNO RUANI SCARFONI</v>
          </cell>
          <cell r="B17">
            <v>46054</v>
          </cell>
          <cell r="C17" t="str">
            <v>CLT</v>
          </cell>
          <cell r="D17" t="str">
            <v>RSE COM DE FERRO,ACO E LOCA</v>
          </cell>
          <cell r="E17"/>
          <cell r="F17"/>
          <cell r="G17" t="str">
            <v>6.916.551/0001-86</v>
          </cell>
          <cell r="H17" t="str">
            <v>COMERCIAL</v>
          </cell>
          <cell r="I17" t="str">
            <v>ADMINISTRATIVO</v>
          </cell>
          <cell r="J17" t="str">
            <v>EKIPA LOCACOES E SERV G&amp;S</v>
          </cell>
          <cell r="K17">
            <v>46055</v>
          </cell>
          <cell r="N17" t="str">
            <v>1.5.1.2 COMERCIAL</v>
          </cell>
          <cell r="O17" t="str">
            <v>VENDEDOR (A)</v>
          </cell>
          <cell r="P17">
            <v>2500</v>
          </cell>
          <cell r="Q17">
            <v>2416.67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2416.67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1800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1800</v>
          </cell>
          <cell r="BD17">
            <v>4216.67</v>
          </cell>
          <cell r="BE17"/>
          <cell r="BF17">
            <v>4216.67</v>
          </cell>
        </row>
        <row r="18">
          <cell r="A18" t="str">
            <v>CAIO MURILO SPINDOLA DOS SANTOS</v>
          </cell>
          <cell r="B18">
            <v>46054</v>
          </cell>
          <cell r="C18" t="str">
            <v>ESTÁGIO</v>
          </cell>
          <cell r="D18" t="str">
            <v>G3S FL 10 - PRES PRUD</v>
          </cell>
          <cell r="E18"/>
          <cell r="F18"/>
          <cell r="G18" t="str">
            <v>20.947.332/0010-86</v>
          </cell>
          <cell r="H18" t="str">
            <v>COMERCIAL</v>
          </cell>
          <cell r="I18" t="str">
            <v>COMERCIAL</v>
          </cell>
          <cell r="J18" t="str">
            <v>SELETIVA CORPORATIVO SUCATA</v>
          </cell>
          <cell r="K18">
            <v>45950</v>
          </cell>
          <cell r="N18" t="str">
            <v>1.2.1.1 APOIO</v>
          </cell>
          <cell r="O18" t="str">
            <v>AUXILIAR COMERCIAL - ESTAGIARIO</v>
          </cell>
          <cell r="P18">
            <v>1000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1000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1000</v>
          </cell>
          <cell r="BD18">
            <v>1000</v>
          </cell>
          <cell r="BE18"/>
          <cell r="BF18">
            <v>1000</v>
          </cell>
        </row>
        <row r="19">
          <cell r="A19" t="str">
            <v>ADRIANA REGINA NOGUEIRA DOS SANTOS</v>
          </cell>
          <cell r="B19">
            <v>46054</v>
          </cell>
          <cell r="C19" t="str">
            <v>PJ</v>
          </cell>
          <cell r="D19" t="str">
            <v>G3S FL 10 - PRES PRUD</v>
          </cell>
          <cell r="E19">
            <v>4</v>
          </cell>
          <cell r="F19"/>
          <cell r="G19" t="str">
            <v>CONTRATO PJ</v>
          </cell>
          <cell r="H19" t="str">
            <v>PILARES</v>
          </cell>
          <cell r="I19" t="str">
            <v>FINANCEIRO</v>
          </cell>
          <cell r="J19" t="str">
            <v>PILARES</v>
          </cell>
          <cell r="K19"/>
          <cell r="M19" t="str">
            <v>HUGO</v>
          </cell>
          <cell r="N19" t="str">
            <v>1.1.3 FINANCEIRO</v>
          </cell>
          <cell r="O19" t="str">
            <v>SUPERVISOR(A) FINANCEIRO</v>
          </cell>
          <cell r="P19">
            <v>12000</v>
          </cell>
          <cell r="Q19">
            <v>12000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12000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12000</v>
          </cell>
          <cell r="BE19"/>
          <cell r="BF19">
            <v>12000</v>
          </cell>
        </row>
        <row r="20">
          <cell r="A20" t="str">
            <v>CELIO MATEUS</v>
          </cell>
          <cell r="B20">
            <v>46054</v>
          </cell>
          <cell r="C20" t="str">
            <v>CLT</v>
          </cell>
          <cell r="D20" t="str">
            <v>G S MATRIZ - PRES PRUD</v>
          </cell>
          <cell r="E20"/>
          <cell r="F20"/>
          <cell r="G20" t="str">
            <v>20.504.237/0001-17</v>
          </cell>
          <cell r="H20" t="str">
            <v>OPERACIONAL</v>
          </cell>
          <cell r="I20" t="str">
            <v>PATIO</v>
          </cell>
          <cell r="J20" t="str">
            <v>SELETIVA PRESIDENTE PRUDENTE</v>
          </cell>
          <cell r="K20">
            <v>40269</v>
          </cell>
          <cell r="M20"/>
          <cell r="N20" t="str">
            <v>1.2.5.3 OPERACIONAL</v>
          </cell>
          <cell r="O20" t="str">
            <v>OPERADOR MANTENEDOR JR</v>
          </cell>
          <cell r="P20">
            <v>2610</v>
          </cell>
          <cell r="Q20">
            <v>2610</v>
          </cell>
          <cell r="R20">
            <v>0</v>
          </cell>
          <cell r="S20">
            <v>0</v>
          </cell>
          <cell r="T20">
            <v>522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130.5</v>
          </cell>
          <cell r="Z20">
            <v>0</v>
          </cell>
          <cell r="AA20">
            <v>339.6</v>
          </cell>
          <cell r="AB20">
            <v>56.6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3658.7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481.93</v>
          </cell>
          <cell r="AS20">
            <v>0</v>
          </cell>
          <cell r="AT20">
            <v>0</v>
          </cell>
          <cell r="AU20">
            <v>1428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1909.93</v>
          </cell>
          <cell r="BD20">
            <v>5568.63</v>
          </cell>
          <cell r="BE20"/>
          <cell r="BF20">
            <v>5568.63</v>
          </cell>
        </row>
        <row r="21">
          <cell r="A21" t="str">
            <v>CRISTIANO LUCAS BACHIO</v>
          </cell>
          <cell r="B21">
            <v>46054</v>
          </cell>
          <cell r="C21" t="str">
            <v>CLT</v>
          </cell>
          <cell r="D21" t="str">
            <v>G S FL 05 - BARUERI</v>
          </cell>
          <cell r="E21"/>
          <cell r="F21"/>
          <cell r="G21" t="str">
            <v>20.504.237/0005-40</v>
          </cell>
          <cell r="H21" t="str">
            <v>OPERACIONAL</v>
          </cell>
          <cell r="I21" t="str">
            <v>TUPY/JOINVILLE - SC</v>
          </cell>
          <cell r="J21" t="str">
            <v>EKIPA LOCACOES E SERV G&amp;S</v>
          </cell>
          <cell r="K21">
            <v>45026</v>
          </cell>
          <cell r="N21" t="str">
            <v>1.7.1.8 TUPY - JOINVILLE/SC</v>
          </cell>
          <cell r="O21" t="str">
            <v>OPERADOR MANTENEDOR PLENO</v>
          </cell>
          <cell r="P21">
            <v>2816.11</v>
          </cell>
          <cell r="Q21">
            <v>2816.11</v>
          </cell>
          <cell r="R21">
            <v>0</v>
          </cell>
          <cell r="S21">
            <v>0</v>
          </cell>
          <cell r="T21">
            <v>563.22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24.2</v>
          </cell>
          <cell r="AA21">
            <v>421.65</v>
          </cell>
          <cell r="AB21">
            <v>70.28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3895.46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813.4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813.4</v>
          </cell>
          <cell r="BD21">
            <v>4708.8599999999997</v>
          </cell>
          <cell r="BE21"/>
          <cell r="BF21">
            <v>4708.8599999999997</v>
          </cell>
        </row>
        <row r="22">
          <cell r="A22" t="str">
            <v>DANIEL JUNIOR SANTOS</v>
          </cell>
          <cell r="B22">
            <v>46054</v>
          </cell>
          <cell r="C22" t="str">
            <v>CLT</v>
          </cell>
          <cell r="D22" t="str">
            <v>G S FL 05 - BARUERI</v>
          </cell>
          <cell r="E22"/>
          <cell r="F22"/>
          <cell r="G22" t="str">
            <v>20.504.237/0005-40</v>
          </cell>
          <cell r="H22" t="str">
            <v>OPERACIONAL</v>
          </cell>
          <cell r="I22" t="str">
            <v>RESENDE - RJ</v>
          </cell>
          <cell r="J22" t="str">
            <v>EKIPA LOCACOES E SERV G&amp;S</v>
          </cell>
          <cell r="K22">
            <v>44617</v>
          </cell>
          <cell r="N22" t="str">
            <v>1.7.1.2 ARCELOR - RESENDE/RJ</v>
          </cell>
          <cell r="O22" t="str">
            <v>MOTORISTA CARRETEIRO MANTENEDOR SENIOR III</v>
          </cell>
          <cell r="P22">
            <v>3287.33</v>
          </cell>
          <cell r="Q22">
            <v>3287.33</v>
          </cell>
          <cell r="R22">
            <v>0</v>
          </cell>
          <cell r="S22">
            <v>0</v>
          </cell>
          <cell r="T22">
            <v>657.47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146.65</v>
          </cell>
          <cell r="AA22">
            <v>398.07</v>
          </cell>
          <cell r="AB22">
            <v>66.349999999999994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4555.8700000000008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1188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1972.4</v>
          </cell>
          <cell r="AU22">
            <v>2730</v>
          </cell>
          <cell r="AV22">
            <v>0</v>
          </cell>
          <cell r="AW22">
            <v>2381.23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8271.6299999999992</v>
          </cell>
          <cell r="BD22">
            <v>12827.5</v>
          </cell>
          <cell r="BE22"/>
          <cell r="BF22">
            <v>12827.5</v>
          </cell>
        </row>
        <row r="23">
          <cell r="A23" t="str">
            <v>DANIELA SANTOS MORAES</v>
          </cell>
          <cell r="B23">
            <v>46054</v>
          </cell>
          <cell r="C23" t="str">
            <v>CLT</v>
          </cell>
          <cell r="D23" t="str">
            <v>G3S FL 10 - PRES PRUD</v>
          </cell>
          <cell r="E23"/>
          <cell r="F23"/>
          <cell r="G23" t="str">
            <v>20.947.332/0010-86</v>
          </cell>
          <cell r="H23" t="str">
            <v>ADMINISTRATIVO</v>
          </cell>
          <cell r="I23" t="str">
            <v>CONTABILIDADE</v>
          </cell>
          <cell r="J23" t="str">
            <v>PILARES</v>
          </cell>
          <cell r="K23">
            <v>43678</v>
          </cell>
          <cell r="N23" t="str">
            <v>1.1.4 CONTABILIDADE/FISCAL</v>
          </cell>
          <cell r="O23" t="str">
            <v>ANALISTA CONTABIL SENIOR</v>
          </cell>
          <cell r="P23">
            <v>3718.75</v>
          </cell>
          <cell r="Q23">
            <v>3718.75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218.75</v>
          </cell>
          <cell r="AF23">
            <v>0</v>
          </cell>
          <cell r="AG23">
            <v>3937.5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100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100</v>
          </cell>
          <cell r="BD23">
            <v>4037.5</v>
          </cell>
          <cell r="BE23"/>
          <cell r="BF23">
            <v>4037.5</v>
          </cell>
        </row>
        <row r="24">
          <cell r="A24" t="str">
            <v>DIEGO LEANDRO DE OLIVEIRA</v>
          </cell>
          <cell r="B24">
            <v>46054</v>
          </cell>
          <cell r="C24" t="str">
            <v>CLT</v>
          </cell>
          <cell r="D24" t="str">
            <v>G3S FL 05 - PRES PRUD</v>
          </cell>
          <cell r="E24"/>
          <cell r="F24"/>
          <cell r="G24" t="str">
            <v>20.947.332/0005-19</v>
          </cell>
          <cell r="H24" t="str">
            <v>OPERACIONAL</v>
          </cell>
          <cell r="I24" t="str">
            <v>CORTE E DOBRA</v>
          </cell>
          <cell r="J24" t="str">
            <v>BRACOFER</v>
          </cell>
          <cell r="K24">
            <v>45021</v>
          </cell>
          <cell r="N24" t="str">
            <v>1.3.1.5 CORTE E DOBRA</v>
          </cell>
          <cell r="O24" t="str">
            <v>AUXILIAR DE PATIO PLENO</v>
          </cell>
          <cell r="P24">
            <v>2350</v>
          </cell>
          <cell r="Q24">
            <v>2350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34.18</v>
          </cell>
          <cell r="AB24">
            <v>5.7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2389.8799999999997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350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385.44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735.44</v>
          </cell>
          <cell r="BD24">
            <v>3125.3199999999997</v>
          </cell>
          <cell r="BE24"/>
          <cell r="BF24">
            <v>3125.3199999999997</v>
          </cell>
        </row>
        <row r="25">
          <cell r="A25" t="str">
            <v>DYESSILA MARY ALVES SEMPREBON FREIRE</v>
          </cell>
          <cell r="B25">
            <v>46054</v>
          </cell>
          <cell r="C25" t="str">
            <v>CLT</v>
          </cell>
          <cell r="D25" t="str">
            <v>G3S FL 11 - MARINGA</v>
          </cell>
          <cell r="E25"/>
          <cell r="F25"/>
          <cell r="G25" t="str">
            <v>20.947.332/0011-67</v>
          </cell>
          <cell r="H25" t="str">
            <v>ADMINISTRATIVO</v>
          </cell>
          <cell r="I25" t="str">
            <v>ATENDIMENTO</v>
          </cell>
          <cell r="J25" t="str">
            <v>SELETIVA MARINGA CIDADE ALTA</v>
          </cell>
          <cell r="K25">
            <v>45323</v>
          </cell>
          <cell r="N25" t="str">
            <v>1.2.4.1 ADMINISTRATIVO</v>
          </cell>
          <cell r="O25" t="str">
            <v>AUX ADMINISTRATIVO JUNIOR</v>
          </cell>
          <cell r="P25">
            <v>2320</v>
          </cell>
          <cell r="Q25">
            <v>2320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17.399999999999999</v>
          </cell>
          <cell r="AB25">
            <v>2.9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2340.3000000000002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216.05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216.05</v>
          </cell>
          <cell r="BD25">
            <v>2556.3500000000004</v>
          </cell>
          <cell r="BE25"/>
          <cell r="BF25">
            <v>2556.3500000000004</v>
          </cell>
        </row>
        <row r="26">
          <cell r="A26" t="str">
            <v>EDILEUSA PEREIRA LISBOA</v>
          </cell>
          <cell r="B26">
            <v>46054</v>
          </cell>
          <cell r="C26" t="str">
            <v>CLT</v>
          </cell>
          <cell r="D26" t="str">
            <v>G S MATRIZ - PRES PRUD</v>
          </cell>
          <cell r="E26"/>
          <cell r="F26"/>
          <cell r="G26" t="str">
            <v>20.504.237/0001-17</v>
          </cell>
          <cell r="H26" t="str">
            <v>OPERACIONAL</v>
          </cell>
          <cell r="I26" t="str">
            <v>PATIO</v>
          </cell>
          <cell r="J26" t="str">
            <v>SELETIVA PRESIDENTE PRUDENTE</v>
          </cell>
          <cell r="K26">
            <v>46043</v>
          </cell>
          <cell r="N26" t="str">
            <v>1.2.5.3 OPERACIONAL</v>
          </cell>
          <cell r="O26" t="str">
            <v>OPERADOR MANTENEDOR JR</v>
          </cell>
          <cell r="P26">
            <v>2610</v>
          </cell>
          <cell r="Q26">
            <v>2610</v>
          </cell>
          <cell r="R26">
            <v>0</v>
          </cell>
          <cell r="S26">
            <v>0</v>
          </cell>
          <cell r="T26">
            <v>522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3132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481.93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481.93</v>
          </cell>
          <cell r="BD26">
            <v>3613.93</v>
          </cell>
          <cell r="BE26"/>
          <cell r="BF26">
            <v>3613.93</v>
          </cell>
        </row>
        <row r="27">
          <cell r="A27" t="str">
            <v>EDUARDO PEDRETTI ARRUDA RONCHESEL</v>
          </cell>
          <cell r="B27">
            <v>46054</v>
          </cell>
          <cell r="C27" t="str">
            <v>ESTÁGIO</v>
          </cell>
          <cell r="D27" t="str">
            <v>G3S FL 05 - PRES PRUD</v>
          </cell>
          <cell r="E27"/>
          <cell r="F27"/>
          <cell r="G27" t="str">
            <v>20.947.332/0005-19</v>
          </cell>
          <cell r="H27" t="str">
            <v>ADMINISTRATIVO</v>
          </cell>
          <cell r="I27" t="str">
            <v>COMERCIAL</v>
          </cell>
          <cell r="J27" t="str">
            <v>BRACOFER</v>
          </cell>
          <cell r="K27">
            <v>46071</v>
          </cell>
          <cell r="N27" t="str">
            <v>1.3.1.1 ADMINISTRATIVO</v>
          </cell>
          <cell r="O27" t="str">
            <v>AUXILIAR FINANCEIRO - ESTAGIARIO</v>
          </cell>
          <cell r="P27">
            <v>1000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650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650</v>
          </cell>
          <cell r="BD27">
            <v>650</v>
          </cell>
          <cell r="BE27"/>
          <cell r="BF27">
            <v>650</v>
          </cell>
        </row>
        <row r="28">
          <cell r="A28" t="str">
            <v>EDUARDO SOARES E SILVA</v>
          </cell>
          <cell r="B28">
            <v>46054</v>
          </cell>
          <cell r="C28" t="str">
            <v>CLT</v>
          </cell>
          <cell r="D28" t="str">
            <v>G3S FL 05 - PRES PRUD</v>
          </cell>
          <cell r="E28"/>
          <cell r="F28"/>
          <cell r="G28" t="str">
            <v>20.947.332/0005-19</v>
          </cell>
          <cell r="H28" t="str">
            <v>OPERACIONAL</v>
          </cell>
          <cell r="I28" t="str">
            <v>CORTE E DOBRA</v>
          </cell>
          <cell r="J28" t="str">
            <v>BRACOFER</v>
          </cell>
          <cell r="K28">
            <v>45979</v>
          </cell>
          <cell r="N28" t="str">
            <v>1.3.1.5 CORTE E DOBRA</v>
          </cell>
          <cell r="O28" t="str">
            <v>AUXILIAR DE PATIO JUNIOR</v>
          </cell>
          <cell r="P28">
            <v>2155</v>
          </cell>
          <cell r="Q28">
            <v>2155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167.7</v>
          </cell>
          <cell r="AB28">
            <v>62.78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2385.48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350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350</v>
          </cell>
          <cell r="BD28">
            <v>2735.48</v>
          </cell>
          <cell r="BE28"/>
          <cell r="BF28">
            <v>2735.48</v>
          </cell>
        </row>
        <row r="29">
          <cell r="A29" t="str">
            <v>EDUARDO YUICHI CHINMEI</v>
          </cell>
          <cell r="B29">
            <v>46054</v>
          </cell>
          <cell r="C29" t="str">
            <v>CLT</v>
          </cell>
          <cell r="D29" t="str">
            <v>G3S FL 10 - PRES PRUD</v>
          </cell>
          <cell r="E29">
            <v>4</v>
          </cell>
          <cell r="F29"/>
          <cell r="G29" t="str">
            <v>20.947.332/0010-86</v>
          </cell>
          <cell r="H29" t="str">
            <v>COMERCIAL</v>
          </cell>
          <cell r="I29" t="str">
            <v>COMERCIAL</v>
          </cell>
          <cell r="J29" t="str">
            <v>SELETIVA CORPORATIVO SUCATA</v>
          </cell>
          <cell r="K29">
            <v>45748</v>
          </cell>
          <cell r="M29" t="str">
            <v>MARCONDES</v>
          </cell>
          <cell r="N29" t="str">
            <v>1.2.1.1 APOIO</v>
          </cell>
          <cell r="O29" t="str">
            <v>ASSISTENTE COMERCIAL</v>
          </cell>
          <cell r="P29">
            <v>2098</v>
          </cell>
          <cell r="Q29">
            <v>2098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114.44</v>
          </cell>
          <cell r="AB29">
            <v>19.899999999999999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2232.34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709.65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709.65</v>
          </cell>
          <cell r="BD29">
            <v>2941.9900000000002</v>
          </cell>
          <cell r="BE29"/>
          <cell r="BF29">
            <v>2941.9900000000002</v>
          </cell>
        </row>
        <row r="30">
          <cell r="A30" t="str">
            <v>ELAINE CRISTINA PANIZZA SILVA</v>
          </cell>
          <cell r="B30">
            <v>46054</v>
          </cell>
          <cell r="C30" t="str">
            <v>CLT</v>
          </cell>
          <cell r="D30" t="str">
            <v>G3S FL 10 - PRES PRUD</v>
          </cell>
          <cell r="G30" t="str">
            <v>20.947.332/0010-86</v>
          </cell>
          <cell r="H30" t="str">
            <v>GESTÃO DE GENTE</v>
          </cell>
          <cell r="I30" t="str">
            <v>RECURSOS HUMANOS</v>
          </cell>
          <cell r="J30" t="str">
            <v>PILARES</v>
          </cell>
          <cell r="K30">
            <v>45825</v>
          </cell>
          <cell r="L30"/>
          <cell r="M30"/>
          <cell r="N30" t="str">
            <v>1.1.9 RECURSOS HUMANOS</v>
          </cell>
          <cell r="O30" t="str">
            <v>ANALISTA DE RECURSOS HUMANOS SENIOR</v>
          </cell>
          <cell r="P30">
            <v>4250</v>
          </cell>
          <cell r="Q30">
            <v>4250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250</v>
          </cell>
          <cell r="AF30">
            <v>0</v>
          </cell>
          <cell r="AG30">
            <v>4500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4500</v>
          </cell>
          <cell r="BE30"/>
          <cell r="BF30">
            <v>4500</v>
          </cell>
        </row>
        <row r="31">
          <cell r="A31" t="str">
            <v>ELISMAR FERREIRA MEDEIROS</v>
          </cell>
          <cell r="B31">
            <v>46054</v>
          </cell>
          <cell r="C31" t="str">
            <v>CLT</v>
          </cell>
          <cell r="D31" t="str">
            <v>G3S FL 05 - PRES PRUD</v>
          </cell>
          <cell r="E31"/>
          <cell r="F31"/>
          <cell r="G31" t="str">
            <v>20.947.332/0005-19</v>
          </cell>
          <cell r="H31" t="str">
            <v>OPERACIONAL</v>
          </cell>
          <cell r="I31" t="str">
            <v>PATIO</v>
          </cell>
          <cell r="J31" t="str">
            <v>BRACOFER</v>
          </cell>
          <cell r="K31">
            <v>45238</v>
          </cell>
          <cell r="L31"/>
          <cell r="M31"/>
          <cell r="N31" t="str">
            <v>1.3.1.3 OPERACIONAL</v>
          </cell>
          <cell r="O31" t="str">
            <v>AUXILIAR DE PATIO PLENO</v>
          </cell>
          <cell r="P31">
            <v>2350</v>
          </cell>
          <cell r="Q31">
            <v>2350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58.96</v>
          </cell>
          <cell r="AB31">
            <v>27.92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2436.88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350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350</v>
          </cell>
          <cell r="BD31">
            <v>2786.88</v>
          </cell>
          <cell r="BE31"/>
          <cell r="BF31">
            <v>2786.88</v>
          </cell>
        </row>
        <row r="32">
          <cell r="A32" t="str">
            <v>ERNESTO EUGENIO DA SILVA</v>
          </cell>
          <cell r="B32">
            <v>46054</v>
          </cell>
          <cell r="C32" t="str">
            <v>CLT</v>
          </cell>
          <cell r="D32" t="str">
            <v>G S FL 03 - DOURADOS</v>
          </cell>
          <cell r="E32"/>
          <cell r="F32"/>
          <cell r="G32" t="str">
            <v>20.504.237/0003-89</v>
          </cell>
          <cell r="H32" t="str">
            <v>LOGISTICA</v>
          </cell>
          <cell r="I32" t="str">
            <v>TRANSPORTE</v>
          </cell>
          <cell r="J32" t="str">
            <v>SELETIVA DOURADOS</v>
          </cell>
          <cell r="K32">
            <v>45103</v>
          </cell>
          <cell r="N32" t="str">
            <v>1.2.2.4 LOGISTICA</v>
          </cell>
          <cell r="O32" t="str">
            <v>MOTORISTA CARRETEIRO MANTENEDOR SENIOR I</v>
          </cell>
          <cell r="P32">
            <v>2690.66</v>
          </cell>
          <cell r="Q32">
            <v>2690.66</v>
          </cell>
          <cell r="R32">
            <v>0</v>
          </cell>
          <cell r="S32">
            <v>0</v>
          </cell>
          <cell r="T32">
            <v>538.13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1087.27</v>
          </cell>
          <cell r="AB32">
            <v>181.21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4497.2699999999995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151.02000000000001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600</v>
          </cell>
          <cell r="AS32">
            <v>0</v>
          </cell>
          <cell r="AT32">
            <v>0</v>
          </cell>
          <cell r="AU32">
            <v>544</v>
          </cell>
          <cell r="AV32">
            <v>0</v>
          </cell>
          <cell r="AW32">
            <v>0</v>
          </cell>
          <cell r="AX32">
            <v>0</v>
          </cell>
          <cell r="AY32">
            <v>96.2</v>
          </cell>
          <cell r="AZ32">
            <v>0</v>
          </cell>
          <cell r="BA32">
            <v>0</v>
          </cell>
          <cell r="BB32">
            <v>0</v>
          </cell>
          <cell r="BC32">
            <v>1391.22</v>
          </cell>
          <cell r="BD32">
            <v>5888.49</v>
          </cell>
          <cell r="BE32"/>
          <cell r="BF32">
            <v>5888.49</v>
          </cell>
        </row>
        <row r="33">
          <cell r="A33" t="str">
            <v>ESTER TAVARES FERREIRA</v>
          </cell>
          <cell r="B33">
            <v>46054</v>
          </cell>
          <cell r="C33" t="str">
            <v>ESTÁGIO</v>
          </cell>
          <cell r="D33" t="str">
            <v>G3S FL 10 - PRES PRUD</v>
          </cell>
          <cell r="E33"/>
          <cell r="F33"/>
          <cell r="G33" t="str">
            <v>20.947.332/0010-86</v>
          </cell>
          <cell r="H33" t="str">
            <v>COMERCIAL</v>
          </cell>
          <cell r="I33" t="str">
            <v>COMERCIAL</v>
          </cell>
          <cell r="J33" t="str">
            <v>SELETIVA CORPORATIVO SUCATA</v>
          </cell>
          <cell r="K33">
            <v>46055</v>
          </cell>
          <cell r="N33" t="str">
            <v>1.2.1.1 APOIO</v>
          </cell>
          <cell r="O33" t="str">
            <v>AUXILIAR COMERCIAL - ESTAGIARIO</v>
          </cell>
          <cell r="P33">
            <v>1000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1466.67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1466.67</v>
          </cell>
          <cell r="BD33">
            <v>1466.67</v>
          </cell>
          <cell r="BE33"/>
          <cell r="BF33">
            <v>1466.67</v>
          </cell>
        </row>
        <row r="34">
          <cell r="A34" t="str">
            <v>EVERTON BENITES SOBRINHO</v>
          </cell>
          <cell r="B34">
            <v>46054</v>
          </cell>
          <cell r="C34" t="str">
            <v>CLT</v>
          </cell>
          <cell r="D34" t="str">
            <v>G S FL 03 - DOURADOS</v>
          </cell>
          <cell r="E34"/>
          <cell r="F34"/>
          <cell r="G34" t="str">
            <v>20.504.237/0003-89</v>
          </cell>
          <cell r="H34" t="str">
            <v>LOGISTICA</v>
          </cell>
          <cell r="I34" t="str">
            <v>TRANSPORTE</v>
          </cell>
          <cell r="J34" t="str">
            <v>SELETIVA DOURADOS</v>
          </cell>
          <cell r="K34">
            <v>45440</v>
          </cell>
          <cell r="N34" t="str">
            <v>1.2.2.4 LOGISTICA</v>
          </cell>
          <cell r="O34" t="str">
            <v>MOTORISTA CARRETEIRO MANTENEDOR SENIOR I</v>
          </cell>
          <cell r="P34">
            <v>2690.66</v>
          </cell>
          <cell r="Q34">
            <v>2690.66</v>
          </cell>
          <cell r="R34">
            <v>0</v>
          </cell>
          <cell r="S34">
            <v>0</v>
          </cell>
          <cell r="T34">
            <v>538.13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2.35</v>
          </cell>
          <cell r="AA34">
            <v>1039.08</v>
          </cell>
          <cell r="AB34">
            <v>173.18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4443.3999999999996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191.91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600</v>
          </cell>
          <cell r="AS34">
            <v>0</v>
          </cell>
          <cell r="AT34">
            <v>0</v>
          </cell>
          <cell r="AU34">
            <v>835</v>
          </cell>
          <cell r="AV34">
            <v>0</v>
          </cell>
          <cell r="AW34">
            <v>0</v>
          </cell>
          <cell r="AX34">
            <v>0</v>
          </cell>
          <cell r="AY34">
            <v>96.2</v>
          </cell>
          <cell r="AZ34">
            <v>0</v>
          </cell>
          <cell r="BA34">
            <v>0</v>
          </cell>
          <cell r="BB34">
            <v>0</v>
          </cell>
          <cell r="BC34">
            <v>1723.11</v>
          </cell>
          <cell r="BD34">
            <v>6166.5099999999993</v>
          </cell>
          <cell r="BE34"/>
          <cell r="BF34">
            <v>6166.5099999999993</v>
          </cell>
        </row>
        <row r="35">
          <cell r="A35" t="str">
            <v>FERNANDA DIAS DE ANDRADE</v>
          </cell>
          <cell r="B35">
            <v>46054</v>
          </cell>
          <cell r="C35" t="str">
            <v>ESTÁGIO</v>
          </cell>
          <cell r="D35" t="str">
            <v>G3S CMATRIZ - CAMPO GRANDE</v>
          </cell>
          <cell r="E35"/>
          <cell r="F35"/>
          <cell r="G35" t="str">
            <v>20.947.332/0001-95</v>
          </cell>
          <cell r="H35" t="str">
            <v>ADMINISTRATIVO</v>
          </cell>
          <cell r="I35" t="str">
            <v>ATENDIMENTO</v>
          </cell>
          <cell r="J35" t="str">
            <v>SELETIVA C GRANDE</v>
          </cell>
          <cell r="K35">
            <v>45950</v>
          </cell>
          <cell r="L35">
            <v>46062</v>
          </cell>
          <cell r="N35" t="str">
            <v>1.2.7.1 ADMINISTRATIVO</v>
          </cell>
          <cell r="O35" t="str">
            <v>AUXILIAR ADMINISTRATIVO - ESTAGIARIO(A)</v>
          </cell>
          <cell r="P35">
            <v>1000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300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300</v>
          </cell>
          <cell r="BD35">
            <v>300</v>
          </cell>
          <cell r="BE35"/>
          <cell r="BF35">
            <v>300</v>
          </cell>
        </row>
        <row r="36">
          <cell r="A36" t="str">
            <v>FERNANDA OLIVEIRA SILVA CARDOSO</v>
          </cell>
          <cell r="B36">
            <v>46054</v>
          </cell>
          <cell r="C36" t="str">
            <v>CLT</v>
          </cell>
          <cell r="D36" t="str">
            <v>G3S FL 10 - PRES PRUD</v>
          </cell>
          <cell r="E36"/>
          <cell r="F36"/>
          <cell r="G36" t="str">
            <v>20.947.332/0010-86</v>
          </cell>
          <cell r="H36" t="str">
            <v>ADMINISTRATIVO</v>
          </cell>
          <cell r="I36" t="str">
            <v>FISCAL</v>
          </cell>
          <cell r="J36" t="str">
            <v>PILARES</v>
          </cell>
          <cell r="K36">
            <v>45812</v>
          </cell>
          <cell r="N36" t="str">
            <v>1.1.4 CONTABILIDADE/FISCAL</v>
          </cell>
          <cell r="O36" t="str">
            <v>ANALISTA FISCAL SENIOR I</v>
          </cell>
          <cell r="P36">
            <v>3500</v>
          </cell>
          <cell r="Q36">
            <v>3500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125</v>
          </cell>
          <cell r="AF36">
            <v>0</v>
          </cell>
          <cell r="AG36">
            <v>3625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3625</v>
          </cell>
          <cell r="BE36"/>
          <cell r="BF36">
            <v>3625</v>
          </cell>
        </row>
        <row r="37">
          <cell r="A37" t="str">
            <v>FERNANDO FERRAREZI DOS SANTOS</v>
          </cell>
          <cell r="B37">
            <v>46054</v>
          </cell>
          <cell r="C37" t="str">
            <v>CLT</v>
          </cell>
          <cell r="D37" t="str">
            <v>G S FL 04 - MARINGA</v>
          </cell>
          <cell r="E37"/>
          <cell r="F37"/>
          <cell r="G37" t="str">
            <v>20.504.237/0004-60</v>
          </cell>
          <cell r="H37" t="str">
            <v>LOGISTICA</v>
          </cell>
          <cell r="I37" t="str">
            <v>TRANSPORTE</v>
          </cell>
          <cell r="J37" t="str">
            <v>SELETIVA MARINGA DISTRITO</v>
          </cell>
          <cell r="K37">
            <v>46027</v>
          </cell>
          <cell r="N37" t="str">
            <v>1.2.4.4 LOGISTICA</v>
          </cell>
          <cell r="O37" t="str">
            <v>MOTORISTA CARRETEIRO MANTENEDOR SENIOR I</v>
          </cell>
          <cell r="P37">
            <v>3345</v>
          </cell>
          <cell r="Q37">
            <v>3345</v>
          </cell>
          <cell r="R37">
            <v>0</v>
          </cell>
          <cell r="S37">
            <v>0</v>
          </cell>
          <cell r="T37">
            <v>669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1611.68</v>
          </cell>
          <cell r="AB37">
            <v>268.61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5894.29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235.34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10.28</v>
          </cell>
          <cell r="AS37">
            <v>0</v>
          </cell>
          <cell r="AT37">
            <v>0</v>
          </cell>
          <cell r="AU37">
            <v>396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641.62</v>
          </cell>
          <cell r="BD37">
            <v>6535.91</v>
          </cell>
          <cell r="BE37"/>
          <cell r="BF37">
            <v>6535.91</v>
          </cell>
        </row>
        <row r="38">
          <cell r="A38" t="str">
            <v>GABRIEL SATOSHI DA SILVA SAKATA</v>
          </cell>
          <cell r="B38">
            <v>46054</v>
          </cell>
          <cell r="C38" t="str">
            <v>ESTÁGIO</v>
          </cell>
          <cell r="D38" t="str">
            <v>G3S FL 10 - PRES PRUD</v>
          </cell>
          <cell r="E38"/>
          <cell r="F38"/>
          <cell r="G38" t="str">
            <v>20.947.332/0010-86</v>
          </cell>
          <cell r="H38" t="str">
            <v>ADMINISTRATIVO</v>
          </cell>
          <cell r="I38" t="str">
            <v>SUPRIMENTOS</v>
          </cell>
          <cell r="J38" t="str">
            <v>PILARES</v>
          </cell>
          <cell r="K38">
            <v>45810</v>
          </cell>
          <cell r="L38"/>
          <cell r="N38" t="str">
            <v>1.1.14 SUPRIMENTOS</v>
          </cell>
          <cell r="O38" t="str">
            <v>AUXILIAR ADMINISTRATIVO - ESTAGIARIO(A)</v>
          </cell>
          <cell r="P38">
            <v>1000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1000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1000</v>
          </cell>
          <cell r="BD38">
            <v>1000</v>
          </cell>
          <cell r="BE38"/>
          <cell r="BF38">
            <v>1000</v>
          </cell>
        </row>
        <row r="39">
          <cell r="A39" t="str">
            <v>GABRIELA BARBOSA FONTE BASSO</v>
          </cell>
          <cell r="B39">
            <v>46054</v>
          </cell>
          <cell r="C39" t="str">
            <v>CLT</v>
          </cell>
          <cell r="D39" t="str">
            <v>G3S FL 05 - PRES PRUD</v>
          </cell>
          <cell r="G39" t="str">
            <v>20.947.332/0005-19</v>
          </cell>
          <cell r="H39" t="str">
            <v>COMERCIAL</v>
          </cell>
          <cell r="I39" t="str">
            <v>VENDAS</v>
          </cell>
          <cell r="J39" t="str">
            <v>BRACOFER</v>
          </cell>
          <cell r="K39">
            <v>46050</v>
          </cell>
          <cell r="L39"/>
          <cell r="M39"/>
          <cell r="N39" t="str">
            <v>1.3.1.2 COMERCIAL</v>
          </cell>
          <cell r="O39" t="str">
            <v>VENDEDOR INTERNO PLENO</v>
          </cell>
          <cell r="P39">
            <v>2500</v>
          </cell>
          <cell r="Q39">
            <v>2500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2500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2500</v>
          </cell>
          <cell r="BE39"/>
          <cell r="BF39">
            <v>2500</v>
          </cell>
        </row>
        <row r="40">
          <cell r="A40" t="str">
            <v>GEOVANI RODRIGUES DUTRA</v>
          </cell>
          <cell r="B40">
            <v>46054</v>
          </cell>
          <cell r="C40" t="str">
            <v>CLT</v>
          </cell>
          <cell r="D40" t="str">
            <v>G3S  FL 03 - DOURADOS</v>
          </cell>
          <cell r="E40"/>
          <cell r="F40"/>
          <cell r="G40" t="str">
            <v>20.947.332/0003-57</v>
          </cell>
          <cell r="H40" t="str">
            <v>OPERACIONAL</v>
          </cell>
          <cell r="I40" t="str">
            <v>PATIO</v>
          </cell>
          <cell r="J40" t="str">
            <v>SELETIVA DOURADOS</v>
          </cell>
          <cell r="K40">
            <v>46048</v>
          </cell>
          <cell r="N40" t="str">
            <v>1.2.2.3 OPERACIONAL</v>
          </cell>
          <cell r="O40" t="str">
            <v>MACARIQUEIRO PLENO</v>
          </cell>
          <cell r="P40">
            <v>2587.5</v>
          </cell>
          <cell r="Q40">
            <v>2587.5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2587.5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570.19000000000005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570.19000000000005</v>
          </cell>
          <cell r="BD40">
            <v>3157.69</v>
          </cell>
          <cell r="BE40"/>
          <cell r="BF40">
            <v>3157.69</v>
          </cell>
        </row>
        <row r="41">
          <cell r="A41" t="str">
            <v>GIOVANNA SILVA DE OLIVEIRA</v>
          </cell>
          <cell r="B41">
            <v>46054</v>
          </cell>
          <cell r="C41" t="str">
            <v>CLT</v>
          </cell>
          <cell r="D41" t="str">
            <v>G3S FL 10 - PRES PRUD</v>
          </cell>
          <cell r="E41"/>
          <cell r="F41"/>
          <cell r="G41" t="str">
            <v>20.947.332/0010-86</v>
          </cell>
          <cell r="H41" t="str">
            <v>COMERCIAL</v>
          </cell>
          <cell r="I41" t="str">
            <v>COMERCIAL</v>
          </cell>
          <cell r="J41" t="str">
            <v>SELETIVA CORPORATIVO SUCATA</v>
          </cell>
          <cell r="K41">
            <v>44397</v>
          </cell>
          <cell r="N41" t="str">
            <v>1.2.1.1 APOIO</v>
          </cell>
          <cell r="O41" t="str">
            <v>ANALISTA COMERCIAL SENIOR</v>
          </cell>
          <cell r="P41">
            <v>3570</v>
          </cell>
          <cell r="Q41">
            <v>714</v>
          </cell>
          <cell r="R41">
            <v>3012.95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221.54</v>
          </cell>
          <cell r="AF41">
            <v>0</v>
          </cell>
          <cell r="AG41">
            <v>3948.49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3948.49</v>
          </cell>
          <cell r="BE41"/>
          <cell r="BF41">
            <v>3948.49</v>
          </cell>
        </row>
        <row r="42">
          <cell r="A42" t="str">
            <v>GUSTAVO LINO DUARTE</v>
          </cell>
          <cell r="B42">
            <v>46054</v>
          </cell>
          <cell r="C42" t="str">
            <v>CLT</v>
          </cell>
          <cell r="D42" t="str">
            <v>G3S CMATRIZ - CAMPO GRANDE</v>
          </cell>
          <cell r="E42"/>
          <cell r="F42"/>
          <cell r="G42" t="str">
            <v>20.947.332/0001-95</v>
          </cell>
          <cell r="H42" t="str">
            <v>OPERACIONAL</v>
          </cell>
          <cell r="I42" t="str">
            <v>PATIO</v>
          </cell>
          <cell r="J42" t="str">
            <v>SELETIVA C GRANDE</v>
          </cell>
          <cell r="K42">
            <v>45237</v>
          </cell>
          <cell r="N42" t="str">
            <v>1.2.7.3 OPERACIONAL</v>
          </cell>
          <cell r="O42" t="str">
            <v>AUXILIAR DE PATIO JUNIOR</v>
          </cell>
          <cell r="P42">
            <v>2305.85</v>
          </cell>
          <cell r="Q42">
            <v>2305.85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2305.85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520.45000000000005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520.45000000000005</v>
          </cell>
          <cell r="BD42">
            <v>2826.3</v>
          </cell>
          <cell r="BE42"/>
          <cell r="BF42">
            <v>2826.3</v>
          </cell>
        </row>
        <row r="43">
          <cell r="A43" t="str">
            <v>HELENA SOARES GOES DA SILVA</v>
          </cell>
          <cell r="B43">
            <v>46054</v>
          </cell>
          <cell r="C43" t="str">
            <v>ESTÁGIO</v>
          </cell>
          <cell r="D43" t="str">
            <v>G3S FL 05 - PRES PRUD</v>
          </cell>
          <cell r="E43"/>
          <cell r="F43"/>
          <cell r="G43" t="str">
            <v>20.947.332/0005-19</v>
          </cell>
          <cell r="H43" t="str">
            <v>COMERCIAL</v>
          </cell>
          <cell r="I43" t="str">
            <v>COMERCIAL</v>
          </cell>
          <cell r="J43" t="str">
            <v>BRACOFER</v>
          </cell>
          <cell r="K43">
            <v>45663</v>
          </cell>
          <cell r="M43"/>
          <cell r="N43" t="str">
            <v>1.3.1.2 COMERCIAL</v>
          </cell>
          <cell r="O43" t="str">
            <v>AUXILIAR COMERCIAL - ESTAGIARIO</v>
          </cell>
          <cell r="P43">
            <v>1000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1550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1550</v>
          </cell>
          <cell r="BD43">
            <v>1550</v>
          </cell>
          <cell r="BE43"/>
          <cell r="BF43">
            <v>1550</v>
          </cell>
        </row>
        <row r="44">
          <cell r="A44" t="str">
            <v>ISADORA THAYNA VIOTTO DIAS</v>
          </cell>
          <cell r="B44">
            <v>46054</v>
          </cell>
          <cell r="C44" t="str">
            <v>ESTÁGIO</v>
          </cell>
          <cell r="D44" t="str">
            <v>G3S FL 10 - PRES PRUD</v>
          </cell>
          <cell r="G44" t="str">
            <v>20.947.332/0010-86</v>
          </cell>
          <cell r="H44" t="str">
            <v>ADMINISTRATIVO</v>
          </cell>
          <cell r="I44" t="str">
            <v>ADMINISTRATIVO</v>
          </cell>
          <cell r="J44" t="str">
            <v>RENDER LOCACOES</v>
          </cell>
          <cell r="K44">
            <v>45973</v>
          </cell>
          <cell r="L44"/>
          <cell r="M44"/>
          <cell r="N44" t="str">
            <v>1.8.1 ADMINISTRATIVO</v>
          </cell>
          <cell r="O44" t="str">
            <v>AUXILIAR ADMINISTRATIVO - ESTAGIARIO(A)</v>
          </cell>
          <cell r="P44">
            <v>1000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1000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1000</v>
          </cell>
          <cell r="BD44">
            <v>1000</v>
          </cell>
          <cell r="BE44"/>
          <cell r="BF44">
            <v>1000</v>
          </cell>
        </row>
        <row r="45">
          <cell r="A45" t="str">
            <v>JOAO BATISTA RIBEIRO SILVA</v>
          </cell>
          <cell r="B45">
            <v>46054</v>
          </cell>
          <cell r="C45" t="str">
            <v>CLT</v>
          </cell>
          <cell r="D45" t="str">
            <v>G S FL 05 - BARUERI</v>
          </cell>
          <cell r="E45"/>
          <cell r="F45"/>
          <cell r="G45" t="str">
            <v>20.504.237/0005-40</v>
          </cell>
          <cell r="H45" t="str">
            <v>OPERACIONAL</v>
          </cell>
          <cell r="I45" t="str">
            <v>PATIO</v>
          </cell>
          <cell r="J45" t="str">
            <v>SELETIVA MARINGA DISTRITO</v>
          </cell>
          <cell r="K45">
            <v>42826</v>
          </cell>
          <cell r="N45" t="str">
            <v>1.2.4.3 OPERACIONAL</v>
          </cell>
          <cell r="O45" t="str">
            <v>OPERADOR MANTENEDOR PLENO</v>
          </cell>
          <cell r="P45">
            <v>2816.11</v>
          </cell>
          <cell r="Q45">
            <v>2816.11</v>
          </cell>
          <cell r="R45">
            <v>0</v>
          </cell>
          <cell r="S45">
            <v>0</v>
          </cell>
          <cell r="T45">
            <v>563.22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1463.48</v>
          </cell>
          <cell r="AB45">
            <v>243.91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5086.7199999999993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10.28</v>
          </cell>
          <cell r="AS45">
            <v>0</v>
          </cell>
          <cell r="AT45">
            <v>0</v>
          </cell>
          <cell r="AU45">
            <v>2416</v>
          </cell>
          <cell r="AV45">
            <v>0</v>
          </cell>
          <cell r="AW45">
            <v>1049.8800000000001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3476.1600000000003</v>
          </cell>
          <cell r="BD45">
            <v>8562.8799999999992</v>
          </cell>
          <cell r="BE45"/>
          <cell r="BF45">
            <v>8562.8799999999992</v>
          </cell>
        </row>
        <row r="46">
          <cell r="A46" t="str">
            <v>JOAO EMANUEL SANTOS SILVA</v>
          </cell>
          <cell r="B46">
            <v>46054</v>
          </cell>
          <cell r="C46" t="str">
            <v>ESTÁGIO</v>
          </cell>
          <cell r="D46" t="str">
            <v>G3S FL 10 - PRES PRUD</v>
          </cell>
          <cell r="G46" t="str">
            <v>20.947.332/0010-86</v>
          </cell>
          <cell r="H46" t="str">
            <v>ADMINISTRATIVO</v>
          </cell>
          <cell r="I46" t="str">
            <v>FINANCEIRO</v>
          </cell>
          <cell r="J46" t="str">
            <v>PILARES</v>
          </cell>
          <cell r="K46">
            <v>45958</v>
          </cell>
          <cell r="L46"/>
          <cell r="M46"/>
          <cell r="N46" t="str">
            <v>1.1.3 FINANCEIRO</v>
          </cell>
          <cell r="O46" t="str">
            <v>AUXILIAR FINANCEIRO - ESTAGIARIO</v>
          </cell>
          <cell r="P46">
            <v>1000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1000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1000</v>
          </cell>
          <cell r="BD46">
            <v>1000</v>
          </cell>
          <cell r="BE46"/>
          <cell r="BF46">
            <v>1000</v>
          </cell>
        </row>
        <row r="47">
          <cell r="A47" t="str">
            <v>JOAO PAULO BENEVENTO NETO</v>
          </cell>
          <cell r="B47">
            <v>46054</v>
          </cell>
          <cell r="C47" t="str">
            <v>CLT</v>
          </cell>
          <cell r="D47" t="str">
            <v>G3S FL 05 - PRES PRUD</v>
          </cell>
          <cell r="E47"/>
          <cell r="F47"/>
          <cell r="G47" t="str">
            <v>20.947.332/0005-19</v>
          </cell>
          <cell r="H47" t="str">
            <v>OPERACIONAL</v>
          </cell>
          <cell r="I47" t="str">
            <v>CORTE E DOBRA</v>
          </cell>
          <cell r="J47" t="str">
            <v>BRACOFER</v>
          </cell>
          <cell r="K47">
            <v>46055</v>
          </cell>
          <cell r="N47" t="str">
            <v>1.3.1.5 CORTE E DOBRA</v>
          </cell>
          <cell r="O47" t="str">
            <v>AUXILIAR DE PATIO JUNIOR</v>
          </cell>
          <cell r="P47">
            <v>2155</v>
          </cell>
          <cell r="Q47">
            <v>2083.17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2083.17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350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350</v>
          </cell>
          <cell r="BD47">
            <v>2433.17</v>
          </cell>
          <cell r="BE47"/>
          <cell r="BF47">
            <v>2433.17</v>
          </cell>
        </row>
        <row r="48">
          <cell r="A48" t="str">
            <v>JOAO PAULO MARTINS OZORES</v>
          </cell>
          <cell r="B48">
            <v>46054</v>
          </cell>
          <cell r="C48" t="str">
            <v>ESTÁGIO</v>
          </cell>
          <cell r="D48" t="str">
            <v>G3S FL 10 - PRES PRUD</v>
          </cell>
          <cell r="E48"/>
          <cell r="F48"/>
          <cell r="G48" t="str">
            <v>20.947.332/0010-86</v>
          </cell>
          <cell r="H48" t="str">
            <v>ADMINISTRATIVO</v>
          </cell>
          <cell r="I48" t="str">
            <v>SUPRIMENTOS</v>
          </cell>
          <cell r="J48" t="str">
            <v>PILARES</v>
          </cell>
          <cell r="K48">
            <v>45929</v>
          </cell>
          <cell r="N48" t="str">
            <v>1.1.14 SUPRIMENTOS</v>
          </cell>
          <cell r="O48" t="str">
            <v>AUXILIAR ADMINISTRATIVO - ESTAGIARIO(A)</v>
          </cell>
          <cell r="P48">
            <v>1000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1000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1000</v>
          </cell>
          <cell r="BD48">
            <v>1000</v>
          </cell>
          <cell r="BE48"/>
          <cell r="BF48">
            <v>1000</v>
          </cell>
        </row>
        <row r="49">
          <cell r="A49" t="str">
            <v>JOHNNIS GUANDALINI SCHIAVON</v>
          </cell>
          <cell r="B49">
            <v>46054</v>
          </cell>
          <cell r="C49" t="str">
            <v>CLT</v>
          </cell>
          <cell r="D49" t="str">
            <v>G S FL 04 - MARINGA</v>
          </cell>
          <cell r="E49"/>
          <cell r="F49"/>
          <cell r="G49" t="str">
            <v>20.504.237/0004-60</v>
          </cell>
          <cell r="H49" t="str">
            <v>OPERACIONAL</v>
          </cell>
          <cell r="I49" t="str">
            <v>PATIO</v>
          </cell>
          <cell r="J49" t="str">
            <v>SELETIVA MARINGA DISTRITO</v>
          </cell>
          <cell r="K49">
            <v>45790</v>
          </cell>
          <cell r="N49" t="str">
            <v>1.2.4.3 OPERACIONAL</v>
          </cell>
          <cell r="O49" t="str">
            <v>OPERADOR MANTENEDOR JR</v>
          </cell>
          <cell r="P49">
            <v>2610</v>
          </cell>
          <cell r="Q49">
            <v>2610</v>
          </cell>
          <cell r="R49">
            <v>0</v>
          </cell>
          <cell r="S49">
            <v>0</v>
          </cell>
          <cell r="T49">
            <v>522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140.94</v>
          </cell>
          <cell r="AB49">
            <v>23.49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3296.43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216.05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216.05</v>
          </cell>
          <cell r="BD49">
            <v>3512.48</v>
          </cell>
          <cell r="BE49"/>
          <cell r="BF49">
            <v>3512.48</v>
          </cell>
        </row>
        <row r="50">
          <cell r="A50" t="str">
            <v>JOSE ANTONIO CAETANO</v>
          </cell>
          <cell r="B50">
            <v>46054</v>
          </cell>
          <cell r="C50" t="str">
            <v>CLT</v>
          </cell>
          <cell r="D50" t="str">
            <v>G3S  FL 04 - PRES PRUD</v>
          </cell>
          <cell r="E50"/>
          <cell r="F50"/>
          <cell r="G50" t="str">
            <v>20.947.332/0004-38</v>
          </cell>
          <cell r="H50" t="str">
            <v>OPERACIONAL</v>
          </cell>
          <cell r="I50" t="str">
            <v>PATIO</v>
          </cell>
          <cell r="J50" t="str">
            <v>SELETIVA PRESIDENTE PRUDENTE</v>
          </cell>
          <cell r="K50">
            <v>43906</v>
          </cell>
          <cell r="N50" t="str">
            <v>1.2.5.3 OPERACIONAL</v>
          </cell>
          <cell r="O50" t="str">
            <v>CLASSIFICADOR SENIOR</v>
          </cell>
          <cell r="P50">
            <v>2967.69</v>
          </cell>
          <cell r="Q50">
            <v>2967.69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2967.69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200</v>
          </cell>
          <cell r="AQ50">
            <v>0</v>
          </cell>
          <cell r="AR50">
            <v>481.93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681.93000000000006</v>
          </cell>
          <cell r="BD50">
            <v>3649.62</v>
          </cell>
          <cell r="BE50"/>
          <cell r="BF50">
            <v>3649.62</v>
          </cell>
        </row>
        <row r="51">
          <cell r="A51" t="str">
            <v>JOSE MANOEL DOS SANTOS</v>
          </cell>
          <cell r="B51">
            <v>46054</v>
          </cell>
          <cell r="C51" t="str">
            <v>CLT</v>
          </cell>
          <cell r="D51" t="str">
            <v>G S FL 03 - DOURADOS</v>
          </cell>
          <cell r="E51">
            <v>3</v>
          </cell>
          <cell r="F51"/>
          <cell r="G51" t="str">
            <v>20.504.237/0003-89</v>
          </cell>
          <cell r="H51" t="str">
            <v>OPERACIONAL</v>
          </cell>
          <cell r="I51" t="str">
            <v>PATIO</v>
          </cell>
          <cell r="J51" t="str">
            <v>SELETIVA DOURADOS</v>
          </cell>
          <cell r="K51">
            <v>44964</v>
          </cell>
          <cell r="M51"/>
          <cell r="N51" t="str">
            <v>1.2.2.3 OPERACIONAL</v>
          </cell>
          <cell r="O51" t="str">
            <v>OPERADOR MANTENEDOR JR</v>
          </cell>
          <cell r="P51">
            <v>2610</v>
          </cell>
          <cell r="Q51">
            <v>2610</v>
          </cell>
          <cell r="R51">
            <v>0</v>
          </cell>
          <cell r="S51">
            <v>0</v>
          </cell>
          <cell r="T51">
            <v>492.42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731.37</v>
          </cell>
          <cell r="AB51">
            <v>121.9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3955.69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570.19000000000005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570.19000000000005</v>
          </cell>
          <cell r="BD51">
            <v>4525.88</v>
          </cell>
          <cell r="BE51"/>
          <cell r="BF51">
            <v>4525.88</v>
          </cell>
        </row>
        <row r="52">
          <cell r="A52" t="str">
            <v>JULIANO VIEIRA DE SANTANA</v>
          </cell>
          <cell r="B52">
            <v>46054</v>
          </cell>
          <cell r="C52" t="str">
            <v>CLT</v>
          </cell>
          <cell r="D52" t="str">
            <v>G S MATRIZ - PRES PRUD</v>
          </cell>
          <cell r="E52"/>
          <cell r="F52"/>
          <cell r="G52" t="str">
            <v>20.504.237/0001-17</v>
          </cell>
          <cell r="H52" t="str">
            <v>LOGISTICA</v>
          </cell>
          <cell r="I52" t="str">
            <v>TRANSPORTE</v>
          </cell>
          <cell r="J52" t="str">
            <v>SELETIVA CORPORATIVO SUCATA</v>
          </cell>
          <cell r="K52">
            <v>42217</v>
          </cell>
          <cell r="M52"/>
          <cell r="N52" t="str">
            <v>1.2.1.1 APOIO</v>
          </cell>
          <cell r="O52" t="str">
            <v>MOTORISTA CARRETEIRO MANTENEDOR SENIOR III</v>
          </cell>
          <cell r="P52">
            <v>3287.33</v>
          </cell>
          <cell r="Q52">
            <v>3287.33</v>
          </cell>
          <cell r="R52">
            <v>0</v>
          </cell>
          <cell r="S52">
            <v>0</v>
          </cell>
          <cell r="T52">
            <v>657.47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164.37</v>
          </cell>
          <cell r="Z52">
            <v>0</v>
          </cell>
          <cell r="AA52">
            <v>1120.68</v>
          </cell>
          <cell r="AB52">
            <v>186.78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5416.63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481.93</v>
          </cell>
          <cell r="AS52">
            <v>0</v>
          </cell>
          <cell r="AT52">
            <v>0</v>
          </cell>
          <cell r="AU52">
            <v>2310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2791.93</v>
          </cell>
          <cell r="BD52">
            <v>8208.56</v>
          </cell>
          <cell r="BE52"/>
          <cell r="BF52">
            <v>8208.56</v>
          </cell>
        </row>
        <row r="53">
          <cell r="A53" t="str">
            <v>JULIO VIEIRA DE SANTANA</v>
          </cell>
          <cell r="B53">
            <v>46054</v>
          </cell>
          <cell r="C53" t="str">
            <v>CLT</v>
          </cell>
          <cell r="D53" t="str">
            <v>G S FL 05 - BARUERI</v>
          </cell>
          <cell r="E53"/>
          <cell r="F53"/>
          <cell r="G53" t="str">
            <v>20.504.237/0005-40</v>
          </cell>
          <cell r="H53" t="str">
            <v>OPERACIONAL</v>
          </cell>
          <cell r="I53" t="str">
            <v>MANUTENCAO</v>
          </cell>
          <cell r="J53" t="str">
            <v>SELETIVA CORPORATIVO SUCATA</v>
          </cell>
          <cell r="K53">
            <v>41883</v>
          </cell>
          <cell r="L53">
            <v>46081</v>
          </cell>
          <cell r="N53" t="str">
            <v>1.2.1.1 APOIO</v>
          </cell>
          <cell r="O53" t="str">
            <v>MOTORISTA CARRETEIRO MANTENEDOR SENIOR III</v>
          </cell>
          <cell r="P53">
            <v>3287.33</v>
          </cell>
          <cell r="Q53">
            <v>0</v>
          </cell>
          <cell r="R53">
            <v>0</v>
          </cell>
          <cell r="S53">
            <v>0</v>
          </cell>
          <cell r="T53">
            <v>613.63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312.89</v>
          </cell>
          <cell r="AB53">
            <v>52.15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978.67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1817.17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2310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4127.17</v>
          </cell>
          <cell r="BD53">
            <v>5105.84</v>
          </cell>
          <cell r="BE53"/>
          <cell r="BF53">
            <v>5105.84</v>
          </cell>
        </row>
        <row r="54">
          <cell r="A54" t="str">
            <v>JUNIOR CESAR SOARES</v>
          </cell>
          <cell r="B54">
            <v>46054</v>
          </cell>
          <cell r="C54" t="str">
            <v>CLT</v>
          </cell>
          <cell r="D54" t="str">
            <v>G3S FL 05 - PRES PRUD</v>
          </cell>
          <cell r="E54"/>
          <cell r="F54"/>
          <cell r="G54" t="str">
            <v>20.947.332/0005-19</v>
          </cell>
          <cell r="H54" t="str">
            <v>COMERCIAL</v>
          </cell>
          <cell r="I54" t="str">
            <v>VENDAS</v>
          </cell>
          <cell r="J54" t="str">
            <v>BRACOFER</v>
          </cell>
          <cell r="K54">
            <v>46048</v>
          </cell>
          <cell r="L54"/>
          <cell r="M54"/>
          <cell r="N54" t="str">
            <v>1.3.1.2 COMERCIAL</v>
          </cell>
          <cell r="O54" t="str">
            <v>VENDEDOR INTERNO SENIOR</v>
          </cell>
          <cell r="P54">
            <v>3000</v>
          </cell>
          <cell r="Q54">
            <v>3000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3000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3000</v>
          </cell>
          <cell r="BE54"/>
          <cell r="BF54">
            <v>3000</v>
          </cell>
        </row>
        <row r="55">
          <cell r="A55" t="str">
            <v>KAMYLA FERNANDA FORIM</v>
          </cell>
          <cell r="B55">
            <v>46054</v>
          </cell>
          <cell r="C55" t="str">
            <v>CLT</v>
          </cell>
          <cell r="D55" t="str">
            <v>G3S  FL 08 - LONDRINA</v>
          </cell>
          <cell r="E55"/>
          <cell r="F55"/>
          <cell r="G55" t="str">
            <v>20.947.332/0008-61</v>
          </cell>
          <cell r="H55" t="str">
            <v>ADMINISTRATIVO</v>
          </cell>
          <cell r="I55" t="str">
            <v>ATENDIMENTO</v>
          </cell>
          <cell r="J55" t="str">
            <v>SELETIVA LONDRINA</v>
          </cell>
          <cell r="K55">
            <v>43903</v>
          </cell>
          <cell r="L55"/>
          <cell r="M55"/>
          <cell r="N55" t="str">
            <v>1.2.3.1 ADMINISTRATIVO</v>
          </cell>
          <cell r="O55" t="str">
            <v>AUX ADMINISTRATIVO SENIOR</v>
          </cell>
          <cell r="P55">
            <v>2950</v>
          </cell>
          <cell r="Q55">
            <v>1770</v>
          </cell>
          <cell r="R55">
            <v>0</v>
          </cell>
          <cell r="S55">
            <v>1891.23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279.66000000000003</v>
          </cell>
          <cell r="AB55">
            <v>39.950000000000003</v>
          </cell>
          <cell r="AC55">
            <v>0</v>
          </cell>
          <cell r="AD55">
            <v>0</v>
          </cell>
          <cell r="AE55">
            <v>157.9</v>
          </cell>
          <cell r="AF55">
            <v>177</v>
          </cell>
          <cell r="AG55">
            <v>4315.74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373.36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373.36</v>
          </cell>
          <cell r="BD55">
            <v>4689.0999999999995</v>
          </cell>
          <cell r="BE55"/>
          <cell r="BF55">
            <v>4689.0999999999995</v>
          </cell>
        </row>
        <row r="56">
          <cell r="A56" t="str">
            <v>LAIS VERON TEIXEIRA RIQUELME</v>
          </cell>
          <cell r="B56">
            <v>46054</v>
          </cell>
          <cell r="C56" t="str">
            <v>CLT</v>
          </cell>
          <cell r="D56" t="str">
            <v>G3S  FL 03 - DOURADOS</v>
          </cell>
          <cell r="E56"/>
          <cell r="F56"/>
          <cell r="G56" t="str">
            <v>20.947.332/0003-57</v>
          </cell>
          <cell r="H56" t="str">
            <v>ADMINISTRATIVO</v>
          </cell>
          <cell r="I56" t="str">
            <v>ATENDIMENTO</v>
          </cell>
          <cell r="J56" t="str">
            <v>SELETIVA DOURADOS</v>
          </cell>
          <cell r="K56">
            <v>44769</v>
          </cell>
          <cell r="N56" t="str">
            <v>1.2.2.1 ADMINISTRATIVO</v>
          </cell>
          <cell r="O56" t="str">
            <v>AUX ADMINISTRATIVO JUNIOR</v>
          </cell>
          <cell r="P56">
            <v>2482.4</v>
          </cell>
          <cell r="Q56">
            <v>2482.4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76.13</v>
          </cell>
          <cell r="AB56">
            <v>12.69</v>
          </cell>
          <cell r="AC56">
            <v>0</v>
          </cell>
          <cell r="AD56">
            <v>0</v>
          </cell>
          <cell r="AE56">
            <v>0</v>
          </cell>
          <cell r="AF56">
            <v>248.24</v>
          </cell>
          <cell r="AG56">
            <v>2819.46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570.19000000000005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570.19000000000005</v>
          </cell>
          <cell r="BD56">
            <v>3389.65</v>
          </cell>
          <cell r="BE56"/>
          <cell r="BF56">
            <v>3389.65</v>
          </cell>
        </row>
        <row r="57">
          <cell r="A57" t="str">
            <v>LARISSA APARECIDA LIMA QUEIROZ</v>
          </cell>
          <cell r="B57">
            <v>46054</v>
          </cell>
          <cell r="C57" t="str">
            <v>CLT</v>
          </cell>
          <cell r="D57" t="str">
            <v>G3S FL 05 - PRES PRUD</v>
          </cell>
          <cell r="E57"/>
          <cell r="F57"/>
          <cell r="G57" t="str">
            <v>20.947.332/0005-19</v>
          </cell>
          <cell r="H57" t="str">
            <v>ADMINISTRATIVO</v>
          </cell>
          <cell r="I57" t="str">
            <v>FINANCEIRO</v>
          </cell>
          <cell r="J57" t="str">
            <v>BRACOFER</v>
          </cell>
          <cell r="K57">
            <v>44267</v>
          </cell>
          <cell r="N57" t="str">
            <v>1.3.1.1 ADMINISTRATIVO</v>
          </cell>
          <cell r="O57" t="str">
            <v>ANALISTA FINANCEIRO PLENO</v>
          </cell>
          <cell r="P57">
            <v>3180</v>
          </cell>
          <cell r="Q57">
            <v>742</v>
          </cell>
          <cell r="R57">
            <v>2627.86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10.6</v>
          </cell>
          <cell r="AG57">
            <v>3380.46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3380.46</v>
          </cell>
          <cell r="BE57"/>
          <cell r="BF57">
            <v>3380.46</v>
          </cell>
        </row>
        <row r="58">
          <cell r="A58" t="str">
            <v>LAYZA PINHEIRO FRANCESQUETTE</v>
          </cell>
          <cell r="B58">
            <v>46054</v>
          </cell>
          <cell r="C58" t="str">
            <v>CLT</v>
          </cell>
          <cell r="D58" t="str">
            <v>G3S FL 10 - PRES PRUD</v>
          </cell>
          <cell r="E58"/>
          <cell r="F58"/>
          <cell r="G58" t="str">
            <v>20.947.332/0010-86</v>
          </cell>
          <cell r="H58" t="str">
            <v>COMERCIAL</v>
          </cell>
          <cell r="I58" t="str">
            <v>COMERCIAL</v>
          </cell>
          <cell r="J58" t="str">
            <v>SELETIVA CORPORATIVO SUCATA</v>
          </cell>
          <cell r="K58">
            <v>45845</v>
          </cell>
          <cell r="N58" t="str">
            <v>1.2.1.1 APOIO</v>
          </cell>
          <cell r="O58" t="str">
            <v>ASSISTENTE COMERCIAL</v>
          </cell>
          <cell r="P58">
            <v>2098</v>
          </cell>
          <cell r="Q58">
            <v>2098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129.94999999999999</v>
          </cell>
          <cell r="AB58">
            <v>21.66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2249.6099999999997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709.65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709.65</v>
          </cell>
          <cell r="BD58">
            <v>2959.2599999999998</v>
          </cell>
          <cell r="BE58"/>
          <cell r="BF58">
            <v>2959.2599999999998</v>
          </cell>
        </row>
        <row r="59">
          <cell r="A59" t="str">
            <v>LUCAS DA SILVA CONCEICAO</v>
          </cell>
          <cell r="B59">
            <v>46054</v>
          </cell>
          <cell r="C59" t="str">
            <v>CLT</v>
          </cell>
          <cell r="D59" t="str">
            <v>G S FL 07 - LONDRINA</v>
          </cell>
          <cell r="E59"/>
          <cell r="F59"/>
          <cell r="G59" t="str">
            <v>20.504.237/0007-02</v>
          </cell>
          <cell r="H59" t="str">
            <v>OPERACIONAL</v>
          </cell>
          <cell r="I59" t="str">
            <v>PATIO</v>
          </cell>
          <cell r="J59" t="str">
            <v>SELETIVA LONDRINA</v>
          </cell>
          <cell r="K59">
            <v>45532</v>
          </cell>
          <cell r="N59" t="str">
            <v>1.2.3.3 OPERACIONAL</v>
          </cell>
          <cell r="O59" t="str">
            <v>OPERADOR MANTENEDOR JR</v>
          </cell>
          <cell r="P59">
            <v>2610</v>
          </cell>
          <cell r="Q59">
            <v>2610</v>
          </cell>
          <cell r="R59">
            <v>0</v>
          </cell>
          <cell r="S59">
            <v>0</v>
          </cell>
          <cell r="T59">
            <v>522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0.83</v>
          </cell>
          <cell r="AA59">
            <v>2680.7</v>
          </cell>
          <cell r="AB59">
            <v>446.78</v>
          </cell>
          <cell r="AC59">
            <v>0</v>
          </cell>
          <cell r="AD59">
            <v>0</v>
          </cell>
          <cell r="AE59">
            <v>855.88</v>
          </cell>
          <cell r="AF59">
            <v>0</v>
          </cell>
          <cell r="AG59">
            <v>7116.19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373.36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373.36</v>
          </cell>
          <cell r="BD59">
            <v>7489.5499999999993</v>
          </cell>
          <cell r="BE59"/>
          <cell r="BF59">
            <v>7489.5499999999993</v>
          </cell>
        </row>
        <row r="60">
          <cell r="A60" t="str">
            <v>LUCIMARA PAIZ DE OLIVEIRA</v>
          </cell>
          <cell r="B60">
            <v>46054</v>
          </cell>
          <cell r="C60" t="str">
            <v>CLT</v>
          </cell>
          <cell r="D60" t="str">
            <v>G3S  FL 04 - PRES PRUD</v>
          </cell>
          <cell r="E60"/>
          <cell r="F60"/>
          <cell r="G60" t="str">
            <v>20.947.332/0004-38</v>
          </cell>
          <cell r="H60" t="str">
            <v>ADMINISTRATIVO</v>
          </cell>
          <cell r="I60" t="str">
            <v>ADMINISTRATIVO</v>
          </cell>
          <cell r="J60" t="str">
            <v>SELETIVA PRESIDENTE PRUDENTE</v>
          </cell>
          <cell r="K60">
            <v>45600</v>
          </cell>
          <cell r="N60" t="str">
            <v>1.2.5.1 ADMINISTRATIVO</v>
          </cell>
          <cell r="O60" t="str">
            <v>FAXINEIRO (EMPRESA)</v>
          </cell>
          <cell r="P60">
            <v>1849.8</v>
          </cell>
          <cell r="Q60">
            <v>1849.8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1849.8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1849.8</v>
          </cell>
          <cell r="BE60"/>
          <cell r="BF60">
            <v>1849.8</v>
          </cell>
        </row>
        <row r="61">
          <cell r="A61" t="str">
            <v>LUIS AUGUSTO DUARTE SILVA</v>
          </cell>
          <cell r="B61">
            <v>46054</v>
          </cell>
          <cell r="C61" t="str">
            <v>CLT</v>
          </cell>
          <cell r="D61" t="str">
            <v>G3S FL 05 - PRES PRUD</v>
          </cell>
          <cell r="E61"/>
          <cell r="F61"/>
          <cell r="G61" t="str">
            <v>20.947.332/0005-19</v>
          </cell>
          <cell r="H61" t="str">
            <v>COMERCIAL</v>
          </cell>
          <cell r="I61" t="str">
            <v>VENDAS</v>
          </cell>
          <cell r="J61" t="str">
            <v>BRACOFER</v>
          </cell>
          <cell r="K61">
            <v>45671</v>
          </cell>
          <cell r="N61" t="str">
            <v>1.3.1.2 COMERCIAL</v>
          </cell>
          <cell r="O61" t="str">
            <v>VENDEDOR(A)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4225</v>
          </cell>
          <cell r="AD61">
            <v>704.17</v>
          </cell>
          <cell r="AE61">
            <v>0</v>
          </cell>
          <cell r="AF61">
            <v>0</v>
          </cell>
          <cell r="AG61">
            <v>4929.17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4929.17</v>
          </cell>
          <cell r="BE61"/>
          <cell r="BF61">
            <v>4929.17</v>
          </cell>
        </row>
        <row r="62">
          <cell r="A62" t="str">
            <v>LUIS DOUGLAS SANTOS BRAS</v>
          </cell>
          <cell r="B62">
            <v>46054</v>
          </cell>
          <cell r="C62" t="str">
            <v>CLT</v>
          </cell>
          <cell r="D62" t="str">
            <v>G3S FL 05 - PRES PRUD</v>
          </cell>
          <cell r="E62"/>
          <cell r="F62"/>
          <cell r="G62" t="str">
            <v>20.947.332/0005-19</v>
          </cell>
          <cell r="H62" t="str">
            <v>OPERACIONAL</v>
          </cell>
          <cell r="I62" t="str">
            <v>CORTE E DOBRA</v>
          </cell>
          <cell r="J62" t="str">
            <v>BRACOFER</v>
          </cell>
          <cell r="K62">
            <v>45966</v>
          </cell>
          <cell r="N62" t="str">
            <v>1.3.1.5 CORTE E DOBRA</v>
          </cell>
          <cell r="O62" t="str">
            <v>AUXILIAR DE PATIO JUNIOR</v>
          </cell>
          <cell r="P62">
            <v>2155</v>
          </cell>
          <cell r="Q62">
            <v>2155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41.79</v>
          </cell>
          <cell r="AB62">
            <v>21.46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2218.25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350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350</v>
          </cell>
          <cell r="BD62">
            <v>2568.25</v>
          </cell>
          <cell r="BE62"/>
          <cell r="BF62">
            <v>2568.25</v>
          </cell>
        </row>
        <row r="63">
          <cell r="A63" t="str">
            <v>LUIS HENRIQUE SEMENSATO</v>
          </cell>
          <cell r="B63">
            <v>46054</v>
          </cell>
          <cell r="C63" t="str">
            <v>CLT</v>
          </cell>
          <cell r="D63" t="str">
            <v>G3S FL 05 - PRES PRUD</v>
          </cell>
          <cell r="E63"/>
          <cell r="F63"/>
          <cell r="G63" t="str">
            <v>20.947.332/0005-19</v>
          </cell>
          <cell r="H63" t="str">
            <v>OPERACIONAL</v>
          </cell>
          <cell r="I63" t="str">
            <v>CORTE E DOBRA</v>
          </cell>
          <cell r="J63" t="str">
            <v>BRACOFER</v>
          </cell>
          <cell r="K63">
            <v>45845</v>
          </cell>
          <cell r="L63"/>
          <cell r="M63"/>
          <cell r="N63" t="str">
            <v>1.3.1.5 CORTE E DOBRA</v>
          </cell>
          <cell r="O63" t="str">
            <v>AUXILIAR DE PATIO JUNIOR</v>
          </cell>
          <cell r="P63">
            <v>2155</v>
          </cell>
          <cell r="Q63">
            <v>2155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212.89</v>
          </cell>
          <cell r="AB63">
            <v>97.3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2465.19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350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350</v>
          </cell>
          <cell r="BD63">
            <v>2815.19</v>
          </cell>
          <cell r="BE63"/>
          <cell r="BF63">
            <v>2815.19</v>
          </cell>
        </row>
        <row r="64">
          <cell r="A64" t="str">
            <v>LUIZ CARLOS DE SOUZA</v>
          </cell>
          <cell r="B64">
            <v>46054</v>
          </cell>
          <cell r="C64" t="str">
            <v>CLT</v>
          </cell>
          <cell r="D64" t="str">
            <v>G3S FL 05 - PRES PRUD</v>
          </cell>
          <cell r="E64"/>
          <cell r="F64"/>
          <cell r="G64" t="str">
            <v>20.947.332/0005-19</v>
          </cell>
          <cell r="H64" t="str">
            <v>OPERACIONAL</v>
          </cell>
          <cell r="I64" t="str">
            <v>PATIO</v>
          </cell>
          <cell r="J64" t="str">
            <v>BRACOFER</v>
          </cell>
          <cell r="K64">
            <v>44378</v>
          </cell>
          <cell r="L64"/>
          <cell r="M64"/>
          <cell r="N64" t="str">
            <v>1.3.1.3 OPERACIONAL</v>
          </cell>
          <cell r="O64" t="str">
            <v>AUXILIAR DE PATIO SENIOR</v>
          </cell>
          <cell r="P64">
            <v>2600</v>
          </cell>
          <cell r="Q64">
            <v>2600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2600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1710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350.83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2060.83</v>
          </cell>
          <cell r="BD64">
            <v>4660.83</v>
          </cell>
          <cell r="BE64"/>
          <cell r="BF64">
            <v>4660.83</v>
          </cell>
        </row>
        <row r="65">
          <cell r="A65" t="str">
            <v>LUIZ GUILHERME BRAGHINI</v>
          </cell>
          <cell r="B65">
            <v>46054</v>
          </cell>
          <cell r="C65" t="str">
            <v>CLT</v>
          </cell>
          <cell r="D65" t="str">
            <v>G3S CMATRIZ - CAMPO GRANDE</v>
          </cell>
          <cell r="E65"/>
          <cell r="F65"/>
          <cell r="G65" t="str">
            <v>20.947.332/0001-95</v>
          </cell>
          <cell r="H65" t="str">
            <v>OPERACIONAL</v>
          </cell>
          <cell r="I65" t="str">
            <v>PATIO</v>
          </cell>
          <cell r="J65" t="str">
            <v>SELETIVA C GRANDE</v>
          </cell>
          <cell r="K65">
            <v>44630</v>
          </cell>
          <cell r="L65"/>
          <cell r="M65"/>
          <cell r="N65" t="str">
            <v>1.2.7.3 OPERACIONAL</v>
          </cell>
          <cell r="O65" t="str">
            <v>GERENTE DE PATIO SENIOR</v>
          </cell>
          <cell r="P65">
            <v>3679.83</v>
          </cell>
          <cell r="Q65">
            <v>3679.83</v>
          </cell>
          <cell r="R65">
            <v>0</v>
          </cell>
          <cell r="S65">
            <v>0</v>
          </cell>
          <cell r="T65">
            <v>735.97</v>
          </cell>
          <cell r="U65">
            <v>0</v>
          </cell>
          <cell r="V65">
            <v>1103.95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422.6</v>
          </cell>
          <cell r="AB65">
            <v>70.430000000000007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6012.7800000000007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520.45000000000005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520.45000000000005</v>
          </cell>
          <cell r="BD65">
            <v>6533.2300000000005</v>
          </cell>
          <cell r="BE65"/>
          <cell r="BF65">
            <v>6533.2300000000005</v>
          </cell>
        </row>
        <row r="66">
          <cell r="A66" t="str">
            <v>MARCELO VITOR</v>
          </cell>
          <cell r="B66">
            <v>46054</v>
          </cell>
          <cell r="C66" t="str">
            <v>CLT</v>
          </cell>
          <cell r="D66" t="str">
            <v>G S MATRIZ - PRES PRUD</v>
          </cell>
          <cell r="E66"/>
          <cell r="F66"/>
          <cell r="G66" t="str">
            <v>20.504.237/0001-17</v>
          </cell>
          <cell r="H66" t="str">
            <v>OPERACIONAL</v>
          </cell>
          <cell r="I66" t="str">
            <v>PATIO</v>
          </cell>
          <cell r="J66" t="str">
            <v>SELETIVA PRESIDENTE PRUDENTE</v>
          </cell>
          <cell r="K66">
            <v>43790</v>
          </cell>
          <cell r="L66"/>
          <cell r="M66"/>
          <cell r="N66" t="str">
            <v>1.2.5.5 PRENSA FIXA JCG800</v>
          </cell>
          <cell r="O66" t="str">
            <v>OPERADOR MANTENEDOR SENIOR</v>
          </cell>
          <cell r="P66">
            <v>3158.66</v>
          </cell>
          <cell r="Q66">
            <v>3158.66</v>
          </cell>
          <cell r="R66">
            <v>0</v>
          </cell>
          <cell r="S66">
            <v>0</v>
          </cell>
          <cell r="T66">
            <v>631.73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157.93</v>
          </cell>
          <cell r="Z66">
            <v>0</v>
          </cell>
          <cell r="AA66">
            <v>996.05</v>
          </cell>
          <cell r="AB66">
            <v>166.01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5110.38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769.82</v>
          </cell>
          <cell r="AM66">
            <v>0</v>
          </cell>
          <cell r="AN66">
            <v>0</v>
          </cell>
          <cell r="AO66">
            <v>0</v>
          </cell>
          <cell r="AP66">
            <v>961.19</v>
          </cell>
          <cell r="AQ66">
            <v>0</v>
          </cell>
          <cell r="AR66">
            <v>481.93</v>
          </cell>
          <cell r="AS66">
            <v>0</v>
          </cell>
          <cell r="AT66">
            <v>0</v>
          </cell>
          <cell r="AU66">
            <v>252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2464.94</v>
          </cell>
          <cell r="BD66">
            <v>7575.32</v>
          </cell>
          <cell r="BE66"/>
          <cell r="BF66">
            <v>7575.32</v>
          </cell>
        </row>
        <row r="67">
          <cell r="A67" t="str">
            <v>MARCIO AFONSO</v>
          </cell>
          <cell r="B67">
            <v>46054</v>
          </cell>
          <cell r="C67" t="str">
            <v>CLT</v>
          </cell>
          <cell r="D67" t="str">
            <v>G S MATRIZ - PRES PRUD</v>
          </cell>
          <cell r="E67"/>
          <cell r="F67"/>
          <cell r="G67" t="str">
            <v>20.504.237/0001-17</v>
          </cell>
          <cell r="H67" t="str">
            <v>LOGISTICA</v>
          </cell>
          <cell r="I67" t="str">
            <v>TRANSPORTE</v>
          </cell>
          <cell r="J67" t="str">
            <v>SELETIVA PRESIDENTE PRUDENTE</v>
          </cell>
          <cell r="K67">
            <v>44153</v>
          </cell>
          <cell r="L67"/>
          <cell r="M67"/>
          <cell r="N67" t="str">
            <v>1.2.5.4 LOGISTICA</v>
          </cell>
          <cell r="O67" t="str">
            <v>MOTORISTA CARRETEIRO MANTENEDOR SENIOR III</v>
          </cell>
          <cell r="P67">
            <v>3287.33</v>
          </cell>
          <cell r="Q67">
            <v>3287.33</v>
          </cell>
          <cell r="R67">
            <v>0</v>
          </cell>
          <cell r="S67">
            <v>0</v>
          </cell>
          <cell r="T67">
            <v>652.73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164.37</v>
          </cell>
          <cell r="Z67">
            <v>0</v>
          </cell>
          <cell r="AA67">
            <v>1296.72</v>
          </cell>
          <cell r="AB67">
            <v>216.12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5617.27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542.59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481.93</v>
          </cell>
          <cell r="AS67">
            <v>0</v>
          </cell>
          <cell r="AT67">
            <v>0</v>
          </cell>
          <cell r="AU67">
            <v>1452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2476.52</v>
          </cell>
          <cell r="BD67">
            <v>8093.7900000000009</v>
          </cell>
          <cell r="BE67"/>
          <cell r="BF67">
            <v>8093.7900000000009</v>
          </cell>
        </row>
        <row r="68">
          <cell r="A68" t="str">
            <v>MARCIO APARECIDO DA COSTA</v>
          </cell>
          <cell r="B68">
            <v>46054</v>
          </cell>
          <cell r="C68" t="str">
            <v>CLT</v>
          </cell>
          <cell r="D68" t="str">
            <v>G S FL 07 - LONDRINA</v>
          </cell>
          <cell r="E68"/>
          <cell r="F68"/>
          <cell r="G68" t="str">
            <v>20.504.237/0007-02</v>
          </cell>
          <cell r="H68" t="str">
            <v>LOGISTICA</v>
          </cell>
          <cell r="I68" t="str">
            <v>TRANSPORTE</v>
          </cell>
          <cell r="J68" t="str">
            <v>SELETIVA LONDRINA</v>
          </cell>
          <cell r="K68">
            <v>45261</v>
          </cell>
          <cell r="L68"/>
          <cell r="M68"/>
          <cell r="N68" t="str">
            <v>1.2.3.4 LOGISTICA</v>
          </cell>
          <cell r="O68" t="str">
            <v>MOTORISTA CARRETEIRO MANTENEDOR SENIOR I</v>
          </cell>
          <cell r="P68">
            <v>3345</v>
          </cell>
          <cell r="Q68">
            <v>3345</v>
          </cell>
          <cell r="R68">
            <v>0</v>
          </cell>
          <cell r="S68">
            <v>0</v>
          </cell>
          <cell r="T68">
            <v>655.72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821.4</v>
          </cell>
          <cell r="AB68">
            <v>136.9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4959.0199999999995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231.09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373.36</v>
          </cell>
          <cell r="AS68">
            <v>0</v>
          </cell>
          <cell r="AT68">
            <v>0</v>
          </cell>
          <cell r="AU68">
            <v>561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1165.45</v>
          </cell>
          <cell r="BD68">
            <v>6124.4699999999993</v>
          </cell>
          <cell r="BE68"/>
          <cell r="BF68">
            <v>6124.4699999999993</v>
          </cell>
        </row>
        <row r="69">
          <cell r="A69" t="str">
            <v>MARCOS ANTONIO CLAUDIO</v>
          </cell>
          <cell r="B69">
            <v>46054</v>
          </cell>
          <cell r="C69" t="str">
            <v>CLT</v>
          </cell>
          <cell r="D69" t="str">
            <v>G S FL 05 - BARUERI</v>
          </cell>
          <cell r="E69"/>
          <cell r="F69"/>
          <cell r="G69" t="str">
            <v>20.504.237/0005-40</v>
          </cell>
          <cell r="H69" t="str">
            <v>OPERACIONAL</v>
          </cell>
          <cell r="I69" t="str">
            <v>ARCELOR/PIRACICABA - SP</v>
          </cell>
          <cell r="J69" t="str">
            <v>EKIPA LOCACOES E SERV G&amp;S</v>
          </cell>
          <cell r="K69">
            <v>45742</v>
          </cell>
          <cell r="L69"/>
          <cell r="M69"/>
          <cell r="N69" t="str">
            <v>1.7.1.4 ARCELOR - PIRACICABA</v>
          </cell>
          <cell r="O69" t="str">
            <v>OPERADOR MANTENEDOR PLENO</v>
          </cell>
          <cell r="P69">
            <v>2816.11</v>
          </cell>
          <cell r="Q69">
            <v>2816.11</v>
          </cell>
          <cell r="R69">
            <v>0</v>
          </cell>
          <cell r="S69">
            <v>0</v>
          </cell>
          <cell r="T69">
            <v>563.22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2688.61</v>
          </cell>
          <cell r="AB69">
            <v>448.1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6516.0400000000009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2108.25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1848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3956.25</v>
          </cell>
          <cell r="BD69">
            <v>10472.290000000001</v>
          </cell>
          <cell r="BE69"/>
          <cell r="BF69">
            <v>10472.290000000001</v>
          </cell>
        </row>
        <row r="70">
          <cell r="A70" t="str">
            <v>MARCOS MEDEIROS</v>
          </cell>
          <cell r="B70">
            <v>46054</v>
          </cell>
          <cell r="C70" t="str">
            <v>CLT</v>
          </cell>
          <cell r="D70" t="str">
            <v>G3S  FL 04 - PRES PRUD</v>
          </cell>
          <cell r="E70"/>
          <cell r="F70"/>
          <cell r="G70" t="str">
            <v>20.947.332/0004-38</v>
          </cell>
          <cell r="H70" t="str">
            <v>OPERACIONAL</v>
          </cell>
          <cell r="I70" t="str">
            <v>PATIO</v>
          </cell>
          <cell r="J70" t="str">
            <v>SELETIVA PRESIDENTE PRUDENTE</v>
          </cell>
          <cell r="K70">
            <v>44228</v>
          </cell>
          <cell r="L70"/>
          <cell r="M70"/>
          <cell r="N70" t="str">
            <v>1.2.5.3 OPERACIONAL</v>
          </cell>
          <cell r="O70" t="str">
            <v>SOLDADOR MAÇARIQUEIRO</v>
          </cell>
          <cell r="P70">
            <v>2893.8</v>
          </cell>
          <cell r="Q70">
            <v>2893.8</v>
          </cell>
          <cell r="R70">
            <v>0</v>
          </cell>
          <cell r="S70">
            <v>0</v>
          </cell>
          <cell r="T70">
            <v>0</v>
          </cell>
          <cell r="U70">
            <v>324.2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3218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515</v>
          </cell>
          <cell r="AQ70">
            <v>0</v>
          </cell>
          <cell r="AR70">
            <v>481.93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996.93000000000006</v>
          </cell>
          <cell r="BD70">
            <v>4214.93</v>
          </cell>
          <cell r="BE70"/>
          <cell r="BF70">
            <v>4214.93</v>
          </cell>
        </row>
        <row r="71">
          <cell r="A71" t="str">
            <v>MARCOS ROBERTO DA SILVA MARTINS</v>
          </cell>
          <cell r="B71">
            <v>46054</v>
          </cell>
          <cell r="C71" t="str">
            <v>CLT</v>
          </cell>
          <cell r="D71" t="str">
            <v>G3S FL 05 - PRES PRUD</v>
          </cell>
          <cell r="E71"/>
          <cell r="F71"/>
          <cell r="G71" t="str">
            <v>20.947.332/0005-19</v>
          </cell>
          <cell r="H71" t="str">
            <v>LOGISTICA</v>
          </cell>
          <cell r="I71" t="str">
            <v>TRANSPORTE</v>
          </cell>
          <cell r="J71" t="str">
            <v>BRACOFER</v>
          </cell>
          <cell r="K71">
            <v>45701</v>
          </cell>
          <cell r="L71"/>
          <cell r="M71"/>
          <cell r="N71" t="str">
            <v>1.3.1.4 LOGISTICA</v>
          </cell>
          <cell r="O71" t="str">
            <v>MOTORISTA TRUCK MANTENEDOR JUNIOR</v>
          </cell>
          <cell r="P71">
            <v>2308.81</v>
          </cell>
          <cell r="Q71">
            <v>2308.81</v>
          </cell>
          <cell r="R71">
            <v>0</v>
          </cell>
          <cell r="S71">
            <v>0</v>
          </cell>
          <cell r="T71">
            <v>461.76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255.96</v>
          </cell>
          <cell r="AB71">
            <v>42.66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3069.1899999999996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3069.1899999999996</v>
          </cell>
          <cell r="BE71"/>
          <cell r="BF71">
            <v>3069.1899999999996</v>
          </cell>
        </row>
        <row r="72">
          <cell r="A72" t="str">
            <v>MARIA EDUARDA FREITAS MESSIAS</v>
          </cell>
          <cell r="B72">
            <v>46054</v>
          </cell>
          <cell r="C72" t="str">
            <v>CLT</v>
          </cell>
          <cell r="D72" t="str">
            <v>G3S FL 10 - PRES PRUD</v>
          </cell>
          <cell r="E72"/>
          <cell r="F72"/>
          <cell r="G72" t="str">
            <v>20.947.332/0010-86</v>
          </cell>
          <cell r="H72" t="str">
            <v>ADMINISTRATIVO</v>
          </cell>
          <cell r="I72" t="str">
            <v>FINANCEIRO</v>
          </cell>
          <cell r="J72" t="str">
            <v>PILARES</v>
          </cell>
          <cell r="K72">
            <v>44410</v>
          </cell>
          <cell r="L72"/>
          <cell r="M72"/>
          <cell r="N72" t="str">
            <v>1.1.3 FINANCEIRO</v>
          </cell>
          <cell r="O72" t="str">
            <v>ANALISTA FINANCEIRO SENIOR II</v>
          </cell>
          <cell r="P72">
            <v>3850</v>
          </cell>
          <cell r="Q72">
            <v>3850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229.22</v>
          </cell>
          <cell r="AF72">
            <v>0</v>
          </cell>
          <cell r="AG72">
            <v>4079.22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4079.22</v>
          </cell>
          <cell r="BE72"/>
          <cell r="BF72">
            <v>4079.22</v>
          </cell>
        </row>
        <row r="73">
          <cell r="A73" t="str">
            <v>MARIANA SIQUEIRA</v>
          </cell>
          <cell r="B73">
            <v>46054</v>
          </cell>
          <cell r="C73" t="str">
            <v>CLT</v>
          </cell>
          <cell r="D73" t="str">
            <v>G3S FL 10 - PRES PRUD</v>
          </cell>
          <cell r="E73"/>
          <cell r="F73"/>
          <cell r="G73" t="str">
            <v>20.947.332/0010-86</v>
          </cell>
          <cell r="H73" t="str">
            <v>COMERCIAL</v>
          </cell>
          <cell r="I73" t="str">
            <v>COMERCIAL</v>
          </cell>
          <cell r="J73" t="str">
            <v>SELETIVA CORPORATIVO SUCATA</v>
          </cell>
          <cell r="K73">
            <v>46055</v>
          </cell>
          <cell r="L73"/>
          <cell r="M73"/>
          <cell r="N73" t="str">
            <v>1.2.1.1 APOIO</v>
          </cell>
          <cell r="O73" t="str">
            <v>ASSISTENTE COMERCIAL</v>
          </cell>
          <cell r="P73">
            <v>2098</v>
          </cell>
          <cell r="Q73">
            <v>2028.07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2028.07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709.65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709.65</v>
          </cell>
          <cell r="BD73">
            <v>2737.72</v>
          </cell>
          <cell r="BE73"/>
          <cell r="BF73">
            <v>2737.72</v>
          </cell>
        </row>
        <row r="74">
          <cell r="A74" t="str">
            <v>MARIANE APARECIDA MOREIRA DE CRISTOFANO</v>
          </cell>
          <cell r="B74">
            <v>46054</v>
          </cell>
          <cell r="C74" t="str">
            <v>CLT</v>
          </cell>
          <cell r="D74" t="str">
            <v>G3S FL 10 - PRES PRUD</v>
          </cell>
          <cell r="E74"/>
          <cell r="F74"/>
          <cell r="G74" t="str">
            <v>20.947.332/0010-86</v>
          </cell>
          <cell r="H74" t="str">
            <v>GESTÃO DE GENTE</v>
          </cell>
          <cell r="I74" t="str">
            <v>SEGURANCA DO TRABALHO</v>
          </cell>
          <cell r="J74" t="str">
            <v>PILARES</v>
          </cell>
          <cell r="K74">
            <v>44271</v>
          </cell>
          <cell r="L74"/>
          <cell r="M74"/>
          <cell r="N74" t="str">
            <v>1.1.10 PESSOAS</v>
          </cell>
          <cell r="O74" t="str">
            <v>ANALISTA DE SESMT</v>
          </cell>
          <cell r="P74">
            <v>4250</v>
          </cell>
          <cell r="Q74">
            <v>4250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193.18</v>
          </cell>
          <cell r="AB74">
            <v>32.200000000000003</v>
          </cell>
          <cell r="AC74">
            <v>0</v>
          </cell>
          <cell r="AD74">
            <v>0</v>
          </cell>
          <cell r="AE74">
            <v>263.02</v>
          </cell>
          <cell r="AF74">
            <v>0</v>
          </cell>
          <cell r="AG74">
            <v>4738.3999999999996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4738.3999999999996</v>
          </cell>
          <cell r="BE74"/>
          <cell r="BF74">
            <v>4738.3999999999996</v>
          </cell>
        </row>
        <row r="75">
          <cell r="A75" t="str">
            <v>MAURICIO ANTONIO SALETE</v>
          </cell>
          <cell r="B75">
            <v>46054</v>
          </cell>
          <cell r="C75" t="str">
            <v>CLT</v>
          </cell>
          <cell r="D75" t="str">
            <v>G3S  FL 04 - PRES PRUD</v>
          </cell>
          <cell r="E75"/>
          <cell r="F75"/>
          <cell r="G75" t="str">
            <v>20.947.332/0004-38</v>
          </cell>
          <cell r="H75" t="str">
            <v>OPERACIONAL</v>
          </cell>
          <cell r="I75" t="str">
            <v>PATIO</v>
          </cell>
          <cell r="J75" t="str">
            <v>SELETIVA PRESIDENTE PRUDENTE</v>
          </cell>
          <cell r="K75">
            <v>44942</v>
          </cell>
          <cell r="N75" t="str">
            <v>1.2.5.3 OPERACIONAL</v>
          </cell>
          <cell r="O75" t="str">
            <v>GERENTE DE PATIO SENIOR</v>
          </cell>
          <cell r="P75">
            <v>3679.83</v>
          </cell>
          <cell r="Q75">
            <v>3679.83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1103.95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119.93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4903.71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481.93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481.93</v>
          </cell>
          <cell r="BD75">
            <v>5385.64</v>
          </cell>
          <cell r="BE75"/>
          <cell r="BF75">
            <v>5385.64</v>
          </cell>
        </row>
        <row r="76">
          <cell r="A76" t="str">
            <v>MELISSA DE FREITAS ORRIGO</v>
          </cell>
          <cell r="B76">
            <v>46054</v>
          </cell>
          <cell r="C76" t="str">
            <v>ESTÁGIO</v>
          </cell>
          <cell r="D76" t="str">
            <v>G3S FL 10 - PRES PRUD</v>
          </cell>
          <cell r="E76"/>
          <cell r="F76"/>
          <cell r="G76" t="str">
            <v>20.947.332/0010-86</v>
          </cell>
          <cell r="H76" t="str">
            <v>COMERCIAL</v>
          </cell>
          <cell r="I76" t="str">
            <v>COMERCIAL</v>
          </cell>
          <cell r="J76" t="str">
            <v>SELETIVA CORPORATIVO SUCATA</v>
          </cell>
          <cell r="K76">
            <v>45824</v>
          </cell>
          <cell r="M76"/>
          <cell r="N76" t="str">
            <v>1.2.1.1 APOIO</v>
          </cell>
          <cell r="O76" t="str">
            <v>AUXILIAR COMERCIAL - ESTAGIARIO</v>
          </cell>
          <cell r="P76">
            <v>1000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1000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1000</v>
          </cell>
          <cell r="BD76">
            <v>1000</v>
          </cell>
          <cell r="BE76"/>
          <cell r="BF76">
            <v>1000</v>
          </cell>
        </row>
        <row r="77">
          <cell r="A77" t="str">
            <v>MONIQUE ISABELE DE LIMA</v>
          </cell>
          <cell r="B77">
            <v>46054</v>
          </cell>
          <cell r="C77" t="str">
            <v>CLT</v>
          </cell>
          <cell r="D77" t="str">
            <v>G S MATRIZ - PRES PRUD</v>
          </cell>
          <cell r="E77"/>
          <cell r="F77"/>
          <cell r="G77" t="str">
            <v>20.504.237/0001-17</v>
          </cell>
          <cell r="H77" t="str">
            <v>TRANSMOVE</v>
          </cell>
          <cell r="I77" t="str">
            <v>ADMINISTRATIVO</v>
          </cell>
          <cell r="J77" t="str">
            <v>TRANSMOVE GSL</v>
          </cell>
          <cell r="K77">
            <v>44274</v>
          </cell>
          <cell r="N77" t="str">
            <v>1.4.1.2 ADMINISTRATIVO</v>
          </cell>
          <cell r="O77" t="str">
            <v>ANALISTA ADMINISTRATIVO SENIOR</v>
          </cell>
          <cell r="P77">
            <v>2950</v>
          </cell>
          <cell r="Q77">
            <v>2950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225.61</v>
          </cell>
          <cell r="AB77">
            <v>37.6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3213.21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840</v>
          </cell>
          <cell r="AM77">
            <v>0</v>
          </cell>
          <cell r="AN77">
            <v>0</v>
          </cell>
          <cell r="AO77">
            <v>0</v>
          </cell>
          <cell r="AP77">
            <v>150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990</v>
          </cell>
          <cell r="BD77">
            <v>4203.21</v>
          </cell>
          <cell r="BE77"/>
          <cell r="BF77">
            <v>4203.21</v>
          </cell>
        </row>
        <row r="78">
          <cell r="A78" t="str">
            <v>MURILO LIMA DE CARVALHO SILVA</v>
          </cell>
          <cell r="B78">
            <v>46054</v>
          </cell>
          <cell r="C78" t="str">
            <v>CLT</v>
          </cell>
          <cell r="D78" t="str">
            <v>G3S FL 05 - PRES PRUD</v>
          </cell>
          <cell r="E78"/>
          <cell r="F78"/>
          <cell r="G78" t="str">
            <v>20.947.332/0005-19</v>
          </cell>
          <cell r="H78" t="str">
            <v>ADMINISTRATIVO</v>
          </cell>
          <cell r="I78" t="str">
            <v>FINANCEIRO</v>
          </cell>
          <cell r="J78" t="str">
            <v>BRACOFER</v>
          </cell>
          <cell r="K78">
            <v>45962</v>
          </cell>
          <cell r="L78"/>
          <cell r="M78"/>
          <cell r="N78" t="str">
            <v>1.3.1.1 ADMINISTRATIVO</v>
          </cell>
          <cell r="O78" t="str">
            <v>AUXILIAR FINANCEIRO</v>
          </cell>
          <cell r="P78">
            <v>2098</v>
          </cell>
          <cell r="Q78">
            <v>2098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220.99</v>
          </cell>
          <cell r="AB78">
            <v>36.83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2355.8199999999997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2355.8199999999997</v>
          </cell>
          <cell r="BE78"/>
          <cell r="BF78">
            <v>2355.8199999999997</v>
          </cell>
        </row>
        <row r="79">
          <cell r="A79" t="str">
            <v>NATALIA BAROSSI TREVISAN</v>
          </cell>
          <cell r="B79">
            <v>46054</v>
          </cell>
          <cell r="C79" t="str">
            <v>ESTÁGIO</v>
          </cell>
          <cell r="D79" t="str">
            <v>G3S FL 05 - PRES PRUD</v>
          </cell>
          <cell r="E79"/>
          <cell r="F79"/>
          <cell r="G79" t="str">
            <v>20.947.332/0005-19</v>
          </cell>
          <cell r="H79" t="str">
            <v>COMERCIAL</v>
          </cell>
          <cell r="I79" t="str">
            <v>COMERCIAL</v>
          </cell>
          <cell r="J79" t="str">
            <v>BRACOFER</v>
          </cell>
          <cell r="K79">
            <v>45964</v>
          </cell>
          <cell r="L79">
            <v>46081</v>
          </cell>
          <cell r="M79"/>
          <cell r="N79" t="str">
            <v>1.3.1.1 ADMINISTRATIVO</v>
          </cell>
          <cell r="O79" t="str">
            <v>AUXILIAR COMERCIAL - ESTAGIARIO</v>
          </cell>
          <cell r="P79">
            <v>1000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1597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1597</v>
          </cell>
          <cell r="BD79">
            <v>1597</v>
          </cell>
          <cell r="BE79"/>
          <cell r="BF79">
            <v>1597</v>
          </cell>
        </row>
        <row r="80">
          <cell r="A80" t="str">
            <v>NIVALDO MATEUS</v>
          </cell>
          <cell r="B80">
            <v>46054</v>
          </cell>
          <cell r="C80" t="str">
            <v>CLT</v>
          </cell>
          <cell r="D80" t="str">
            <v>G3S  FL 04 - PRES PRUD</v>
          </cell>
          <cell r="E80"/>
          <cell r="F80"/>
          <cell r="G80" t="str">
            <v>20.947.332/0004-38</v>
          </cell>
          <cell r="H80" t="str">
            <v>OPERACIONAL</v>
          </cell>
          <cell r="I80" t="str">
            <v>PATIO</v>
          </cell>
          <cell r="J80" t="str">
            <v>SELETIVA PRESIDENTE PRUDENTE</v>
          </cell>
          <cell r="K80">
            <v>44166</v>
          </cell>
          <cell r="N80" t="str">
            <v>1.2.5.3 OPERACIONAL</v>
          </cell>
          <cell r="O80" t="str">
            <v>GERENTE DE PATIO SENIOR PP</v>
          </cell>
          <cell r="P80">
            <v>3679.83</v>
          </cell>
          <cell r="Q80">
            <v>3679.83</v>
          </cell>
          <cell r="R80">
            <v>0</v>
          </cell>
          <cell r="S80">
            <v>0</v>
          </cell>
          <cell r="T80">
            <v>735.97</v>
          </cell>
          <cell r="U80">
            <v>0</v>
          </cell>
          <cell r="V80">
            <v>1103.95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179.31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5699.06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450</v>
          </cell>
          <cell r="AQ80">
            <v>0</v>
          </cell>
          <cell r="AR80">
            <v>481.93</v>
          </cell>
          <cell r="AS80">
            <v>0</v>
          </cell>
          <cell r="AT80">
            <v>0</v>
          </cell>
          <cell r="AU80">
            <v>1344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2275.9300000000003</v>
          </cell>
          <cell r="BD80">
            <v>7974.9900000000007</v>
          </cell>
          <cell r="BE80"/>
          <cell r="BF80">
            <v>7974.9900000000007</v>
          </cell>
        </row>
        <row r="81">
          <cell r="A81" t="str">
            <v>PABLO HENRYQUE BARBOSA DE CASTRO</v>
          </cell>
          <cell r="B81">
            <v>46054</v>
          </cell>
          <cell r="C81" t="str">
            <v>CLT</v>
          </cell>
          <cell r="D81" t="str">
            <v>G3S FL 06 - MARINGA</v>
          </cell>
          <cell r="E81"/>
          <cell r="F81"/>
          <cell r="G81" t="str">
            <v>20.947.332/0006-08</v>
          </cell>
          <cell r="H81" t="str">
            <v>OPERACIONAL</v>
          </cell>
          <cell r="I81" t="str">
            <v>PATIO</v>
          </cell>
          <cell r="J81" t="str">
            <v>SELETIVA MARINGA DISTRITO</v>
          </cell>
          <cell r="K81">
            <v>46076</v>
          </cell>
          <cell r="N81" t="str">
            <v>1.2.4.3 OPERACIONAL</v>
          </cell>
          <cell r="O81" t="str">
            <v>CLASSIFICADOR PLENO</v>
          </cell>
          <cell r="P81">
            <v>2333.09</v>
          </cell>
          <cell r="Q81">
            <v>622.16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622.16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1710.93</v>
          </cell>
          <cell r="AQ81">
            <v>0</v>
          </cell>
          <cell r="AR81">
            <v>10.28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1721.21</v>
          </cell>
          <cell r="BD81">
            <v>2343.37</v>
          </cell>
          <cell r="BE81"/>
          <cell r="BF81">
            <v>2343.37</v>
          </cell>
        </row>
        <row r="82">
          <cell r="A82" t="str">
            <v>PATRICIA CECILIA GUIDOTTI DE FREITAS</v>
          </cell>
          <cell r="B82">
            <v>46054</v>
          </cell>
          <cell r="C82" t="str">
            <v>CLT</v>
          </cell>
          <cell r="D82" t="str">
            <v>G3S FL 06 - MARINGA</v>
          </cell>
          <cell r="E82"/>
          <cell r="F82"/>
          <cell r="G82" t="str">
            <v>20.947.332/0006-08</v>
          </cell>
          <cell r="H82" t="str">
            <v>ADMINISTRATIVO</v>
          </cell>
          <cell r="I82" t="str">
            <v>ATENDIMENTO</v>
          </cell>
          <cell r="J82" t="str">
            <v>SELETIVA MARINGA DISTRITO</v>
          </cell>
          <cell r="K82">
            <v>45880</v>
          </cell>
          <cell r="N82" t="str">
            <v>1.2.4.1 ADMINISTRATIVO</v>
          </cell>
          <cell r="O82" t="str">
            <v>AUX ADMINISTRATIVO PLENO</v>
          </cell>
          <cell r="P82">
            <v>2650</v>
          </cell>
          <cell r="Q82">
            <v>2650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515.91999999999996</v>
          </cell>
          <cell r="AB82">
            <v>85.99</v>
          </cell>
          <cell r="AC82">
            <v>0</v>
          </cell>
          <cell r="AD82">
            <v>0</v>
          </cell>
          <cell r="AE82">
            <v>0</v>
          </cell>
          <cell r="AF82">
            <v>265</v>
          </cell>
          <cell r="AG82">
            <v>3516.91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10.28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10.28</v>
          </cell>
          <cell r="BD82">
            <v>3527.19</v>
          </cell>
          <cell r="BE82"/>
          <cell r="BF82">
            <v>3527.19</v>
          </cell>
        </row>
        <row r="83">
          <cell r="A83" t="str">
            <v>PATRICIA DANIELLE SILVA</v>
          </cell>
          <cell r="B83">
            <v>46054</v>
          </cell>
          <cell r="C83" t="str">
            <v>CLT</v>
          </cell>
          <cell r="D83" t="str">
            <v>G3S CMATRIZ - CAMPO GRANDE</v>
          </cell>
          <cell r="E83"/>
          <cell r="F83"/>
          <cell r="G83" t="str">
            <v>20.947.332/0001-95</v>
          </cell>
          <cell r="H83" t="str">
            <v>ADMINISTRATIVO</v>
          </cell>
          <cell r="I83" t="str">
            <v>ATENDIMENTO</v>
          </cell>
          <cell r="J83" t="str">
            <v>SELETIVA C GRANDE</v>
          </cell>
          <cell r="K83">
            <v>45733</v>
          </cell>
          <cell r="N83" t="str">
            <v>1.2.7.1 ADMINISTRATIVO</v>
          </cell>
          <cell r="O83" t="str">
            <v>AUX ADMINISTRATIVO PLENO</v>
          </cell>
          <cell r="P83">
            <v>2650</v>
          </cell>
          <cell r="Q83">
            <v>2650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265</v>
          </cell>
          <cell r="AG83">
            <v>2915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520.45000000000005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520.45000000000005</v>
          </cell>
          <cell r="BD83">
            <v>3435.45</v>
          </cell>
          <cell r="BE83"/>
          <cell r="BF83">
            <v>3435.45</v>
          </cell>
        </row>
        <row r="84">
          <cell r="A84" t="str">
            <v>PATRICIO SANTANA DA SILVA THEODORO</v>
          </cell>
          <cell r="B84">
            <v>46054</v>
          </cell>
          <cell r="C84" t="str">
            <v>CLT</v>
          </cell>
          <cell r="D84" t="str">
            <v>G S FL 04 - MARINGA</v>
          </cell>
          <cell r="G84" t="str">
            <v>20.504.237/0004-60</v>
          </cell>
          <cell r="H84" t="str">
            <v>OPERACIONAL</v>
          </cell>
          <cell r="I84" t="str">
            <v>PATIO</v>
          </cell>
          <cell r="J84" t="str">
            <v>SELETIVA MARINGA DISTRITO</v>
          </cell>
          <cell r="K84">
            <v>41276</v>
          </cell>
          <cell r="L84"/>
          <cell r="M84"/>
          <cell r="N84" t="str">
            <v>1.2.4.3 OPERACIONAL</v>
          </cell>
          <cell r="O84" t="str">
            <v>OPERADOR MANTENEDOR SENIOR</v>
          </cell>
          <cell r="P84">
            <v>3354.5</v>
          </cell>
          <cell r="Q84">
            <v>3354.5</v>
          </cell>
          <cell r="R84">
            <v>0</v>
          </cell>
          <cell r="S84">
            <v>0</v>
          </cell>
          <cell r="T84">
            <v>670.9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1817.33</v>
          </cell>
          <cell r="AB84">
            <v>302.89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6145.62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10.28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10.28</v>
          </cell>
          <cell r="BD84">
            <v>6155.9</v>
          </cell>
          <cell r="BE84"/>
          <cell r="BF84">
            <v>6155.9</v>
          </cell>
        </row>
        <row r="85">
          <cell r="A85" t="str">
            <v>PAULO DIAS CORREA</v>
          </cell>
          <cell r="B85">
            <v>46054</v>
          </cell>
          <cell r="C85" t="str">
            <v>CLT</v>
          </cell>
          <cell r="D85" t="str">
            <v>G3S FL 05 - PRES PRUD</v>
          </cell>
          <cell r="G85" t="str">
            <v>20.947.332/0005-19</v>
          </cell>
          <cell r="H85" t="str">
            <v>LOGISTICA</v>
          </cell>
          <cell r="I85" t="str">
            <v>TRANSPORTE</v>
          </cell>
          <cell r="J85" t="str">
            <v>BRACOFER</v>
          </cell>
          <cell r="K85">
            <v>43888</v>
          </cell>
          <cell r="L85"/>
          <cell r="N85" t="str">
            <v>1.3.1.4 LOGISTICA</v>
          </cell>
          <cell r="O85" t="str">
            <v>MOTORISTA TRUCK MANTENEDOR SENIOR</v>
          </cell>
          <cell r="P85">
            <v>2700</v>
          </cell>
          <cell r="Q85">
            <v>2700</v>
          </cell>
          <cell r="R85">
            <v>0</v>
          </cell>
          <cell r="S85">
            <v>0</v>
          </cell>
          <cell r="T85">
            <v>540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135</v>
          </cell>
          <cell r="Z85">
            <v>0</v>
          </cell>
          <cell r="AA85">
            <v>207.1</v>
          </cell>
          <cell r="AB85">
            <v>34.520000000000003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3616.62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612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612</v>
          </cell>
          <cell r="BD85">
            <v>4228.62</v>
          </cell>
          <cell r="BE85"/>
          <cell r="BF85">
            <v>4228.62</v>
          </cell>
        </row>
        <row r="86">
          <cell r="A86" t="str">
            <v>PAULO VITOR TOOKUNI DE LIMA</v>
          </cell>
          <cell r="B86">
            <v>46054</v>
          </cell>
          <cell r="C86" t="str">
            <v>CLT</v>
          </cell>
          <cell r="D86" t="str">
            <v>G3S  FL 08 - LONDRINA</v>
          </cell>
          <cell r="G86" t="str">
            <v>20.947.332/0008-61</v>
          </cell>
          <cell r="H86" t="str">
            <v>OPERACIONAL</v>
          </cell>
          <cell r="I86" t="str">
            <v>PATIO</v>
          </cell>
          <cell r="J86" t="str">
            <v>SELETIVA LONDRINA</v>
          </cell>
          <cell r="K86">
            <v>45027</v>
          </cell>
          <cell r="L86"/>
          <cell r="M86"/>
          <cell r="N86" t="str">
            <v>1.2.3.3 OPERACIONAL</v>
          </cell>
          <cell r="O86" t="str">
            <v>GERENTE DE PATIO SENIOR</v>
          </cell>
          <cell r="P86">
            <v>3679.83</v>
          </cell>
          <cell r="Q86">
            <v>3679.83</v>
          </cell>
          <cell r="R86">
            <v>0</v>
          </cell>
          <cell r="S86">
            <v>0</v>
          </cell>
          <cell r="T86">
            <v>735.97</v>
          </cell>
          <cell r="U86">
            <v>0</v>
          </cell>
          <cell r="V86">
            <v>1103.95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190.01</v>
          </cell>
          <cell r="AB86">
            <v>31.67</v>
          </cell>
          <cell r="AC86">
            <v>0</v>
          </cell>
          <cell r="AD86">
            <v>0</v>
          </cell>
          <cell r="AE86">
            <v>1825.52</v>
          </cell>
          <cell r="AF86">
            <v>0</v>
          </cell>
          <cell r="AG86">
            <v>7566.9500000000007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373.36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373.36</v>
          </cell>
          <cell r="BD86">
            <v>7940.31</v>
          </cell>
          <cell r="BE86"/>
          <cell r="BF86">
            <v>7940.31</v>
          </cell>
        </row>
        <row r="87">
          <cell r="A87" t="str">
            <v>PEDRO FELIPE PINA DO NASCIMENTO</v>
          </cell>
          <cell r="B87">
            <v>46054</v>
          </cell>
          <cell r="C87" t="str">
            <v>CLT</v>
          </cell>
          <cell r="D87" t="str">
            <v>G3S CMATRIZ - CAMPO GRANDE</v>
          </cell>
          <cell r="E87"/>
          <cell r="F87"/>
          <cell r="G87" t="str">
            <v>20.947.332/0001-95</v>
          </cell>
          <cell r="H87" t="str">
            <v>OPERACIONAL</v>
          </cell>
          <cell r="I87" t="str">
            <v>PATIO</v>
          </cell>
          <cell r="J87" t="str">
            <v>SELETIVA C GRANDE</v>
          </cell>
          <cell r="K87">
            <v>46001</v>
          </cell>
          <cell r="L87"/>
          <cell r="M87"/>
          <cell r="N87" t="str">
            <v>1.2.7.3 OPERACIONAL</v>
          </cell>
          <cell r="O87" t="str">
            <v>AUXILIAR DE PATIO JUNIOR</v>
          </cell>
          <cell r="P87">
            <v>2155</v>
          </cell>
          <cell r="Q87">
            <v>2155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2155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520.45000000000005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520.45000000000005</v>
          </cell>
          <cell r="BD87">
            <v>2675.45</v>
          </cell>
          <cell r="BE87"/>
          <cell r="BF87">
            <v>2675.45</v>
          </cell>
        </row>
        <row r="88">
          <cell r="A88" t="str">
            <v>PEDRO MARQUES GUARNIERI</v>
          </cell>
          <cell r="B88">
            <v>46054</v>
          </cell>
          <cell r="C88" t="str">
            <v>ESTÁGIO</v>
          </cell>
          <cell r="D88" t="str">
            <v>G3S FL 10 - PRES PRUD</v>
          </cell>
          <cell r="G88" t="str">
            <v>20.947.332/0010-86</v>
          </cell>
          <cell r="H88" t="str">
            <v>ADMINISTRATIVO</v>
          </cell>
          <cell r="I88" t="str">
            <v>QUALIDADE</v>
          </cell>
          <cell r="J88" t="str">
            <v>PILARES</v>
          </cell>
          <cell r="K88">
            <v>45790</v>
          </cell>
          <cell r="L88"/>
          <cell r="M88" t="str">
            <v>HUGO</v>
          </cell>
          <cell r="N88" t="str">
            <v>1.1.5 QUALIDADE</v>
          </cell>
          <cell r="O88" t="str">
            <v>AUXILIAR ADMINISTRATIVO - ESTAGIARIO(A)</v>
          </cell>
          <cell r="P88">
            <v>1000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1000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1000</v>
          </cell>
          <cell r="BD88">
            <v>1000</v>
          </cell>
          <cell r="BE88"/>
          <cell r="BF88">
            <v>1000</v>
          </cell>
        </row>
        <row r="89">
          <cell r="A89" t="str">
            <v>POLIANA CORREA DA SILVA</v>
          </cell>
          <cell r="B89">
            <v>46054</v>
          </cell>
          <cell r="C89" t="str">
            <v>CLT</v>
          </cell>
          <cell r="D89" t="str">
            <v>G3S  FL 03 - DOURADOS</v>
          </cell>
          <cell r="G89" t="str">
            <v>20.947.332/0003-57</v>
          </cell>
          <cell r="H89" t="str">
            <v>ADMINISTRATIVO</v>
          </cell>
          <cell r="I89" t="str">
            <v>ATENDIMENTO</v>
          </cell>
          <cell r="J89" t="str">
            <v>SELETIVA DOURADOS</v>
          </cell>
          <cell r="K89">
            <v>45376</v>
          </cell>
          <cell r="L89"/>
          <cell r="M89"/>
          <cell r="N89" t="str">
            <v>1.2.2.1 ADMINISTRATIVO</v>
          </cell>
          <cell r="O89" t="str">
            <v>AUX ADMINISTRATIVO JUNIOR</v>
          </cell>
          <cell r="P89">
            <v>2482.4</v>
          </cell>
          <cell r="Q89">
            <v>2482.4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557.26</v>
          </cell>
          <cell r="AB89">
            <v>92.88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3132.54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570.19000000000005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570.19000000000005</v>
          </cell>
          <cell r="BD89">
            <v>3702.73</v>
          </cell>
          <cell r="BE89"/>
          <cell r="BF89">
            <v>3702.73</v>
          </cell>
        </row>
        <row r="90">
          <cell r="A90" t="str">
            <v>RAFAEL RAMIRES DE ARAUJO</v>
          </cell>
          <cell r="B90">
            <v>46054</v>
          </cell>
          <cell r="C90" t="str">
            <v>CLT</v>
          </cell>
          <cell r="D90" t="str">
            <v>G3S CMATRIZ - CAMPO GRANDE</v>
          </cell>
          <cell r="G90" t="str">
            <v>20.947.332/0001-95</v>
          </cell>
          <cell r="H90" t="str">
            <v>OPERACIONAL</v>
          </cell>
          <cell r="I90" t="str">
            <v>PATIO</v>
          </cell>
          <cell r="J90" t="str">
            <v>SELETIVA C GRANDE</v>
          </cell>
          <cell r="K90">
            <v>46071</v>
          </cell>
          <cell r="L90"/>
          <cell r="M90"/>
          <cell r="N90" t="str">
            <v>1.2.7.3 OPERACIONAL</v>
          </cell>
          <cell r="O90" t="str">
            <v>AUXILIAR DE PATIO JUNIOR</v>
          </cell>
          <cell r="P90">
            <v>2155</v>
          </cell>
          <cell r="Q90">
            <v>933.83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933.83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520.45000000000005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24.76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545.21</v>
          </cell>
          <cell r="BD90">
            <v>1479.04</v>
          </cell>
          <cell r="BE90"/>
          <cell r="BF90">
            <v>1479.04</v>
          </cell>
        </row>
        <row r="91">
          <cell r="A91" t="str">
            <v>RAMON FELIPE DE OLIVEIRA FREITAS</v>
          </cell>
          <cell r="B91">
            <v>46054</v>
          </cell>
          <cell r="C91" t="str">
            <v>CLT</v>
          </cell>
          <cell r="D91" t="str">
            <v>G S FL 06 - CAMPO GRANDE</v>
          </cell>
          <cell r="G91" t="str">
            <v>20.504.237/0006-21</v>
          </cell>
          <cell r="H91" t="str">
            <v>LOGISTICA</v>
          </cell>
          <cell r="I91" t="str">
            <v>TRANSPORTE</v>
          </cell>
          <cell r="J91" t="str">
            <v>SELETIVA C GRANDE</v>
          </cell>
          <cell r="K91">
            <v>44698</v>
          </cell>
          <cell r="L91"/>
          <cell r="M91"/>
          <cell r="N91" t="str">
            <v>1.2.7.4 LOGISTICA</v>
          </cell>
          <cell r="O91" t="str">
            <v>MOTORISTA CARRETEIRO MANTENEDOR PLENO II</v>
          </cell>
          <cell r="P91">
            <v>2746.46</v>
          </cell>
          <cell r="Q91">
            <v>2746.46</v>
          </cell>
          <cell r="R91">
            <v>0</v>
          </cell>
          <cell r="S91">
            <v>0</v>
          </cell>
          <cell r="T91">
            <v>547.66999999999996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4.2</v>
          </cell>
          <cell r="AA91">
            <v>1664.73</v>
          </cell>
          <cell r="AB91">
            <v>277.45999999999998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5240.5199999999995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357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520.45000000000005</v>
          </cell>
          <cell r="AS91">
            <v>0</v>
          </cell>
          <cell r="AT91">
            <v>0</v>
          </cell>
          <cell r="AU91">
            <v>402</v>
          </cell>
          <cell r="AV91">
            <v>0</v>
          </cell>
          <cell r="AW91">
            <v>0</v>
          </cell>
          <cell r="AX91">
            <v>0</v>
          </cell>
          <cell r="AY91">
            <v>96.2</v>
          </cell>
          <cell r="AZ91">
            <v>0</v>
          </cell>
          <cell r="BA91">
            <v>0</v>
          </cell>
          <cell r="BB91">
            <v>0</v>
          </cell>
          <cell r="BC91">
            <v>1375.65</v>
          </cell>
          <cell r="BD91">
            <v>6616.17</v>
          </cell>
          <cell r="BE91"/>
          <cell r="BF91">
            <v>6616.17</v>
          </cell>
        </row>
        <row r="92">
          <cell r="A92" t="str">
            <v>ANDERSON ZANUTO</v>
          </cell>
          <cell r="B92">
            <v>46054</v>
          </cell>
          <cell r="C92" t="str">
            <v>PJ</v>
          </cell>
          <cell r="D92" t="str">
            <v>G3S FL 05 - PRES PRUD</v>
          </cell>
          <cell r="E92">
            <v>5</v>
          </cell>
          <cell r="F92"/>
          <cell r="G92" t="str">
            <v>CONTRATO PJ</v>
          </cell>
          <cell r="H92" t="str">
            <v>BRACOFER</v>
          </cell>
          <cell r="I92" t="str">
            <v>GERENCIA</v>
          </cell>
          <cell r="J92" t="str">
            <v>BRACOFER</v>
          </cell>
          <cell r="K92"/>
          <cell r="L92"/>
          <cell r="M92" t="str">
            <v>MARCONDES</v>
          </cell>
          <cell r="N92" t="str">
            <v>1.3.1.1 ADMINISTRATIVO</v>
          </cell>
          <cell r="O92" t="str">
            <v>GERENTE COMERCIAL</v>
          </cell>
          <cell r="P92">
            <v>12000</v>
          </cell>
          <cell r="Q92">
            <v>12000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12000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12000</v>
          </cell>
          <cell r="BE92"/>
          <cell r="BF92">
            <v>12000</v>
          </cell>
        </row>
        <row r="93">
          <cell r="A93" t="str">
            <v>REGINALDO DELA COSTA</v>
          </cell>
          <cell r="B93">
            <v>46054</v>
          </cell>
          <cell r="C93" t="str">
            <v>CLT</v>
          </cell>
          <cell r="D93" t="str">
            <v>G3S FL 05 - PRES PRUD</v>
          </cell>
          <cell r="G93" t="str">
            <v>20.947.332/0005-19</v>
          </cell>
          <cell r="H93" t="str">
            <v>LOGISTICA</v>
          </cell>
          <cell r="I93" t="str">
            <v>TRANSPORTE</v>
          </cell>
          <cell r="J93" t="str">
            <v>BRACOFER</v>
          </cell>
          <cell r="K93">
            <v>43234</v>
          </cell>
          <cell r="L93"/>
          <cell r="N93" t="str">
            <v>1.3.1.4 LOGISTICA</v>
          </cell>
          <cell r="O93" t="str">
            <v>MOTORISTA TRUCK MANTENEDOR SENIOR</v>
          </cell>
          <cell r="P93">
            <v>2700</v>
          </cell>
          <cell r="Q93">
            <v>2700</v>
          </cell>
          <cell r="R93">
            <v>0</v>
          </cell>
          <cell r="S93">
            <v>0</v>
          </cell>
          <cell r="T93">
            <v>540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135</v>
          </cell>
          <cell r="Z93">
            <v>0</v>
          </cell>
          <cell r="AA93">
            <v>838.76</v>
          </cell>
          <cell r="AB93">
            <v>139.79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4353.55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592.73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592.73</v>
          </cell>
          <cell r="BD93">
            <v>4946.2800000000007</v>
          </cell>
          <cell r="BE93"/>
          <cell r="BF93">
            <v>4946.2800000000007</v>
          </cell>
        </row>
        <row r="94">
          <cell r="A94" t="str">
            <v>RIVAEL BARRETO DA SILVA</v>
          </cell>
          <cell r="B94">
            <v>46054</v>
          </cell>
          <cell r="C94" t="str">
            <v>CLT</v>
          </cell>
          <cell r="D94" t="str">
            <v>G S FL 05 - BARUERI</v>
          </cell>
          <cell r="G94" t="str">
            <v>20.504.237/0005-40</v>
          </cell>
          <cell r="H94" t="str">
            <v>OPERACIONAL</v>
          </cell>
          <cell r="I94" t="str">
            <v>TUPY/JOINVILLE - SC</v>
          </cell>
          <cell r="J94" t="str">
            <v>EKIPA LOCACOES E SERV G&amp;S</v>
          </cell>
          <cell r="K94">
            <v>44167</v>
          </cell>
          <cell r="L94"/>
          <cell r="M94"/>
          <cell r="N94" t="str">
            <v>1.7.1.8 TUPY - JOINVILLE/SC</v>
          </cell>
          <cell r="O94" t="str">
            <v>OPERADOR MANTENEDOR SENIOR</v>
          </cell>
          <cell r="P94">
            <v>3158.66</v>
          </cell>
          <cell r="Q94">
            <v>3158.66</v>
          </cell>
          <cell r="R94">
            <v>0</v>
          </cell>
          <cell r="S94">
            <v>0</v>
          </cell>
          <cell r="T94">
            <v>631.73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1.61</v>
          </cell>
          <cell r="AA94">
            <v>295.19</v>
          </cell>
          <cell r="AB94">
            <v>49.2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4136.3900000000003</v>
          </cell>
          <cell r="AH94">
            <v>0</v>
          </cell>
          <cell r="AI94">
            <v>50</v>
          </cell>
          <cell r="AJ94">
            <v>0</v>
          </cell>
          <cell r="AK94">
            <v>0</v>
          </cell>
          <cell r="AL94">
            <v>750</v>
          </cell>
          <cell r="AM94">
            <v>0</v>
          </cell>
          <cell r="AN94">
            <v>0</v>
          </cell>
          <cell r="AO94">
            <v>0</v>
          </cell>
          <cell r="AP94">
            <v>645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1445</v>
          </cell>
          <cell r="BD94">
            <v>5581.39</v>
          </cell>
          <cell r="BE94"/>
          <cell r="BF94">
            <v>5581.39</v>
          </cell>
        </row>
        <row r="95">
          <cell r="A95" t="str">
            <v>ROBERTO DOS SANTOS</v>
          </cell>
          <cell r="B95">
            <v>46054</v>
          </cell>
          <cell r="C95" t="str">
            <v>CLT</v>
          </cell>
          <cell r="D95" t="str">
            <v>G3S FL 05 - PRES PRUD</v>
          </cell>
          <cell r="G95" t="str">
            <v>20.947.332/0005-19</v>
          </cell>
          <cell r="H95" t="str">
            <v>COMERCIAL</v>
          </cell>
          <cell r="I95" t="str">
            <v>VENDAS</v>
          </cell>
          <cell r="J95" t="str">
            <v>BRACOFER</v>
          </cell>
          <cell r="K95">
            <v>43761</v>
          </cell>
          <cell r="L95"/>
          <cell r="M95"/>
          <cell r="N95" t="str">
            <v>1.3.1.2 COMERCIAL</v>
          </cell>
          <cell r="O95" t="str">
            <v>VENDEDOR(A)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5823.49</v>
          </cell>
          <cell r="AD95">
            <v>970.58</v>
          </cell>
          <cell r="AE95">
            <v>0</v>
          </cell>
          <cell r="AF95">
            <v>0</v>
          </cell>
          <cell r="AG95">
            <v>6794.07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6794.07</v>
          </cell>
          <cell r="BE95"/>
          <cell r="BF95">
            <v>6794.07</v>
          </cell>
        </row>
        <row r="96">
          <cell r="A96" t="str">
            <v>ROBERTT FERNANDO SIQUEIRA</v>
          </cell>
          <cell r="B96">
            <v>46054</v>
          </cell>
          <cell r="C96" t="str">
            <v>CLT</v>
          </cell>
          <cell r="D96" t="str">
            <v>G S FL 05 - BARUERI</v>
          </cell>
          <cell r="G96" t="str">
            <v>20.504.237/0005-40</v>
          </cell>
          <cell r="H96" t="str">
            <v>OPERACIONAL</v>
          </cell>
          <cell r="I96" t="str">
            <v>ARCELOR/BARRA MANSA - RJ</v>
          </cell>
          <cell r="J96" t="str">
            <v>EKIPA LOCACOES E SERV G&amp;S</v>
          </cell>
          <cell r="K96">
            <v>45520</v>
          </cell>
          <cell r="L96"/>
          <cell r="M96"/>
          <cell r="N96" t="str">
            <v>1.7.1.3 ARCELOR - BARRA MANS</v>
          </cell>
          <cell r="O96" t="str">
            <v>OPERADOR MANTENEDOR PLENO</v>
          </cell>
          <cell r="P96">
            <v>2816.11</v>
          </cell>
          <cell r="Q96">
            <v>2816.11</v>
          </cell>
          <cell r="R96">
            <v>0</v>
          </cell>
          <cell r="S96">
            <v>0</v>
          </cell>
          <cell r="T96">
            <v>563.22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52.27</v>
          </cell>
          <cell r="AA96">
            <v>252.94</v>
          </cell>
          <cell r="AB96">
            <v>42.16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3726.7</v>
          </cell>
          <cell r="AH96">
            <v>0</v>
          </cell>
          <cell r="AI96">
            <v>250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893.2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1143.2</v>
          </cell>
          <cell r="BD96">
            <v>4869.8999999999996</v>
          </cell>
          <cell r="BE96"/>
          <cell r="BF96">
            <v>4869.8999999999996</v>
          </cell>
        </row>
        <row r="97">
          <cell r="A97" t="str">
            <v>RODOLFO SALU DE OLIVEIRA</v>
          </cell>
          <cell r="B97">
            <v>46054</v>
          </cell>
          <cell r="C97" t="str">
            <v>CLT</v>
          </cell>
          <cell r="D97" t="str">
            <v>G3S  FL 03 - DOURADOS</v>
          </cell>
          <cell r="G97" t="str">
            <v>20.947.332/0003-57</v>
          </cell>
          <cell r="H97" t="str">
            <v>OPERACIONAL</v>
          </cell>
          <cell r="I97" t="str">
            <v>PATIO</v>
          </cell>
          <cell r="J97" t="str">
            <v>SELETIVA DOURADOS</v>
          </cell>
          <cell r="K97">
            <v>45733</v>
          </cell>
          <cell r="L97"/>
          <cell r="M97"/>
          <cell r="N97" t="str">
            <v>1.2.2.3 OPERACIONAL</v>
          </cell>
          <cell r="O97" t="str">
            <v>MACARIQUEIRO PLENO</v>
          </cell>
          <cell r="P97">
            <v>2587.5</v>
          </cell>
          <cell r="Q97">
            <v>2587.5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533.5</v>
          </cell>
          <cell r="AB97">
            <v>88.92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3209.92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570.19000000000005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570.19000000000005</v>
          </cell>
          <cell r="BD97">
            <v>3780.11</v>
          </cell>
          <cell r="BE97"/>
          <cell r="BF97">
            <v>3780.11</v>
          </cell>
        </row>
        <row r="98">
          <cell r="A98" t="str">
            <v>RUBENS DE ARAUJO MOTA</v>
          </cell>
          <cell r="B98">
            <v>46054</v>
          </cell>
          <cell r="C98" t="str">
            <v>CLT</v>
          </cell>
          <cell r="D98" t="str">
            <v>G S FL 04 - MARINGA</v>
          </cell>
          <cell r="G98" t="str">
            <v>20.504.237/0004-60</v>
          </cell>
          <cell r="H98" t="str">
            <v>LOGISTICA</v>
          </cell>
          <cell r="I98" t="str">
            <v>TRANSPORTE</v>
          </cell>
          <cell r="J98" t="str">
            <v>SELETIVA MARINGA DISTRITO</v>
          </cell>
          <cell r="K98">
            <v>45664</v>
          </cell>
          <cell r="L98"/>
          <cell r="M98"/>
          <cell r="N98" t="str">
            <v>1.2.4.4 LOGISTICA</v>
          </cell>
          <cell r="O98" t="str">
            <v>MOTORISTA CARRETEIRO MANTENEDOR SENIOR I</v>
          </cell>
          <cell r="P98">
            <v>3345</v>
          </cell>
          <cell r="Q98">
            <v>3345</v>
          </cell>
          <cell r="R98">
            <v>0</v>
          </cell>
          <cell r="S98">
            <v>0</v>
          </cell>
          <cell r="T98">
            <v>669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1816.03</v>
          </cell>
          <cell r="AB98">
            <v>302.67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6132.7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828.72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10.28</v>
          </cell>
          <cell r="AS98">
            <v>0</v>
          </cell>
          <cell r="AT98">
            <v>0</v>
          </cell>
          <cell r="AU98">
            <v>396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1235</v>
          </cell>
          <cell r="BD98">
            <v>7367.7</v>
          </cell>
          <cell r="BE98"/>
          <cell r="BF98">
            <v>7367.7</v>
          </cell>
        </row>
        <row r="99">
          <cell r="A99" t="str">
            <v>BRUNO JUSTINIANO MATOS</v>
          </cell>
          <cell r="B99">
            <v>46054</v>
          </cell>
          <cell r="C99" t="str">
            <v>PJ</v>
          </cell>
          <cell r="D99" t="str">
            <v>G S FL 06 - CAMPO GRANDE</v>
          </cell>
          <cell r="E99">
            <v>6</v>
          </cell>
          <cell r="F99"/>
          <cell r="G99" t="str">
            <v>CONTRATO PJ</v>
          </cell>
          <cell r="H99" t="str">
            <v>COMERCIAL</v>
          </cell>
          <cell r="I99" t="str">
            <v>COMERCIAL</v>
          </cell>
          <cell r="J99" t="str">
            <v>SELETIVA C GRANDE</v>
          </cell>
          <cell r="K99"/>
          <cell r="L99"/>
          <cell r="M99"/>
          <cell r="N99" t="str">
            <v>1.2.7.2 COMERCIAL</v>
          </cell>
          <cell r="O99" t="str">
            <v>COMPRADOR</v>
          </cell>
          <cell r="P99">
            <v>5000</v>
          </cell>
          <cell r="Q99">
            <v>5000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5000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5000</v>
          </cell>
          <cell r="BE99"/>
          <cell r="BF99">
            <v>5000</v>
          </cell>
        </row>
        <row r="100">
          <cell r="A100" t="str">
            <v>CRISTINA SUGUI</v>
          </cell>
          <cell r="B100">
            <v>46054</v>
          </cell>
          <cell r="C100" t="str">
            <v>PJ</v>
          </cell>
          <cell r="D100" t="str">
            <v>G3S FL 10 - PRES PRUD</v>
          </cell>
          <cell r="E100">
            <v>10</v>
          </cell>
          <cell r="F100"/>
          <cell r="G100" t="str">
            <v>CONTRATO PJ</v>
          </cell>
          <cell r="H100" t="str">
            <v>PILARES</v>
          </cell>
          <cell r="I100" t="str">
            <v>ADMINISTRATIVO</v>
          </cell>
          <cell r="J100" t="str">
            <v>PILARES</v>
          </cell>
          <cell r="K100"/>
          <cell r="L100"/>
          <cell r="M100" t="str">
            <v>RENATO</v>
          </cell>
          <cell r="N100" t="str">
            <v>1.1.2 ADMINISTRATIVO</v>
          </cell>
          <cell r="O100" t="str">
            <v>CONSULTOR</v>
          </cell>
          <cell r="P100">
            <v>12693.34</v>
          </cell>
          <cell r="Q100">
            <v>12693.34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12693.34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12693.34</v>
          </cell>
          <cell r="BE100"/>
          <cell r="BF100">
            <v>12693.34</v>
          </cell>
        </row>
        <row r="101">
          <cell r="A101" t="str">
            <v>EDMILSON DA COSTA LEITAO</v>
          </cell>
          <cell r="B101">
            <v>46054</v>
          </cell>
          <cell r="C101" t="str">
            <v>PJ</v>
          </cell>
          <cell r="D101" t="str">
            <v>G S FL 01 - PRUDENTE</v>
          </cell>
          <cell r="E101">
            <v>1</v>
          </cell>
          <cell r="F101"/>
          <cell r="G101" t="str">
            <v>CONTRATO PJ</v>
          </cell>
          <cell r="H101" t="str">
            <v>OPERACIONAL</v>
          </cell>
          <cell r="I101" t="str">
            <v>MANUTENCAO</v>
          </cell>
          <cell r="J101" t="str">
            <v>SELETIVA CORPORATIVO SUCATA</v>
          </cell>
          <cell r="K101"/>
          <cell r="L101"/>
          <cell r="M101" t="str">
            <v>MARCONDES</v>
          </cell>
          <cell r="N101" t="str">
            <v>1.2.1.1 APOIO</v>
          </cell>
          <cell r="O101" t="str">
            <v>ENCARREGADO MANUT MAQ E EQUIPAMENTOS</v>
          </cell>
          <cell r="P101">
            <v>8500</v>
          </cell>
          <cell r="Q101">
            <v>8500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8500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8500</v>
          </cell>
          <cell r="BE101"/>
          <cell r="BF101">
            <v>8500</v>
          </cell>
        </row>
        <row r="102">
          <cell r="A102" t="str">
            <v>EVALDO JANES DE CANDIDO OLIVIERA</v>
          </cell>
          <cell r="B102">
            <v>46054</v>
          </cell>
          <cell r="C102" t="str">
            <v>PJ</v>
          </cell>
          <cell r="D102" t="str">
            <v>G S FL 05 - BARUERI</v>
          </cell>
          <cell r="E102">
            <v>5</v>
          </cell>
          <cell r="F102"/>
          <cell r="G102" t="str">
            <v>CONTRATO PJ</v>
          </cell>
          <cell r="H102" t="str">
            <v>COMERCIAL</v>
          </cell>
          <cell r="I102" t="str">
            <v>VENDAS</v>
          </cell>
          <cell r="J102" t="str">
            <v>EKIPA LOCACOES E SERV G&amp;S</v>
          </cell>
          <cell r="K102"/>
          <cell r="L102"/>
          <cell r="M102" t="str">
            <v>RENATO</v>
          </cell>
          <cell r="N102" t="str">
            <v>1.7.2.2 COMERCIAL</v>
          </cell>
          <cell r="O102" t="str">
            <v>GERENTE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/>
          <cell r="BF102">
            <v>0</v>
          </cell>
        </row>
        <row r="103">
          <cell r="A103" t="str">
            <v>FERNANDO DA COSTA FERREIRA</v>
          </cell>
          <cell r="B103">
            <v>46054</v>
          </cell>
          <cell r="C103" t="str">
            <v>PJ</v>
          </cell>
          <cell r="D103" t="str">
            <v>G3S  FL 04 - PRES PRUD</v>
          </cell>
          <cell r="E103">
            <v>4</v>
          </cell>
          <cell r="F103"/>
          <cell r="G103" t="str">
            <v>CONTRATO PJ</v>
          </cell>
          <cell r="H103" t="str">
            <v>SELETIVA APOIO</v>
          </cell>
          <cell r="I103" t="str">
            <v>GERENCIA</v>
          </cell>
          <cell r="J103" t="str">
            <v>SELETIVA CORPORATIVO SUCATA</v>
          </cell>
          <cell r="K103"/>
          <cell r="L103"/>
          <cell r="M103" t="str">
            <v>MARCONDES</v>
          </cell>
          <cell r="N103" t="str">
            <v>1.2.1.1 APOIO</v>
          </cell>
          <cell r="O103" t="str">
            <v>GERENTE</v>
          </cell>
          <cell r="P103">
            <v>20647.240000000002</v>
          </cell>
          <cell r="Q103">
            <v>20647.240000000002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20647.240000000002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20647.240000000002</v>
          </cell>
          <cell r="BE103"/>
          <cell r="BF103">
            <v>20647.240000000002</v>
          </cell>
        </row>
        <row r="104">
          <cell r="A104" t="str">
            <v>FRANCISCO CARLOS DA SILVA</v>
          </cell>
          <cell r="B104">
            <v>46054</v>
          </cell>
          <cell r="C104" t="str">
            <v>PJ</v>
          </cell>
          <cell r="D104" t="str">
            <v>G3S  FL 04 - PRES PRUD</v>
          </cell>
          <cell r="E104">
            <v>4</v>
          </cell>
          <cell r="F104"/>
          <cell r="G104" t="str">
            <v>CONTRATO PJ</v>
          </cell>
          <cell r="H104" t="str">
            <v>SELETIVA APOIO</v>
          </cell>
          <cell r="I104" t="str">
            <v>COORDENACAO SP</v>
          </cell>
          <cell r="J104" t="str">
            <v>SELETIVA PRESIDENTE PRUDENTE</v>
          </cell>
          <cell r="K104"/>
          <cell r="L104"/>
          <cell r="M104" t="str">
            <v>MARCONDES</v>
          </cell>
          <cell r="N104" t="str">
            <v>1.2.5.2 COMERCIAL</v>
          </cell>
          <cell r="O104" t="str">
            <v>GERENTE DE COMPRAS</v>
          </cell>
          <cell r="P104">
            <v>8865</v>
          </cell>
          <cell r="Q104">
            <v>8865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8865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8865</v>
          </cell>
          <cell r="BE104"/>
          <cell r="BF104">
            <v>8865</v>
          </cell>
        </row>
        <row r="105">
          <cell r="A105" t="str">
            <v>GIOVANE PORTO</v>
          </cell>
          <cell r="B105">
            <v>46054</v>
          </cell>
          <cell r="C105" t="str">
            <v>PJ</v>
          </cell>
          <cell r="D105" t="str">
            <v>G3S FL 10 - PRES PRUD</v>
          </cell>
          <cell r="E105">
            <v>4</v>
          </cell>
          <cell r="F105"/>
          <cell r="G105" t="str">
            <v>CONTRATO PJ</v>
          </cell>
          <cell r="H105" t="str">
            <v>PILARES</v>
          </cell>
          <cell r="I105" t="str">
            <v>ADMINISTRATIVO</v>
          </cell>
          <cell r="J105" t="str">
            <v>PILARES</v>
          </cell>
          <cell r="K105"/>
          <cell r="L105"/>
          <cell r="M105" t="str">
            <v>RENATO</v>
          </cell>
          <cell r="N105" t="str">
            <v>1.1.2 ADMINISTRATIVO</v>
          </cell>
          <cell r="O105" t="str">
            <v>CONSULTOR</v>
          </cell>
          <cell r="P105">
            <v>6000</v>
          </cell>
          <cell r="Q105">
            <v>6000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6000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6000</v>
          </cell>
          <cell r="BE105"/>
          <cell r="BF105">
            <v>6000</v>
          </cell>
        </row>
        <row r="106">
          <cell r="A106" t="str">
            <v>GISELE APARECIDA TONETTO SANTOS</v>
          </cell>
          <cell r="B106">
            <v>46054</v>
          </cell>
          <cell r="C106" t="str">
            <v>PJ</v>
          </cell>
          <cell r="D106" t="str">
            <v>G3S  FL 04 - PRES PRUD</v>
          </cell>
          <cell r="E106">
            <v>4</v>
          </cell>
          <cell r="F106"/>
          <cell r="G106" t="str">
            <v>CONTRATO PJ</v>
          </cell>
          <cell r="H106" t="str">
            <v>SELETIVA APOIO</v>
          </cell>
          <cell r="I106" t="str">
            <v>ADMINISTRATIVO</v>
          </cell>
          <cell r="J106" t="str">
            <v>SELETIVA CORPORATIVO SUCATA</v>
          </cell>
          <cell r="K106"/>
          <cell r="M106" t="str">
            <v>MARCONDES</v>
          </cell>
          <cell r="N106" t="str">
            <v>1.2.1.1 APOIO</v>
          </cell>
          <cell r="O106" t="str">
            <v>GERENTE ADMINISTRATIVO</v>
          </cell>
          <cell r="P106">
            <v>9175</v>
          </cell>
          <cell r="Q106">
            <v>9175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9175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9175</v>
          </cell>
          <cell r="BE106"/>
          <cell r="BF106">
            <v>9175</v>
          </cell>
        </row>
        <row r="107">
          <cell r="A107" t="str">
            <v>HUGO BIANCHI BOSSOLANI</v>
          </cell>
          <cell r="B107">
            <v>46054</v>
          </cell>
          <cell r="C107" t="str">
            <v>PJ</v>
          </cell>
          <cell r="D107" t="str">
            <v>G3S FL 10 - PRES PRUD</v>
          </cell>
          <cell r="E107">
            <v>4</v>
          </cell>
          <cell r="F107"/>
          <cell r="G107" t="str">
            <v>CONTRATO PJ</v>
          </cell>
          <cell r="H107" t="str">
            <v>PILARES</v>
          </cell>
          <cell r="I107" t="str">
            <v>ADMINISTRATIVO</v>
          </cell>
          <cell r="J107" t="str">
            <v>PILARES</v>
          </cell>
          <cell r="K107"/>
          <cell r="M107" t="str">
            <v>RENATO</v>
          </cell>
          <cell r="N107" t="str">
            <v>1.1.2 ADMINISTRATIVO</v>
          </cell>
          <cell r="O107" t="str">
            <v>CONSULTOR</v>
          </cell>
          <cell r="P107">
            <v>9192.48</v>
          </cell>
          <cell r="Q107">
            <v>9192.48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9192.48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9192.48</v>
          </cell>
          <cell r="BE107"/>
          <cell r="BF107">
            <v>9192.48</v>
          </cell>
        </row>
        <row r="108">
          <cell r="A108" t="str">
            <v>LEONARDO SOARES CAVALHEIRO</v>
          </cell>
          <cell r="B108">
            <v>46054</v>
          </cell>
          <cell r="C108" t="str">
            <v>PJ</v>
          </cell>
          <cell r="D108" t="str">
            <v>G3S  FL 03 - DOURADOS</v>
          </cell>
          <cell r="E108">
            <v>5</v>
          </cell>
          <cell r="F108"/>
          <cell r="G108" t="str">
            <v>CONTRATO PJ</v>
          </cell>
          <cell r="H108" t="str">
            <v>SELETIVA DOURADOS</v>
          </cell>
          <cell r="I108" t="str">
            <v>COMERCIAL</v>
          </cell>
          <cell r="J108" t="str">
            <v>SELETIVA DOURADOS</v>
          </cell>
          <cell r="K108"/>
          <cell r="M108" t="str">
            <v>MARCONDES</v>
          </cell>
          <cell r="N108" t="str">
            <v>1.2.2.2 COMERCIAL</v>
          </cell>
          <cell r="O108" t="str">
            <v>COMPRADOR</v>
          </cell>
          <cell r="P108">
            <v>10000</v>
          </cell>
          <cell r="Q108">
            <v>10000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10000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10000</v>
          </cell>
          <cell r="BE108"/>
          <cell r="BF108">
            <v>10000</v>
          </cell>
        </row>
        <row r="109">
          <cell r="A109" t="str">
            <v>LUCIANO ROGERIO FARIA</v>
          </cell>
          <cell r="B109">
            <v>46054</v>
          </cell>
          <cell r="C109" t="str">
            <v>PJ</v>
          </cell>
          <cell r="D109" t="str">
            <v>G3S FL 10 - PRES PRUD</v>
          </cell>
          <cell r="E109">
            <v>4</v>
          </cell>
          <cell r="F109"/>
          <cell r="G109" t="str">
            <v>CONTRATO PJ</v>
          </cell>
          <cell r="H109" t="str">
            <v>PILARES</v>
          </cell>
          <cell r="I109" t="str">
            <v>QUALIDADE</v>
          </cell>
          <cell r="J109" t="str">
            <v>PILARES</v>
          </cell>
          <cell r="K109"/>
          <cell r="M109" t="str">
            <v>HUGO</v>
          </cell>
          <cell r="N109" t="str">
            <v>1.1.5 QUALIDADE</v>
          </cell>
          <cell r="O109" t="str">
            <v>COORDENADOR DE QUALIDADE</v>
          </cell>
          <cell r="P109">
            <v>8800</v>
          </cell>
          <cell r="Q109">
            <v>8800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8800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8800</v>
          </cell>
          <cell r="BE109"/>
          <cell r="BF109">
            <v>8800</v>
          </cell>
        </row>
        <row r="110">
          <cell r="A110" t="str">
            <v>MARCONDES VALENTIM VICTORINO</v>
          </cell>
          <cell r="B110">
            <v>46054</v>
          </cell>
          <cell r="C110" t="str">
            <v>PJ</v>
          </cell>
          <cell r="D110" t="str">
            <v>G3S  FL 04 - PRES PRUD</v>
          </cell>
          <cell r="E110">
            <v>4</v>
          </cell>
          <cell r="F110"/>
          <cell r="G110" t="str">
            <v>CONTRATO PJ</v>
          </cell>
          <cell r="H110" t="str">
            <v>SELETIVA APOIO</v>
          </cell>
          <cell r="I110" t="str">
            <v>DIRETORIA</v>
          </cell>
          <cell r="J110" t="str">
            <v>SELETIVA CORPORATIVO SUCATA</v>
          </cell>
          <cell r="K110"/>
          <cell r="M110" t="str">
            <v>RENATO</v>
          </cell>
          <cell r="N110" t="str">
            <v>1.2.1.1 APOIO</v>
          </cell>
          <cell r="O110" t="str">
            <v>DIRETOR COMERCIAL COMPRA SUCATA</v>
          </cell>
          <cell r="P110">
            <v>15000</v>
          </cell>
          <cell r="Q110">
            <v>15000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15000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15000</v>
          </cell>
          <cell r="BE110"/>
          <cell r="BF110">
            <v>15000</v>
          </cell>
        </row>
        <row r="111">
          <cell r="A111" t="str">
            <v>MURILO PRADO</v>
          </cell>
          <cell r="B111">
            <v>46054</v>
          </cell>
          <cell r="C111" t="str">
            <v>PJ</v>
          </cell>
          <cell r="D111" t="str">
            <v>G3S FL 10 - PRES PRUD</v>
          </cell>
          <cell r="E111">
            <v>10</v>
          </cell>
          <cell r="F111"/>
          <cell r="G111" t="str">
            <v>CONTRATO PJ</v>
          </cell>
          <cell r="H111" t="str">
            <v>PILARES</v>
          </cell>
          <cell r="I111" t="str">
            <v>ADMINISTRATIVO</v>
          </cell>
          <cell r="J111" t="str">
            <v>PILARES</v>
          </cell>
          <cell r="K111"/>
          <cell r="M111" t="str">
            <v>RENATO</v>
          </cell>
          <cell r="N111" t="str">
            <v>1.1.2 ADMINISTRATIVO</v>
          </cell>
          <cell r="O111" t="str">
            <v>CONSULTOR</v>
          </cell>
          <cell r="P111">
            <v>6000</v>
          </cell>
          <cell r="Q111">
            <v>6000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6000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6000</v>
          </cell>
          <cell r="BE111"/>
          <cell r="BF111">
            <v>6000</v>
          </cell>
        </row>
        <row r="112">
          <cell r="A112" t="str">
            <v>OSWALDO JONATAN PEREIRA DE CASTRO</v>
          </cell>
          <cell r="B112">
            <v>46054</v>
          </cell>
          <cell r="C112" t="str">
            <v>PJ</v>
          </cell>
          <cell r="D112" t="str">
            <v>G3S  FL 04 - PRES PRUD</v>
          </cell>
          <cell r="E112">
            <v>4</v>
          </cell>
          <cell r="F112"/>
          <cell r="G112" t="str">
            <v>CONTRATO PJ</v>
          </cell>
          <cell r="H112" t="str">
            <v>SELETIVA APOIO</v>
          </cell>
          <cell r="I112" t="str">
            <v>GERENCIA</v>
          </cell>
          <cell r="J112" t="str">
            <v>SELETIVA CORPORATIVO SUCATA</v>
          </cell>
          <cell r="K112"/>
          <cell r="M112" t="str">
            <v>MARCONDES</v>
          </cell>
          <cell r="N112" t="str">
            <v>1.2.1.1 APOIO</v>
          </cell>
          <cell r="O112" t="str">
            <v>GERENTE</v>
          </cell>
          <cell r="P112">
            <v>13500</v>
          </cell>
          <cell r="Q112">
            <v>13500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13500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13500</v>
          </cell>
          <cell r="BE112"/>
          <cell r="BF112">
            <v>13500</v>
          </cell>
        </row>
        <row r="113">
          <cell r="A113" t="str">
            <v>RODRIGO DA SILVA NORCIA</v>
          </cell>
          <cell r="B113">
            <v>46054</v>
          </cell>
          <cell r="C113" t="str">
            <v>PJ</v>
          </cell>
          <cell r="D113" t="str">
            <v>G3S FL 06 - MARINGA</v>
          </cell>
          <cell r="E113">
            <v>6</v>
          </cell>
          <cell r="F113"/>
          <cell r="G113" t="str">
            <v>CONTRATO PJ</v>
          </cell>
          <cell r="H113" t="str">
            <v>SELETIVA MARINGA</v>
          </cell>
          <cell r="I113" t="str">
            <v>COMERCIAL</v>
          </cell>
          <cell r="J113" t="str">
            <v>SELETIVA MARINGA</v>
          </cell>
          <cell r="K113"/>
          <cell r="M113" t="str">
            <v>MARCONDES</v>
          </cell>
          <cell r="N113" t="str">
            <v>1.2.4.2 COMERCIAL</v>
          </cell>
          <cell r="O113" t="str">
            <v>COMPRADOR</v>
          </cell>
          <cell r="P113">
            <v>8000</v>
          </cell>
          <cell r="Q113">
            <v>7300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7300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7300</v>
          </cell>
          <cell r="BE113"/>
          <cell r="BF113">
            <v>7300</v>
          </cell>
        </row>
        <row r="114">
          <cell r="A114" t="str">
            <v>VINICIUS AUGUSTO ALVES VILELA</v>
          </cell>
          <cell r="B114">
            <v>46054</v>
          </cell>
          <cell r="C114" t="str">
            <v>PJ</v>
          </cell>
          <cell r="D114" t="str">
            <v>G3S  FL 10 - PRES PRUD</v>
          </cell>
          <cell r="E114">
            <v>10</v>
          </cell>
          <cell r="F114"/>
          <cell r="G114" t="str">
            <v>CONTRATO PJ</v>
          </cell>
          <cell r="H114" t="str">
            <v>ADMINISTRATIVO</v>
          </cell>
          <cell r="I114" t="str">
            <v>SUPRIMENTOS</v>
          </cell>
          <cell r="J114" t="str">
            <v>PILARES</v>
          </cell>
          <cell r="K114">
            <v>45839</v>
          </cell>
          <cell r="M114"/>
          <cell r="N114" t="str">
            <v>1.1.14 SUPRIMENTOS</v>
          </cell>
          <cell r="O114" t="str">
            <v>ANALISTA DE COMPRAS</v>
          </cell>
          <cell r="P114">
            <v>6500</v>
          </cell>
          <cell r="Q114">
            <v>5500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5500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5500</v>
          </cell>
          <cell r="BE114"/>
          <cell r="BF114">
            <v>5500</v>
          </cell>
        </row>
        <row r="115">
          <cell r="A115" t="str">
            <v>SAMUEL FERREIRA CRISTOVAM</v>
          </cell>
          <cell r="B115">
            <v>46054</v>
          </cell>
          <cell r="C115" t="str">
            <v>CLT</v>
          </cell>
          <cell r="D115" t="str">
            <v>G S FL 07 - LONDRINA</v>
          </cell>
          <cell r="E115"/>
          <cell r="F115"/>
          <cell r="G115" t="str">
            <v>20.504.237/0007-02</v>
          </cell>
          <cell r="H115" t="str">
            <v>LOGISTICA</v>
          </cell>
          <cell r="I115" t="str">
            <v>TRANSPORTE</v>
          </cell>
          <cell r="J115" t="str">
            <v>SELETIVA LONDRINA</v>
          </cell>
          <cell r="K115">
            <v>46048</v>
          </cell>
          <cell r="L115">
            <v>46056</v>
          </cell>
          <cell r="N115" t="str">
            <v>1.2.3.4 LOGISTICA</v>
          </cell>
          <cell r="O115" t="str">
            <v>MOTORISTA CARRETEIRO MANTENEDOR SENIOR I</v>
          </cell>
          <cell r="P115">
            <v>3345</v>
          </cell>
          <cell r="Q115">
            <v>0</v>
          </cell>
          <cell r="R115">
            <v>0</v>
          </cell>
          <cell r="S115">
            <v>0</v>
          </cell>
          <cell r="T115">
            <v>66.900000000000006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66.900000000000006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20.260000000000002</v>
          </cell>
          <cell r="AY115">
            <v>0</v>
          </cell>
          <cell r="AZ115">
            <v>2</v>
          </cell>
          <cell r="BA115">
            <v>0</v>
          </cell>
          <cell r="BB115">
            <v>0</v>
          </cell>
          <cell r="BC115">
            <v>22.26</v>
          </cell>
          <cell r="BD115">
            <v>89.160000000000011</v>
          </cell>
          <cell r="BE115"/>
          <cell r="BF115">
            <v>89.160000000000011</v>
          </cell>
        </row>
        <row r="116">
          <cell r="A116" t="str">
            <v>SANDRILEI MOREIRA JUNIOR</v>
          </cell>
          <cell r="B116">
            <v>46054</v>
          </cell>
          <cell r="C116" t="str">
            <v>CLT</v>
          </cell>
          <cell r="D116" t="str">
            <v>G S FL 05 - BARUERI</v>
          </cell>
          <cell r="E116"/>
          <cell r="F116"/>
          <cell r="G116" t="str">
            <v>20.504.237/0005-40</v>
          </cell>
          <cell r="H116" t="str">
            <v>OPERACIONAL</v>
          </cell>
          <cell r="I116" t="str">
            <v>ARCELOR/BARRA MANSA - RJ</v>
          </cell>
          <cell r="J116" t="str">
            <v>EKIPA LOCACOES E SERV G&amp;S</v>
          </cell>
          <cell r="K116">
            <v>45728</v>
          </cell>
          <cell r="N116" t="str">
            <v>1.7.1.3 ARCELOR - BARRA MANS</v>
          </cell>
          <cell r="O116" t="str">
            <v>OPERADOR MANTENEDOR PLENO</v>
          </cell>
          <cell r="P116">
            <v>2816.11</v>
          </cell>
          <cell r="Q116">
            <v>2816.11</v>
          </cell>
          <cell r="R116">
            <v>0</v>
          </cell>
          <cell r="S116">
            <v>0</v>
          </cell>
          <cell r="T116">
            <v>563.22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46.08</v>
          </cell>
          <cell r="AB116">
            <v>7.68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3433.0899999999997</v>
          </cell>
          <cell r="AH116">
            <v>0</v>
          </cell>
          <cell r="AI116">
            <v>250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784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1034</v>
          </cell>
          <cell r="BD116">
            <v>4467.09</v>
          </cell>
          <cell r="BE116"/>
          <cell r="BF116">
            <v>4467.09</v>
          </cell>
        </row>
        <row r="117">
          <cell r="A117" t="str">
            <v>SERGIO LUIZ RIBEIRO</v>
          </cell>
          <cell r="B117">
            <v>46054</v>
          </cell>
          <cell r="C117" t="str">
            <v>CLT</v>
          </cell>
          <cell r="D117" t="str">
            <v>G S FL 05 - BARUERI</v>
          </cell>
          <cell r="E117"/>
          <cell r="F117"/>
          <cell r="G117" t="str">
            <v>20.504.237/0005-40</v>
          </cell>
          <cell r="H117" t="str">
            <v>OPERACIONAL</v>
          </cell>
          <cell r="I117" t="str">
            <v>RESENDE - RJ</v>
          </cell>
          <cell r="J117" t="str">
            <v>EKIPA LOCACOES E SERV G&amp;S</v>
          </cell>
          <cell r="K117">
            <v>45966</v>
          </cell>
          <cell r="N117" t="str">
            <v>1.7.1.2 ARCELOR - RESENDE/RJ</v>
          </cell>
          <cell r="O117" t="str">
            <v>OPERADOR MANTENEDOR SENIOR</v>
          </cell>
          <cell r="P117">
            <v>3158.66</v>
          </cell>
          <cell r="Q117">
            <v>3158.66</v>
          </cell>
          <cell r="R117">
            <v>0</v>
          </cell>
          <cell r="S117">
            <v>0</v>
          </cell>
          <cell r="T117">
            <v>631.73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116.92</v>
          </cell>
          <cell r="AA117">
            <v>241.21</v>
          </cell>
          <cell r="AB117">
            <v>40.200000000000003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4188.7199999999993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1099.44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1099.44</v>
          </cell>
          <cell r="BD117">
            <v>5288.16</v>
          </cell>
          <cell r="BE117"/>
          <cell r="BF117">
            <v>5288.16</v>
          </cell>
        </row>
        <row r="118">
          <cell r="A118" t="str">
            <v>SILVANO VIEIRA DE SANTANA</v>
          </cell>
          <cell r="B118">
            <v>46054</v>
          </cell>
          <cell r="C118" t="str">
            <v>CLT</v>
          </cell>
          <cell r="D118" t="str">
            <v>G S FL 05 - BARUERI</v>
          </cell>
          <cell r="E118"/>
          <cell r="F118"/>
          <cell r="G118" t="str">
            <v>20.504.237/0005-40</v>
          </cell>
          <cell r="H118" t="str">
            <v>LOGISTICA</v>
          </cell>
          <cell r="I118" t="str">
            <v>TRANSPORTE</v>
          </cell>
          <cell r="J118" t="str">
            <v>SELETIVA CORPORATIVO SUCATA</v>
          </cell>
          <cell r="K118">
            <v>44238</v>
          </cell>
          <cell r="N118" t="str">
            <v>1.2.1.8 PRENSA MOVEL</v>
          </cell>
          <cell r="O118" t="str">
            <v>MOTORISTA CARRETEIRO MANTENEDOR SENIOR III</v>
          </cell>
          <cell r="P118">
            <v>3287.33</v>
          </cell>
          <cell r="Q118">
            <v>3287.33</v>
          </cell>
          <cell r="R118">
            <v>0</v>
          </cell>
          <cell r="S118">
            <v>0</v>
          </cell>
          <cell r="T118">
            <v>657.47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726.2</v>
          </cell>
          <cell r="AB118">
            <v>121.03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4792.03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2135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1972.4</v>
          </cell>
          <cell r="AU118">
            <v>3150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7257.4</v>
          </cell>
          <cell r="BD118">
            <v>12049.43</v>
          </cell>
          <cell r="BE118"/>
          <cell r="BF118">
            <v>12049.43</v>
          </cell>
        </row>
        <row r="119">
          <cell r="A119" t="str">
            <v>THAIS BARBOSA DA SILVA ROSA</v>
          </cell>
          <cell r="B119">
            <v>46054</v>
          </cell>
          <cell r="C119" t="str">
            <v>CLT</v>
          </cell>
          <cell r="D119" t="str">
            <v>G3S FL 10 - PRES PRUD</v>
          </cell>
          <cell r="E119"/>
          <cell r="F119"/>
          <cell r="G119" t="str">
            <v>20.947.332/0010-86</v>
          </cell>
          <cell r="H119" t="str">
            <v>COMERCIAL</v>
          </cell>
          <cell r="I119" t="str">
            <v>COMERCIAL</v>
          </cell>
          <cell r="J119" t="str">
            <v>SELETIVA PRESIDENTE PRUDENTE</v>
          </cell>
          <cell r="K119">
            <v>45301</v>
          </cell>
          <cell r="N119" t="str">
            <v>1.2.5.1 ADMINISTRATIVO</v>
          </cell>
          <cell r="O119" t="str">
            <v>AUX ADMINISTRATIVO JUNIOR</v>
          </cell>
          <cell r="P119">
            <v>2465</v>
          </cell>
          <cell r="Q119">
            <v>2465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384.28</v>
          </cell>
          <cell r="AF119">
            <v>246.5</v>
          </cell>
          <cell r="AG119">
            <v>3095.7799999999997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481.93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481.93</v>
          </cell>
          <cell r="BD119">
            <v>3577.7099999999996</v>
          </cell>
          <cell r="BE119"/>
          <cell r="BF119">
            <v>3577.7099999999996</v>
          </cell>
        </row>
        <row r="120">
          <cell r="A120" t="str">
            <v>THAIS SILVA ROCHA</v>
          </cell>
          <cell r="B120">
            <v>46054</v>
          </cell>
          <cell r="C120" t="str">
            <v>CLT</v>
          </cell>
          <cell r="D120" t="str">
            <v>G S MATRIZ - PRES PRUD</v>
          </cell>
          <cell r="E120"/>
          <cell r="F120"/>
          <cell r="G120" t="str">
            <v>20.504.237/0001-17</v>
          </cell>
          <cell r="H120" t="str">
            <v>TRANSMOVE</v>
          </cell>
          <cell r="I120" t="str">
            <v>ADMINISTRATIVO</v>
          </cell>
          <cell r="J120" t="str">
            <v>EKIPA LOCACOES E SERV G&amp;S</v>
          </cell>
          <cell r="K120">
            <v>45931</v>
          </cell>
          <cell r="N120" t="str">
            <v>1.7.1.1 APOIO</v>
          </cell>
          <cell r="O120" t="str">
            <v>ANALISTA ADMINISTRATIVO OPERACIONAL JUNIOR</v>
          </cell>
          <cell r="P120">
            <v>2500</v>
          </cell>
          <cell r="Q120">
            <v>2500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2500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2500</v>
          </cell>
          <cell r="BE120"/>
          <cell r="BF120">
            <v>2500</v>
          </cell>
        </row>
        <row r="121">
          <cell r="A121" t="str">
            <v>THAYNA RANI FERNANDES ALMEIDA</v>
          </cell>
          <cell r="B121">
            <v>46054</v>
          </cell>
          <cell r="C121" t="str">
            <v>CLT</v>
          </cell>
          <cell r="D121" t="str">
            <v>G3S FL 05 - PRES PRUD</v>
          </cell>
          <cell r="E121"/>
          <cell r="F121"/>
          <cell r="G121" t="str">
            <v>20.947.332/0005-19</v>
          </cell>
          <cell r="H121" t="str">
            <v>ADMINISTRATIVO</v>
          </cell>
          <cell r="I121" t="str">
            <v>CONTABILIDADE</v>
          </cell>
          <cell r="J121" t="str">
            <v>BRACOFER</v>
          </cell>
          <cell r="K121">
            <v>44980</v>
          </cell>
          <cell r="L121">
            <v>46074</v>
          </cell>
          <cell r="N121" t="str">
            <v>1.3.1.1 ADMINISTRATIVO</v>
          </cell>
          <cell r="O121" t="str">
            <v>ANALISTA CONTABIL PLENO</v>
          </cell>
          <cell r="P121">
            <v>3180</v>
          </cell>
          <cell r="Q121">
            <v>0</v>
          </cell>
          <cell r="R121">
            <v>0</v>
          </cell>
          <cell r="S121">
            <v>2279.12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5.59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2284.71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2284.71</v>
          </cell>
          <cell r="BE121"/>
          <cell r="BF121">
            <v>2284.71</v>
          </cell>
        </row>
        <row r="122">
          <cell r="A122" t="str">
            <v>THIAGO OLIVEIRA DOS SANTOS</v>
          </cell>
          <cell r="B122">
            <v>46054</v>
          </cell>
          <cell r="C122" t="str">
            <v>CLT</v>
          </cell>
          <cell r="D122" t="str">
            <v>G3S FL 05 - PRES PRUD</v>
          </cell>
          <cell r="E122"/>
          <cell r="F122"/>
          <cell r="G122" t="str">
            <v>20.947.332/0005-19</v>
          </cell>
          <cell r="H122" t="str">
            <v>OPERACIONAL</v>
          </cell>
          <cell r="I122" t="str">
            <v>CORTE E DOBRA</v>
          </cell>
          <cell r="J122" t="str">
            <v>BRACOFER</v>
          </cell>
          <cell r="K122">
            <v>41786</v>
          </cell>
          <cell r="N122" t="str">
            <v>1.3.1.5 CORTE E DOBRA</v>
          </cell>
          <cell r="O122" t="str">
            <v>GERENTE DE PATIO JUNIOR</v>
          </cell>
          <cell r="P122">
            <v>3056.81</v>
          </cell>
          <cell r="Q122">
            <v>3056.81</v>
          </cell>
          <cell r="R122">
            <v>0</v>
          </cell>
          <cell r="S122">
            <v>0</v>
          </cell>
          <cell r="T122">
            <v>590.98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86.99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3734.7799999999997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3734.7799999999997</v>
          </cell>
          <cell r="BE122"/>
          <cell r="BF122">
            <v>3734.7799999999997</v>
          </cell>
        </row>
        <row r="123">
          <cell r="A123" t="str">
            <v>WAGNER CALDEIRA DA SILVA JUNIOR</v>
          </cell>
          <cell r="B123">
            <v>46054</v>
          </cell>
          <cell r="C123" t="str">
            <v>PJ</v>
          </cell>
          <cell r="D123" t="str">
            <v>G S FL 05 - BARUERI</v>
          </cell>
          <cell r="E123">
            <v>5</v>
          </cell>
          <cell r="F123"/>
          <cell r="G123" t="str">
            <v>CONTRATO PJ</v>
          </cell>
          <cell r="H123" t="str">
            <v>OPERACIONAL</v>
          </cell>
          <cell r="I123" t="str">
            <v>MANUTENCAO</v>
          </cell>
          <cell r="J123" t="str">
            <v>EKIPA LOCACOES E SERV G&amp;S</v>
          </cell>
          <cell r="K123">
            <v>42826</v>
          </cell>
          <cell r="M123"/>
          <cell r="N123" t="str">
            <v>1.1.15 MANUTENCAO DE MAQUINA</v>
          </cell>
          <cell r="O123" t="str">
            <v>ENCARREGADO MANUT MAQ E EQUIPAMENTOS</v>
          </cell>
          <cell r="P123">
            <v>10000</v>
          </cell>
          <cell r="Q123">
            <v>10000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10000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10000</v>
          </cell>
          <cell r="BE123"/>
          <cell r="BF123">
            <v>10000</v>
          </cell>
        </row>
        <row r="124">
          <cell r="A124" t="str">
            <v>TIAGO LUIS DE SOUZA</v>
          </cell>
          <cell r="B124">
            <v>46054</v>
          </cell>
          <cell r="C124" t="str">
            <v>CLT</v>
          </cell>
          <cell r="D124" t="str">
            <v>G S FL 07 - LONDRINA</v>
          </cell>
          <cell r="E124"/>
          <cell r="F124"/>
          <cell r="G124" t="str">
            <v>20.504.237/0007-02</v>
          </cell>
          <cell r="H124" t="str">
            <v>OPERACIONAL</v>
          </cell>
          <cell r="I124" t="str">
            <v>PATIO</v>
          </cell>
          <cell r="J124" t="str">
            <v>SELETIVA LONDRINA</v>
          </cell>
          <cell r="K124">
            <v>45594</v>
          </cell>
          <cell r="N124" t="str">
            <v>1.2.3.3 OPERACIONAL</v>
          </cell>
          <cell r="O124" t="str">
            <v>OPERADOR MANTENEDOR JR</v>
          </cell>
          <cell r="P124">
            <v>2610</v>
          </cell>
          <cell r="Q124">
            <v>2610</v>
          </cell>
          <cell r="R124">
            <v>0</v>
          </cell>
          <cell r="S124">
            <v>0</v>
          </cell>
          <cell r="T124">
            <v>522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1991.66</v>
          </cell>
          <cell r="AB124">
            <v>331.94</v>
          </cell>
          <cell r="AC124">
            <v>0</v>
          </cell>
          <cell r="AD124">
            <v>0</v>
          </cell>
          <cell r="AE124">
            <v>467.22</v>
          </cell>
          <cell r="AF124">
            <v>0</v>
          </cell>
          <cell r="AG124">
            <v>5922.82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373.36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373.36</v>
          </cell>
          <cell r="BD124">
            <v>6296.1799999999994</v>
          </cell>
          <cell r="BE124"/>
          <cell r="BF124">
            <v>6296.1799999999994</v>
          </cell>
        </row>
        <row r="125">
          <cell r="A125" t="str">
            <v>VALDECI PEREIRA GOMES JUNIOR</v>
          </cell>
          <cell r="B125">
            <v>46054</v>
          </cell>
          <cell r="C125" t="str">
            <v>CLT</v>
          </cell>
          <cell r="D125" t="str">
            <v>G S MATRIZ - PRES PRUD</v>
          </cell>
          <cell r="E125"/>
          <cell r="F125"/>
          <cell r="G125" t="str">
            <v>20.504.237/0001-17</v>
          </cell>
          <cell r="H125" t="str">
            <v>LOGISTICA</v>
          </cell>
          <cell r="I125" t="str">
            <v>TRANSPORTE</v>
          </cell>
          <cell r="J125" t="str">
            <v>SELETIVA PRESIDENTE PRUDENTE</v>
          </cell>
          <cell r="K125">
            <v>45980</v>
          </cell>
          <cell r="L125">
            <v>46076</v>
          </cell>
          <cell r="N125" t="str">
            <v>1.2.5.4 LOGISTICA</v>
          </cell>
          <cell r="O125" t="str">
            <v>MOTORISTA CARRETEIRO MANTENEDOR SENIOR I</v>
          </cell>
          <cell r="P125">
            <v>2925.98</v>
          </cell>
          <cell r="Q125">
            <v>0</v>
          </cell>
          <cell r="R125">
            <v>0</v>
          </cell>
          <cell r="S125">
            <v>0</v>
          </cell>
          <cell r="T125">
            <v>448.65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928.06</v>
          </cell>
          <cell r="AB125">
            <v>195.38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1572.0900000000001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198.67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481.93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680.6</v>
          </cell>
          <cell r="BD125">
            <v>2252.69</v>
          </cell>
          <cell r="BE125"/>
          <cell r="BF125">
            <v>2252.69</v>
          </cell>
        </row>
        <row r="126">
          <cell r="A126" t="str">
            <v>VALTER LEITE VIEIRA</v>
          </cell>
          <cell r="B126">
            <v>46054</v>
          </cell>
          <cell r="C126" t="str">
            <v>CLT</v>
          </cell>
          <cell r="D126" t="str">
            <v>G3S FL 06 - MARINGA</v>
          </cell>
          <cell r="E126"/>
          <cell r="F126"/>
          <cell r="G126" t="str">
            <v>20.947.332/0006-08</v>
          </cell>
          <cell r="H126" t="str">
            <v>OPERACIONAL</v>
          </cell>
          <cell r="I126" t="str">
            <v>PATIO</v>
          </cell>
          <cell r="J126" t="str">
            <v>SELETIVA MARINGA DISTRITO</v>
          </cell>
          <cell r="K126">
            <v>44067</v>
          </cell>
          <cell r="N126" t="str">
            <v>1.2.4.3 OPERACIONAL</v>
          </cell>
          <cell r="O126" t="str">
            <v>GERENTE DE PATIO SENIOR</v>
          </cell>
          <cell r="P126">
            <v>3679.83</v>
          </cell>
          <cell r="Q126">
            <v>3434.51</v>
          </cell>
          <cell r="R126">
            <v>0</v>
          </cell>
          <cell r="S126">
            <v>667.59</v>
          </cell>
          <cell r="T126">
            <v>686.9</v>
          </cell>
          <cell r="U126">
            <v>0</v>
          </cell>
          <cell r="V126">
            <v>1030.3499999999999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455.38</v>
          </cell>
          <cell r="AB126">
            <v>82.8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6357.5300000000007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383.64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3337.95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367.98</v>
          </cell>
          <cell r="BC126">
            <v>4089.5699999999997</v>
          </cell>
          <cell r="BD126">
            <v>10447.1</v>
          </cell>
          <cell r="BE126"/>
          <cell r="BF126">
            <v>10447.1</v>
          </cell>
        </row>
        <row r="127">
          <cell r="A127" t="str">
            <v>VINICIUS LIMA SALDANHA</v>
          </cell>
          <cell r="B127">
            <v>46054</v>
          </cell>
          <cell r="C127" t="str">
            <v>CLT</v>
          </cell>
          <cell r="D127" t="str">
            <v>G3S  FL 03 - DOURADOS</v>
          </cell>
          <cell r="E127"/>
          <cell r="F127"/>
          <cell r="G127" t="str">
            <v>20.947.332/0003-57</v>
          </cell>
          <cell r="H127" t="str">
            <v>OPERACIONAL</v>
          </cell>
          <cell r="I127" t="str">
            <v>PATIO</v>
          </cell>
          <cell r="J127" t="str">
            <v>SELETIVA DOURADOS</v>
          </cell>
          <cell r="K127">
            <v>44700</v>
          </cell>
          <cell r="N127" t="str">
            <v>1.2.2.3 OPERACIONAL</v>
          </cell>
          <cell r="O127" t="str">
            <v>GERENTE DE PATIO SENIOR</v>
          </cell>
          <cell r="P127">
            <v>3679.83</v>
          </cell>
          <cell r="Q127">
            <v>3679.83</v>
          </cell>
          <cell r="R127">
            <v>0</v>
          </cell>
          <cell r="S127">
            <v>0</v>
          </cell>
          <cell r="T127">
            <v>735.97</v>
          </cell>
          <cell r="U127">
            <v>0</v>
          </cell>
          <cell r="V127">
            <v>1103.95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1244.79</v>
          </cell>
          <cell r="AB127">
            <v>207.47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6972.01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570.19000000000005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570.19000000000005</v>
          </cell>
          <cell r="BD127">
            <v>7542.2000000000007</v>
          </cell>
          <cell r="BE127"/>
          <cell r="BF127">
            <v>7542.2000000000007</v>
          </cell>
        </row>
        <row r="128">
          <cell r="A128" t="str">
            <v>WAGNER APARECIDO DO NASCIMENTO</v>
          </cell>
          <cell r="B128">
            <v>46054</v>
          </cell>
          <cell r="C128" t="str">
            <v>CLT</v>
          </cell>
          <cell r="D128" t="str">
            <v>G S FL 05 - BARUERI</v>
          </cell>
          <cell r="E128"/>
          <cell r="F128"/>
          <cell r="G128" t="str">
            <v>20.504.237/0005-40</v>
          </cell>
          <cell r="H128" t="str">
            <v>LOGISTICA</v>
          </cell>
          <cell r="I128" t="str">
            <v>PRENSA MOVEL</v>
          </cell>
          <cell r="J128" t="str">
            <v>SELETIVA CORPORATIVO SUCATA</v>
          </cell>
          <cell r="K128">
            <v>43858</v>
          </cell>
          <cell r="N128" t="str">
            <v>1.2.1.8 PRENSA MOVEL</v>
          </cell>
          <cell r="O128" t="str">
            <v>MOTORISTA CARRETEIRO MANTENEDOR SENIOR II</v>
          </cell>
          <cell r="P128">
            <v>3091.39</v>
          </cell>
          <cell r="Q128">
            <v>3091.39</v>
          </cell>
          <cell r="R128">
            <v>0</v>
          </cell>
          <cell r="S128">
            <v>0</v>
          </cell>
          <cell r="T128">
            <v>618.28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674.49</v>
          </cell>
          <cell r="AB128">
            <v>112.42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4496.58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2205</v>
          </cell>
          <cell r="AM128">
            <v>0</v>
          </cell>
          <cell r="AN128">
            <v>0</v>
          </cell>
          <cell r="AO128">
            <v>0</v>
          </cell>
          <cell r="AP128">
            <v>250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2730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5185</v>
          </cell>
          <cell r="BD128">
            <v>9681.58</v>
          </cell>
          <cell r="BE128"/>
          <cell r="BF128">
            <v>9681.58</v>
          </cell>
        </row>
        <row r="129">
          <cell r="A129" t="str">
            <v>WALLANCE ALIEL FURTADO</v>
          </cell>
          <cell r="B129">
            <v>46054</v>
          </cell>
          <cell r="C129" t="str">
            <v>CLT</v>
          </cell>
          <cell r="D129" t="str">
            <v>G S FL 05 - BARUERI</v>
          </cell>
          <cell r="E129"/>
          <cell r="F129"/>
          <cell r="G129" t="str">
            <v>20.504.237/0005-40</v>
          </cell>
          <cell r="H129" t="str">
            <v>OPERACIONAL</v>
          </cell>
          <cell r="I129" t="str">
            <v>ARCELOR/BARRA MANSA - RJ</v>
          </cell>
          <cell r="J129" t="str">
            <v>EKIPA LOCACOES E SERV G&amp;S</v>
          </cell>
          <cell r="K129">
            <v>44876</v>
          </cell>
          <cell r="N129" t="str">
            <v>1.7.1.3 ARCELOR - BARRA MANS</v>
          </cell>
          <cell r="O129" t="str">
            <v>OPERADOR MANTENEDOR SENIOR</v>
          </cell>
          <cell r="P129">
            <v>3158.66</v>
          </cell>
          <cell r="Q129">
            <v>3158.66</v>
          </cell>
          <cell r="R129">
            <v>0</v>
          </cell>
          <cell r="S129">
            <v>0</v>
          </cell>
          <cell r="T129">
            <v>631.73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58.56</v>
          </cell>
          <cell r="AA129">
            <v>252.69</v>
          </cell>
          <cell r="AB129">
            <v>42.12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4143.7599999999993</v>
          </cell>
          <cell r="AH129">
            <v>0</v>
          </cell>
          <cell r="AI129">
            <v>250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893.2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1143.2</v>
          </cell>
          <cell r="BD129">
            <v>5286.9599999999991</v>
          </cell>
          <cell r="BE129"/>
          <cell r="BF129">
            <v>5286.9599999999991</v>
          </cell>
        </row>
        <row r="130">
          <cell r="A130" t="str">
            <v>WILGNER DAVALO DA SILVA</v>
          </cell>
          <cell r="B130">
            <v>46054</v>
          </cell>
          <cell r="C130" t="str">
            <v>CLT</v>
          </cell>
          <cell r="D130" t="str">
            <v>G3S FL 10 - PRES PRUD</v>
          </cell>
          <cell r="E130"/>
          <cell r="F130"/>
          <cell r="G130" t="str">
            <v>20.947.332/0010-86</v>
          </cell>
          <cell r="H130" t="str">
            <v>ADMINISTRATIVO</v>
          </cell>
          <cell r="I130" t="str">
            <v>FINANCEIRO</v>
          </cell>
          <cell r="J130" t="str">
            <v>PILARES</v>
          </cell>
          <cell r="K130">
            <v>45562</v>
          </cell>
          <cell r="N130" t="str">
            <v>1.1.3 FINANCEIRO</v>
          </cell>
          <cell r="O130" t="str">
            <v>ANALISTA FINANCEIRO JUNIOR</v>
          </cell>
          <cell r="P130">
            <v>2656.25</v>
          </cell>
          <cell r="Q130">
            <v>2656.25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163.80000000000001</v>
          </cell>
          <cell r="AF130">
            <v>0</v>
          </cell>
          <cell r="AG130">
            <v>2820.05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2820.05</v>
          </cell>
          <cell r="BE130"/>
          <cell r="BF130">
            <v>2820.05</v>
          </cell>
        </row>
        <row r="131">
          <cell r="A131" t="str">
            <v>WILLIAM CRISTIAN LUPION</v>
          </cell>
          <cell r="B131">
            <v>46054</v>
          </cell>
          <cell r="C131" t="str">
            <v>CLT</v>
          </cell>
          <cell r="D131" t="str">
            <v>G S FL 04 - MARINGA</v>
          </cell>
          <cell r="E131"/>
          <cell r="F131"/>
          <cell r="G131" t="str">
            <v>20.504.237/0004-60</v>
          </cell>
          <cell r="H131" t="str">
            <v>LOGISTICA</v>
          </cell>
          <cell r="I131" t="str">
            <v>TRANSPORTE</v>
          </cell>
          <cell r="J131" t="str">
            <v>SELETIVA MARINGA DISTRITO</v>
          </cell>
          <cell r="K131">
            <v>45117</v>
          </cell>
          <cell r="N131" t="str">
            <v>1.2.4.4 LOGISTICA</v>
          </cell>
          <cell r="O131" t="str">
            <v>MOTORISTA CARRETEIRO MANTENEDOR SENIOR I</v>
          </cell>
          <cell r="P131">
            <v>3345</v>
          </cell>
          <cell r="Q131">
            <v>3345</v>
          </cell>
          <cell r="R131">
            <v>0</v>
          </cell>
          <cell r="S131">
            <v>0</v>
          </cell>
          <cell r="T131">
            <v>669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1.7</v>
          </cell>
          <cell r="AA131">
            <v>2036.8</v>
          </cell>
          <cell r="AB131">
            <v>339.47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6391.97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422.04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10.28</v>
          </cell>
          <cell r="AS131">
            <v>0</v>
          </cell>
          <cell r="AT131">
            <v>0</v>
          </cell>
          <cell r="AU131">
            <v>396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828.31999999999994</v>
          </cell>
          <cell r="BD131">
            <v>7220.29</v>
          </cell>
          <cell r="BE131"/>
          <cell r="BF131">
            <v>7220.29</v>
          </cell>
        </row>
      </sheetData>
      <sheetData sheetId="2"/>
      <sheetData sheetId="3"/>
      <sheetData sheetId="4"/>
      <sheetData sheetId="5"/>
      <sheetData sheetId="6">
        <row r="1">
          <cell r="M1">
            <v>650106.75999999978</v>
          </cell>
        </row>
      </sheetData>
      <sheetData sheetId="7">
        <row r="1">
          <cell r="M1">
            <v>96546.41</v>
          </cell>
        </row>
      </sheetData>
      <sheetData sheetId="8">
        <row r="1">
          <cell r="M1">
            <v>84341.410000000018</v>
          </cell>
        </row>
      </sheetData>
      <sheetData sheetId="9">
        <row r="1">
          <cell r="M1">
            <v>87374.089999999982</v>
          </cell>
        </row>
      </sheetData>
      <sheetData sheetId="10">
        <row r="1">
          <cell r="M1">
            <v>9203.2099999999991</v>
          </cell>
        </row>
      </sheetData>
      <sheetData sheetId="11">
        <row r="1">
          <cell r="M1">
            <v>129969.96000000002</v>
          </cell>
        </row>
      </sheetData>
      <sheetData sheetId="12">
        <row r="1">
          <cell r="M1">
            <v>33583.4</v>
          </cell>
        </row>
      </sheetData>
      <sheetData sheetId="13">
        <row r="1">
          <cell r="M1">
            <v>55090.170000000006</v>
          </cell>
        </row>
      </sheetData>
      <sheetData sheetId="14">
        <row r="1">
          <cell r="M1">
            <v>79077.17</v>
          </cell>
        </row>
      </sheetData>
      <sheetData sheetId="15">
        <row r="1">
          <cell r="M1">
            <v>62318.62000000001</v>
          </cell>
        </row>
      </sheetData>
      <sheetData sheetId="16">
        <row r="1">
          <cell r="M1">
            <v>15068.000000000002</v>
          </cell>
        </row>
      </sheetData>
      <sheetData sheetId="17">
        <row r="1">
          <cell r="M1">
            <v>32628.769999999997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S0ZGZyHNbUKCr4QasdfNKJjLBG2NeNRPhXa7FumXH2yDH8Bg6z0qT7TaVzCQzzJl" itemId="01XKOT6GX25G5SLVZJNFFYXGOT6QHDDCYT">
      <xxl21:absoluteUrl r:id="rId2"/>
    </xxl21:alternateUrls>
    <sheetNames>
      <sheetName val="Custo_Fopag (2)"/>
      <sheetName val="Planilha2"/>
      <sheetName val="BASE+TOMADOR"/>
      <sheetName val="Custo_Fopag.CSV"/>
      <sheetName val="mar-25"/>
      <sheetName val="Planilha1"/>
      <sheetName val="Planilha3"/>
      <sheetName val="GERAL"/>
      <sheetName val="PILARES"/>
      <sheetName val="BRACOFER"/>
      <sheetName val="EKIPA"/>
      <sheetName val="TRANSMOVE"/>
      <sheetName val="SELETIVA APOIO"/>
      <sheetName val="SELETIVA C GRANDE"/>
      <sheetName val="SELETIVA DOURADOS"/>
      <sheetName val="SELETIVA PRUDENTE"/>
      <sheetName val="SELETIVA MARINGÁ"/>
      <sheetName val="SELETIVA CIDADE ALTA"/>
      <sheetName val="SELETIVA LONDRINA"/>
    </sheetNames>
    <sheetDataSet>
      <sheetData sheetId="0">
        <row r="1">
          <cell r="A1" t="str">
            <v>FUNCIONARIO</v>
          </cell>
          <cell r="B1" t="str">
            <v>COMPETENCIA</v>
          </cell>
          <cell r="C1" t="str">
            <v>MODALIDADE</v>
          </cell>
          <cell r="D1" t="str">
            <v>EMPRESA</v>
          </cell>
          <cell r="E1" t="str">
            <v>CNPJ</v>
          </cell>
          <cell r="F1" t="str">
            <v>SETOR</v>
          </cell>
          <cell r="G1" t="str">
            <v>SECAO</v>
          </cell>
          <cell r="H1" t="str">
            <v>TOMADOR</v>
          </cell>
          <cell r="I1" t="str">
            <v>ADMISSAO</v>
          </cell>
          <cell r="J1" t="str">
            <v>DEMISSAO</v>
          </cell>
          <cell r="K1" t="str">
            <v>C CUSTO</v>
          </cell>
          <cell r="L1" t="str">
            <v>FUNCAO</v>
          </cell>
          <cell r="M1" t="str">
            <v>SAL. BASE</v>
          </cell>
          <cell r="N1" t="str">
            <v>SAL. PAGO</v>
          </cell>
          <cell r="O1" t="str">
            <v>ATESTADO</v>
          </cell>
          <cell r="P1" t="str">
            <v>SAL.PAGO + ATESTADO</v>
          </cell>
          <cell r="Q1" t="str">
            <v>AUX.MATERNID</v>
          </cell>
          <cell r="R1" t="str">
            <v>FERIAS</v>
          </cell>
          <cell r="S1" t="str">
            <v>ABONO PEC</v>
          </cell>
          <cell r="T1" t="str">
            <v>AD. FUNCAO</v>
          </cell>
          <cell r="U1" t="str">
            <v>AD. INSALUB</v>
          </cell>
          <cell r="V1" t="str">
            <v>AD. PERICUL</v>
          </cell>
          <cell r="W1" t="str">
            <v>GRAT FUNÇÃO 40%</v>
          </cell>
          <cell r="X1" t="str">
            <v>GRAT(ADRIANA)</v>
          </cell>
          <cell r="Y1" t="str">
            <v>ADICTPOSERV</v>
          </cell>
          <cell r="Z1" t="str">
            <v>ADIC NOTURNO</v>
          </cell>
          <cell r="AA1" t="str">
            <v>HRS EXTRAS</v>
          </cell>
          <cell r="AB1" t="str">
            <v>DSR HRS EXTRAS</v>
          </cell>
          <cell r="AC1" t="str">
            <v>COMISSOES</v>
          </cell>
          <cell r="AD1" t="str">
            <v>DSR COMISSOES</v>
          </cell>
          <cell r="AE1" t="str">
            <v>DIF CONVENCAO</v>
          </cell>
          <cell r="AF1" t="str">
            <v>QUEBRA CAIXA</v>
          </cell>
          <cell r="AG1" t="str">
            <v>TT EV TRIB (INSS/IRRF/FGTS)</v>
          </cell>
          <cell r="AH1" t="str">
            <v>P. GRAT G3S</v>
          </cell>
          <cell r="AI1" t="str">
            <v>P.PRODUCAO</v>
          </cell>
          <cell r="AJ1" t="str">
            <v>P.CHECKLIST</v>
          </cell>
          <cell r="AK1" t="str">
            <v>P.PRENSA</v>
          </cell>
          <cell r="AL1" t="str">
            <v>P.PORTA</v>
          </cell>
          <cell r="AM1" t="str">
            <v>P.CONTAINER</v>
          </cell>
          <cell r="AN1" t="str">
            <v>P.OPERADORES</v>
          </cell>
          <cell r="AO1" t="str">
            <v>P.V.UNIDADES</v>
          </cell>
          <cell r="AP1" t="str">
            <v>PREMIOS</v>
          </cell>
          <cell r="AQ1" t="str">
            <v>P ANUAL SETCESP</v>
          </cell>
          <cell r="AR1" t="str">
            <v>TT EV EXCL IRRF</v>
          </cell>
          <cell r="AS1" t="str">
            <v>ESTAGIARIOS</v>
          </cell>
          <cell r="AT1" t="str">
            <v>AJ DE CUSTO</v>
          </cell>
          <cell r="AU1" t="str">
            <v>CESTA BASICA R$</v>
          </cell>
          <cell r="AV1" t="str">
            <v>DIARIA REF</v>
          </cell>
          <cell r="AW1" t="str">
            <v>DIARIA DIFER</v>
          </cell>
          <cell r="AX1" t="str">
            <v>SAL FAMILIA</v>
          </cell>
          <cell r="AY1" t="str">
            <v>PLANO SAUDE</v>
          </cell>
          <cell r="AZ1" t="str">
            <v>AB EVENTUAL</v>
          </cell>
          <cell r="BA1" t="str">
            <v>PLR</v>
          </cell>
          <cell r="BB1" t="str">
            <v>AJ. ALUGUEL</v>
          </cell>
          <cell r="BC1" t="str">
            <v>P.PROD(ANT)</v>
          </cell>
          <cell r="BD1" t="str">
            <v>P.BON(ANT)</v>
          </cell>
          <cell r="BE1" t="str">
            <v>TT EVENT Ñ TRIBUT</v>
          </cell>
          <cell r="BF1" t="str">
            <v>LIQ RESCISAO</v>
          </cell>
          <cell r="BG1" t="str">
            <v>GUIA RESCISAO</v>
          </cell>
          <cell r="BH1" t="str">
            <v>TOTAL RESCISAO</v>
          </cell>
          <cell r="BI1" t="str">
            <v>TOTAL BRUTO</v>
          </cell>
          <cell r="BJ1" t="str">
            <v>TOTAL DESC</v>
          </cell>
          <cell r="BK1" t="str">
            <v>TOTAL LIQUIDO</v>
          </cell>
          <cell r="BL1" t="str">
            <v>FGTS</v>
          </cell>
          <cell r="BM1" t="str">
            <v>INSS EMPRESA</v>
          </cell>
          <cell r="BN1" t="str">
            <v>RAT</v>
          </cell>
          <cell r="BO1" t="str">
            <v>TERCEIROS</v>
          </cell>
          <cell r="BP1" t="str">
            <v>TOTAL ENCARGOS</v>
          </cell>
          <cell r="BQ1" t="str">
            <v>CUSTO</v>
          </cell>
        </row>
        <row r="2">
          <cell r="A2" t="str">
            <v>KAMYLA FERNANDA FORIM</v>
          </cell>
          <cell r="B2">
            <v>46023</v>
          </cell>
          <cell r="C2" t="str">
            <v>Empregado – Geral</v>
          </cell>
          <cell r="D2" t="str">
            <v>G3S  FL 08 - LONDRINA</v>
          </cell>
          <cell r="E2" t="str">
            <v>20.947.332/0008-61</v>
          </cell>
          <cell r="F2" t="str">
            <v>ADMINISTRATIVO</v>
          </cell>
          <cell r="G2" t="str">
            <v>ATENDIMENTO</v>
          </cell>
          <cell r="H2" t="str">
            <v>SELETIVA LONDRINA</v>
          </cell>
          <cell r="I2">
            <v>43903</v>
          </cell>
          <cell r="K2" t="str">
            <v>1.2.3.1 ADMINISTRATIVO</v>
          </cell>
          <cell r="L2" t="str">
            <v>AUX ADMINISTRATIVO SENIOR</v>
          </cell>
          <cell r="M2">
            <v>2950</v>
          </cell>
          <cell r="N2">
            <v>2556.67</v>
          </cell>
          <cell r="O2">
            <v>0</v>
          </cell>
          <cell r="P2">
            <v>2556.67</v>
          </cell>
          <cell r="Q2">
            <v>0</v>
          </cell>
          <cell r="R2">
            <v>630.41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217.91</v>
          </cell>
          <cell r="AB2">
            <v>27.24</v>
          </cell>
          <cell r="AC2">
            <v>0</v>
          </cell>
          <cell r="AD2">
            <v>0</v>
          </cell>
          <cell r="AE2">
            <v>0</v>
          </cell>
          <cell r="AF2">
            <v>255.67</v>
          </cell>
          <cell r="AG2">
            <v>3687.9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158.53</v>
          </cell>
          <cell r="AP2">
            <v>0</v>
          </cell>
          <cell r="AQ2">
            <v>0</v>
          </cell>
          <cell r="AR2">
            <v>158.53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  <cell r="BE2">
            <v>0</v>
          </cell>
          <cell r="BF2">
            <v>0</v>
          </cell>
          <cell r="BG2">
            <v>0</v>
          </cell>
          <cell r="BH2">
            <v>0</v>
          </cell>
          <cell r="BI2">
            <v>3846.43</v>
          </cell>
          <cell r="BJ2">
            <v>1459.17</v>
          </cell>
          <cell r="BK2">
            <v>1756.85</v>
          </cell>
          <cell r="BL2">
            <v>295.02999999999997</v>
          </cell>
          <cell r="BM2">
            <v>737.58</v>
          </cell>
          <cell r="BN2">
            <v>210.43</v>
          </cell>
          <cell r="BO2">
            <v>213.89</v>
          </cell>
          <cell r="BP2">
            <v>1456.93</v>
          </cell>
          <cell r="BQ2">
            <v>5303.36</v>
          </cell>
        </row>
        <row r="3">
          <cell r="A3" t="str">
            <v>MARIO CESAR DA COSTA FARIAS</v>
          </cell>
          <cell r="B3">
            <v>46023</v>
          </cell>
          <cell r="C3" t="str">
            <v>Empregado – Geral</v>
          </cell>
          <cell r="D3" t="str">
            <v>G3S  FL 08 - LONDRINA</v>
          </cell>
          <cell r="E3" t="str">
            <v>20.947.332/0008-61</v>
          </cell>
          <cell r="F3" t="str">
            <v>SELETIVA APOIO</v>
          </cell>
          <cell r="G3" t="str">
            <v>ADMINISTRATIVO</v>
          </cell>
          <cell r="H3" t="str">
            <v>SELETIVA LONDRINA</v>
          </cell>
          <cell r="I3">
            <v>44630</v>
          </cell>
          <cell r="J3">
            <v>46052</v>
          </cell>
          <cell r="K3" t="str">
            <v>1.2.3.2 COMERCIAL</v>
          </cell>
          <cell r="L3" t="str">
            <v>COMPRADOR</v>
          </cell>
          <cell r="M3">
            <v>2611.1799999999998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580.26</v>
          </cell>
          <cell r="S3">
            <v>1160.52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1287.5999999999999</v>
          </cell>
          <cell r="AF3">
            <v>0</v>
          </cell>
          <cell r="AG3">
            <v>1740.78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3978.95</v>
          </cell>
          <cell r="AQ3">
            <v>0</v>
          </cell>
          <cell r="AR3">
            <v>3978.95</v>
          </cell>
          <cell r="AS3">
            <v>0</v>
          </cell>
          <cell r="AT3">
            <v>1280</v>
          </cell>
          <cell r="AU3">
            <v>560</v>
          </cell>
          <cell r="AV3">
            <v>1493.33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  <cell r="BF3">
            <v>15120.52</v>
          </cell>
          <cell r="BG3">
            <v>856.06</v>
          </cell>
          <cell r="BH3">
            <v>15976.58</v>
          </cell>
          <cell r="BI3">
            <v>9053.06</v>
          </cell>
          <cell r="BJ3">
            <v>21027.81</v>
          </cell>
          <cell r="BK3">
            <v>0</v>
          </cell>
          <cell r="BL3">
            <v>0</v>
          </cell>
          <cell r="BM3">
            <v>348.16</v>
          </cell>
          <cell r="BN3">
            <v>99.32</v>
          </cell>
          <cell r="BO3">
            <v>100.96</v>
          </cell>
          <cell r="BP3">
            <v>548.44000000000005</v>
          </cell>
          <cell r="BQ3">
            <v>9601.5</v>
          </cell>
        </row>
        <row r="4">
          <cell r="A4" t="str">
            <v>PAULO VITOR TOOKUNI DE LIMA</v>
          </cell>
          <cell r="B4">
            <v>46023</v>
          </cell>
          <cell r="C4" t="str">
            <v>Empregado – Geral</v>
          </cell>
          <cell r="D4" t="str">
            <v>G3S  FL 08 - LONDRINA</v>
          </cell>
          <cell r="E4" t="str">
            <v>20.947.332/0008-61</v>
          </cell>
          <cell r="F4" t="str">
            <v>OPERACIONAL</v>
          </cell>
          <cell r="G4" t="str">
            <v>PATIO</v>
          </cell>
          <cell r="H4" t="str">
            <v>SELETIVA LONDRINA</v>
          </cell>
          <cell r="I4">
            <v>45027</v>
          </cell>
          <cell r="K4" t="str">
            <v>1.2.3.3 OPERACIONAL</v>
          </cell>
          <cell r="L4" t="str">
            <v>GERENTE DE PATIO SENIOR</v>
          </cell>
          <cell r="M4">
            <v>3679.83</v>
          </cell>
          <cell r="N4">
            <v>3679.83</v>
          </cell>
          <cell r="O4">
            <v>0</v>
          </cell>
          <cell r="P4">
            <v>3679.83</v>
          </cell>
          <cell r="Q4">
            <v>0</v>
          </cell>
          <cell r="R4">
            <v>0</v>
          </cell>
          <cell r="S4">
            <v>0</v>
          </cell>
          <cell r="T4">
            <v>735.97</v>
          </cell>
          <cell r="U4">
            <v>0</v>
          </cell>
          <cell r="V4">
            <v>1103.95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5519.75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158.53</v>
          </cell>
          <cell r="AP4">
            <v>0</v>
          </cell>
          <cell r="AQ4">
            <v>0</v>
          </cell>
          <cell r="AR4">
            <v>158.53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5678.28</v>
          </cell>
          <cell r="BJ4">
            <v>837.49</v>
          </cell>
          <cell r="BK4">
            <v>4840.79</v>
          </cell>
          <cell r="BL4">
            <v>441.58</v>
          </cell>
          <cell r="BM4">
            <v>1103.95</v>
          </cell>
          <cell r="BN4">
            <v>314.95</v>
          </cell>
          <cell r="BO4">
            <v>320.14</v>
          </cell>
          <cell r="BP4">
            <v>2180.62</v>
          </cell>
          <cell r="BQ4">
            <v>7858.9</v>
          </cell>
        </row>
        <row r="5">
          <cell r="A5" t="str">
            <v>HERALDO CARVALHO DE SOUZA</v>
          </cell>
          <cell r="B5">
            <v>46023</v>
          </cell>
          <cell r="C5" t="str">
            <v>Empregado – Geral</v>
          </cell>
          <cell r="D5" t="str">
            <v>G3S  FL 08 - LONDRINA</v>
          </cell>
          <cell r="E5" t="str">
            <v>20.947.332/0008-61</v>
          </cell>
          <cell r="F5" t="str">
            <v>OPERACIONAL</v>
          </cell>
          <cell r="G5" t="str">
            <v>PATIO</v>
          </cell>
          <cell r="H5" t="str">
            <v>SELETIVA LONDRINA</v>
          </cell>
          <cell r="I5">
            <v>42205</v>
          </cell>
          <cell r="L5" t="str">
            <v>OPERADOR MANTENEDOR</v>
          </cell>
          <cell r="M5">
            <v>1828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</row>
        <row r="6">
          <cell r="A6" t="str">
            <v>LUIS DO CARMO PEREIRA</v>
          </cell>
          <cell r="B6">
            <v>46023</v>
          </cell>
          <cell r="C6" t="str">
            <v>Empregado – Geral</v>
          </cell>
          <cell r="D6" t="str">
            <v>G S MATRIZ - PRES PRUD</v>
          </cell>
          <cell r="E6" t="str">
            <v>20.504.237/0001-17</v>
          </cell>
          <cell r="F6" t="str">
            <v>LOGISTICA</v>
          </cell>
          <cell r="G6" t="str">
            <v>TRANSPORTE</v>
          </cell>
          <cell r="H6" t="str">
            <v>SELETIVA PRESIDENTE PRUDENTE</v>
          </cell>
          <cell r="I6">
            <v>41883</v>
          </cell>
          <cell r="L6" t="str">
            <v>MOTORISTA CARRETEIRO</v>
          </cell>
          <cell r="M6">
            <v>1710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</row>
        <row r="7">
          <cell r="A7" t="str">
            <v>CELIO MATEUS</v>
          </cell>
          <cell r="B7">
            <v>46023</v>
          </cell>
          <cell r="C7" t="str">
            <v>Empregado – Geral</v>
          </cell>
          <cell r="D7" t="str">
            <v>G S MATRIZ - PRES PRUD</v>
          </cell>
          <cell r="E7" t="str">
            <v>20.504.237/0001-17</v>
          </cell>
          <cell r="F7" t="str">
            <v>OPERACIONAL</v>
          </cell>
          <cell r="G7" t="str">
            <v>PATIO</v>
          </cell>
          <cell r="H7" t="str">
            <v>SELETIVA PRESIDENTE PRUDENTE</v>
          </cell>
          <cell r="I7">
            <v>40269</v>
          </cell>
          <cell r="K7" t="str">
            <v>1.2.5.3 OPERACIONAL</v>
          </cell>
          <cell r="L7" t="str">
            <v>OPERADOR MANTENEDOR JR</v>
          </cell>
          <cell r="M7">
            <v>2610</v>
          </cell>
          <cell r="N7">
            <v>2610</v>
          </cell>
          <cell r="O7">
            <v>0</v>
          </cell>
          <cell r="P7">
            <v>2610</v>
          </cell>
          <cell r="Q7">
            <v>0</v>
          </cell>
          <cell r="R7">
            <v>0</v>
          </cell>
          <cell r="S7">
            <v>0</v>
          </cell>
          <cell r="T7">
            <v>522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130.5</v>
          </cell>
          <cell r="Z7">
            <v>0</v>
          </cell>
          <cell r="AA7">
            <v>721.83</v>
          </cell>
          <cell r="AB7">
            <v>173.24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4157.57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285.83999999999997</v>
          </cell>
          <cell r="AP7">
            <v>0</v>
          </cell>
          <cell r="AQ7">
            <v>0</v>
          </cell>
          <cell r="AR7">
            <v>285.83999999999997</v>
          </cell>
          <cell r="AS7">
            <v>0</v>
          </cell>
          <cell r="AT7">
            <v>0</v>
          </cell>
          <cell r="AU7">
            <v>0</v>
          </cell>
          <cell r="AV7">
            <v>1680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6123.41</v>
          </cell>
          <cell r="BJ7">
            <v>3146.73</v>
          </cell>
          <cell r="BK7">
            <v>2976.68</v>
          </cell>
          <cell r="BL7">
            <v>332.6</v>
          </cell>
          <cell r="BM7">
            <v>831.51</v>
          </cell>
          <cell r="BN7">
            <v>62.36</v>
          </cell>
          <cell r="BO7">
            <v>241.13</v>
          </cell>
          <cell r="BP7">
            <v>1467.6</v>
          </cell>
          <cell r="BQ7">
            <v>7591.01</v>
          </cell>
        </row>
        <row r="8">
          <cell r="A8" t="str">
            <v>MARCIO AFONSO</v>
          </cell>
          <cell r="B8">
            <v>46023</v>
          </cell>
          <cell r="C8" t="str">
            <v>Empregado – Geral</v>
          </cell>
          <cell r="D8" t="str">
            <v>G S MATRIZ - PRES PRUD</v>
          </cell>
          <cell r="E8" t="str">
            <v>20.504.237/0001-17</v>
          </cell>
          <cell r="F8" t="str">
            <v>LOGISTICA</v>
          </cell>
          <cell r="G8" t="str">
            <v>TRANSPORTE</v>
          </cell>
          <cell r="H8" t="str">
            <v>SELETIVA PRESIDENTE PRUDENTE</v>
          </cell>
          <cell r="I8">
            <v>44153</v>
          </cell>
          <cell r="K8" t="str">
            <v>1.2.5.4 LOGISTICA</v>
          </cell>
          <cell r="L8" t="str">
            <v>MOTORISTA CARRETEIRO MANTENEDOR SENIOR III</v>
          </cell>
          <cell r="M8">
            <v>3287.33</v>
          </cell>
          <cell r="N8">
            <v>2520.29</v>
          </cell>
          <cell r="O8">
            <v>109.58</v>
          </cell>
          <cell r="P8">
            <v>2629.87</v>
          </cell>
          <cell r="Q8">
            <v>0</v>
          </cell>
          <cell r="R8">
            <v>1539.76</v>
          </cell>
          <cell r="S8">
            <v>2566.2800000000002</v>
          </cell>
          <cell r="T8">
            <v>499.92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131.49</v>
          </cell>
          <cell r="Z8">
            <v>0</v>
          </cell>
          <cell r="AA8">
            <v>568.75</v>
          </cell>
          <cell r="AB8">
            <v>113.75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8049.82</v>
          </cell>
          <cell r="AH8">
            <v>0</v>
          </cell>
          <cell r="AI8">
            <v>0</v>
          </cell>
          <cell r="AJ8">
            <v>280.07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285.83999999999997</v>
          </cell>
          <cell r="AP8">
            <v>0</v>
          </cell>
          <cell r="AQ8">
            <v>0</v>
          </cell>
          <cell r="AR8">
            <v>565.91</v>
          </cell>
          <cell r="AS8">
            <v>0</v>
          </cell>
          <cell r="AT8">
            <v>0</v>
          </cell>
          <cell r="AU8">
            <v>0</v>
          </cell>
          <cell r="AV8">
            <v>1452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10067.73</v>
          </cell>
          <cell r="BJ8">
            <v>1940.96</v>
          </cell>
          <cell r="BK8">
            <v>4472.07</v>
          </cell>
          <cell r="BL8">
            <v>437.02</v>
          </cell>
          <cell r="BM8">
            <v>1609.96</v>
          </cell>
          <cell r="BN8">
            <v>120.74</v>
          </cell>
          <cell r="BO8">
            <v>466.88</v>
          </cell>
          <cell r="BP8">
            <v>2634.6</v>
          </cell>
          <cell r="BQ8">
            <v>12702.33</v>
          </cell>
        </row>
        <row r="9">
          <cell r="A9" t="str">
            <v>JULIANO VIEIRA DE SANTANA</v>
          </cell>
          <cell r="B9">
            <v>46023</v>
          </cell>
          <cell r="C9" t="str">
            <v>Empregado – Geral</v>
          </cell>
          <cell r="D9" t="str">
            <v>G S MATRIZ - PRES PRUD</v>
          </cell>
          <cell r="E9" t="str">
            <v>20.504.237/0001-17</v>
          </cell>
          <cell r="F9" t="str">
            <v>LOGISTICA</v>
          </cell>
          <cell r="G9" t="str">
            <v>TRANSPORTE</v>
          </cell>
          <cell r="H9" t="str">
            <v>SELETIVA CORPORATIVO SUCATA</v>
          </cell>
          <cell r="I9">
            <v>42217</v>
          </cell>
          <cell r="K9" t="str">
            <v>1.2.1.1 APOIO</v>
          </cell>
          <cell r="L9" t="str">
            <v>MOTORISTA CARRETEIRO MANTENEDOR SENIOR III</v>
          </cell>
          <cell r="M9">
            <v>3287.33</v>
          </cell>
          <cell r="N9">
            <v>2849.02</v>
          </cell>
          <cell r="O9">
            <v>0</v>
          </cell>
          <cell r="P9">
            <v>2849.02</v>
          </cell>
          <cell r="Q9">
            <v>0</v>
          </cell>
          <cell r="R9">
            <v>1097.8699999999999</v>
          </cell>
          <cell r="S9">
            <v>0</v>
          </cell>
          <cell r="T9">
            <v>569.79999999999995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142.44999999999999</v>
          </cell>
          <cell r="Z9">
            <v>0</v>
          </cell>
          <cell r="AA9">
            <v>715.84</v>
          </cell>
          <cell r="AB9">
            <v>124.49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5499.47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285.83999999999997</v>
          </cell>
          <cell r="AP9">
            <v>0</v>
          </cell>
          <cell r="AQ9">
            <v>0</v>
          </cell>
          <cell r="AR9">
            <v>285.83999999999997</v>
          </cell>
          <cell r="AS9">
            <v>0</v>
          </cell>
          <cell r="AT9">
            <v>0</v>
          </cell>
          <cell r="AU9">
            <v>0</v>
          </cell>
          <cell r="AV9">
            <v>2100</v>
          </cell>
          <cell r="AW9">
            <v>0</v>
          </cell>
          <cell r="AX9">
            <v>0</v>
          </cell>
          <cell r="AY9">
            <v>0</v>
          </cell>
          <cell r="AZ9">
            <v>547.88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9333.19</v>
          </cell>
          <cell r="BJ9">
            <v>579.13</v>
          </cell>
          <cell r="BK9">
            <v>7656.19</v>
          </cell>
          <cell r="BL9">
            <v>439.95</v>
          </cell>
          <cell r="BM9">
            <v>1099.8900000000001</v>
          </cell>
          <cell r="BN9">
            <v>82.49</v>
          </cell>
          <cell r="BO9">
            <v>318.95999999999998</v>
          </cell>
          <cell r="BP9">
            <v>1941.29</v>
          </cell>
          <cell r="BQ9">
            <v>11274.48</v>
          </cell>
        </row>
        <row r="10">
          <cell r="A10" t="str">
            <v>MONIQUE ISABELE DE LIMA</v>
          </cell>
          <cell r="B10">
            <v>46023</v>
          </cell>
          <cell r="C10" t="str">
            <v>Empregado – Geral</v>
          </cell>
          <cell r="D10" t="str">
            <v>G S MATRIZ - PRES PRUD</v>
          </cell>
          <cell r="E10" t="str">
            <v>20.504.237/0001-17</v>
          </cell>
          <cell r="F10" t="str">
            <v>TRANSMOVE</v>
          </cell>
          <cell r="G10" t="str">
            <v>ADMINISTRATIVO</v>
          </cell>
          <cell r="H10" t="str">
            <v>TRANSMOVE GSL</v>
          </cell>
          <cell r="I10">
            <v>44274</v>
          </cell>
          <cell r="K10" t="str">
            <v>1.4.1.2 ADMINISTRATIVO</v>
          </cell>
          <cell r="L10" t="str">
            <v>ANALISTA ADMINISTRATIVO SENIOR</v>
          </cell>
          <cell r="M10">
            <v>2950</v>
          </cell>
          <cell r="N10">
            <v>2556.67</v>
          </cell>
          <cell r="O10">
            <v>0</v>
          </cell>
          <cell r="P10">
            <v>2556.67</v>
          </cell>
          <cell r="Q10">
            <v>0</v>
          </cell>
          <cell r="R10">
            <v>586.25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415.57</v>
          </cell>
          <cell r="AB10">
            <v>72.27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3630.76</v>
          </cell>
          <cell r="AH10">
            <v>0</v>
          </cell>
          <cell r="AI10">
            <v>600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150</v>
          </cell>
          <cell r="AQ10">
            <v>0</v>
          </cell>
          <cell r="AR10">
            <v>750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4380.76</v>
          </cell>
          <cell r="BJ10">
            <v>1637.48</v>
          </cell>
          <cell r="BK10">
            <v>2157.0300000000002</v>
          </cell>
          <cell r="BL10">
            <v>289.63</v>
          </cell>
          <cell r="BM10">
            <v>726.15</v>
          </cell>
          <cell r="BN10">
            <v>54.46</v>
          </cell>
          <cell r="BO10">
            <v>210.58</v>
          </cell>
          <cell r="BP10">
            <v>1280.82</v>
          </cell>
          <cell r="BQ10">
            <v>5661.58</v>
          </cell>
        </row>
        <row r="11">
          <cell r="A11" t="str">
            <v>THAIS SILVA ROCHA</v>
          </cell>
          <cell r="B11">
            <v>46023</v>
          </cell>
          <cell r="C11" t="str">
            <v>Empregado – Geral</v>
          </cell>
          <cell r="D11" t="str">
            <v>G S MATRIZ - PRES PRUD</v>
          </cell>
          <cell r="E11" t="str">
            <v>20.504.237/0001-17</v>
          </cell>
          <cell r="F11" t="str">
            <v>TRANSMOVE</v>
          </cell>
          <cell r="G11" t="str">
            <v>ADMINISTRATIVO</v>
          </cell>
          <cell r="H11" t="str">
            <v>SELETIVA PRESIDENTE PRUDENTE</v>
          </cell>
          <cell r="I11">
            <v>45931</v>
          </cell>
          <cell r="K11" t="str">
            <v>1.4.1.2 ADMINISTRATIVO</v>
          </cell>
          <cell r="L11" t="str">
            <v>ANALISTA ADMINISTRATIVO OPERACIONAL JUNIOR</v>
          </cell>
          <cell r="M11">
            <v>2500</v>
          </cell>
          <cell r="N11">
            <v>2166.67</v>
          </cell>
          <cell r="O11">
            <v>0</v>
          </cell>
          <cell r="P11">
            <v>2166.67</v>
          </cell>
          <cell r="Q11">
            <v>0</v>
          </cell>
          <cell r="R11">
            <v>444.44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2611.11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83.33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2694.44</v>
          </cell>
          <cell r="BJ11">
            <v>200.73</v>
          </cell>
          <cell r="BK11">
            <v>2049.27</v>
          </cell>
          <cell r="BL11">
            <v>208.88</v>
          </cell>
          <cell r="BM11">
            <v>522.22</v>
          </cell>
          <cell r="BN11">
            <v>39.159999999999997</v>
          </cell>
          <cell r="BO11">
            <v>151.44</v>
          </cell>
          <cell r="BP11">
            <v>921.7</v>
          </cell>
          <cell r="BQ11">
            <v>3616.14</v>
          </cell>
        </row>
        <row r="12">
          <cell r="A12" t="str">
            <v>MARCELO VITOR</v>
          </cell>
          <cell r="B12">
            <v>46023</v>
          </cell>
          <cell r="C12" t="str">
            <v>Empregado – Geral</v>
          </cell>
          <cell r="D12" t="str">
            <v>G S MATRIZ - PRES PRUD</v>
          </cell>
          <cell r="E12" t="str">
            <v>20.504.237/0001-17</v>
          </cell>
          <cell r="F12" t="str">
            <v>OPERACIONAL</v>
          </cell>
          <cell r="G12" t="str">
            <v>PATIO</v>
          </cell>
          <cell r="H12" t="str">
            <v>SELETIVA PRESIDENTE PRUDENTE</v>
          </cell>
          <cell r="I12">
            <v>43790</v>
          </cell>
          <cell r="K12" t="str">
            <v>1.2.5.5 PRENSA FIXA JCG800</v>
          </cell>
          <cell r="L12" t="str">
            <v>OPERADOR MANTENEDOR SENIOR</v>
          </cell>
          <cell r="M12">
            <v>3158.66</v>
          </cell>
          <cell r="N12">
            <v>3158.66</v>
          </cell>
          <cell r="O12">
            <v>0</v>
          </cell>
          <cell r="P12">
            <v>3158.66</v>
          </cell>
          <cell r="Q12">
            <v>0</v>
          </cell>
          <cell r="R12">
            <v>0</v>
          </cell>
          <cell r="S12">
            <v>0</v>
          </cell>
          <cell r="T12">
            <v>631.73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157.93</v>
          </cell>
          <cell r="Z12">
            <v>0</v>
          </cell>
          <cell r="AA12">
            <v>1157.57</v>
          </cell>
          <cell r="AB12">
            <v>277.82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5383.71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285.83999999999997</v>
          </cell>
          <cell r="AP12">
            <v>0</v>
          </cell>
          <cell r="AQ12">
            <v>0</v>
          </cell>
          <cell r="AR12">
            <v>285.83999999999997</v>
          </cell>
          <cell r="AS12">
            <v>0</v>
          </cell>
          <cell r="AT12">
            <v>0</v>
          </cell>
          <cell r="AU12">
            <v>0</v>
          </cell>
          <cell r="AV12">
            <v>1176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6845.55</v>
          </cell>
          <cell r="BJ12">
            <v>3037.86</v>
          </cell>
          <cell r="BK12">
            <v>3807.69</v>
          </cell>
          <cell r="BL12">
            <v>430.69</v>
          </cell>
          <cell r="BM12">
            <v>1076.74</v>
          </cell>
          <cell r="BN12">
            <v>80.75</v>
          </cell>
          <cell r="BO12">
            <v>312.25</v>
          </cell>
          <cell r="BP12">
            <v>1900.43</v>
          </cell>
          <cell r="BQ12">
            <v>8745.98</v>
          </cell>
        </row>
        <row r="13">
          <cell r="A13" t="str">
            <v>VALDECI PEREIRA GOMES JUNIOR</v>
          </cell>
          <cell r="B13">
            <v>46023</v>
          </cell>
          <cell r="C13" t="str">
            <v>Empregado – Geral</v>
          </cell>
          <cell r="D13" t="str">
            <v>G S MATRIZ - PRES PRUD</v>
          </cell>
          <cell r="E13" t="str">
            <v>20.504.237/0001-17</v>
          </cell>
          <cell r="F13" t="str">
            <v>LOGISTICA</v>
          </cell>
          <cell r="G13" t="str">
            <v>TRANSPORTE</v>
          </cell>
          <cell r="H13" t="str">
            <v>SELETIVA PRESIDENTE PRUDENTE</v>
          </cell>
          <cell r="I13">
            <v>45980</v>
          </cell>
          <cell r="K13" t="str">
            <v>1.2.5.4 LOGISTICA</v>
          </cell>
          <cell r="L13" t="str">
            <v>MOTORISTA CARRETEIRO MANTENEDOR SENIOR I</v>
          </cell>
          <cell r="M13">
            <v>2925.98</v>
          </cell>
          <cell r="N13">
            <v>2535.85</v>
          </cell>
          <cell r="O13">
            <v>0</v>
          </cell>
          <cell r="P13">
            <v>2535.85</v>
          </cell>
          <cell r="Q13">
            <v>0</v>
          </cell>
          <cell r="R13">
            <v>660.89</v>
          </cell>
          <cell r="S13">
            <v>0</v>
          </cell>
          <cell r="T13">
            <v>507.17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24.61</v>
          </cell>
          <cell r="AA13">
            <v>1254.45</v>
          </cell>
          <cell r="AB13">
            <v>218.17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5201.1400000000003</v>
          </cell>
          <cell r="AH13">
            <v>0</v>
          </cell>
          <cell r="AI13">
            <v>0</v>
          </cell>
          <cell r="AJ13">
            <v>100.67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285.83999999999997</v>
          </cell>
          <cell r="AP13">
            <v>0</v>
          </cell>
          <cell r="AQ13">
            <v>0</v>
          </cell>
          <cell r="AR13">
            <v>386.51</v>
          </cell>
          <cell r="AS13">
            <v>0</v>
          </cell>
          <cell r="AT13">
            <v>0</v>
          </cell>
          <cell r="AU13">
            <v>0</v>
          </cell>
          <cell r="AV13">
            <v>1063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6650.65</v>
          </cell>
          <cell r="BJ13">
            <v>1947.54</v>
          </cell>
          <cell r="BK13">
            <v>4042.22</v>
          </cell>
          <cell r="BL13">
            <v>416.09</v>
          </cell>
          <cell r="BM13">
            <v>1040.23</v>
          </cell>
          <cell r="BN13">
            <v>78.010000000000005</v>
          </cell>
          <cell r="BO13">
            <v>301.66000000000003</v>
          </cell>
          <cell r="BP13">
            <v>1835.99</v>
          </cell>
          <cell r="BQ13">
            <v>8486.64</v>
          </cell>
        </row>
        <row r="14">
          <cell r="A14" t="str">
            <v>EDILEUSA PEREIRA LISBOA</v>
          </cell>
          <cell r="B14">
            <v>46023</v>
          </cell>
          <cell r="C14" t="str">
            <v>Empregado – Geral</v>
          </cell>
          <cell r="D14" t="str">
            <v>G S MATRIZ - PRES PRUD</v>
          </cell>
          <cell r="E14" t="str">
            <v>20.504.237/0001-17</v>
          </cell>
          <cell r="F14" t="str">
            <v>OPERACIONAL</v>
          </cell>
          <cell r="G14" t="str">
            <v>PATIO</v>
          </cell>
          <cell r="H14" t="str">
            <v>SELETIVA PRESIDENTE PRUDENTE</v>
          </cell>
          <cell r="I14">
            <v>46043</v>
          </cell>
          <cell r="K14" t="str">
            <v>1.2.5.3 OPERACIONAL</v>
          </cell>
          <cell r="L14" t="str">
            <v>OPERADOR MANTENEDOR JR</v>
          </cell>
          <cell r="M14">
            <v>2610</v>
          </cell>
          <cell r="N14">
            <v>957</v>
          </cell>
          <cell r="O14">
            <v>0</v>
          </cell>
          <cell r="P14">
            <v>957</v>
          </cell>
          <cell r="Q14">
            <v>0</v>
          </cell>
          <cell r="R14">
            <v>0</v>
          </cell>
          <cell r="S14">
            <v>0</v>
          </cell>
          <cell r="T14">
            <v>191.4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1148.4000000000001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183.33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1331.73</v>
          </cell>
          <cell r="BJ14">
            <v>99.05</v>
          </cell>
          <cell r="BK14">
            <v>1232.68</v>
          </cell>
          <cell r="BL14">
            <v>91.87</v>
          </cell>
          <cell r="BM14">
            <v>229.68</v>
          </cell>
          <cell r="BN14">
            <v>17.22</v>
          </cell>
          <cell r="BO14">
            <v>66.599999999999994</v>
          </cell>
          <cell r="BP14">
            <v>405.37</v>
          </cell>
          <cell r="BQ14">
            <v>1737.1</v>
          </cell>
        </row>
        <row r="15">
          <cell r="A15" t="str">
            <v>PATRICIO SANTANA DA SILVA THEODORO</v>
          </cell>
          <cell r="B15">
            <v>46023</v>
          </cell>
          <cell r="C15" t="str">
            <v>Empregado – Geral</v>
          </cell>
          <cell r="D15" t="str">
            <v>G S FL 04 - MARINGA</v>
          </cell>
          <cell r="E15" t="str">
            <v>20.504.237/0004-60</v>
          </cell>
          <cell r="F15" t="str">
            <v>OPERACIONAL</v>
          </cell>
          <cell r="G15" t="str">
            <v>PATIO</v>
          </cell>
          <cell r="H15" t="str">
            <v>SELETIVA MARINGA DISTRITO</v>
          </cell>
          <cell r="I15">
            <v>41276</v>
          </cell>
          <cell r="K15" t="str">
            <v>1.2.4.3 OPERACIONAL</v>
          </cell>
          <cell r="L15" t="str">
            <v>OPERADOR MANTENEDOR SENIOR</v>
          </cell>
          <cell r="M15">
            <v>3354.5</v>
          </cell>
          <cell r="N15">
            <v>3354.5</v>
          </cell>
          <cell r="O15">
            <v>0</v>
          </cell>
          <cell r="P15">
            <v>3354.5</v>
          </cell>
          <cell r="Q15">
            <v>0</v>
          </cell>
          <cell r="R15">
            <v>0</v>
          </cell>
          <cell r="S15">
            <v>0</v>
          </cell>
          <cell r="T15">
            <v>670.9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1293.6199999999999</v>
          </cell>
          <cell r="AB15">
            <v>248.77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5567.79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19.54</v>
          </cell>
          <cell r="AP15">
            <v>0</v>
          </cell>
          <cell r="AQ15">
            <v>0</v>
          </cell>
          <cell r="AR15">
            <v>19.54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5587.33</v>
          </cell>
          <cell r="BJ15">
            <v>1922.99</v>
          </cell>
          <cell r="BK15">
            <v>3664.34</v>
          </cell>
          <cell r="BL15">
            <v>445.42</v>
          </cell>
          <cell r="BM15">
            <v>1113.56</v>
          </cell>
          <cell r="BN15">
            <v>167.03</v>
          </cell>
          <cell r="BO15">
            <v>322.93</v>
          </cell>
          <cell r="BP15">
            <v>2048.94</v>
          </cell>
          <cell r="BQ15">
            <v>7636.27</v>
          </cell>
        </row>
        <row r="16">
          <cell r="A16" t="str">
            <v>RODRIGO PEREIRA DOS SANTOS</v>
          </cell>
          <cell r="B16">
            <v>46023</v>
          </cell>
          <cell r="C16" t="str">
            <v>Empregado – Geral</v>
          </cell>
          <cell r="D16" t="str">
            <v>G S FL 04 - MARINGA</v>
          </cell>
          <cell r="E16" t="str">
            <v>20.504.237/0004-60</v>
          </cell>
          <cell r="F16" t="str">
            <v>LOGISTICA</v>
          </cell>
          <cell r="G16" t="str">
            <v>TRANSPORTE</v>
          </cell>
          <cell r="H16" t="str">
            <v>SELETIVA MARINGA DISTRITO</v>
          </cell>
          <cell r="I16">
            <v>45223</v>
          </cell>
          <cell r="J16">
            <v>46052</v>
          </cell>
          <cell r="K16" t="str">
            <v>1.2.4.4 LOGISTICA</v>
          </cell>
          <cell r="L16" t="str">
            <v>MOTORISTA CARRETEIRO MANTENEDOR SENIOR I</v>
          </cell>
          <cell r="M16">
            <v>3345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1028.75</v>
          </cell>
          <cell r="S16">
            <v>0</v>
          </cell>
          <cell r="T16">
            <v>579.79999999999995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1.1599999999999999</v>
          </cell>
          <cell r="AA16">
            <v>1445.65</v>
          </cell>
          <cell r="AB16">
            <v>188.56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3243.92</v>
          </cell>
          <cell r="AH16">
            <v>0</v>
          </cell>
          <cell r="AI16">
            <v>0</v>
          </cell>
          <cell r="AJ16">
            <v>389.34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19.54</v>
          </cell>
          <cell r="AP16">
            <v>0</v>
          </cell>
          <cell r="AQ16">
            <v>0</v>
          </cell>
          <cell r="AR16">
            <v>408.88</v>
          </cell>
          <cell r="AS16">
            <v>0</v>
          </cell>
          <cell r="AT16">
            <v>500</v>
          </cell>
          <cell r="AU16">
            <v>0</v>
          </cell>
          <cell r="AV16">
            <v>82.5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16419.59</v>
          </cell>
          <cell r="BG16">
            <v>958.81</v>
          </cell>
          <cell r="BH16">
            <v>17378.400000000001</v>
          </cell>
          <cell r="BI16">
            <v>4235.3</v>
          </cell>
          <cell r="BJ16">
            <v>19401.009999999998</v>
          </cell>
          <cell r="BK16">
            <v>0</v>
          </cell>
          <cell r="BL16">
            <v>0</v>
          </cell>
          <cell r="BM16">
            <v>648.78</v>
          </cell>
          <cell r="BN16">
            <v>97.31</v>
          </cell>
          <cell r="BO16">
            <v>188.14</v>
          </cell>
          <cell r="BP16">
            <v>934.23</v>
          </cell>
          <cell r="BQ16">
            <v>5169.53</v>
          </cell>
        </row>
        <row r="17">
          <cell r="A17" t="str">
            <v>RUBENS DE ARAUJO MOTA</v>
          </cell>
          <cell r="B17">
            <v>46023</v>
          </cell>
          <cell r="C17" t="str">
            <v>Empregado – Geral</v>
          </cell>
          <cell r="D17" t="str">
            <v>G S FL 04 - MARINGA</v>
          </cell>
          <cell r="E17" t="str">
            <v>20.504.237/0004-60</v>
          </cell>
          <cell r="F17" t="str">
            <v>LOGISTICA</v>
          </cell>
          <cell r="G17" t="str">
            <v>TRANSPORTE</v>
          </cell>
          <cell r="H17" t="str">
            <v>SELETIVA MARINGA DISTRITO</v>
          </cell>
          <cell r="I17">
            <v>45664</v>
          </cell>
          <cell r="K17" t="str">
            <v>1.2.4.4 LOGISTICA</v>
          </cell>
          <cell r="L17" t="str">
            <v>MOTORISTA CARRETEIRO MANTENEDOR SENIOR I</v>
          </cell>
          <cell r="M17">
            <v>3345</v>
          </cell>
          <cell r="N17">
            <v>2899</v>
          </cell>
          <cell r="O17">
            <v>0</v>
          </cell>
          <cell r="P17">
            <v>2899</v>
          </cell>
          <cell r="Q17">
            <v>0</v>
          </cell>
          <cell r="R17">
            <v>1020.35</v>
          </cell>
          <cell r="S17">
            <v>0</v>
          </cell>
          <cell r="T17">
            <v>579.79999999999995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1366.59</v>
          </cell>
          <cell r="AB17">
            <v>170.82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6036.56</v>
          </cell>
          <cell r="AH17">
            <v>0</v>
          </cell>
          <cell r="AI17">
            <v>0</v>
          </cell>
          <cell r="AJ17">
            <v>250.92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19.54</v>
          </cell>
          <cell r="AP17">
            <v>0</v>
          </cell>
          <cell r="AQ17">
            <v>0</v>
          </cell>
          <cell r="AR17">
            <v>270.45999999999998</v>
          </cell>
          <cell r="AS17">
            <v>0</v>
          </cell>
          <cell r="AT17">
            <v>0</v>
          </cell>
          <cell r="AU17">
            <v>0</v>
          </cell>
          <cell r="AV17">
            <v>495</v>
          </cell>
          <cell r="AW17">
            <v>0</v>
          </cell>
          <cell r="AX17">
            <v>0</v>
          </cell>
          <cell r="AY17">
            <v>0</v>
          </cell>
          <cell r="AZ17">
            <v>402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7204.02</v>
          </cell>
          <cell r="BJ17">
            <v>847</v>
          </cell>
          <cell r="BK17">
            <v>5336.67</v>
          </cell>
          <cell r="BL17">
            <v>482.92</v>
          </cell>
          <cell r="BM17">
            <v>1207.31</v>
          </cell>
          <cell r="BN17">
            <v>181.09</v>
          </cell>
          <cell r="BO17">
            <v>350.12</v>
          </cell>
          <cell r="BP17">
            <v>2221.44</v>
          </cell>
          <cell r="BQ17">
            <v>9425.4599999999991</v>
          </cell>
        </row>
        <row r="18">
          <cell r="A18" t="str">
            <v>WILLIAM CRISTIAN LUPION</v>
          </cell>
          <cell r="B18">
            <v>46023</v>
          </cell>
          <cell r="C18" t="str">
            <v>Empregado – Geral</v>
          </cell>
          <cell r="D18" t="str">
            <v>G S FL 04 - MARINGA</v>
          </cell>
          <cell r="E18" t="str">
            <v>20.504.237/0004-60</v>
          </cell>
          <cell r="F18" t="str">
            <v>LOGISTICA</v>
          </cell>
          <cell r="G18" t="str">
            <v>TRANSPORTE</v>
          </cell>
          <cell r="H18" t="str">
            <v>SELETIVA MARINGA DISTRITO</v>
          </cell>
          <cell r="I18">
            <v>45117</v>
          </cell>
          <cell r="K18" t="str">
            <v>1.2.4.4 LOGISTICA</v>
          </cell>
          <cell r="L18" t="str">
            <v>MOTORISTA CARRETEIRO MANTENEDOR SENIOR I</v>
          </cell>
          <cell r="M18">
            <v>3345</v>
          </cell>
          <cell r="N18">
            <v>2899</v>
          </cell>
          <cell r="O18">
            <v>0</v>
          </cell>
          <cell r="P18">
            <v>2899</v>
          </cell>
          <cell r="Q18">
            <v>0</v>
          </cell>
          <cell r="R18">
            <v>984.71</v>
          </cell>
          <cell r="S18">
            <v>0</v>
          </cell>
          <cell r="T18">
            <v>579.79999999999995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565.97</v>
          </cell>
          <cell r="AB18">
            <v>70.75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5100.2299999999996</v>
          </cell>
          <cell r="AH18">
            <v>0</v>
          </cell>
          <cell r="AI18">
            <v>0</v>
          </cell>
          <cell r="AJ18">
            <v>212.07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19.54</v>
          </cell>
          <cell r="AP18">
            <v>0</v>
          </cell>
          <cell r="AQ18">
            <v>0</v>
          </cell>
          <cell r="AR18">
            <v>231.61</v>
          </cell>
          <cell r="AS18">
            <v>0</v>
          </cell>
          <cell r="AT18">
            <v>0</v>
          </cell>
          <cell r="AU18">
            <v>0</v>
          </cell>
          <cell r="AV18">
            <v>297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5628.84</v>
          </cell>
          <cell r="BJ18">
            <v>1791.44</v>
          </cell>
          <cell r="BK18">
            <v>2852.69</v>
          </cell>
          <cell r="BL18">
            <v>408.01</v>
          </cell>
          <cell r="BM18">
            <v>1020.05</v>
          </cell>
          <cell r="BN18">
            <v>153</v>
          </cell>
          <cell r="BO18">
            <v>295.81</v>
          </cell>
          <cell r="BP18">
            <v>1876.87</v>
          </cell>
          <cell r="BQ18">
            <v>7505.71</v>
          </cell>
        </row>
        <row r="19">
          <cell r="A19" t="str">
            <v>ALEXANDRO JUNIOR ROSANI DETONI</v>
          </cell>
          <cell r="B19">
            <v>46023</v>
          </cell>
          <cell r="C19" t="str">
            <v>Empregado – Geral</v>
          </cell>
          <cell r="D19" t="str">
            <v>G S FL 04 - MARINGA</v>
          </cell>
          <cell r="E19" t="str">
            <v>20.504.237/0004-60</v>
          </cell>
          <cell r="F19" t="str">
            <v>OPERACIONAL</v>
          </cell>
          <cell r="G19" t="str">
            <v>PATIO</v>
          </cell>
          <cell r="H19" t="str">
            <v>SELETIVA MARINGA DISTRITO</v>
          </cell>
          <cell r="I19">
            <v>45966</v>
          </cell>
          <cell r="J19">
            <v>46037</v>
          </cell>
          <cell r="K19" t="str">
            <v>1.2.8.3. OPERACIONAL</v>
          </cell>
          <cell r="L19" t="str">
            <v>OPERADOR MANTENEDOR PLENO</v>
          </cell>
          <cell r="M19">
            <v>2816.11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619.04</v>
          </cell>
          <cell r="S19">
            <v>0</v>
          </cell>
          <cell r="T19">
            <v>158.51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48.16</v>
          </cell>
          <cell r="AB19">
            <v>4.82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830.53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23</v>
          </cell>
          <cell r="AP19">
            <v>0</v>
          </cell>
          <cell r="AQ19">
            <v>0</v>
          </cell>
          <cell r="AR19">
            <v>23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33.770000000000003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144.88999999999999</v>
          </cell>
          <cell r="BG19">
            <v>0</v>
          </cell>
          <cell r="BH19">
            <v>144.88999999999999</v>
          </cell>
          <cell r="BI19">
            <v>887.3</v>
          </cell>
          <cell r="BJ19">
            <v>1300.83</v>
          </cell>
          <cell r="BK19">
            <v>0</v>
          </cell>
          <cell r="BL19">
            <v>129.84</v>
          </cell>
          <cell r="BM19">
            <v>166.11</v>
          </cell>
          <cell r="BN19">
            <v>24.91</v>
          </cell>
          <cell r="BO19">
            <v>48.17</v>
          </cell>
          <cell r="BP19">
            <v>369.03</v>
          </cell>
          <cell r="BQ19">
            <v>1256.33</v>
          </cell>
        </row>
        <row r="20">
          <cell r="A20" t="str">
            <v>FERNANDO FERRAREZI DOS SANTOS</v>
          </cell>
          <cell r="B20">
            <v>46023</v>
          </cell>
          <cell r="C20" t="str">
            <v>Empregado – Geral</v>
          </cell>
          <cell r="D20" t="str">
            <v>G S FL 04 - MARINGA</v>
          </cell>
          <cell r="E20" t="str">
            <v>20.504.237/0004-60</v>
          </cell>
          <cell r="F20" t="str">
            <v>LOGISTICA</v>
          </cell>
          <cell r="G20" t="str">
            <v>TRANSPORTE</v>
          </cell>
          <cell r="H20" t="str">
            <v>SELETIVA MARINGA DISTRITO</v>
          </cell>
          <cell r="I20">
            <v>46027</v>
          </cell>
          <cell r="K20" t="str">
            <v>1.2.4.4 LOGISTICA</v>
          </cell>
          <cell r="L20" t="str">
            <v>MOTORISTA CARRETEIRO MANTENEDOR SENIOR I</v>
          </cell>
          <cell r="M20">
            <v>3345</v>
          </cell>
          <cell r="N20">
            <v>3010.5</v>
          </cell>
          <cell r="O20">
            <v>0</v>
          </cell>
          <cell r="P20">
            <v>3010.5</v>
          </cell>
          <cell r="Q20">
            <v>0</v>
          </cell>
          <cell r="R20">
            <v>0</v>
          </cell>
          <cell r="S20">
            <v>0</v>
          </cell>
          <cell r="T20">
            <v>602.1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337.18</v>
          </cell>
          <cell r="AB20">
            <v>42.15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3991.93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19.54</v>
          </cell>
          <cell r="AP20">
            <v>0</v>
          </cell>
          <cell r="AQ20">
            <v>0</v>
          </cell>
          <cell r="AR20">
            <v>19.54</v>
          </cell>
          <cell r="AS20">
            <v>0</v>
          </cell>
          <cell r="AT20">
            <v>216.67</v>
          </cell>
          <cell r="AU20">
            <v>0</v>
          </cell>
          <cell r="AV20">
            <v>594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4822.1400000000003</v>
          </cell>
          <cell r="BJ20">
            <v>614.4</v>
          </cell>
          <cell r="BK20">
            <v>4207.74</v>
          </cell>
          <cell r="BL20">
            <v>319.35000000000002</v>
          </cell>
          <cell r="BM20">
            <v>798.39</v>
          </cell>
          <cell r="BN20">
            <v>119.75</v>
          </cell>
          <cell r="BO20">
            <v>231.53</v>
          </cell>
          <cell r="BP20">
            <v>1469.02</v>
          </cell>
          <cell r="BQ20">
            <v>6291.16</v>
          </cell>
        </row>
        <row r="21">
          <cell r="A21" t="str">
            <v>JOHNNIS GUANDALINI SCHIAVON</v>
          </cell>
          <cell r="B21">
            <v>46023</v>
          </cell>
          <cell r="C21" t="str">
            <v>Empregado – Geral</v>
          </cell>
          <cell r="D21" t="str">
            <v>G S FL 04 - MARINGA</v>
          </cell>
          <cell r="E21" t="str">
            <v>20.504.237/0004-60</v>
          </cell>
          <cell r="F21" t="str">
            <v>OPERACIONAL</v>
          </cell>
          <cell r="G21" t="str">
            <v>PATIO</v>
          </cell>
          <cell r="H21" t="str">
            <v>SELETIVA MARINGA DISTRITO</v>
          </cell>
          <cell r="I21">
            <v>45790</v>
          </cell>
          <cell r="K21" t="str">
            <v>1.2.4.3 OPERACIONAL</v>
          </cell>
          <cell r="L21" t="str">
            <v>OPERADOR MANTENEDOR JR</v>
          </cell>
          <cell r="M21">
            <v>2610</v>
          </cell>
          <cell r="N21">
            <v>2262</v>
          </cell>
          <cell r="O21">
            <v>0</v>
          </cell>
          <cell r="P21">
            <v>2262</v>
          </cell>
          <cell r="Q21">
            <v>0</v>
          </cell>
          <cell r="R21">
            <v>596.66</v>
          </cell>
          <cell r="S21">
            <v>0</v>
          </cell>
          <cell r="T21">
            <v>452.4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3311.06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27.43</v>
          </cell>
          <cell r="AP21">
            <v>0</v>
          </cell>
          <cell r="AQ21">
            <v>0</v>
          </cell>
          <cell r="AR21">
            <v>27.43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3338.49</v>
          </cell>
          <cell r="BJ21">
            <v>1821.59</v>
          </cell>
          <cell r="BK21">
            <v>1072.43</v>
          </cell>
          <cell r="BL21">
            <v>264.88</v>
          </cell>
          <cell r="BM21">
            <v>662.21</v>
          </cell>
          <cell r="BN21">
            <v>99.33</v>
          </cell>
          <cell r="BO21">
            <v>192.04</v>
          </cell>
          <cell r="BP21">
            <v>1218.46</v>
          </cell>
          <cell r="BQ21">
            <v>4556.95</v>
          </cell>
        </row>
        <row r="22">
          <cell r="A22" t="str">
            <v>ANTONIO APARECIDO FAQUIANO SOBRINHO</v>
          </cell>
          <cell r="B22">
            <v>46023</v>
          </cell>
          <cell r="C22" t="str">
            <v>Empregado – Geral</v>
          </cell>
          <cell r="D22" t="str">
            <v>G S FL 03 - DOURADOS</v>
          </cell>
          <cell r="E22" t="str">
            <v>20.504.237/0003-89</v>
          </cell>
          <cell r="F22" t="str">
            <v>LOGISTICA</v>
          </cell>
          <cell r="G22" t="str">
            <v>TRANSPORTE</v>
          </cell>
          <cell r="H22" t="str">
            <v>SELETIVA DOURADOS</v>
          </cell>
          <cell r="I22">
            <v>43521</v>
          </cell>
          <cell r="K22" t="str">
            <v>1.2.2.4 LOGISTICA</v>
          </cell>
          <cell r="L22" t="str">
            <v>MOTORISTA CARRETEIRO MANTENEDOR SENIOR I</v>
          </cell>
          <cell r="M22">
            <v>2690.66</v>
          </cell>
          <cell r="N22">
            <v>2690.66</v>
          </cell>
          <cell r="O22">
            <v>0</v>
          </cell>
          <cell r="P22">
            <v>2690.66</v>
          </cell>
          <cell r="Q22">
            <v>0</v>
          </cell>
          <cell r="R22">
            <v>0</v>
          </cell>
          <cell r="S22">
            <v>0</v>
          </cell>
          <cell r="T22">
            <v>538.13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548.89</v>
          </cell>
          <cell r="AB22">
            <v>105.56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3883.24</v>
          </cell>
          <cell r="AH22">
            <v>0</v>
          </cell>
          <cell r="AI22">
            <v>0</v>
          </cell>
          <cell r="AJ22">
            <v>178.86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600</v>
          </cell>
          <cell r="AP22">
            <v>0</v>
          </cell>
          <cell r="AQ22">
            <v>0</v>
          </cell>
          <cell r="AR22">
            <v>778.86</v>
          </cell>
          <cell r="AS22">
            <v>0</v>
          </cell>
          <cell r="AT22">
            <v>0</v>
          </cell>
          <cell r="AU22">
            <v>0</v>
          </cell>
          <cell r="AV22">
            <v>1220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5882.1</v>
          </cell>
          <cell r="BJ22">
            <v>432.23</v>
          </cell>
          <cell r="BK22">
            <v>5449.87</v>
          </cell>
          <cell r="BL22">
            <v>310.64999999999998</v>
          </cell>
          <cell r="BM22">
            <v>776.65</v>
          </cell>
          <cell r="BN22">
            <v>116.49</v>
          </cell>
          <cell r="BO22">
            <v>225.22</v>
          </cell>
          <cell r="BP22">
            <v>1429.01</v>
          </cell>
          <cell r="BQ22">
            <v>7311.11</v>
          </cell>
        </row>
        <row r="23">
          <cell r="A23" t="str">
            <v>ERNESTO EUGENIO DA SILVA</v>
          </cell>
          <cell r="B23">
            <v>46023</v>
          </cell>
          <cell r="C23" t="str">
            <v>Empregado – Geral</v>
          </cell>
          <cell r="D23" t="str">
            <v>G S FL 03 - DOURADOS</v>
          </cell>
          <cell r="E23" t="str">
            <v>20.504.237/0003-89</v>
          </cell>
          <cell r="F23" t="str">
            <v>LOGISTICA</v>
          </cell>
          <cell r="G23" t="str">
            <v>TRANSPORTE</v>
          </cell>
          <cell r="H23" t="str">
            <v>SELETIVA DOURADOS</v>
          </cell>
          <cell r="I23">
            <v>45103</v>
          </cell>
          <cell r="K23" t="str">
            <v>1.2.2.4 LOGISTICA</v>
          </cell>
          <cell r="L23" t="str">
            <v>MOTORISTA CARRETEIRO MANTENEDOR SENIOR I</v>
          </cell>
          <cell r="M23">
            <v>2690.66</v>
          </cell>
          <cell r="N23">
            <v>2331.91</v>
          </cell>
          <cell r="O23">
            <v>0</v>
          </cell>
          <cell r="P23">
            <v>2331.91</v>
          </cell>
          <cell r="Q23">
            <v>0</v>
          </cell>
          <cell r="R23">
            <v>726.35</v>
          </cell>
          <cell r="S23">
            <v>0</v>
          </cell>
          <cell r="T23">
            <v>461.33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42.71</v>
          </cell>
          <cell r="AA23">
            <v>563.57000000000005</v>
          </cell>
          <cell r="AB23">
            <v>70.45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4196.32</v>
          </cell>
          <cell r="AH23">
            <v>0</v>
          </cell>
          <cell r="AI23">
            <v>0</v>
          </cell>
          <cell r="AJ23">
            <v>83.07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600</v>
          </cell>
          <cell r="AP23">
            <v>0</v>
          </cell>
          <cell r="AQ23">
            <v>0</v>
          </cell>
          <cell r="AR23">
            <v>683.07</v>
          </cell>
          <cell r="AS23">
            <v>0</v>
          </cell>
          <cell r="AT23">
            <v>0</v>
          </cell>
          <cell r="AU23">
            <v>0</v>
          </cell>
          <cell r="AV23">
            <v>791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5670.39</v>
          </cell>
          <cell r="BJ23">
            <v>564.52</v>
          </cell>
          <cell r="BK23">
            <v>4379.5200000000004</v>
          </cell>
          <cell r="BL23">
            <v>333.68</v>
          </cell>
          <cell r="BM23">
            <v>839.26</v>
          </cell>
          <cell r="BN23">
            <v>125.88</v>
          </cell>
          <cell r="BO23">
            <v>243.38</v>
          </cell>
          <cell r="BP23">
            <v>1542.2</v>
          </cell>
          <cell r="BQ23">
            <v>7212.59</v>
          </cell>
        </row>
        <row r="24">
          <cell r="A24" t="str">
            <v>EVERTON BENITES SOBRINHO</v>
          </cell>
          <cell r="B24">
            <v>46023</v>
          </cell>
          <cell r="C24" t="str">
            <v>Empregado – Geral</v>
          </cell>
          <cell r="D24" t="str">
            <v>G S FL 03 - DOURADOS</v>
          </cell>
          <cell r="E24" t="str">
            <v>20.504.237/0003-89</v>
          </cell>
          <cell r="F24" t="str">
            <v>LOGISTICA</v>
          </cell>
          <cell r="G24" t="str">
            <v>TRANSPORTE</v>
          </cell>
          <cell r="H24" t="str">
            <v>SELETIVA DOURADOS</v>
          </cell>
          <cell r="I24">
            <v>45440</v>
          </cell>
          <cell r="K24" t="str">
            <v>1.2.2.4 LOGISTICA</v>
          </cell>
          <cell r="L24" t="str">
            <v>MOTORISTA CARRETEIRO MANTENEDOR SENIOR I</v>
          </cell>
          <cell r="M24">
            <v>2690.66</v>
          </cell>
          <cell r="N24">
            <v>2511.2800000000002</v>
          </cell>
          <cell r="O24">
            <v>0</v>
          </cell>
          <cell r="P24">
            <v>2511.2800000000002</v>
          </cell>
          <cell r="Q24">
            <v>0</v>
          </cell>
          <cell r="R24">
            <v>366.03</v>
          </cell>
          <cell r="S24">
            <v>0</v>
          </cell>
          <cell r="T24">
            <v>502.26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22.36</v>
          </cell>
          <cell r="AA24">
            <v>687.22</v>
          </cell>
          <cell r="AB24">
            <v>109.96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4199.1099999999997</v>
          </cell>
          <cell r="AH24">
            <v>0</v>
          </cell>
          <cell r="AI24">
            <v>0</v>
          </cell>
          <cell r="AJ24">
            <v>154.69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600</v>
          </cell>
          <cell r="AP24">
            <v>0</v>
          </cell>
          <cell r="AQ24">
            <v>0</v>
          </cell>
          <cell r="AR24">
            <v>754.69</v>
          </cell>
          <cell r="AS24">
            <v>0</v>
          </cell>
          <cell r="AT24">
            <v>0</v>
          </cell>
          <cell r="AU24">
            <v>0</v>
          </cell>
          <cell r="AV24">
            <v>1092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6045.8</v>
          </cell>
          <cell r="BJ24">
            <v>2390.5</v>
          </cell>
          <cell r="BK24">
            <v>3289.27</v>
          </cell>
          <cell r="BL24">
            <v>335.92</v>
          </cell>
          <cell r="BM24">
            <v>839.82</v>
          </cell>
          <cell r="BN24">
            <v>125.97</v>
          </cell>
          <cell r="BO24">
            <v>243.54</v>
          </cell>
          <cell r="BP24">
            <v>1545.25</v>
          </cell>
          <cell r="BQ24">
            <v>7591.05</v>
          </cell>
        </row>
        <row r="25">
          <cell r="A25" t="str">
            <v>JOSE MANOEL DOS SANTOS</v>
          </cell>
          <cell r="B25">
            <v>46023</v>
          </cell>
          <cell r="C25" t="str">
            <v>Empregado – Geral</v>
          </cell>
          <cell r="D25" t="str">
            <v>G S FL 03 - DOURADOS</v>
          </cell>
          <cell r="E25" t="str">
            <v>20.504.237/0003-89</v>
          </cell>
          <cell r="F25" t="str">
            <v>OPERACIONAL</v>
          </cell>
          <cell r="G25" t="str">
            <v>PATIO</v>
          </cell>
          <cell r="H25" t="str">
            <v>SELETIVA DOURADOS</v>
          </cell>
          <cell r="I25">
            <v>44964</v>
          </cell>
          <cell r="K25" t="str">
            <v>1.2.2.3 OPERACIONAL</v>
          </cell>
          <cell r="L25" t="str">
            <v>OPERADOR MANTENEDOR JR</v>
          </cell>
          <cell r="M25">
            <v>2610</v>
          </cell>
          <cell r="N25">
            <v>2262</v>
          </cell>
          <cell r="O25">
            <v>0</v>
          </cell>
          <cell r="P25">
            <v>2262</v>
          </cell>
          <cell r="Q25">
            <v>0</v>
          </cell>
          <cell r="R25">
            <v>638.63</v>
          </cell>
          <cell r="S25">
            <v>1596.56</v>
          </cell>
          <cell r="T25">
            <v>452.4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150.34</v>
          </cell>
          <cell r="AB25">
            <v>18.79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5118.72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262.56</v>
          </cell>
          <cell r="AP25">
            <v>0</v>
          </cell>
          <cell r="AQ25">
            <v>0</v>
          </cell>
          <cell r="AR25">
            <v>262.56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104.4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5485.68</v>
          </cell>
          <cell r="BJ25">
            <v>1370.37</v>
          </cell>
          <cell r="BK25">
            <v>1880.12</v>
          </cell>
          <cell r="BL25">
            <v>281.77</v>
          </cell>
          <cell r="BM25">
            <v>1023.74</v>
          </cell>
          <cell r="BN25">
            <v>153.56</v>
          </cell>
          <cell r="BO25">
            <v>296.88</v>
          </cell>
          <cell r="BP25">
            <v>1755.95</v>
          </cell>
          <cell r="BQ25">
            <v>7241.63</v>
          </cell>
        </row>
        <row r="26">
          <cell r="A26" t="str">
            <v>DANIEL JUNIOR SANTOS</v>
          </cell>
          <cell r="B26">
            <v>46023</v>
          </cell>
          <cell r="C26" t="str">
            <v>Empregado – Geral</v>
          </cell>
          <cell r="D26" t="str">
            <v>G S FL 05 - BARUERI</v>
          </cell>
          <cell r="E26" t="str">
            <v>20.504.237/0005-40</v>
          </cell>
          <cell r="F26" t="str">
            <v>OPERACIONAL</v>
          </cell>
          <cell r="G26" t="str">
            <v>RESENDE - RJ</v>
          </cell>
          <cell r="H26" t="str">
            <v>EKIPA LOCACOES E SERV G&amp;S</v>
          </cell>
          <cell r="I26">
            <v>44617</v>
          </cell>
          <cell r="K26" t="str">
            <v>1.7.1.2 ARCELOR - RESENDE/RJ</v>
          </cell>
          <cell r="L26" t="str">
            <v>MOTORISTA CARRETEIRO MANTENEDOR SENIOR III</v>
          </cell>
          <cell r="M26">
            <v>3287.33</v>
          </cell>
          <cell r="N26">
            <v>1095.78</v>
          </cell>
          <cell r="O26">
            <v>0</v>
          </cell>
          <cell r="P26">
            <v>1095.78</v>
          </cell>
          <cell r="Q26">
            <v>0</v>
          </cell>
          <cell r="R26">
            <v>4762.45</v>
          </cell>
          <cell r="S26">
            <v>0</v>
          </cell>
          <cell r="T26">
            <v>219.16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55.88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6133.27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2520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8653.27</v>
          </cell>
          <cell r="BJ26">
            <v>284.89</v>
          </cell>
          <cell r="BK26">
            <v>3605.93</v>
          </cell>
          <cell r="BL26">
            <v>490.66</v>
          </cell>
          <cell r="BM26">
            <v>1226.6500000000001</v>
          </cell>
          <cell r="BN26">
            <v>91.99</v>
          </cell>
          <cell r="BO26">
            <v>355.72</v>
          </cell>
          <cell r="BP26">
            <v>2165.02</v>
          </cell>
          <cell r="BQ26">
            <v>10818.29</v>
          </cell>
        </row>
        <row r="27">
          <cell r="A27" t="str">
            <v>CRISTIANO LUCAS BACHIO</v>
          </cell>
          <cell r="B27">
            <v>46023</v>
          </cell>
          <cell r="C27" t="str">
            <v>Empregado – Geral</v>
          </cell>
          <cell r="D27" t="str">
            <v>G S FL 05 - BARUERI</v>
          </cell>
          <cell r="E27" t="str">
            <v>20.504.237/0005-40</v>
          </cell>
          <cell r="F27" t="str">
            <v>OPERACIONAL</v>
          </cell>
          <cell r="G27" t="str">
            <v>TUPY/JOINVILLE - SC</v>
          </cell>
          <cell r="H27" t="str">
            <v>EKIPA LOCACOES E SERV G&amp;S</v>
          </cell>
          <cell r="I27">
            <v>45026</v>
          </cell>
          <cell r="K27" t="str">
            <v>1.7.1.8 TUPY - JOINVILLE/SC</v>
          </cell>
          <cell r="L27" t="str">
            <v>OPERADOR MANTENEDOR PLENO</v>
          </cell>
          <cell r="M27">
            <v>2816.11</v>
          </cell>
          <cell r="N27">
            <v>2440.63</v>
          </cell>
          <cell r="O27">
            <v>0</v>
          </cell>
          <cell r="P27">
            <v>2440.63</v>
          </cell>
          <cell r="Q27">
            <v>0</v>
          </cell>
          <cell r="R27">
            <v>690.48</v>
          </cell>
          <cell r="S27">
            <v>0</v>
          </cell>
          <cell r="T27">
            <v>488.13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16.649999999999999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3635.89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667.8</v>
          </cell>
          <cell r="AO27">
            <v>0</v>
          </cell>
          <cell r="AP27">
            <v>0</v>
          </cell>
          <cell r="AQ27">
            <v>0</v>
          </cell>
          <cell r="AR27">
            <v>667.8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4303.6899999999996</v>
          </cell>
          <cell r="BJ27">
            <v>1396.25</v>
          </cell>
          <cell r="BK27">
            <v>2216.96</v>
          </cell>
          <cell r="BL27">
            <v>290.87</v>
          </cell>
          <cell r="BM27">
            <v>727.18</v>
          </cell>
          <cell r="BN27">
            <v>54.53</v>
          </cell>
          <cell r="BO27">
            <v>210.88</v>
          </cell>
          <cell r="BP27">
            <v>1283.46</v>
          </cell>
          <cell r="BQ27">
            <v>5587.15</v>
          </cell>
        </row>
        <row r="28">
          <cell r="A28" t="str">
            <v>JOAO BATISTA RIBEIRO SILVA</v>
          </cell>
          <cell r="B28">
            <v>46023</v>
          </cell>
          <cell r="C28" t="str">
            <v>Empregado – Geral</v>
          </cell>
          <cell r="D28" t="str">
            <v>G S FL 05 - BARUERI</v>
          </cell>
          <cell r="E28" t="str">
            <v>20.504.237/0005-40</v>
          </cell>
          <cell r="F28" t="str">
            <v>OPERACIONAL</v>
          </cell>
          <cell r="G28" t="str">
            <v>PATIO</v>
          </cell>
          <cell r="H28" t="str">
            <v>SELETIVA MARINGA DISTRITO</v>
          </cell>
          <cell r="I28">
            <v>42826</v>
          </cell>
          <cell r="K28" t="str">
            <v>1.2.3.3 OPERACIONAL</v>
          </cell>
          <cell r="L28" t="str">
            <v>OPERADOR MANTENEDOR PLENO</v>
          </cell>
          <cell r="M28">
            <v>2816.11</v>
          </cell>
          <cell r="N28">
            <v>938.7</v>
          </cell>
          <cell r="O28">
            <v>0</v>
          </cell>
          <cell r="P28">
            <v>938.7</v>
          </cell>
          <cell r="Q28">
            <v>0</v>
          </cell>
          <cell r="R28">
            <v>4199.5200000000004</v>
          </cell>
          <cell r="S28">
            <v>1049.8800000000001</v>
          </cell>
          <cell r="T28">
            <v>187.74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1451.58</v>
          </cell>
          <cell r="AB28">
            <v>322.57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8149.99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19.54</v>
          </cell>
          <cell r="AP28">
            <v>0</v>
          </cell>
          <cell r="AQ28">
            <v>0</v>
          </cell>
          <cell r="AR28">
            <v>19.54</v>
          </cell>
          <cell r="AS28">
            <v>0</v>
          </cell>
          <cell r="AT28">
            <v>0</v>
          </cell>
          <cell r="AU28">
            <v>0</v>
          </cell>
          <cell r="AV28">
            <v>2080</v>
          </cell>
          <cell r="AW28">
            <v>0</v>
          </cell>
          <cell r="AX28">
            <v>0</v>
          </cell>
          <cell r="AY28">
            <v>0</v>
          </cell>
          <cell r="AZ28">
            <v>902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11151.53</v>
          </cell>
          <cell r="BJ28">
            <v>812.72</v>
          </cell>
          <cell r="BK28">
            <v>5089.41</v>
          </cell>
          <cell r="BL28">
            <v>568</v>
          </cell>
          <cell r="BM28">
            <v>1630</v>
          </cell>
          <cell r="BN28">
            <v>122.24</v>
          </cell>
          <cell r="BO28">
            <v>472.69</v>
          </cell>
          <cell r="BP28">
            <v>2792.93</v>
          </cell>
          <cell r="BQ28">
            <v>13944.46</v>
          </cell>
        </row>
        <row r="29">
          <cell r="A29" t="str">
            <v>MARCOS ANTONIO CLAUDIO</v>
          </cell>
          <cell r="B29">
            <v>46023</v>
          </cell>
          <cell r="C29" t="str">
            <v>Empregado – Geral</v>
          </cell>
          <cell r="D29" t="str">
            <v>G S FL 05 - BARUERI</v>
          </cell>
          <cell r="E29" t="str">
            <v>20.504.237/0005-40</v>
          </cell>
          <cell r="F29" t="str">
            <v>OPERACIONAL</v>
          </cell>
          <cell r="G29" t="str">
            <v>ARCELOR/PIRACICABA - SP</v>
          </cell>
          <cell r="H29" t="str">
            <v>EKIPA LOCACOES E SERV G&amp;S</v>
          </cell>
          <cell r="I29">
            <v>45742</v>
          </cell>
          <cell r="K29" t="str">
            <v>1.7.1.4 ARCELOR - PIRACICABA</v>
          </cell>
          <cell r="L29" t="str">
            <v>OPERADOR MANTENEDOR PLENO</v>
          </cell>
          <cell r="M29">
            <v>2816.11</v>
          </cell>
          <cell r="N29">
            <v>2816.11</v>
          </cell>
          <cell r="O29">
            <v>0</v>
          </cell>
          <cell r="P29">
            <v>2816.11</v>
          </cell>
          <cell r="Q29">
            <v>0</v>
          </cell>
          <cell r="R29">
            <v>0</v>
          </cell>
          <cell r="S29">
            <v>0</v>
          </cell>
          <cell r="T29">
            <v>563.22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1378.36</v>
          </cell>
          <cell r="AB29">
            <v>265.07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5022.76</v>
          </cell>
          <cell r="AH29">
            <v>0</v>
          </cell>
          <cell r="AI29">
            <v>0</v>
          </cell>
          <cell r="AJ29">
            <v>0</v>
          </cell>
          <cell r="AK29">
            <v>1637.73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1637.73</v>
          </cell>
          <cell r="AS29">
            <v>0</v>
          </cell>
          <cell r="AT29">
            <v>0</v>
          </cell>
          <cell r="AU29">
            <v>0</v>
          </cell>
          <cell r="AV29">
            <v>1680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8340.49</v>
          </cell>
          <cell r="BJ29">
            <v>1927.79</v>
          </cell>
          <cell r="BK29">
            <v>6412.7</v>
          </cell>
          <cell r="BL29">
            <v>401.82</v>
          </cell>
          <cell r="BM29">
            <v>1004.55</v>
          </cell>
          <cell r="BN29">
            <v>75.34</v>
          </cell>
          <cell r="BO29">
            <v>291.32</v>
          </cell>
          <cell r="BP29">
            <v>1773.03</v>
          </cell>
          <cell r="BQ29">
            <v>10113.52</v>
          </cell>
        </row>
        <row r="30">
          <cell r="A30" t="str">
            <v>RIVAEL BARRETO DA SILVA</v>
          </cell>
          <cell r="B30">
            <v>46023</v>
          </cell>
          <cell r="C30" t="str">
            <v>Empregado – Geral</v>
          </cell>
          <cell r="D30" t="str">
            <v>G S FL 05 - BARUERI</v>
          </cell>
          <cell r="E30" t="str">
            <v>20.504.237/0005-40</v>
          </cell>
          <cell r="F30" t="str">
            <v>OPERACIONAL</v>
          </cell>
          <cell r="G30" t="str">
            <v>TUPY/JOINVILLE - SC</v>
          </cell>
          <cell r="H30" t="str">
            <v>EKIPA LOCACOES E SERV G&amp;S</v>
          </cell>
          <cell r="I30">
            <v>44167</v>
          </cell>
          <cell r="K30" t="str">
            <v>1.7.1.8 TUPY - JOINVILLE/SC</v>
          </cell>
          <cell r="L30" t="str">
            <v>OPERADOR MANTENEDOR SENIOR</v>
          </cell>
          <cell r="M30">
            <v>3158.66</v>
          </cell>
          <cell r="N30">
            <v>2737.51</v>
          </cell>
          <cell r="O30">
            <v>0</v>
          </cell>
          <cell r="P30">
            <v>2737.51</v>
          </cell>
          <cell r="Q30">
            <v>0</v>
          </cell>
          <cell r="R30">
            <v>673.84</v>
          </cell>
          <cell r="S30">
            <v>0</v>
          </cell>
          <cell r="T30">
            <v>547.5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27.14</v>
          </cell>
          <cell r="AB30">
            <v>3.39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3989.38</v>
          </cell>
          <cell r="AH30">
            <v>0</v>
          </cell>
          <cell r="AI30">
            <v>750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645</v>
          </cell>
          <cell r="AQ30">
            <v>0</v>
          </cell>
          <cell r="AR30">
            <v>1395</v>
          </cell>
          <cell r="AS30">
            <v>0</v>
          </cell>
          <cell r="AT30">
            <v>50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5434.38</v>
          </cell>
          <cell r="BJ30">
            <v>306.75</v>
          </cell>
          <cell r="BK30">
            <v>4453.79</v>
          </cell>
          <cell r="BL30">
            <v>319.14999999999998</v>
          </cell>
          <cell r="BM30">
            <v>797.88</v>
          </cell>
          <cell r="BN30">
            <v>59.84</v>
          </cell>
          <cell r="BO30">
            <v>231.38</v>
          </cell>
          <cell r="BP30">
            <v>1408.25</v>
          </cell>
          <cell r="BQ30">
            <v>6842.63</v>
          </cell>
        </row>
        <row r="31">
          <cell r="A31" t="str">
            <v>ROBERTT FERNANDO SIQUEIRA</v>
          </cell>
          <cell r="B31">
            <v>46023</v>
          </cell>
          <cell r="C31" t="str">
            <v>Empregado – Geral</v>
          </cell>
          <cell r="D31" t="str">
            <v>G S FL 05 - BARUERI</v>
          </cell>
          <cell r="E31" t="str">
            <v>20.504.237/0005-40</v>
          </cell>
          <cell r="F31" t="str">
            <v>OPERACIONAL</v>
          </cell>
          <cell r="G31" t="str">
            <v>ARCELOR/BARRA MANSA - RJ</v>
          </cell>
          <cell r="H31" t="str">
            <v>EKIPA LOCACOES E SERV G&amp;S</v>
          </cell>
          <cell r="I31">
            <v>45520</v>
          </cell>
          <cell r="K31" t="str">
            <v>1.7.1.3 ARCELOR - BARRA MANS</v>
          </cell>
          <cell r="L31" t="str">
            <v>OPERADOR MANTENEDOR PLENO</v>
          </cell>
          <cell r="M31">
            <v>2816.11</v>
          </cell>
          <cell r="N31">
            <v>2628.37</v>
          </cell>
          <cell r="O31">
            <v>187.74</v>
          </cell>
          <cell r="P31">
            <v>2816.1099999999997</v>
          </cell>
          <cell r="Q31">
            <v>0</v>
          </cell>
          <cell r="R31">
            <v>0</v>
          </cell>
          <cell r="S31">
            <v>0</v>
          </cell>
          <cell r="T31">
            <v>525.66999999999996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65.209999999999994</v>
          </cell>
          <cell r="AA31">
            <v>238.09</v>
          </cell>
          <cell r="AB31">
            <v>49.6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3694.68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784</v>
          </cell>
          <cell r="AO31">
            <v>0</v>
          </cell>
          <cell r="AP31">
            <v>0</v>
          </cell>
          <cell r="AQ31">
            <v>0</v>
          </cell>
          <cell r="AR31">
            <v>784</v>
          </cell>
          <cell r="AS31">
            <v>0</v>
          </cell>
          <cell r="AT31">
            <v>250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4728.68</v>
          </cell>
          <cell r="BJ31">
            <v>1550.93</v>
          </cell>
          <cell r="BK31">
            <v>3177.75</v>
          </cell>
          <cell r="BL31">
            <v>295.57</v>
          </cell>
          <cell r="BM31">
            <v>738.94</v>
          </cell>
          <cell r="BN31">
            <v>55.42</v>
          </cell>
          <cell r="BO31">
            <v>214.29</v>
          </cell>
          <cell r="BP31">
            <v>1304.22</v>
          </cell>
          <cell r="BQ31">
            <v>6032.9</v>
          </cell>
        </row>
        <row r="32">
          <cell r="A32" t="str">
            <v>SANDRILEI MOREIRA JUNIOR</v>
          </cell>
          <cell r="B32">
            <v>46023</v>
          </cell>
          <cell r="C32" t="str">
            <v>Empregado – Geral</v>
          </cell>
          <cell r="D32" t="str">
            <v>G S FL 05 - BARUERI</v>
          </cell>
          <cell r="E32" t="str">
            <v>20.504.237/0005-40</v>
          </cell>
          <cell r="F32" t="str">
            <v>OPERACIONAL</v>
          </cell>
          <cell r="G32" t="str">
            <v>ARCELOR/BARRA MANSA - RJ</v>
          </cell>
          <cell r="H32" t="str">
            <v>EKIPA LOCACOES E SERV G&amp;S</v>
          </cell>
          <cell r="I32">
            <v>45728</v>
          </cell>
          <cell r="K32" t="str">
            <v>1.7.1.3 ARCELOR - BARRA MANS</v>
          </cell>
          <cell r="L32" t="str">
            <v>OPERADOR MANTENEDOR PLENO</v>
          </cell>
          <cell r="M32">
            <v>2816.11</v>
          </cell>
          <cell r="N32">
            <v>2816.11</v>
          </cell>
          <cell r="O32">
            <v>0</v>
          </cell>
          <cell r="P32">
            <v>2816.11</v>
          </cell>
          <cell r="Q32">
            <v>0</v>
          </cell>
          <cell r="R32">
            <v>0</v>
          </cell>
          <cell r="S32">
            <v>0</v>
          </cell>
          <cell r="T32">
            <v>563.22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277</v>
          </cell>
          <cell r="AB32">
            <v>53.27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3709.6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712.8</v>
          </cell>
          <cell r="AO32">
            <v>0</v>
          </cell>
          <cell r="AP32">
            <v>0</v>
          </cell>
          <cell r="AQ32">
            <v>0</v>
          </cell>
          <cell r="AR32">
            <v>712.8</v>
          </cell>
          <cell r="AS32">
            <v>0</v>
          </cell>
          <cell r="AT32">
            <v>250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4672.3999999999996</v>
          </cell>
          <cell r="BJ32">
            <v>1552.72</v>
          </cell>
          <cell r="BK32">
            <v>3119.68</v>
          </cell>
          <cell r="BL32">
            <v>296.76</v>
          </cell>
          <cell r="BM32">
            <v>741.92</v>
          </cell>
          <cell r="BN32">
            <v>55.64</v>
          </cell>
          <cell r="BO32">
            <v>215.15</v>
          </cell>
          <cell r="BP32">
            <v>1309.47</v>
          </cell>
          <cell r="BQ32">
            <v>5981.87</v>
          </cell>
        </row>
        <row r="33">
          <cell r="A33" t="str">
            <v>SILVANO VIEIRA DE SANTANA</v>
          </cell>
          <cell r="B33">
            <v>46023</v>
          </cell>
          <cell r="C33" t="str">
            <v>Empregado – Geral</v>
          </cell>
          <cell r="D33" t="str">
            <v>G S FL 05 - BARUERI</v>
          </cell>
          <cell r="E33" t="str">
            <v>20.504.237/0005-40</v>
          </cell>
          <cell r="F33" t="str">
            <v>LOGISTICA</v>
          </cell>
          <cell r="G33" t="str">
            <v>TRANSPORTE</v>
          </cell>
          <cell r="H33" t="str">
            <v>SELETIVA CORPORATIVO SUCATA</v>
          </cell>
          <cell r="I33">
            <v>44238</v>
          </cell>
          <cell r="K33" t="str">
            <v>1.2.1.8 PRENSA MOVEL</v>
          </cell>
          <cell r="L33" t="str">
            <v>MOTORISTA CARRETEIRO MANTENEDOR SENIOR III</v>
          </cell>
          <cell r="M33">
            <v>3287.33</v>
          </cell>
          <cell r="N33">
            <v>2849.02</v>
          </cell>
          <cell r="O33">
            <v>0</v>
          </cell>
          <cell r="P33">
            <v>2849.02</v>
          </cell>
          <cell r="Q33">
            <v>0</v>
          </cell>
          <cell r="R33">
            <v>750.32</v>
          </cell>
          <cell r="S33">
            <v>1875.81</v>
          </cell>
          <cell r="T33">
            <v>569.79999999999995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729.94</v>
          </cell>
          <cell r="AB33">
            <v>91.24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6866.13</v>
          </cell>
          <cell r="AH33">
            <v>0</v>
          </cell>
          <cell r="AI33">
            <v>0</v>
          </cell>
          <cell r="AJ33">
            <v>0</v>
          </cell>
          <cell r="AK33">
            <v>246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246</v>
          </cell>
          <cell r="AS33">
            <v>0</v>
          </cell>
          <cell r="AT33">
            <v>0</v>
          </cell>
          <cell r="AU33">
            <v>0</v>
          </cell>
          <cell r="AV33">
            <v>4537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11649.13</v>
          </cell>
          <cell r="BJ33">
            <v>3482.92</v>
          </cell>
          <cell r="BK33">
            <v>5540.08</v>
          </cell>
          <cell r="BL33">
            <v>399.22</v>
          </cell>
          <cell r="BM33">
            <v>1373.23</v>
          </cell>
          <cell r="BN33">
            <v>102.99</v>
          </cell>
          <cell r="BO33">
            <v>398.23</v>
          </cell>
          <cell r="BP33">
            <v>2273.67</v>
          </cell>
          <cell r="BQ33">
            <v>13922.8</v>
          </cell>
        </row>
        <row r="34">
          <cell r="A34" t="str">
            <v>WALLANCE ALIEL FURTADO</v>
          </cell>
          <cell r="B34">
            <v>46023</v>
          </cell>
          <cell r="C34" t="str">
            <v>Empregado – Geral</v>
          </cell>
          <cell r="D34" t="str">
            <v>G S FL 05 - BARUERI</v>
          </cell>
          <cell r="E34" t="str">
            <v>20.504.237/0005-40</v>
          </cell>
          <cell r="F34" t="str">
            <v>OPERACIONAL</v>
          </cell>
          <cell r="G34" t="str">
            <v>ARCELOR/BARRA MANSA - RJ</v>
          </cell>
          <cell r="H34" t="str">
            <v>EKIPA LOCACOES E SERV G&amp;S</v>
          </cell>
          <cell r="I34">
            <v>44876</v>
          </cell>
          <cell r="K34" t="str">
            <v>1.7.1.3 ARCELOR - BARRA MANS</v>
          </cell>
          <cell r="L34" t="str">
            <v>OPERADOR MANTENEDOR SENIOR</v>
          </cell>
          <cell r="M34">
            <v>3158.66</v>
          </cell>
          <cell r="N34">
            <v>3158.66</v>
          </cell>
          <cell r="O34">
            <v>0</v>
          </cell>
          <cell r="P34">
            <v>3158.66</v>
          </cell>
          <cell r="Q34">
            <v>0</v>
          </cell>
          <cell r="R34">
            <v>0</v>
          </cell>
          <cell r="S34">
            <v>0</v>
          </cell>
          <cell r="T34">
            <v>631.73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28.14</v>
          </cell>
          <cell r="AA34">
            <v>252.69</v>
          </cell>
          <cell r="AB34">
            <v>48.59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4119.8100000000004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784</v>
          </cell>
          <cell r="AO34">
            <v>0</v>
          </cell>
          <cell r="AP34">
            <v>0</v>
          </cell>
          <cell r="AQ34">
            <v>0</v>
          </cell>
          <cell r="AR34">
            <v>784</v>
          </cell>
          <cell r="AS34">
            <v>0</v>
          </cell>
          <cell r="AT34">
            <v>250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5153.8100000000004</v>
          </cell>
          <cell r="BJ34">
            <v>2030.56</v>
          </cell>
          <cell r="BK34">
            <v>3123.25</v>
          </cell>
          <cell r="BL34">
            <v>329.58</v>
          </cell>
          <cell r="BM34">
            <v>823.96</v>
          </cell>
          <cell r="BN34">
            <v>61.79</v>
          </cell>
          <cell r="BO34">
            <v>238.94</v>
          </cell>
          <cell r="BP34">
            <v>1454.27</v>
          </cell>
          <cell r="BQ34">
            <v>6608.08</v>
          </cell>
        </row>
        <row r="35">
          <cell r="A35" t="str">
            <v>WAGNER APARECIDO DO NASCIMENTO</v>
          </cell>
          <cell r="B35">
            <v>46023</v>
          </cell>
          <cell r="C35" t="str">
            <v>Empregado – Geral</v>
          </cell>
          <cell r="D35" t="str">
            <v>G S FL 05 - BARUERI</v>
          </cell>
          <cell r="E35" t="str">
            <v>20.504.237/0005-40</v>
          </cell>
          <cell r="F35" t="str">
            <v>LOGISTICA</v>
          </cell>
          <cell r="G35" t="str">
            <v>PRENSA MOVEL</v>
          </cell>
          <cell r="H35" t="str">
            <v>SELETIVA CORPORATIVO SUCATA</v>
          </cell>
          <cell r="I35">
            <v>43858</v>
          </cell>
          <cell r="K35" t="str">
            <v>1.2.1.8 PRENSA MOVEL</v>
          </cell>
          <cell r="L35" t="str">
            <v>MOTORISTA CARRETEIRO MANTENEDOR SENIOR II</v>
          </cell>
          <cell r="M35">
            <v>3091.39</v>
          </cell>
          <cell r="N35">
            <v>2679.2</v>
          </cell>
          <cell r="O35">
            <v>0</v>
          </cell>
          <cell r="P35">
            <v>2679.2</v>
          </cell>
          <cell r="Q35">
            <v>0</v>
          </cell>
          <cell r="R35">
            <v>659.49</v>
          </cell>
          <cell r="S35">
            <v>1648.75</v>
          </cell>
          <cell r="T35">
            <v>535.84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483.38</v>
          </cell>
          <cell r="AB35">
            <v>60.42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6067.08</v>
          </cell>
          <cell r="AH35">
            <v>0</v>
          </cell>
          <cell r="AI35">
            <v>2205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250</v>
          </cell>
          <cell r="AQ35">
            <v>1607.52</v>
          </cell>
          <cell r="AR35">
            <v>4062.52</v>
          </cell>
          <cell r="AS35">
            <v>0</v>
          </cell>
          <cell r="AT35">
            <v>0</v>
          </cell>
          <cell r="AU35">
            <v>0</v>
          </cell>
          <cell r="AV35">
            <v>2520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12649.6</v>
          </cell>
          <cell r="BJ35">
            <v>1437.4</v>
          </cell>
          <cell r="BK35">
            <v>8903.9599999999991</v>
          </cell>
          <cell r="BL35">
            <v>353.46</v>
          </cell>
          <cell r="BM35">
            <v>1213.42</v>
          </cell>
          <cell r="BN35">
            <v>91</v>
          </cell>
          <cell r="BO35">
            <v>351.89</v>
          </cell>
          <cell r="BP35">
            <v>2009.77</v>
          </cell>
          <cell r="BQ35">
            <v>14659.37</v>
          </cell>
        </row>
        <row r="36">
          <cell r="A36" t="str">
            <v>JULIO VIEIRA DE SANTANA</v>
          </cell>
          <cell r="B36">
            <v>46023</v>
          </cell>
          <cell r="C36" t="str">
            <v>Empregado – Geral</v>
          </cell>
          <cell r="D36" t="str">
            <v>G S FL 05 - BARUERI</v>
          </cell>
          <cell r="E36" t="str">
            <v>20.504.237/0005-40</v>
          </cell>
          <cell r="F36" t="str">
            <v>OPERACIONAL</v>
          </cell>
          <cell r="G36" t="str">
            <v>MANUTENCAO</v>
          </cell>
          <cell r="H36" t="str">
            <v>SELETIVA CORPORATIVO SUCATA</v>
          </cell>
          <cell r="I36">
            <v>41883</v>
          </cell>
          <cell r="K36" t="str">
            <v>1.2.1.1 APOIO</v>
          </cell>
          <cell r="L36" t="str">
            <v>MOTORISTA CARRETEIRO MANTENEDOR SENIOR III</v>
          </cell>
          <cell r="M36">
            <v>3287.33</v>
          </cell>
          <cell r="N36">
            <v>3287.33</v>
          </cell>
          <cell r="O36">
            <v>0</v>
          </cell>
          <cell r="P36">
            <v>3287.33</v>
          </cell>
          <cell r="Q36">
            <v>0</v>
          </cell>
          <cell r="R36">
            <v>0</v>
          </cell>
          <cell r="S36">
            <v>0</v>
          </cell>
          <cell r="T36">
            <v>657.47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251.93</v>
          </cell>
          <cell r="AB36">
            <v>48.45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4245.18</v>
          </cell>
          <cell r="AH36">
            <v>0</v>
          </cell>
          <cell r="AI36">
            <v>1817.17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1817.17</v>
          </cell>
          <cell r="AS36">
            <v>0</v>
          </cell>
          <cell r="AT36">
            <v>0</v>
          </cell>
          <cell r="AU36">
            <v>0</v>
          </cell>
          <cell r="AV36">
            <v>2100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9662.35</v>
          </cell>
          <cell r="BJ36">
            <v>2370.75</v>
          </cell>
          <cell r="BK36">
            <v>7291.6</v>
          </cell>
          <cell r="BL36">
            <v>339.61</v>
          </cell>
          <cell r="BM36">
            <v>849.04</v>
          </cell>
          <cell r="BN36">
            <v>63.67</v>
          </cell>
          <cell r="BO36">
            <v>246.22</v>
          </cell>
          <cell r="BP36">
            <v>1498.54</v>
          </cell>
          <cell r="BQ36">
            <v>11160.89</v>
          </cell>
        </row>
        <row r="37">
          <cell r="A37" t="str">
            <v>SERGIO LUIZ RIBEIRO</v>
          </cell>
          <cell r="B37">
            <v>46023</v>
          </cell>
          <cell r="C37" t="str">
            <v>Empregado – Geral</v>
          </cell>
          <cell r="D37" t="str">
            <v>G S FL 05 - BARUERI</v>
          </cell>
          <cell r="E37" t="str">
            <v>20.504.237/0005-40</v>
          </cell>
          <cell r="F37" t="str">
            <v>OPERACIONAL</v>
          </cell>
          <cell r="G37" t="str">
            <v>RESENDE - RJ</v>
          </cell>
          <cell r="H37" t="str">
            <v>EKIPA LOCACOES E SERV G&amp;S</v>
          </cell>
          <cell r="I37">
            <v>45966</v>
          </cell>
          <cell r="K37" t="str">
            <v>1.7.1.2 ARCELOR - RESENDE/RJ</v>
          </cell>
          <cell r="L37" t="str">
            <v>OPERADOR MANTENEDOR SENIOR</v>
          </cell>
          <cell r="M37">
            <v>3158.66</v>
          </cell>
          <cell r="N37">
            <v>3158.66</v>
          </cell>
          <cell r="O37">
            <v>0</v>
          </cell>
          <cell r="P37">
            <v>3158.66</v>
          </cell>
          <cell r="Q37">
            <v>0</v>
          </cell>
          <cell r="R37">
            <v>0</v>
          </cell>
          <cell r="S37">
            <v>0</v>
          </cell>
          <cell r="T37">
            <v>631.73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92.24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3882.63</v>
          </cell>
          <cell r="AH37">
            <v>0</v>
          </cell>
          <cell r="AI37">
            <v>0</v>
          </cell>
          <cell r="AJ37">
            <v>0</v>
          </cell>
          <cell r="AK37">
            <v>126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126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4008.63</v>
          </cell>
          <cell r="BJ37">
            <v>1718</v>
          </cell>
          <cell r="BK37">
            <v>2290.63</v>
          </cell>
          <cell r="BL37">
            <v>310.61</v>
          </cell>
          <cell r="BM37">
            <v>776.53</v>
          </cell>
          <cell r="BN37">
            <v>58.23</v>
          </cell>
          <cell r="BO37">
            <v>225.19</v>
          </cell>
          <cell r="BP37">
            <v>1370.56</v>
          </cell>
          <cell r="BQ37">
            <v>5379.19</v>
          </cell>
        </row>
        <row r="38">
          <cell r="A38" t="str">
            <v>ANTONIO BATISTA DA SILVA</v>
          </cell>
          <cell r="B38">
            <v>46023</v>
          </cell>
          <cell r="C38" t="str">
            <v>Empregado – Geral</v>
          </cell>
          <cell r="D38" t="str">
            <v>G S FL 06 - CAMPO GRANDE</v>
          </cell>
          <cell r="E38" t="str">
            <v>20.504.237/0006-21</v>
          </cell>
          <cell r="F38" t="str">
            <v>LOGISTICA</v>
          </cell>
          <cell r="G38" t="str">
            <v>TRANSPORTE</v>
          </cell>
          <cell r="H38" t="str">
            <v>SELETIVA C GRANDE</v>
          </cell>
          <cell r="I38">
            <v>45597</v>
          </cell>
          <cell r="K38" t="str">
            <v>1.2.7.4 LOGISTICA</v>
          </cell>
          <cell r="L38" t="str">
            <v>MOTORISTA CARRETEIRO MANTENEDOR PLENO</v>
          </cell>
          <cell r="M38">
            <v>2591</v>
          </cell>
          <cell r="N38">
            <v>2418.27</v>
          </cell>
          <cell r="O38">
            <v>0</v>
          </cell>
          <cell r="P38">
            <v>2418.27</v>
          </cell>
          <cell r="Q38">
            <v>0</v>
          </cell>
          <cell r="R38">
            <v>337.57</v>
          </cell>
          <cell r="S38">
            <v>0</v>
          </cell>
          <cell r="T38">
            <v>482.12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328.94</v>
          </cell>
          <cell r="AB38">
            <v>52.63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3619.53</v>
          </cell>
          <cell r="AH38">
            <v>0</v>
          </cell>
          <cell r="AI38">
            <v>0</v>
          </cell>
          <cell r="AJ38">
            <v>451.22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60.56</v>
          </cell>
          <cell r="AP38">
            <v>0</v>
          </cell>
          <cell r="AQ38">
            <v>0</v>
          </cell>
          <cell r="AR38">
            <v>511.78</v>
          </cell>
          <cell r="AS38">
            <v>0</v>
          </cell>
          <cell r="AT38">
            <v>0</v>
          </cell>
          <cell r="AU38">
            <v>0</v>
          </cell>
          <cell r="AV38">
            <v>338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4469.3100000000004</v>
          </cell>
          <cell r="BJ38">
            <v>1455.96</v>
          </cell>
          <cell r="BK38">
            <v>2675.78</v>
          </cell>
          <cell r="BL38">
            <v>288.94</v>
          </cell>
          <cell r="BM38">
            <v>723.91</v>
          </cell>
          <cell r="BN38">
            <v>108.58</v>
          </cell>
          <cell r="BO38">
            <v>209.93</v>
          </cell>
          <cell r="BP38">
            <v>1331.36</v>
          </cell>
          <cell r="BQ38">
            <v>5800.67</v>
          </cell>
        </row>
        <row r="39">
          <cell r="A39" t="str">
            <v>RAMON FELIPE DE OLIVEIRA FREITAS</v>
          </cell>
          <cell r="B39">
            <v>46023</v>
          </cell>
          <cell r="C39" t="str">
            <v>Empregado – Geral</v>
          </cell>
          <cell r="D39" t="str">
            <v>G S FL 06 - CAMPO GRANDE</v>
          </cell>
          <cell r="E39" t="str">
            <v>20.504.237/0006-21</v>
          </cell>
          <cell r="F39" t="str">
            <v>LOGISTICA</v>
          </cell>
          <cell r="G39" t="str">
            <v>TRANSPORTE</v>
          </cell>
          <cell r="H39" t="str">
            <v>SELETIVA C GRANDE</v>
          </cell>
          <cell r="I39">
            <v>44698</v>
          </cell>
          <cell r="K39" t="str">
            <v>1.2.7.4 LOGISTICA</v>
          </cell>
          <cell r="L39" t="str">
            <v>MOTORISTA CARRETEIRO MANTENEDOR PLENO II</v>
          </cell>
          <cell r="M39">
            <v>2746.46</v>
          </cell>
          <cell r="N39">
            <v>2288.7199999999998</v>
          </cell>
          <cell r="O39">
            <v>0</v>
          </cell>
          <cell r="P39">
            <v>2288.7199999999998</v>
          </cell>
          <cell r="Q39">
            <v>0</v>
          </cell>
          <cell r="R39">
            <v>1077.17</v>
          </cell>
          <cell r="S39">
            <v>2154.36</v>
          </cell>
          <cell r="T39">
            <v>457.74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1.36</v>
          </cell>
          <cell r="AA39">
            <v>1138.1600000000001</v>
          </cell>
          <cell r="AB39">
            <v>148.46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7265.97</v>
          </cell>
          <cell r="AH39">
            <v>0</v>
          </cell>
          <cell r="AI39">
            <v>0</v>
          </cell>
          <cell r="AJ39">
            <v>165.68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60.56</v>
          </cell>
          <cell r="AP39">
            <v>0</v>
          </cell>
          <cell r="AQ39">
            <v>0</v>
          </cell>
          <cell r="AR39">
            <v>226.24</v>
          </cell>
          <cell r="AS39">
            <v>0</v>
          </cell>
          <cell r="AT39">
            <v>0</v>
          </cell>
          <cell r="AU39">
            <v>0</v>
          </cell>
          <cell r="AV39">
            <v>454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7946.21</v>
          </cell>
          <cell r="BJ39">
            <v>1645.94</v>
          </cell>
          <cell r="BK39">
            <v>3068.74</v>
          </cell>
          <cell r="BL39">
            <v>408.92</v>
          </cell>
          <cell r="BM39">
            <v>1453.19</v>
          </cell>
          <cell r="BN39">
            <v>217.97</v>
          </cell>
          <cell r="BO39">
            <v>421.42</v>
          </cell>
          <cell r="BP39">
            <v>2501.5</v>
          </cell>
          <cell r="BQ39">
            <v>10447.709999999999</v>
          </cell>
        </row>
        <row r="40">
          <cell r="A40" t="str">
            <v>VALDECI DOS SANTOS MARTINS</v>
          </cell>
          <cell r="B40">
            <v>46023</v>
          </cell>
          <cell r="C40" t="str">
            <v>Empregado – Geral</v>
          </cell>
          <cell r="D40" t="str">
            <v>G S FL 06 - CAMPO GRANDE</v>
          </cell>
          <cell r="E40" t="str">
            <v>20.504.237/0006-21</v>
          </cell>
          <cell r="F40" t="str">
            <v>OPERACIONAL</v>
          </cell>
          <cell r="G40" t="str">
            <v>TRANSPORTE</v>
          </cell>
          <cell r="H40" t="str">
            <v>SELETIVA C GRANDE</v>
          </cell>
          <cell r="I40">
            <v>44698</v>
          </cell>
          <cell r="K40" t="str">
            <v>1.2.7.3 OPERACIONAL</v>
          </cell>
          <cell r="L40" t="str">
            <v>OPERADOR MANTENEDOR</v>
          </cell>
          <cell r="M40">
            <v>2187.12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</row>
        <row r="41">
          <cell r="A41" t="str">
            <v>LUCAS DA SILVA CONCEICAO</v>
          </cell>
          <cell r="B41">
            <v>46023</v>
          </cell>
          <cell r="C41" t="str">
            <v>Empregado – Geral</v>
          </cell>
          <cell r="D41" t="str">
            <v>G S FL 07 - LONDRINA</v>
          </cell>
          <cell r="E41" t="str">
            <v>20.504.237/0007-02</v>
          </cell>
          <cell r="F41" t="str">
            <v>OPERACIONAL</v>
          </cell>
          <cell r="G41" t="str">
            <v>PATIO</v>
          </cell>
          <cell r="H41" t="str">
            <v>SELETIVA LONDRINA</v>
          </cell>
          <cell r="I41">
            <v>45532</v>
          </cell>
          <cell r="K41" t="str">
            <v>1.2.3.3 OPERACIONAL</v>
          </cell>
          <cell r="L41" t="str">
            <v>OPERADOR MANTENEDOR JR</v>
          </cell>
          <cell r="M41">
            <v>2610</v>
          </cell>
          <cell r="N41">
            <v>2436</v>
          </cell>
          <cell r="O41">
            <v>0</v>
          </cell>
          <cell r="P41">
            <v>2436</v>
          </cell>
          <cell r="Q41">
            <v>0</v>
          </cell>
          <cell r="R41">
            <v>356.54</v>
          </cell>
          <cell r="S41">
            <v>0</v>
          </cell>
          <cell r="T41">
            <v>475.89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239.93</v>
          </cell>
          <cell r="AB41">
            <v>38.39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3546.75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158.53</v>
          </cell>
          <cell r="AP41">
            <v>0</v>
          </cell>
          <cell r="AQ41">
            <v>0</v>
          </cell>
          <cell r="AR41">
            <v>158.53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3705.28</v>
          </cell>
          <cell r="BJ41">
            <v>1378.5</v>
          </cell>
          <cell r="BK41">
            <v>1970.24</v>
          </cell>
          <cell r="BL41">
            <v>279.20999999999998</v>
          </cell>
          <cell r="BM41">
            <v>709.35</v>
          </cell>
          <cell r="BN41">
            <v>106.4</v>
          </cell>
          <cell r="BO41">
            <v>205.71</v>
          </cell>
          <cell r="BP41">
            <v>1300.67</v>
          </cell>
          <cell r="BQ41">
            <v>5005.95</v>
          </cell>
        </row>
        <row r="42">
          <cell r="A42" t="str">
            <v>MARCIO APARECIDO DA COSTA</v>
          </cell>
          <cell r="B42">
            <v>46023</v>
          </cell>
          <cell r="C42" t="str">
            <v>Empregado – Geral</v>
          </cell>
          <cell r="D42" t="str">
            <v>G S FL 07 - LONDRINA</v>
          </cell>
          <cell r="E42" t="str">
            <v>20.504.237/0007-02</v>
          </cell>
          <cell r="F42" t="str">
            <v>LOGISTICA</v>
          </cell>
          <cell r="G42" t="str">
            <v>TRANSPORTE</v>
          </cell>
          <cell r="H42" t="str">
            <v>SELETIVA LONDRINA</v>
          </cell>
          <cell r="I42">
            <v>45261</v>
          </cell>
          <cell r="K42" t="str">
            <v>1.2.3.4 LOGISTICA</v>
          </cell>
          <cell r="L42" t="str">
            <v>MOTORISTA CARRETEIRO MANTENEDOR SENIOR I</v>
          </cell>
          <cell r="M42">
            <v>3345</v>
          </cell>
          <cell r="N42">
            <v>2899</v>
          </cell>
          <cell r="O42">
            <v>0</v>
          </cell>
          <cell r="P42">
            <v>2899</v>
          </cell>
          <cell r="Q42">
            <v>0</v>
          </cell>
          <cell r="R42">
            <v>916.45</v>
          </cell>
          <cell r="S42">
            <v>0</v>
          </cell>
          <cell r="T42">
            <v>579.19000000000005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570.72</v>
          </cell>
          <cell r="AB42">
            <v>71.34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5036.7</v>
          </cell>
          <cell r="AH42">
            <v>0</v>
          </cell>
          <cell r="AI42">
            <v>0</v>
          </cell>
          <cell r="AJ42">
            <v>352.76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158.53</v>
          </cell>
          <cell r="AP42">
            <v>0</v>
          </cell>
          <cell r="AQ42">
            <v>0</v>
          </cell>
          <cell r="AR42">
            <v>511.29</v>
          </cell>
          <cell r="AS42">
            <v>0</v>
          </cell>
          <cell r="AT42">
            <v>0</v>
          </cell>
          <cell r="AU42">
            <v>0</v>
          </cell>
          <cell r="AV42">
            <v>540.37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6088.36</v>
          </cell>
          <cell r="BJ42">
            <v>422.96</v>
          </cell>
          <cell r="BK42">
            <v>4748.95</v>
          </cell>
          <cell r="BL42">
            <v>402.69</v>
          </cell>
          <cell r="BM42">
            <v>1007.34</v>
          </cell>
          <cell r="BN42">
            <v>151.1</v>
          </cell>
          <cell r="BO42">
            <v>292.12</v>
          </cell>
          <cell r="BP42">
            <v>1853.25</v>
          </cell>
          <cell r="BQ42">
            <v>7941.61</v>
          </cell>
        </row>
        <row r="43">
          <cell r="A43" t="str">
            <v>TIAGO LUIS DE SOUZA</v>
          </cell>
          <cell r="B43">
            <v>46023</v>
          </cell>
          <cell r="C43" t="str">
            <v>Empregado – Geral</v>
          </cell>
          <cell r="D43" t="str">
            <v>G S FL 07 - LONDRINA</v>
          </cell>
          <cell r="E43" t="str">
            <v>20.504.237/0007-02</v>
          </cell>
          <cell r="F43" t="str">
            <v>OPERACIONAL</v>
          </cell>
          <cell r="G43" t="str">
            <v>PATIO</v>
          </cell>
          <cell r="H43" t="str">
            <v>SELETIVA LONDRINA</v>
          </cell>
          <cell r="I43">
            <v>45594</v>
          </cell>
          <cell r="K43" t="str">
            <v>1.2.3.3 OPERACIONAL</v>
          </cell>
          <cell r="L43" t="str">
            <v>OPERADOR MANTENEDOR JR</v>
          </cell>
          <cell r="M43">
            <v>2610</v>
          </cell>
          <cell r="N43">
            <v>2436</v>
          </cell>
          <cell r="O43">
            <v>0</v>
          </cell>
          <cell r="P43">
            <v>2436</v>
          </cell>
          <cell r="Q43">
            <v>0</v>
          </cell>
          <cell r="R43">
            <v>287.75</v>
          </cell>
          <cell r="S43">
            <v>0</v>
          </cell>
          <cell r="T43">
            <v>487.2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50.11</v>
          </cell>
          <cell r="AB43">
            <v>8.02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3269.08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158.53</v>
          </cell>
          <cell r="AP43">
            <v>0</v>
          </cell>
          <cell r="AQ43">
            <v>0</v>
          </cell>
          <cell r="AR43">
            <v>158.53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3427.61</v>
          </cell>
          <cell r="BJ43">
            <v>1595.26</v>
          </cell>
          <cell r="BK43">
            <v>1544.6</v>
          </cell>
          <cell r="BL43">
            <v>261.52</v>
          </cell>
          <cell r="BM43">
            <v>653.82000000000005</v>
          </cell>
          <cell r="BN43">
            <v>98.07</v>
          </cell>
          <cell r="BO43">
            <v>189.6</v>
          </cell>
          <cell r="BP43">
            <v>1203.01</v>
          </cell>
          <cell r="BQ43">
            <v>4630.62</v>
          </cell>
        </row>
        <row r="44">
          <cell r="A44" t="str">
            <v>SAMUEL FERREIRA CRISTOVAM</v>
          </cell>
          <cell r="B44">
            <v>46023</v>
          </cell>
          <cell r="C44" t="str">
            <v>Empregado – Geral</v>
          </cell>
          <cell r="D44" t="str">
            <v>G S FL 07 - LONDRINA</v>
          </cell>
          <cell r="E44" t="str">
            <v>20.504.237/0007-02</v>
          </cell>
          <cell r="F44" t="str">
            <v>LOGISTICA</v>
          </cell>
          <cell r="G44" t="str">
            <v>TRANSPORTE</v>
          </cell>
          <cell r="H44" t="str">
            <v>SELETIVA LONDRINA</v>
          </cell>
          <cell r="I44">
            <v>46048</v>
          </cell>
          <cell r="K44" t="str">
            <v>1.2.3.4 LOGISTICA</v>
          </cell>
          <cell r="L44" t="str">
            <v>MOTORISTA CARRETEIRO MANTENEDOR SENIOR I</v>
          </cell>
          <cell r="M44">
            <v>3345</v>
          </cell>
          <cell r="N44">
            <v>669</v>
          </cell>
          <cell r="O44">
            <v>0</v>
          </cell>
          <cell r="P44">
            <v>669</v>
          </cell>
          <cell r="Q44">
            <v>0</v>
          </cell>
          <cell r="R44">
            <v>0</v>
          </cell>
          <cell r="S44">
            <v>0</v>
          </cell>
          <cell r="T44">
            <v>133.80000000000001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583.85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1386.65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100</v>
          </cell>
          <cell r="AU44">
            <v>0</v>
          </cell>
          <cell r="AV44">
            <v>363</v>
          </cell>
          <cell r="AW44">
            <v>0</v>
          </cell>
          <cell r="AX44">
            <v>40.520000000000003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1890.17</v>
          </cell>
          <cell r="BJ44">
            <v>512.97</v>
          </cell>
          <cell r="BK44">
            <v>1377.2</v>
          </cell>
          <cell r="BL44">
            <v>110.93</v>
          </cell>
          <cell r="BM44">
            <v>277.33</v>
          </cell>
          <cell r="BN44">
            <v>41.59</v>
          </cell>
          <cell r="BO44">
            <v>80.42</v>
          </cell>
          <cell r="BP44">
            <v>510.27</v>
          </cell>
          <cell r="BQ44">
            <v>2400.44</v>
          </cell>
        </row>
        <row r="45">
          <cell r="A45" t="str">
            <v>LETICIA NOVAIS GASPAR GULLICH</v>
          </cell>
          <cell r="B45">
            <v>46023</v>
          </cell>
          <cell r="C45" t="str">
            <v>Empregado – Geral</v>
          </cell>
          <cell r="D45" t="str">
            <v>RSE COM DE FERRO,ACO E LOCA</v>
          </cell>
          <cell r="E45" t="str">
            <v>6.916.551/0001-86</v>
          </cell>
          <cell r="F45" t="str">
            <v>COMERCIAL</v>
          </cell>
          <cell r="G45" t="str">
            <v>ADMINISTRATIVO</v>
          </cell>
          <cell r="H45" t="str">
            <v>EKIPA LOCACOES E SERV G&amp;S</v>
          </cell>
          <cell r="I45">
            <v>45580</v>
          </cell>
          <cell r="J45">
            <v>46045</v>
          </cell>
          <cell r="K45" t="str">
            <v>1.5.1.2 COMERCIAL</v>
          </cell>
          <cell r="L45" t="str">
            <v>VENDEDOR (A)</v>
          </cell>
          <cell r="M45">
            <v>2329.44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207.06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400</v>
          </cell>
          <cell r="AD45">
            <v>94.12</v>
          </cell>
          <cell r="AE45">
            <v>0</v>
          </cell>
          <cell r="AF45">
            <v>0</v>
          </cell>
          <cell r="AG45">
            <v>701.18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600</v>
          </cell>
          <cell r="AQ45">
            <v>0</v>
          </cell>
          <cell r="AR45">
            <v>600</v>
          </cell>
          <cell r="AS45">
            <v>0</v>
          </cell>
          <cell r="AT45">
            <v>0</v>
          </cell>
          <cell r="AU45">
            <v>383.33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3793.9</v>
          </cell>
          <cell r="BG45">
            <v>315.18</v>
          </cell>
          <cell r="BH45">
            <v>4109.08</v>
          </cell>
          <cell r="BI45">
            <v>1684.51</v>
          </cell>
          <cell r="BJ45">
            <v>5346.91</v>
          </cell>
          <cell r="BK45">
            <v>0</v>
          </cell>
          <cell r="BL45">
            <v>0</v>
          </cell>
          <cell r="BM45">
            <v>140.24</v>
          </cell>
          <cell r="BN45">
            <v>10.51</v>
          </cell>
          <cell r="BO45">
            <v>40.659999999999997</v>
          </cell>
          <cell r="BP45">
            <v>191.41</v>
          </cell>
          <cell r="BQ45">
            <v>1875.92</v>
          </cell>
        </row>
        <row r="46">
          <cell r="A46" t="str">
            <v>ADRIANA CANDIDO FIGUEIREDO</v>
          </cell>
          <cell r="B46">
            <v>46023</v>
          </cell>
          <cell r="C46" t="str">
            <v>Empregado – Geral</v>
          </cell>
          <cell r="D46" t="str">
            <v>G3S FL 10 - PRES PRUD</v>
          </cell>
          <cell r="E46" t="str">
            <v>20.947.332/0010-86</v>
          </cell>
          <cell r="F46" t="str">
            <v>GESTÃO DE GENTE</v>
          </cell>
          <cell r="G46" t="str">
            <v>DEPTO PESSOAL</v>
          </cell>
          <cell r="H46" t="str">
            <v>PILARES</v>
          </cell>
          <cell r="I46">
            <v>43692</v>
          </cell>
          <cell r="K46" t="str">
            <v>1.1.10 PESSOAS</v>
          </cell>
          <cell r="L46" t="str">
            <v>ANALISTA DE DEPTO PESSOAL</v>
          </cell>
          <cell r="M46">
            <v>4300</v>
          </cell>
          <cell r="N46">
            <v>4300</v>
          </cell>
          <cell r="O46">
            <v>0</v>
          </cell>
          <cell r="P46">
            <v>4300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4300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4300</v>
          </cell>
          <cell r="BJ46">
            <v>3774.58</v>
          </cell>
          <cell r="BK46">
            <v>525.41999999999996</v>
          </cell>
          <cell r="BL46">
            <v>344</v>
          </cell>
          <cell r="BM46">
            <v>860</v>
          </cell>
          <cell r="BN46">
            <v>129</v>
          </cell>
          <cell r="BO46">
            <v>249.4</v>
          </cell>
          <cell r="BP46">
            <v>1582.4</v>
          </cell>
          <cell r="BQ46">
            <v>5882.4</v>
          </cell>
        </row>
        <row r="47">
          <cell r="A47" t="str">
            <v>AMANDA DE OLIVEIRA VINCO</v>
          </cell>
          <cell r="B47">
            <v>46023</v>
          </cell>
          <cell r="C47" t="str">
            <v>Empregado – Geral</v>
          </cell>
          <cell r="D47" t="str">
            <v>G3S FL 10 - PRES PRUD</v>
          </cell>
          <cell r="E47" t="str">
            <v>20.947.332/0010-86</v>
          </cell>
          <cell r="F47" t="str">
            <v>ADMINISTRATIVO</v>
          </cell>
          <cell r="G47" t="str">
            <v>CONTABILIDADE</v>
          </cell>
          <cell r="H47" t="str">
            <v>PILARES</v>
          </cell>
          <cell r="I47">
            <v>45552</v>
          </cell>
          <cell r="K47" t="str">
            <v>1.1.4 CONTABILIDADE/FISCAL</v>
          </cell>
          <cell r="L47" t="str">
            <v>ANALISTA CONTABIL JUNIOR</v>
          </cell>
          <cell r="M47">
            <v>2500</v>
          </cell>
          <cell r="N47">
            <v>1916.67</v>
          </cell>
          <cell r="O47">
            <v>83.33</v>
          </cell>
          <cell r="P47">
            <v>2000</v>
          </cell>
          <cell r="Q47">
            <v>0</v>
          </cell>
          <cell r="R47">
            <v>666.67</v>
          </cell>
          <cell r="S47">
            <v>1111.1099999999999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3777.78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83.33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3861.11</v>
          </cell>
          <cell r="BJ47">
            <v>1162.51</v>
          </cell>
          <cell r="BK47">
            <v>920.82</v>
          </cell>
          <cell r="BL47">
            <v>213.33</v>
          </cell>
          <cell r="BM47">
            <v>755.56</v>
          </cell>
          <cell r="BN47">
            <v>113.33</v>
          </cell>
          <cell r="BO47">
            <v>219.11</v>
          </cell>
          <cell r="BP47">
            <v>1301.33</v>
          </cell>
          <cell r="BQ47">
            <v>5162.4399999999996</v>
          </cell>
        </row>
        <row r="48">
          <cell r="A48" t="str">
            <v>BEATRIZ FERREIRA DE SOUZA</v>
          </cell>
          <cell r="B48">
            <v>46023</v>
          </cell>
          <cell r="C48" t="str">
            <v>Empregado – Geral</v>
          </cell>
          <cell r="D48" t="str">
            <v>G3S FL 10 - PRES PRUD</v>
          </cell>
          <cell r="E48" t="str">
            <v>20.947.332/0010-86</v>
          </cell>
          <cell r="F48" t="str">
            <v>COMERCIAL</v>
          </cell>
          <cell r="G48" t="str">
            <v>COMERCIAL</v>
          </cell>
          <cell r="H48" t="str">
            <v>SELETIVA CORPORATIVO SUCATA</v>
          </cell>
          <cell r="I48">
            <v>45628</v>
          </cell>
          <cell r="K48" t="str">
            <v>1.2.1.1 APOIO</v>
          </cell>
          <cell r="L48" t="str">
            <v>ASSISTENTE COMERCIAL</v>
          </cell>
          <cell r="M48">
            <v>2098</v>
          </cell>
          <cell r="N48">
            <v>1818.27</v>
          </cell>
          <cell r="O48">
            <v>0</v>
          </cell>
          <cell r="P48">
            <v>1818.27</v>
          </cell>
          <cell r="Q48">
            <v>0</v>
          </cell>
          <cell r="R48">
            <v>388.1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2206.37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260.95999999999998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260.95999999999998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2467.33</v>
          </cell>
          <cell r="BJ48">
            <v>144.38</v>
          </cell>
          <cell r="BK48">
            <v>1934.85</v>
          </cell>
          <cell r="BL48">
            <v>176.5</v>
          </cell>
          <cell r="BM48">
            <v>441.27</v>
          </cell>
          <cell r="BN48">
            <v>66.19</v>
          </cell>
          <cell r="BO48">
            <v>127.96</v>
          </cell>
          <cell r="BP48">
            <v>811.92</v>
          </cell>
          <cell r="BQ48">
            <v>3279.25</v>
          </cell>
        </row>
        <row r="49">
          <cell r="A49" t="str">
            <v>DANIELA SANTOS MORAES</v>
          </cell>
          <cell r="B49">
            <v>46023</v>
          </cell>
          <cell r="C49" t="str">
            <v>Empregado – Geral</v>
          </cell>
          <cell r="D49" t="str">
            <v>G3S FL 10 - PRES PRUD</v>
          </cell>
          <cell r="E49" t="str">
            <v>20.947.332/0010-86</v>
          </cell>
          <cell r="F49" t="str">
            <v>ADMINISTRATIVO</v>
          </cell>
          <cell r="G49" t="str">
            <v>CONTABILIDADE</v>
          </cell>
          <cell r="H49" t="str">
            <v>PILARES</v>
          </cell>
          <cell r="I49">
            <v>43678</v>
          </cell>
          <cell r="K49" t="str">
            <v>1.1.4 CONTABILIDADE/FISCAL</v>
          </cell>
          <cell r="L49" t="str">
            <v>ANALISTA CONTABIL SENIOR</v>
          </cell>
          <cell r="M49">
            <v>3500</v>
          </cell>
          <cell r="N49">
            <v>3500</v>
          </cell>
          <cell r="O49">
            <v>0</v>
          </cell>
          <cell r="P49">
            <v>3500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3500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100</v>
          </cell>
          <cell r="AQ49">
            <v>0</v>
          </cell>
          <cell r="AR49">
            <v>100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3600</v>
          </cell>
          <cell r="BJ49">
            <v>308.58</v>
          </cell>
          <cell r="BK49">
            <v>3291.42</v>
          </cell>
          <cell r="BL49">
            <v>280</v>
          </cell>
          <cell r="BM49">
            <v>700</v>
          </cell>
          <cell r="BN49">
            <v>105</v>
          </cell>
          <cell r="BO49">
            <v>203</v>
          </cell>
          <cell r="BP49">
            <v>1288</v>
          </cell>
          <cell r="BQ49">
            <v>4888</v>
          </cell>
        </row>
        <row r="50">
          <cell r="A50" t="str">
            <v>GIOVANNA SILVA DE OLIVEIRA</v>
          </cell>
          <cell r="B50">
            <v>46023</v>
          </cell>
          <cell r="C50" t="str">
            <v>Empregado – Geral</v>
          </cell>
          <cell r="D50" t="str">
            <v>G3S FL 10 - PRES PRUD</v>
          </cell>
          <cell r="E50" t="str">
            <v>20.947.332/0010-86</v>
          </cell>
          <cell r="F50" t="str">
            <v>COMERCIAL</v>
          </cell>
          <cell r="G50" t="str">
            <v>COMERCIAL</v>
          </cell>
          <cell r="H50" t="str">
            <v>SELETIVA CORPORATIVO SUCATA</v>
          </cell>
          <cell r="I50">
            <v>44397</v>
          </cell>
          <cell r="K50" t="str">
            <v>1.2.1.1 APOIO</v>
          </cell>
          <cell r="L50" t="str">
            <v>ANALISTA COMERCIAL SENIOR</v>
          </cell>
          <cell r="M50">
            <v>3360</v>
          </cell>
          <cell r="N50">
            <v>0</v>
          </cell>
          <cell r="O50">
            <v>0</v>
          </cell>
          <cell r="P50">
            <v>0</v>
          </cell>
          <cell r="Q50">
            <v>3544.65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3544.65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3544.65</v>
          </cell>
          <cell r="BJ50">
            <v>313.94</v>
          </cell>
          <cell r="BK50">
            <v>3230.71</v>
          </cell>
          <cell r="BL50">
            <v>283.57</v>
          </cell>
          <cell r="BM50">
            <v>708.93</v>
          </cell>
          <cell r="BN50">
            <v>106.33</v>
          </cell>
          <cell r="BO50">
            <v>205.58</v>
          </cell>
          <cell r="BP50">
            <v>1304.4100000000001</v>
          </cell>
          <cell r="BQ50">
            <v>4849.0600000000004</v>
          </cell>
        </row>
        <row r="51">
          <cell r="A51" t="str">
            <v>MARIA EDUARDA FREITAS MESSIAS</v>
          </cell>
          <cell r="B51">
            <v>46023</v>
          </cell>
          <cell r="C51" t="str">
            <v>Empregado – Geral</v>
          </cell>
          <cell r="D51" t="str">
            <v>G3S FL 10 - PRES PRUD</v>
          </cell>
          <cell r="E51" t="str">
            <v>20.947.332/0010-86</v>
          </cell>
          <cell r="F51" t="str">
            <v>ADMINISTRATIVO</v>
          </cell>
          <cell r="G51" t="str">
            <v>FINANCEIRO</v>
          </cell>
          <cell r="H51" t="str">
            <v>SELETIVA CORPORATIVO SUCATA</v>
          </cell>
          <cell r="I51">
            <v>44410</v>
          </cell>
          <cell r="K51" t="str">
            <v>1.1.3 FINANCEIRO</v>
          </cell>
          <cell r="L51" t="str">
            <v>ANALISTA FINANCEIRO SENIOR</v>
          </cell>
          <cell r="M51">
            <v>3500</v>
          </cell>
          <cell r="N51">
            <v>3033.33</v>
          </cell>
          <cell r="O51">
            <v>0</v>
          </cell>
          <cell r="P51">
            <v>3033.33</v>
          </cell>
          <cell r="Q51">
            <v>0</v>
          </cell>
          <cell r="R51">
            <v>634.13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3667.46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3667.46</v>
          </cell>
          <cell r="BJ51">
            <v>1676.27</v>
          </cell>
          <cell r="BK51">
            <v>1357.06</v>
          </cell>
          <cell r="BL51">
            <v>293.39</v>
          </cell>
          <cell r="BM51">
            <v>733.49</v>
          </cell>
          <cell r="BN51">
            <v>110.02</v>
          </cell>
          <cell r="BO51">
            <v>212.71</v>
          </cell>
          <cell r="BP51">
            <v>1349.61</v>
          </cell>
          <cell r="BQ51">
            <v>5017.07</v>
          </cell>
        </row>
        <row r="52">
          <cell r="A52" t="str">
            <v>MARIANE APARECIDA MOREIRA DE CRISTOFANO</v>
          </cell>
          <cell r="B52">
            <v>46023</v>
          </cell>
          <cell r="C52" t="str">
            <v>Empregado – Geral</v>
          </cell>
          <cell r="D52" t="str">
            <v>G3S FL 10 - PRES PRUD</v>
          </cell>
          <cell r="E52" t="str">
            <v>20.947.332/0010-86</v>
          </cell>
          <cell r="F52" t="str">
            <v>GESTÃO DE GENTE</v>
          </cell>
          <cell r="G52" t="str">
            <v>SEGURANCA DO TRABALHO</v>
          </cell>
          <cell r="H52" t="str">
            <v>SELETIVA CORPORATIVO SUCATA</v>
          </cell>
          <cell r="I52">
            <v>44271</v>
          </cell>
          <cell r="K52" t="str">
            <v>1.1.10 PESSOAS</v>
          </cell>
          <cell r="L52" t="str">
            <v>ANALISTA DE SESMT</v>
          </cell>
          <cell r="M52">
            <v>4000</v>
          </cell>
          <cell r="N52">
            <v>3466.67</v>
          </cell>
          <cell r="O52">
            <v>0</v>
          </cell>
          <cell r="P52">
            <v>3466.67</v>
          </cell>
          <cell r="Q52">
            <v>0</v>
          </cell>
          <cell r="R52">
            <v>741.63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4208.3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4208.3</v>
          </cell>
          <cell r="BJ52">
            <v>1928.27</v>
          </cell>
          <cell r="BK52">
            <v>1538.4</v>
          </cell>
          <cell r="BL52">
            <v>336.66</v>
          </cell>
          <cell r="BM52">
            <v>841.66</v>
          </cell>
          <cell r="BN52">
            <v>126.24</v>
          </cell>
          <cell r="BO52">
            <v>244.08</v>
          </cell>
          <cell r="BP52">
            <v>1548.64</v>
          </cell>
          <cell r="BQ52">
            <v>5756.94</v>
          </cell>
        </row>
        <row r="53">
          <cell r="A53" t="str">
            <v>THAIS BARBOSA DA SILVA ROSA</v>
          </cell>
          <cell r="B53">
            <v>46023</v>
          </cell>
          <cell r="C53" t="str">
            <v>Empregado – Geral</v>
          </cell>
          <cell r="D53" t="str">
            <v>G3S FL 10 - PRES PRUD</v>
          </cell>
          <cell r="E53" t="str">
            <v>20.947.332/0010-86</v>
          </cell>
          <cell r="F53" t="str">
            <v>COMERCIAL</v>
          </cell>
          <cell r="G53" t="str">
            <v>COMERCIAL</v>
          </cell>
          <cell r="H53" t="str">
            <v>SELETIVA PRESIDENTE PRUDENTE</v>
          </cell>
          <cell r="I53">
            <v>45301</v>
          </cell>
          <cell r="K53" t="str">
            <v>1.2.5.2 COMERCIAL</v>
          </cell>
          <cell r="L53" t="str">
            <v>ASSISTENTE COMERCIAL</v>
          </cell>
          <cell r="M53">
            <v>2098</v>
          </cell>
          <cell r="N53">
            <v>1818.27</v>
          </cell>
          <cell r="O53">
            <v>0</v>
          </cell>
          <cell r="P53">
            <v>1818.27</v>
          </cell>
          <cell r="Q53">
            <v>0</v>
          </cell>
          <cell r="R53">
            <v>378.52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2196.79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260.95999999999998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260.95999999999998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2457.75</v>
          </cell>
          <cell r="BJ53">
            <v>492.94</v>
          </cell>
          <cell r="BK53">
            <v>1586.29</v>
          </cell>
          <cell r="BL53">
            <v>175.74</v>
          </cell>
          <cell r="BM53">
            <v>439.36</v>
          </cell>
          <cell r="BN53">
            <v>65.900000000000006</v>
          </cell>
          <cell r="BO53">
            <v>127.41</v>
          </cell>
          <cell r="BP53">
            <v>808.41</v>
          </cell>
          <cell r="BQ53">
            <v>3266.16</v>
          </cell>
        </row>
        <row r="54">
          <cell r="A54" t="str">
            <v>WILGNER DAVALO DA SILVA</v>
          </cell>
          <cell r="B54">
            <v>46023</v>
          </cell>
          <cell r="C54" t="str">
            <v>Empregado – Geral</v>
          </cell>
          <cell r="D54" t="str">
            <v>G3S FL 10 - PRES PRUD</v>
          </cell>
          <cell r="E54" t="str">
            <v>20.947.332/0010-86</v>
          </cell>
          <cell r="F54" t="str">
            <v>ADMINISTRATIVO</v>
          </cell>
          <cell r="G54" t="str">
            <v>FINANCEIRO</v>
          </cell>
          <cell r="H54" t="str">
            <v>PILARES</v>
          </cell>
          <cell r="I54">
            <v>45562</v>
          </cell>
          <cell r="K54" t="str">
            <v>1.1.3 FINANCEIRO</v>
          </cell>
          <cell r="L54" t="str">
            <v>ANALISTA FINANCEIRO JUNIOR</v>
          </cell>
          <cell r="M54">
            <v>2500</v>
          </cell>
          <cell r="N54">
            <v>2166.67</v>
          </cell>
          <cell r="O54">
            <v>0</v>
          </cell>
          <cell r="P54">
            <v>2166.67</v>
          </cell>
          <cell r="Q54">
            <v>0</v>
          </cell>
          <cell r="R54">
            <v>454.16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2620.83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2620.83</v>
          </cell>
          <cell r="BJ54">
            <v>1175.74</v>
          </cell>
          <cell r="BK54">
            <v>990.93</v>
          </cell>
          <cell r="BL54">
            <v>209.66</v>
          </cell>
          <cell r="BM54">
            <v>524.16999999999996</v>
          </cell>
          <cell r="BN54">
            <v>78.62</v>
          </cell>
          <cell r="BO54">
            <v>152</v>
          </cell>
          <cell r="BP54">
            <v>964.45</v>
          </cell>
          <cell r="BQ54">
            <v>3585.28</v>
          </cell>
        </row>
        <row r="55">
          <cell r="A55" t="str">
            <v>FERNANDA OLIVEIRA SILVA CARDOSO</v>
          </cell>
          <cell r="B55">
            <v>46023</v>
          </cell>
          <cell r="C55" t="str">
            <v>Empregado – Geral</v>
          </cell>
          <cell r="D55" t="str">
            <v>G3S FL 10 - PRES PRUD</v>
          </cell>
          <cell r="E55" t="str">
            <v>20.947.332/0010-86</v>
          </cell>
          <cell r="F55" t="str">
            <v>ADMINISTRATIVO</v>
          </cell>
          <cell r="G55" t="str">
            <v>FISCAL</v>
          </cell>
          <cell r="H55" t="str">
            <v>PILARES</v>
          </cell>
          <cell r="I55">
            <v>45812</v>
          </cell>
          <cell r="K55" t="str">
            <v>1.1.4 CONTABILIDADE/FISCAL</v>
          </cell>
          <cell r="L55" t="str">
            <v>ANALISTA FISCAL PLENO</v>
          </cell>
          <cell r="M55">
            <v>3000</v>
          </cell>
          <cell r="N55">
            <v>3000</v>
          </cell>
          <cell r="O55">
            <v>0</v>
          </cell>
          <cell r="P55">
            <v>3000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3000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3000</v>
          </cell>
          <cell r="BJ55">
            <v>2407</v>
          </cell>
          <cell r="BK55">
            <v>593</v>
          </cell>
          <cell r="BL55">
            <v>240</v>
          </cell>
          <cell r="BM55">
            <v>600</v>
          </cell>
          <cell r="BN55">
            <v>90</v>
          </cell>
          <cell r="BO55">
            <v>174</v>
          </cell>
          <cell r="BP55">
            <v>1104</v>
          </cell>
          <cell r="BQ55">
            <v>4104</v>
          </cell>
        </row>
        <row r="56">
          <cell r="A56" t="str">
            <v>ELAINE CRISTINA PANIZZA SILVA</v>
          </cell>
          <cell r="B56">
            <v>46023</v>
          </cell>
          <cell r="C56" t="str">
            <v>Empregado – Geral</v>
          </cell>
          <cell r="D56" t="str">
            <v>G3S FL 10 - PRES PRUD</v>
          </cell>
          <cell r="E56" t="str">
            <v>20.947.332/0010-86</v>
          </cell>
          <cell r="F56" t="str">
            <v>GESTÃO DE GENTE</v>
          </cell>
          <cell r="G56" t="str">
            <v>RECURSOS HUMANOS</v>
          </cell>
          <cell r="H56" t="str">
            <v>PILARES</v>
          </cell>
          <cell r="I56">
            <v>45825</v>
          </cell>
          <cell r="K56" t="str">
            <v>1.1.9 RECURSOS HUMANOS</v>
          </cell>
          <cell r="L56" t="str">
            <v>ANALISTA DE RECURSOS HUMANOS SENIOR</v>
          </cell>
          <cell r="M56">
            <v>4000</v>
          </cell>
          <cell r="N56">
            <v>4000</v>
          </cell>
          <cell r="O56">
            <v>0</v>
          </cell>
          <cell r="P56">
            <v>4000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4000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4000</v>
          </cell>
          <cell r="BJ56">
            <v>701.91</v>
          </cell>
          <cell r="BK56">
            <v>3298.09</v>
          </cell>
          <cell r="BL56">
            <v>320</v>
          </cell>
          <cell r="BM56">
            <v>800</v>
          </cell>
          <cell r="BN56">
            <v>120</v>
          </cell>
          <cell r="BO56">
            <v>232</v>
          </cell>
          <cell r="BP56">
            <v>1472</v>
          </cell>
          <cell r="BQ56">
            <v>5472</v>
          </cell>
        </row>
        <row r="57">
          <cell r="A57" t="str">
            <v>LAYZA PINHEIRO FRANCESQUETTE</v>
          </cell>
          <cell r="B57">
            <v>46023</v>
          </cell>
          <cell r="C57" t="str">
            <v>Empregado – Geral</v>
          </cell>
          <cell r="D57" t="str">
            <v>G3S FL 10 - PRES PRUD</v>
          </cell>
          <cell r="E57" t="str">
            <v>20.947.332/0010-86</v>
          </cell>
          <cell r="F57" t="str">
            <v>COMERCIAL</v>
          </cell>
          <cell r="G57" t="str">
            <v>COMERCIAL</v>
          </cell>
          <cell r="H57" t="str">
            <v>SELETIVA CORPORATIVO SUCATA</v>
          </cell>
          <cell r="I57">
            <v>45845</v>
          </cell>
          <cell r="K57" t="str">
            <v>1.2.1.1 APOIO</v>
          </cell>
          <cell r="L57" t="str">
            <v>ASSISTENTE COMERCIAL</v>
          </cell>
          <cell r="M57">
            <v>2098</v>
          </cell>
          <cell r="N57">
            <v>2098</v>
          </cell>
          <cell r="O57">
            <v>0</v>
          </cell>
          <cell r="P57">
            <v>2098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2098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260.95999999999998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260.95999999999998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2358.96</v>
          </cell>
          <cell r="BJ57">
            <v>164.5</v>
          </cell>
          <cell r="BK57">
            <v>2194.46</v>
          </cell>
          <cell r="BL57">
            <v>167.84</v>
          </cell>
          <cell r="BM57">
            <v>419.6</v>
          </cell>
          <cell r="BN57">
            <v>62.94</v>
          </cell>
          <cell r="BO57">
            <v>121.68</v>
          </cell>
          <cell r="BP57">
            <v>772.06</v>
          </cell>
          <cell r="BQ57">
            <v>3131.02</v>
          </cell>
        </row>
        <row r="58">
          <cell r="A58" t="str">
            <v>EDUARDO YUICHI CHINMEI</v>
          </cell>
          <cell r="B58">
            <v>46023</v>
          </cell>
          <cell r="C58" t="str">
            <v>Empregado – Geral</v>
          </cell>
          <cell r="D58" t="str">
            <v>G3S FL 10 - PRES PRUD</v>
          </cell>
          <cell r="E58" t="str">
            <v>20.947.332/0010-86</v>
          </cell>
          <cell r="F58" t="str">
            <v>COMERCIAL</v>
          </cell>
          <cell r="G58" t="str">
            <v>COMERCIAL</v>
          </cell>
          <cell r="H58" t="str">
            <v>SELETIVA CORPORATIVO SUCATA</v>
          </cell>
          <cell r="I58">
            <v>45748</v>
          </cell>
          <cell r="K58" t="str">
            <v>1.2.1.1 APOIO</v>
          </cell>
          <cell r="L58" t="str">
            <v>ASSISTENTE COMERCIAL</v>
          </cell>
          <cell r="M58">
            <v>2098</v>
          </cell>
          <cell r="N58">
            <v>1748.33</v>
          </cell>
          <cell r="O58">
            <v>69.930000000000007</v>
          </cell>
          <cell r="P58">
            <v>1818.26</v>
          </cell>
          <cell r="Q58">
            <v>0</v>
          </cell>
          <cell r="R58">
            <v>379.3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2197.56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260.95999999999998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260.95999999999998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2458.52</v>
          </cell>
          <cell r="BJ58">
            <v>984.38</v>
          </cell>
          <cell r="BK58">
            <v>1094.8399999999999</v>
          </cell>
          <cell r="BL58">
            <v>175.8</v>
          </cell>
          <cell r="BM58">
            <v>439.51</v>
          </cell>
          <cell r="BN58">
            <v>65.92</v>
          </cell>
          <cell r="BO58">
            <v>127.45</v>
          </cell>
          <cell r="BP58">
            <v>808.68</v>
          </cell>
          <cell r="BQ58">
            <v>3267.2</v>
          </cell>
        </row>
        <row r="59">
          <cell r="A59" t="str">
            <v>PEDRO MARQUES GUARNIERI</v>
          </cell>
          <cell r="B59">
            <v>46023</v>
          </cell>
          <cell r="C59" t="str">
            <v>Bolsista - Estagiário</v>
          </cell>
          <cell r="D59" t="str">
            <v>G3S FL 10 - PRES PRUD</v>
          </cell>
          <cell r="E59" t="str">
            <v>20.947.332/0010-86</v>
          </cell>
          <cell r="F59" t="str">
            <v>ADMINISTRATIVO</v>
          </cell>
          <cell r="G59" t="str">
            <v>QUALIDADE</v>
          </cell>
          <cell r="H59" t="str">
            <v>PILARES</v>
          </cell>
          <cell r="I59">
            <v>45790</v>
          </cell>
          <cell r="K59" t="str">
            <v>1.1.5 QUALIDADE</v>
          </cell>
          <cell r="L59" t="str">
            <v>AUXILIAR ADMINISTRATIVO - ESTAGIARIO(A)</v>
          </cell>
          <cell r="M59">
            <v>1000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1000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1000</v>
          </cell>
          <cell r="BJ59">
            <v>0</v>
          </cell>
          <cell r="BK59">
            <v>866.67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1000</v>
          </cell>
        </row>
        <row r="60">
          <cell r="A60" t="str">
            <v>GABRIEL SATOSHI DA SILVA SAKATA</v>
          </cell>
          <cell r="B60">
            <v>46023</v>
          </cell>
          <cell r="C60" t="str">
            <v>Bolsista - Estagiário</v>
          </cell>
          <cell r="D60" t="str">
            <v>G3S FL 10 - PRES PRUD</v>
          </cell>
          <cell r="E60" t="str">
            <v>20.947.332/0010-86</v>
          </cell>
          <cell r="F60" t="str">
            <v>ADMINISTRATIVO</v>
          </cell>
          <cell r="G60" t="str">
            <v>SUPRIMENTOS</v>
          </cell>
          <cell r="H60" t="str">
            <v>PILARES</v>
          </cell>
          <cell r="I60">
            <v>45810</v>
          </cell>
          <cell r="K60" t="str">
            <v>1.1.14 SUPRIMENTOS</v>
          </cell>
          <cell r="L60" t="str">
            <v>AUXILIAR ADMINISTRATIVO - ESTAGIARIO(A)</v>
          </cell>
          <cell r="M60">
            <v>1000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1000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1000</v>
          </cell>
          <cell r="BJ60">
            <v>0</v>
          </cell>
          <cell r="BK60">
            <v>866.67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1000</v>
          </cell>
        </row>
        <row r="61">
          <cell r="A61" t="str">
            <v>MARIANA SIQUEIRA</v>
          </cell>
          <cell r="B61">
            <v>46023</v>
          </cell>
          <cell r="C61" t="str">
            <v>Bolsista - Estagiário</v>
          </cell>
          <cell r="D61" t="str">
            <v>G3S FL 10 - PRES PRUD</v>
          </cell>
          <cell r="E61" t="str">
            <v>20.947.332/0010-86</v>
          </cell>
          <cell r="F61" t="str">
            <v>COMERCIAL</v>
          </cell>
          <cell r="G61" t="str">
            <v>COMERCIAL</v>
          </cell>
          <cell r="H61" t="str">
            <v>SELETIVA PRESIDENTE PRUDENTE</v>
          </cell>
          <cell r="I61">
            <v>45824</v>
          </cell>
          <cell r="J61">
            <v>46053</v>
          </cell>
          <cell r="K61" t="str">
            <v>1.2.1.1 APOIO</v>
          </cell>
          <cell r="L61" t="str">
            <v>AUXILIAR COMERCIAL - ESTAGIARIO</v>
          </cell>
          <cell r="M61">
            <v>1000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1000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1666.67</v>
          </cell>
          <cell r="BG61">
            <v>0</v>
          </cell>
          <cell r="BH61">
            <v>1666.67</v>
          </cell>
          <cell r="BI61">
            <v>1000</v>
          </cell>
          <cell r="BJ61">
            <v>1666.67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1000</v>
          </cell>
        </row>
        <row r="62">
          <cell r="A62" t="str">
            <v>MELISSA DE FREITAS ORRIGO</v>
          </cell>
          <cell r="B62">
            <v>46023</v>
          </cell>
          <cell r="C62" t="str">
            <v>Bolsista - Estagiário</v>
          </cell>
          <cell r="D62" t="str">
            <v>G3S FL 10 - PRES PRUD</v>
          </cell>
          <cell r="E62" t="str">
            <v>20.947.332/0010-86</v>
          </cell>
          <cell r="F62" t="str">
            <v>COMERCIAL</v>
          </cell>
          <cell r="G62" t="str">
            <v>COMERCIAL</v>
          </cell>
          <cell r="H62" t="str">
            <v>SELETIVA CORPORATIVO SUCATA</v>
          </cell>
          <cell r="I62">
            <v>45824</v>
          </cell>
          <cell r="K62" t="str">
            <v>1.2.1.1 APOIO</v>
          </cell>
          <cell r="L62" t="str">
            <v>AUXILIAR COMERCIAL - ESTAGIARIO</v>
          </cell>
          <cell r="M62">
            <v>1000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1000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1000</v>
          </cell>
          <cell r="BJ62">
            <v>0</v>
          </cell>
          <cell r="BK62">
            <v>1000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1000</v>
          </cell>
        </row>
        <row r="63">
          <cell r="A63" t="str">
            <v>JOAO PAULO MARTINS OZORES</v>
          </cell>
          <cell r="B63">
            <v>46023</v>
          </cell>
          <cell r="C63" t="str">
            <v>Bolsista - Estagiário</v>
          </cell>
          <cell r="D63" t="str">
            <v>G3S FL 10 - PRES PRUD</v>
          </cell>
          <cell r="E63" t="str">
            <v>20.947.332/0010-86</v>
          </cell>
          <cell r="F63" t="str">
            <v>ADMINISTRATIVO</v>
          </cell>
          <cell r="G63" t="str">
            <v>SUPRIMENTOS</v>
          </cell>
          <cell r="H63" t="str">
            <v>PILARES</v>
          </cell>
          <cell r="I63">
            <v>45929</v>
          </cell>
          <cell r="K63" t="str">
            <v>1.1.14 SUPRIMENTOS</v>
          </cell>
          <cell r="L63" t="str">
            <v>AUXILIAR ADMINISTRATIVO - ESTAGIARIO(A)</v>
          </cell>
          <cell r="M63">
            <v>1000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1000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1000</v>
          </cell>
          <cell r="BJ63">
            <v>0</v>
          </cell>
          <cell r="BK63">
            <v>1000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1000</v>
          </cell>
        </row>
        <row r="64">
          <cell r="A64" t="str">
            <v>JOAO EMANUEL SANTOS SILVA</v>
          </cell>
          <cell r="B64">
            <v>46023</v>
          </cell>
          <cell r="C64" t="str">
            <v>Bolsista - Estagiário</v>
          </cell>
          <cell r="D64" t="str">
            <v>G3S FL 10 - PRES PRUD</v>
          </cell>
          <cell r="E64" t="str">
            <v>20.947.332/0010-86</v>
          </cell>
          <cell r="F64" t="str">
            <v>ADMINISTRATIVO</v>
          </cell>
          <cell r="G64" t="str">
            <v>FINANCEIRO</v>
          </cell>
          <cell r="H64" t="str">
            <v>PILARES</v>
          </cell>
          <cell r="I64">
            <v>45958</v>
          </cell>
          <cell r="K64" t="str">
            <v>1.1.3 FINANCEIRO</v>
          </cell>
          <cell r="L64" t="str">
            <v>AUXILIAR FINANCEIRO - ESTAGIARIO</v>
          </cell>
          <cell r="M64">
            <v>1000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1000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1000</v>
          </cell>
          <cell r="BJ64">
            <v>0</v>
          </cell>
          <cell r="BK64">
            <v>1000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1000</v>
          </cell>
        </row>
        <row r="65">
          <cell r="A65" t="str">
            <v>ISADORA THAYNA VIOTTO DIAS</v>
          </cell>
          <cell r="B65">
            <v>46023</v>
          </cell>
          <cell r="C65" t="str">
            <v>Bolsista - Estagiário</v>
          </cell>
          <cell r="D65" t="str">
            <v>G3S FL 10 - PRES PRUD</v>
          </cell>
          <cell r="E65" t="str">
            <v>20.947.332/0010-86</v>
          </cell>
          <cell r="F65" t="str">
            <v>ADMINISTRATIVO</v>
          </cell>
          <cell r="G65" t="str">
            <v>ADMINISTRATIVO</v>
          </cell>
          <cell r="H65" t="str">
            <v>RENDER LOCACOES</v>
          </cell>
          <cell r="I65">
            <v>45973</v>
          </cell>
          <cell r="K65" t="str">
            <v>1.8.1 ADMINISTRATIVO</v>
          </cell>
          <cell r="L65" t="str">
            <v>AUXILIAR ADMINISTRATIVO - ESTAGIARIO(A)</v>
          </cell>
          <cell r="M65">
            <v>1000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1238.6199999999999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1238.6199999999999</v>
          </cell>
          <cell r="BJ65">
            <v>238.62</v>
          </cell>
          <cell r="BK65">
            <v>1000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1238.6199999999999</v>
          </cell>
        </row>
        <row r="66">
          <cell r="A66" t="str">
            <v>ADEMIR DOS SANTOS</v>
          </cell>
          <cell r="B66">
            <v>46023</v>
          </cell>
          <cell r="C66" t="str">
            <v>Empregado – Geral</v>
          </cell>
          <cell r="D66" t="str">
            <v>G3S FL 11 - MARINGA</v>
          </cell>
          <cell r="E66" t="str">
            <v>20.947.332/0011-67</v>
          </cell>
          <cell r="F66" t="str">
            <v>OPERACIONAL</v>
          </cell>
          <cell r="G66" t="str">
            <v>PATIO</v>
          </cell>
          <cell r="H66" t="str">
            <v>SELETIVA MARINGA CIDADE ALTA</v>
          </cell>
          <cell r="I66">
            <v>45915</v>
          </cell>
          <cell r="K66" t="str">
            <v>1.2.8.3. OPERACIONAL</v>
          </cell>
          <cell r="L66" t="str">
            <v>AUXILIAR DE PATIO SENIOR</v>
          </cell>
          <cell r="M66">
            <v>2600</v>
          </cell>
          <cell r="N66">
            <v>2600</v>
          </cell>
          <cell r="O66">
            <v>0</v>
          </cell>
          <cell r="P66">
            <v>2600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2600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27.43</v>
          </cell>
          <cell r="AP66">
            <v>0</v>
          </cell>
          <cell r="AQ66">
            <v>0</v>
          </cell>
          <cell r="AR66">
            <v>27.43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2627.43</v>
          </cell>
          <cell r="BJ66">
            <v>1071.68</v>
          </cell>
          <cell r="BK66">
            <v>1555.75</v>
          </cell>
          <cell r="BL66">
            <v>208</v>
          </cell>
          <cell r="BM66">
            <v>520</v>
          </cell>
          <cell r="BN66">
            <v>78</v>
          </cell>
          <cell r="BO66">
            <v>150.80000000000001</v>
          </cell>
          <cell r="BP66">
            <v>956.8</v>
          </cell>
          <cell r="BQ66">
            <v>3584.23</v>
          </cell>
        </row>
        <row r="67">
          <cell r="A67" t="str">
            <v>ALEKSANDER APARECIDO GONÇALVES DA SILVA</v>
          </cell>
          <cell r="B67">
            <v>46023</v>
          </cell>
          <cell r="C67" t="str">
            <v>Empregado – Geral</v>
          </cell>
          <cell r="D67" t="str">
            <v>G3S FL 11 - MARINGA</v>
          </cell>
          <cell r="E67" t="str">
            <v>20.947.332/0011-67</v>
          </cell>
          <cell r="F67" t="str">
            <v>OPERACIONAL</v>
          </cell>
          <cell r="G67" t="str">
            <v>PATIO</v>
          </cell>
          <cell r="H67" t="str">
            <v>SELETIVA MARINGA DISTRITO</v>
          </cell>
          <cell r="I67">
            <v>46050</v>
          </cell>
          <cell r="K67" t="str">
            <v>1.2.8.3. OPERACIONAL</v>
          </cell>
          <cell r="L67" t="str">
            <v>GERENTE DE PATIO SENIOR</v>
          </cell>
          <cell r="M67">
            <v>3679.83</v>
          </cell>
          <cell r="N67">
            <v>490.64</v>
          </cell>
          <cell r="O67">
            <v>0</v>
          </cell>
          <cell r="P67">
            <v>490.64</v>
          </cell>
          <cell r="Q67">
            <v>0</v>
          </cell>
          <cell r="R67">
            <v>0</v>
          </cell>
          <cell r="S67">
            <v>0</v>
          </cell>
          <cell r="T67">
            <v>98.13</v>
          </cell>
          <cell r="U67">
            <v>0</v>
          </cell>
          <cell r="V67">
            <v>147.19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735.96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66.67</v>
          </cell>
          <cell r="AU67">
            <v>0</v>
          </cell>
          <cell r="AV67">
            <v>0</v>
          </cell>
          <cell r="AW67">
            <v>0</v>
          </cell>
          <cell r="AX67">
            <v>9.01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811.64</v>
          </cell>
          <cell r="BJ67">
            <v>55.19</v>
          </cell>
          <cell r="BK67">
            <v>756.45</v>
          </cell>
          <cell r="BL67">
            <v>58.87</v>
          </cell>
          <cell r="BM67">
            <v>147.19</v>
          </cell>
          <cell r="BN67">
            <v>22.07</v>
          </cell>
          <cell r="BO67">
            <v>42.68</v>
          </cell>
          <cell r="BP67">
            <v>270.81</v>
          </cell>
          <cell r="BQ67">
            <v>1082.45</v>
          </cell>
        </row>
        <row r="68">
          <cell r="A68" t="str">
            <v>DYESSILA MARY ALVES SEMPREBON FREIRE</v>
          </cell>
          <cell r="B68">
            <v>46023</v>
          </cell>
          <cell r="C68" t="str">
            <v>Empregado – Geral</v>
          </cell>
          <cell r="D68" t="str">
            <v>G3S FL 11 - MARINGA</v>
          </cell>
          <cell r="E68" t="str">
            <v>20.947.332/0011-67</v>
          </cell>
          <cell r="F68" t="str">
            <v>ADMINISTRATIVO</v>
          </cell>
          <cell r="G68" t="str">
            <v>ATENDIMENTO</v>
          </cell>
          <cell r="H68" t="str">
            <v>SELETIVA MARINGA DISTRITO</v>
          </cell>
          <cell r="I68">
            <v>45323</v>
          </cell>
          <cell r="K68" t="str">
            <v>1.2.4.1 ADMINISTRATIVO</v>
          </cell>
          <cell r="L68" t="str">
            <v>AUX ADMINISTRATIVO JUNIOR</v>
          </cell>
          <cell r="M68">
            <v>2320</v>
          </cell>
          <cell r="N68">
            <v>2165.33</v>
          </cell>
          <cell r="O68">
            <v>0</v>
          </cell>
          <cell r="P68">
            <v>2165.33</v>
          </cell>
          <cell r="Q68">
            <v>0</v>
          </cell>
          <cell r="R68">
            <v>223.93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119.19</v>
          </cell>
          <cell r="AB68">
            <v>24.83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2533.2800000000002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27.43</v>
          </cell>
          <cell r="AP68">
            <v>0</v>
          </cell>
          <cell r="AQ68">
            <v>0</v>
          </cell>
          <cell r="AR68">
            <v>27.43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2560.71</v>
          </cell>
          <cell r="BJ68">
            <v>639.83000000000004</v>
          </cell>
          <cell r="BK68">
            <v>1696.95</v>
          </cell>
          <cell r="BL68">
            <v>202.66</v>
          </cell>
          <cell r="BM68">
            <v>506.66</v>
          </cell>
          <cell r="BN68">
            <v>75.989999999999995</v>
          </cell>
          <cell r="BO68">
            <v>146.93</v>
          </cell>
          <cell r="BP68">
            <v>932.24</v>
          </cell>
          <cell r="BQ68">
            <v>3492.95</v>
          </cell>
        </row>
        <row r="69">
          <cell r="A69" t="str">
            <v>GUSTAVO LINO DUARTE</v>
          </cell>
          <cell r="B69">
            <v>46023</v>
          </cell>
          <cell r="C69" t="str">
            <v>Empregado – Geral</v>
          </cell>
          <cell r="D69" t="str">
            <v>G3S CMATRIZ - CAMPO GRANDE</v>
          </cell>
          <cell r="E69" t="str">
            <v>20.947.332/0001-95</v>
          </cell>
          <cell r="F69" t="str">
            <v>OPERACIONAL</v>
          </cell>
          <cell r="G69" t="str">
            <v>PATIO</v>
          </cell>
          <cell r="H69" t="str">
            <v>SELETIVA C GRANDE</v>
          </cell>
          <cell r="I69">
            <v>45237</v>
          </cell>
          <cell r="K69" t="str">
            <v>1.2.7.3 OPERACIONAL</v>
          </cell>
          <cell r="L69" t="str">
            <v>AUXILIAR DE PATIO JUNIOR</v>
          </cell>
          <cell r="M69">
            <v>2305.85</v>
          </cell>
          <cell r="N69">
            <v>1998.4</v>
          </cell>
          <cell r="O69">
            <v>0</v>
          </cell>
          <cell r="P69">
            <v>1998.4</v>
          </cell>
          <cell r="Q69">
            <v>0</v>
          </cell>
          <cell r="R69">
            <v>419.86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2418.2600000000002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60.56</v>
          </cell>
          <cell r="AP69">
            <v>0</v>
          </cell>
          <cell r="AQ69">
            <v>0</v>
          </cell>
          <cell r="AR69">
            <v>60.56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2478.8200000000002</v>
          </cell>
          <cell r="BJ69">
            <v>1459.39</v>
          </cell>
          <cell r="BK69">
            <v>627.02</v>
          </cell>
          <cell r="BL69">
            <v>193.46</v>
          </cell>
          <cell r="BM69">
            <v>483.65</v>
          </cell>
          <cell r="BN69">
            <v>110.63</v>
          </cell>
          <cell r="BO69">
            <v>140.25</v>
          </cell>
          <cell r="BP69">
            <v>927.99</v>
          </cell>
          <cell r="BQ69">
            <v>3406.81</v>
          </cell>
        </row>
        <row r="70">
          <cell r="A70" t="str">
            <v>PATRICIA DANIELLE SILVA</v>
          </cell>
          <cell r="B70">
            <v>46023</v>
          </cell>
          <cell r="C70" t="str">
            <v>Empregado – Geral</v>
          </cell>
          <cell r="D70" t="str">
            <v>G3S CMATRIZ - CAMPO GRANDE</v>
          </cell>
          <cell r="E70" t="str">
            <v>20.947.332/0001-95</v>
          </cell>
          <cell r="F70" t="str">
            <v>ADMINISTRATIVO</v>
          </cell>
          <cell r="G70" t="str">
            <v>ATENDIMENTO</v>
          </cell>
          <cell r="H70" t="str">
            <v>SELETIVA C GRANDE</v>
          </cell>
          <cell r="I70">
            <v>45733</v>
          </cell>
          <cell r="K70" t="str">
            <v>1.2.7.1 ADMINISTRATIVO</v>
          </cell>
          <cell r="L70" t="str">
            <v>AUX ADMINISTRATIVO JUNIOR</v>
          </cell>
          <cell r="M70">
            <v>2401.1999999999998</v>
          </cell>
          <cell r="N70">
            <v>2081.04</v>
          </cell>
          <cell r="O70">
            <v>0</v>
          </cell>
          <cell r="P70">
            <v>2081.04</v>
          </cell>
          <cell r="Q70">
            <v>0</v>
          </cell>
          <cell r="R70">
            <v>484.99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58.93</v>
          </cell>
          <cell r="AB70">
            <v>7.37</v>
          </cell>
          <cell r="AC70">
            <v>0</v>
          </cell>
          <cell r="AD70">
            <v>0</v>
          </cell>
          <cell r="AE70">
            <v>0</v>
          </cell>
          <cell r="AF70">
            <v>208.1</v>
          </cell>
          <cell r="AG70">
            <v>2840.43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60.56</v>
          </cell>
          <cell r="AP70">
            <v>0</v>
          </cell>
          <cell r="AQ70">
            <v>0</v>
          </cell>
          <cell r="AR70">
            <v>60.56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2900.99</v>
          </cell>
          <cell r="BJ70">
            <v>1155.2</v>
          </cell>
          <cell r="BK70">
            <v>1277.19</v>
          </cell>
          <cell r="BL70">
            <v>227.23</v>
          </cell>
          <cell r="BM70">
            <v>568.09</v>
          </cell>
          <cell r="BN70">
            <v>129.94</v>
          </cell>
          <cell r="BO70">
            <v>164.74</v>
          </cell>
          <cell r="BP70">
            <v>1090</v>
          </cell>
          <cell r="BQ70">
            <v>3990.99</v>
          </cell>
        </row>
        <row r="71">
          <cell r="A71" t="str">
            <v>LUIZ GUILHERME BRAGHINI</v>
          </cell>
          <cell r="B71">
            <v>46023</v>
          </cell>
          <cell r="C71" t="str">
            <v>Empregado – Geral</v>
          </cell>
          <cell r="D71" t="str">
            <v>G3S CMATRIZ - CAMPO GRANDE</v>
          </cell>
          <cell r="E71" t="str">
            <v>20.947.332/0001-95</v>
          </cell>
          <cell r="F71" t="str">
            <v>OPERACIONAL</v>
          </cell>
          <cell r="G71" t="str">
            <v>PATIO</v>
          </cell>
          <cell r="H71" t="str">
            <v>SELETIVA C GRANDE</v>
          </cell>
          <cell r="I71">
            <v>44630</v>
          </cell>
          <cell r="K71" t="str">
            <v>1.2.7.3 OPERACIONAL</v>
          </cell>
          <cell r="L71" t="str">
            <v>GERENTE DE PATIO SENIOR</v>
          </cell>
          <cell r="M71">
            <v>3679.83</v>
          </cell>
          <cell r="N71">
            <v>3679.83</v>
          </cell>
          <cell r="O71">
            <v>0</v>
          </cell>
          <cell r="P71">
            <v>3679.83</v>
          </cell>
          <cell r="Q71">
            <v>0</v>
          </cell>
          <cell r="R71">
            <v>0</v>
          </cell>
          <cell r="S71">
            <v>0</v>
          </cell>
          <cell r="T71">
            <v>735.97</v>
          </cell>
          <cell r="U71">
            <v>0</v>
          </cell>
          <cell r="V71">
            <v>1103.95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5519.75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60.56</v>
          </cell>
          <cell r="AP71">
            <v>0</v>
          </cell>
          <cell r="AQ71">
            <v>0</v>
          </cell>
          <cell r="AR71">
            <v>60.56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5580.31</v>
          </cell>
          <cell r="BJ71">
            <v>2046.26</v>
          </cell>
          <cell r="BK71">
            <v>3534.05</v>
          </cell>
          <cell r="BL71">
            <v>441.58</v>
          </cell>
          <cell r="BM71">
            <v>1103.95</v>
          </cell>
          <cell r="BN71">
            <v>252.52</v>
          </cell>
          <cell r="BO71">
            <v>320.14</v>
          </cell>
          <cell r="BP71">
            <v>2118.19</v>
          </cell>
          <cell r="BQ71">
            <v>7698.5</v>
          </cell>
        </row>
        <row r="72">
          <cell r="A72" t="str">
            <v>EDEN RODRIGUES DE OLIVEIRA</v>
          </cell>
          <cell r="B72">
            <v>46023</v>
          </cell>
          <cell r="C72" t="str">
            <v>Empregado – Geral</v>
          </cell>
          <cell r="D72" t="str">
            <v>G3S CMATRIZ - CAMPO GRANDE</v>
          </cell>
          <cell r="E72" t="str">
            <v>20.947.332/0001-95</v>
          </cell>
          <cell r="F72" t="str">
            <v>OPERACIONAL</v>
          </cell>
          <cell r="G72" t="str">
            <v>PATIO</v>
          </cell>
          <cell r="H72" t="str">
            <v>SELETIVA C GRANDE</v>
          </cell>
          <cell r="I72">
            <v>46001</v>
          </cell>
          <cell r="J72">
            <v>46048</v>
          </cell>
          <cell r="K72" t="str">
            <v>1.2.7.3 OPERACIONAL</v>
          </cell>
          <cell r="L72" t="str">
            <v>AUXILIAR DE PATIO JUNIOR</v>
          </cell>
          <cell r="M72">
            <v>2155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60.56</v>
          </cell>
          <cell r="AP72">
            <v>0</v>
          </cell>
          <cell r="AQ72">
            <v>0</v>
          </cell>
          <cell r="AR72">
            <v>60.56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58.97</v>
          </cell>
          <cell r="BG72">
            <v>0</v>
          </cell>
          <cell r="BH72">
            <v>58.97</v>
          </cell>
          <cell r="BI72">
            <v>60.56</v>
          </cell>
          <cell r="BJ72">
            <v>2586.6999999999998</v>
          </cell>
          <cell r="BK72">
            <v>0</v>
          </cell>
          <cell r="BL72">
            <v>149.41</v>
          </cell>
          <cell r="BM72">
            <v>0</v>
          </cell>
          <cell r="BN72">
            <v>0</v>
          </cell>
          <cell r="BO72">
            <v>0</v>
          </cell>
          <cell r="BP72">
            <v>149.41</v>
          </cell>
          <cell r="BQ72">
            <v>209.97</v>
          </cell>
        </row>
        <row r="73">
          <cell r="A73" t="str">
            <v>PEDRO FELIPE PINA DO NASCIMENTO</v>
          </cell>
          <cell r="B73">
            <v>46023</v>
          </cell>
          <cell r="C73" t="str">
            <v>Empregado – Geral</v>
          </cell>
          <cell r="D73" t="str">
            <v>G3S CMATRIZ - CAMPO GRANDE</v>
          </cell>
          <cell r="E73" t="str">
            <v>20.947.332/0001-95</v>
          </cell>
          <cell r="F73" t="str">
            <v>OPERACIONAL</v>
          </cell>
          <cell r="G73" t="str">
            <v>PATIO</v>
          </cell>
          <cell r="H73" t="str">
            <v>SELETIVA C GRANDE</v>
          </cell>
          <cell r="I73">
            <v>46001</v>
          </cell>
          <cell r="K73" t="str">
            <v>1.2.7.3 OPERACIONAL</v>
          </cell>
          <cell r="L73" t="str">
            <v>AUXILIAR DE PATIO JUNIOR</v>
          </cell>
          <cell r="M73">
            <v>2155</v>
          </cell>
          <cell r="N73">
            <v>2083.17</v>
          </cell>
          <cell r="O73">
            <v>71.83</v>
          </cell>
          <cell r="P73">
            <v>2155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2155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60.56</v>
          </cell>
          <cell r="AP73">
            <v>0</v>
          </cell>
          <cell r="AQ73">
            <v>0</v>
          </cell>
          <cell r="AR73">
            <v>60.56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2215.56</v>
          </cell>
          <cell r="BJ73">
            <v>1031.6300000000001</v>
          </cell>
          <cell r="BK73">
            <v>1183.93</v>
          </cell>
          <cell r="BL73">
            <v>172.4</v>
          </cell>
          <cell r="BM73">
            <v>431</v>
          </cell>
          <cell r="BN73">
            <v>98.59</v>
          </cell>
          <cell r="BO73">
            <v>124.99</v>
          </cell>
          <cell r="BP73">
            <v>826.98</v>
          </cell>
          <cell r="BQ73">
            <v>3042.54</v>
          </cell>
        </row>
        <row r="74">
          <cell r="A74" t="str">
            <v>FERNANDA DIAS DE ANDRADE</v>
          </cell>
          <cell r="B74">
            <v>46023</v>
          </cell>
          <cell r="C74" t="str">
            <v>Bolsista - Estagiário</v>
          </cell>
          <cell r="D74" t="str">
            <v>G3S CMATRIZ - CAMPO GRANDE</v>
          </cell>
          <cell r="E74" t="str">
            <v>20.947.332/0001-95</v>
          </cell>
          <cell r="F74" t="str">
            <v>ADMINISTRATIVO</v>
          </cell>
          <cell r="G74" t="str">
            <v>ATENDIMENTO</v>
          </cell>
          <cell r="H74" t="str">
            <v>SELETIVA C GRANDE</v>
          </cell>
          <cell r="I74">
            <v>45950</v>
          </cell>
          <cell r="K74" t="str">
            <v>1.2.7.1 ADMINISTRATIVO</v>
          </cell>
          <cell r="L74" t="str">
            <v>AUXILIAR ADMINISTRATIVO - ESTAGIARIO(A)</v>
          </cell>
          <cell r="M74">
            <v>1000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1000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1000</v>
          </cell>
          <cell r="BJ74">
            <v>0</v>
          </cell>
          <cell r="BK74">
            <v>866.67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1000</v>
          </cell>
        </row>
        <row r="75">
          <cell r="A75" t="str">
            <v>VINICIUS LIMA SALDANHA</v>
          </cell>
          <cell r="B75">
            <v>46023</v>
          </cell>
          <cell r="C75" t="str">
            <v>Empregado – Geral</v>
          </cell>
          <cell r="D75" t="str">
            <v>G3S  FL 03 - DOURADOS</v>
          </cell>
          <cell r="E75" t="str">
            <v>20.947.332/0003-57</v>
          </cell>
          <cell r="F75" t="str">
            <v>OPERACIONAL</v>
          </cell>
          <cell r="G75" t="str">
            <v>PATIO</v>
          </cell>
          <cell r="H75" t="str">
            <v>SELETIVA DOURADOS</v>
          </cell>
          <cell r="I75">
            <v>44700</v>
          </cell>
          <cell r="K75" t="str">
            <v>1.2.2.3 OPERACIONAL</v>
          </cell>
          <cell r="L75" t="str">
            <v>GERENTE DE PATIO SENIOR</v>
          </cell>
          <cell r="M75">
            <v>3679.83</v>
          </cell>
          <cell r="N75">
            <v>3679.83</v>
          </cell>
          <cell r="O75">
            <v>0</v>
          </cell>
          <cell r="P75">
            <v>3679.83</v>
          </cell>
          <cell r="Q75">
            <v>0</v>
          </cell>
          <cell r="R75">
            <v>0</v>
          </cell>
          <cell r="S75">
            <v>0</v>
          </cell>
          <cell r="T75">
            <v>735.97</v>
          </cell>
          <cell r="U75">
            <v>0</v>
          </cell>
          <cell r="V75">
            <v>1103.95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5519.75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262.56</v>
          </cell>
          <cell r="AP75">
            <v>0</v>
          </cell>
          <cell r="AQ75">
            <v>0</v>
          </cell>
          <cell r="AR75">
            <v>262.56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5782.31</v>
          </cell>
          <cell r="BJ75">
            <v>2431.23</v>
          </cell>
          <cell r="BK75">
            <v>3351.08</v>
          </cell>
          <cell r="BL75">
            <v>441.58</v>
          </cell>
          <cell r="BM75">
            <v>1103.95</v>
          </cell>
          <cell r="BN75">
            <v>82.79</v>
          </cell>
          <cell r="BO75">
            <v>320.14</v>
          </cell>
          <cell r="BP75">
            <v>1948.46</v>
          </cell>
          <cell r="BQ75">
            <v>7730.77</v>
          </cell>
        </row>
        <row r="76">
          <cell r="A76" t="str">
            <v>LAIS VERON TEIXEIRA RIQUELME</v>
          </cell>
          <cell r="B76">
            <v>46023</v>
          </cell>
          <cell r="C76" t="str">
            <v>Empregado – Geral</v>
          </cell>
          <cell r="D76" t="str">
            <v>G3S  FL 03 - DOURADOS</v>
          </cell>
          <cell r="E76" t="str">
            <v>20.947.332/0003-57</v>
          </cell>
          <cell r="F76" t="str">
            <v>ADMINISTRATIVO</v>
          </cell>
          <cell r="G76" t="str">
            <v>ATENDIMENTO</v>
          </cell>
          <cell r="H76" t="str">
            <v>SELETIVA DOURADOS</v>
          </cell>
          <cell r="I76">
            <v>44769</v>
          </cell>
          <cell r="K76" t="str">
            <v>1.2.2.1 ADMINISTRATIVO</v>
          </cell>
          <cell r="L76" t="str">
            <v>AUX ADMINISTRATIVO JUNIOR</v>
          </cell>
          <cell r="M76">
            <v>2482.4</v>
          </cell>
          <cell r="N76">
            <v>2068.67</v>
          </cell>
          <cell r="O76">
            <v>82.75</v>
          </cell>
          <cell r="P76">
            <v>2151.42</v>
          </cell>
          <cell r="Q76">
            <v>0</v>
          </cell>
          <cell r="R76">
            <v>497.46</v>
          </cell>
          <cell r="S76">
            <v>621.84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206.87</v>
          </cell>
          <cell r="AG76">
            <v>3477.59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262.56</v>
          </cell>
          <cell r="AP76">
            <v>0</v>
          </cell>
          <cell r="AQ76">
            <v>0</v>
          </cell>
          <cell r="AR76">
            <v>262.56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3740.15</v>
          </cell>
          <cell r="BJ76">
            <v>1363.45</v>
          </cell>
          <cell r="BK76">
            <v>1330.61</v>
          </cell>
          <cell r="BL76">
            <v>228.46</v>
          </cell>
          <cell r="BM76">
            <v>695.52</v>
          </cell>
          <cell r="BN76">
            <v>52.16</v>
          </cell>
          <cell r="BO76">
            <v>201.7</v>
          </cell>
          <cell r="BP76">
            <v>1177.8399999999999</v>
          </cell>
          <cell r="BQ76">
            <v>4917.99</v>
          </cell>
        </row>
        <row r="77">
          <cell r="A77" t="str">
            <v>POLIANA CORREA DA SILVA</v>
          </cell>
          <cell r="B77">
            <v>46023</v>
          </cell>
          <cell r="C77" t="str">
            <v>Empregado – Geral</v>
          </cell>
          <cell r="D77" t="str">
            <v>G3S  FL 03 - DOURADOS</v>
          </cell>
          <cell r="E77" t="str">
            <v>20.947.332/0003-57</v>
          </cell>
          <cell r="F77" t="str">
            <v>ADMINISTRATIVO</v>
          </cell>
          <cell r="G77" t="str">
            <v>ATENDIMENTO</v>
          </cell>
          <cell r="H77" t="str">
            <v>SELETIVA DOURADOS</v>
          </cell>
          <cell r="I77">
            <v>45376</v>
          </cell>
          <cell r="K77" t="str">
            <v>1.2.2.1 ADMINISTRATIVO</v>
          </cell>
          <cell r="L77" t="str">
            <v>AUX ADMINISTRATIVO JUNIOR</v>
          </cell>
          <cell r="M77">
            <v>2482.4</v>
          </cell>
          <cell r="N77">
            <v>1903.17</v>
          </cell>
          <cell r="O77">
            <v>413.73</v>
          </cell>
          <cell r="P77">
            <v>2316.9</v>
          </cell>
          <cell r="Q77">
            <v>0</v>
          </cell>
          <cell r="R77">
            <v>232.93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96.29</v>
          </cell>
          <cell r="AB77">
            <v>19.260000000000002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2665.38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262.56</v>
          </cell>
          <cell r="AP77">
            <v>0</v>
          </cell>
          <cell r="AQ77">
            <v>0</v>
          </cell>
          <cell r="AR77">
            <v>262.56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2927.94</v>
          </cell>
          <cell r="BJ77">
            <v>1190.44</v>
          </cell>
          <cell r="BK77">
            <v>1504.57</v>
          </cell>
          <cell r="BL77">
            <v>213.23</v>
          </cell>
          <cell r="BM77">
            <v>533.08000000000004</v>
          </cell>
          <cell r="BN77">
            <v>39.979999999999997</v>
          </cell>
          <cell r="BO77">
            <v>154.59</v>
          </cell>
          <cell r="BP77">
            <v>940.88</v>
          </cell>
          <cell r="BQ77">
            <v>3868.82</v>
          </cell>
        </row>
        <row r="78">
          <cell r="A78" t="str">
            <v>RODOLFO SALU DE OLIVEIRA</v>
          </cell>
          <cell r="B78">
            <v>46023</v>
          </cell>
          <cell r="C78" t="str">
            <v>Empregado – Geral</v>
          </cell>
          <cell r="D78" t="str">
            <v>G3S  FL 03 - DOURADOS</v>
          </cell>
          <cell r="E78" t="str">
            <v>20.947.332/0003-57</v>
          </cell>
          <cell r="F78" t="str">
            <v>OPERACIONAL</v>
          </cell>
          <cell r="G78" t="str">
            <v>PATIO</v>
          </cell>
          <cell r="H78" t="str">
            <v>SELETIVA DOURADOS</v>
          </cell>
          <cell r="I78">
            <v>45733</v>
          </cell>
          <cell r="K78" t="str">
            <v>1.2.2.3 OPERACIONAL</v>
          </cell>
          <cell r="L78" t="str">
            <v>MACARIQUEIRO PLENO</v>
          </cell>
          <cell r="M78">
            <v>2587.5</v>
          </cell>
          <cell r="N78">
            <v>2242.5</v>
          </cell>
          <cell r="O78">
            <v>0</v>
          </cell>
          <cell r="P78">
            <v>2242.5</v>
          </cell>
          <cell r="Q78">
            <v>0</v>
          </cell>
          <cell r="R78">
            <v>487.64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2730.14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262.56</v>
          </cell>
          <cell r="AP78">
            <v>0</v>
          </cell>
          <cell r="AQ78">
            <v>0</v>
          </cell>
          <cell r="AR78">
            <v>262.56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2992.7</v>
          </cell>
          <cell r="BJ78">
            <v>1678.51</v>
          </cell>
          <cell r="BK78">
            <v>843.04</v>
          </cell>
          <cell r="BL78">
            <v>218.41</v>
          </cell>
          <cell r="BM78">
            <v>546.03</v>
          </cell>
          <cell r="BN78">
            <v>40.950000000000003</v>
          </cell>
          <cell r="BO78">
            <v>158.34</v>
          </cell>
          <cell r="BP78">
            <v>963.73</v>
          </cell>
          <cell r="BQ78">
            <v>3956.43</v>
          </cell>
        </row>
        <row r="79">
          <cell r="A79" t="str">
            <v>GEOVANI RODRIGUES DUTRA</v>
          </cell>
          <cell r="B79">
            <v>46023</v>
          </cell>
          <cell r="C79" t="str">
            <v>Empregado – Geral</v>
          </cell>
          <cell r="D79" t="str">
            <v>G3S  FL 03 - DOURADOS</v>
          </cell>
          <cell r="E79" t="str">
            <v>20.947.332/0003-57</v>
          </cell>
          <cell r="F79" t="str">
            <v>OPERACIONAL</v>
          </cell>
          <cell r="G79" t="str">
            <v>PATIO</v>
          </cell>
          <cell r="H79" t="str">
            <v>SELETIVA DOURADOS</v>
          </cell>
          <cell r="I79">
            <v>46048</v>
          </cell>
          <cell r="K79" t="str">
            <v>1.2.2.3 OPERACIONAL</v>
          </cell>
          <cell r="L79" t="str">
            <v>MACARIQUEIRO PLENO</v>
          </cell>
          <cell r="M79">
            <v>2587.5</v>
          </cell>
          <cell r="N79">
            <v>517.5</v>
          </cell>
          <cell r="O79">
            <v>0</v>
          </cell>
          <cell r="P79">
            <v>517.5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517.5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100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617.5</v>
          </cell>
          <cell r="BJ79">
            <v>38.81</v>
          </cell>
          <cell r="BK79">
            <v>578.69000000000005</v>
          </cell>
          <cell r="BL79">
            <v>41.4</v>
          </cell>
          <cell r="BM79">
            <v>103.5</v>
          </cell>
          <cell r="BN79">
            <v>7.76</v>
          </cell>
          <cell r="BO79">
            <v>30.01</v>
          </cell>
          <cell r="BP79">
            <v>182.67</v>
          </cell>
          <cell r="BQ79">
            <v>800.17</v>
          </cell>
        </row>
        <row r="80">
          <cell r="A80" t="str">
            <v>WAGNER DARCI DOS SANTOS</v>
          </cell>
          <cell r="B80">
            <v>46023</v>
          </cell>
          <cell r="C80" t="str">
            <v>Empregado – Geral</v>
          </cell>
          <cell r="D80" t="str">
            <v>G3S  FL 04 - PRES PRUD</v>
          </cell>
          <cell r="E80" t="str">
            <v>20.947.332/0004-38</v>
          </cell>
          <cell r="F80" t="str">
            <v>ADMINISTRATIVO</v>
          </cell>
          <cell r="G80" t="str">
            <v>SERVIÇOS GERAIS</v>
          </cell>
          <cell r="H80" t="str">
            <v>SELETIVA PRESIDENTE PRUDENTE</v>
          </cell>
          <cell r="I80">
            <v>40672</v>
          </cell>
          <cell r="L80" t="str">
            <v>SERVICOS GERAIS (COMERCIO)</v>
          </cell>
          <cell r="M80">
            <v>2098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</row>
        <row r="81">
          <cell r="A81" t="str">
            <v>MARCELO BARBOSA SARTO</v>
          </cell>
          <cell r="B81">
            <v>46023</v>
          </cell>
          <cell r="C81" t="str">
            <v>Empregado – Geral</v>
          </cell>
          <cell r="D81" t="str">
            <v>G3S  FL 04 - PRES PRUD</v>
          </cell>
          <cell r="E81" t="str">
            <v>20.947.332/0004-38</v>
          </cell>
          <cell r="F81" t="str">
            <v>LOGISTICA</v>
          </cell>
          <cell r="G81" t="str">
            <v>TRANSPORTE</v>
          </cell>
          <cell r="H81" t="str">
            <v>SELETIVA PRESIDENTE PRUDENTE</v>
          </cell>
          <cell r="I81">
            <v>41074</v>
          </cell>
          <cell r="L81" t="str">
            <v>MOTORISTA CARRETEIRO</v>
          </cell>
          <cell r="M81">
            <v>2538.35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59.06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</row>
        <row r="82">
          <cell r="A82" t="str">
            <v>NIVALDO MATEUS</v>
          </cell>
          <cell r="B82">
            <v>46023</v>
          </cell>
          <cell r="C82" t="str">
            <v>Empregado – Geral</v>
          </cell>
          <cell r="D82" t="str">
            <v>G3S  FL 04 - PRES PRUD</v>
          </cell>
          <cell r="E82" t="str">
            <v>20.947.332/0004-38</v>
          </cell>
          <cell r="F82" t="str">
            <v>OPERACIONAL</v>
          </cell>
          <cell r="G82" t="str">
            <v>PATIO</v>
          </cell>
          <cell r="H82" t="str">
            <v>SELETIVA PRESIDENTE PRUDENTE</v>
          </cell>
          <cell r="I82">
            <v>44166</v>
          </cell>
          <cell r="K82" t="str">
            <v>1.2.5.3 OPERACIONAL</v>
          </cell>
          <cell r="L82" t="str">
            <v>GERENTE DE PATIO SENIOR PP</v>
          </cell>
          <cell r="M82">
            <v>3679.83</v>
          </cell>
          <cell r="N82">
            <v>3189.19</v>
          </cell>
          <cell r="O82">
            <v>0</v>
          </cell>
          <cell r="P82">
            <v>3189.19</v>
          </cell>
          <cell r="Q82">
            <v>0</v>
          </cell>
          <cell r="R82">
            <v>1129.28</v>
          </cell>
          <cell r="S82">
            <v>0</v>
          </cell>
          <cell r="T82">
            <v>637.84</v>
          </cell>
          <cell r="U82">
            <v>0</v>
          </cell>
          <cell r="V82">
            <v>956.76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627.41</v>
          </cell>
          <cell r="AB82">
            <v>109.11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6649.59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285.83999999999997</v>
          </cell>
          <cell r="AP82">
            <v>450</v>
          </cell>
          <cell r="AQ82">
            <v>0</v>
          </cell>
          <cell r="AR82">
            <v>735.84</v>
          </cell>
          <cell r="AS82">
            <v>0</v>
          </cell>
          <cell r="AT82">
            <v>0</v>
          </cell>
          <cell r="AU82">
            <v>0</v>
          </cell>
          <cell r="AV82">
            <v>1680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9065.43</v>
          </cell>
          <cell r="BJ82">
            <v>3672.42</v>
          </cell>
          <cell r="BK82">
            <v>4417.12</v>
          </cell>
          <cell r="BL82">
            <v>531.96</v>
          </cell>
          <cell r="BM82">
            <v>1329.92</v>
          </cell>
          <cell r="BN82">
            <v>99.74</v>
          </cell>
          <cell r="BO82">
            <v>385.67</v>
          </cell>
          <cell r="BP82">
            <v>2347.29</v>
          </cell>
          <cell r="BQ82">
            <v>11412.72</v>
          </cell>
        </row>
        <row r="83">
          <cell r="A83" t="str">
            <v>LUCIMARA PAIZ DE OLIVEIRA</v>
          </cell>
          <cell r="B83">
            <v>46023</v>
          </cell>
          <cell r="C83" t="str">
            <v>Empregado – Geral</v>
          </cell>
          <cell r="D83" t="str">
            <v>G3S  FL 04 - PRES PRUD</v>
          </cell>
          <cell r="E83" t="str">
            <v>20.947.332/0004-38</v>
          </cell>
          <cell r="F83" t="str">
            <v>ADMINISTRATIVO</v>
          </cell>
          <cell r="G83" t="str">
            <v>ADMINISTRATIVO</v>
          </cell>
          <cell r="H83" t="str">
            <v>SELETIVA PRESIDENTE PRUDENTE</v>
          </cell>
          <cell r="I83">
            <v>45600</v>
          </cell>
          <cell r="K83" t="str">
            <v>1.2.5.1 ADMINISTRATIVO</v>
          </cell>
          <cell r="L83" t="str">
            <v>FAXINEIRO (EMPRESA)</v>
          </cell>
          <cell r="M83">
            <v>1849.8</v>
          </cell>
          <cell r="N83">
            <v>1603.16</v>
          </cell>
          <cell r="O83">
            <v>0</v>
          </cell>
          <cell r="P83">
            <v>1603.16</v>
          </cell>
          <cell r="Q83">
            <v>0</v>
          </cell>
          <cell r="R83">
            <v>334.96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1938.12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1938.12</v>
          </cell>
          <cell r="BJ83">
            <v>864.99</v>
          </cell>
          <cell r="BK83">
            <v>738.17</v>
          </cell>
          <cell r="BL83">
            <v>155.04</v>
          </cell>
          <cell r="BM83">
            <v>387.62</v>
          </cell>
          <cell r="BN83">
            <v>29.07</v>
          </cell>
          <cell r="BO83">
            <v>112.41</v>
          </cell>
          <cell r="BP83">
            <v>684.14</v>
          </cell>
          <cell r="BQ83">
            <v>2622.26</v>
          </cell>
        </row>
        <row r="84">
          <cell r="A84" t="str">
            <v>ANTONIO ANACLETO DE OLIVEIRA</v>
          </cell>
          <cell r="B84">
            <v>46023</v>
          </cell>
          <cell r="C84" t="str">
            <v>Empregado – Geral</v>
          </cell>
          <cell r="D84" t="str">
            <v>G3S  FL 04 - PRES PRUD</v>
          </cell>
          <cell r="E84" t="str">
            <v>20.947.332/0004-38</v>
          </cell>
          <cell r="F84" t="str">
            <v>OPERACIONAL</v>
          </cell>
          <cell r="G84" t="str">
            <v>PATIO</v>
          </cell>
          <cell r="H84" t="str">
            <v>SELETIVA PRESIDENTE PRUDENTE</v>
          </cell>
          <cell r="I84">
            <v>40118</v>
          </cell>
          <cell r="K84" t="str">
            <v>1.2.5.3 OPERACIONAL</v>
          </cell>
          <cell r="L84" t="str">
            <v>AUXILIAR DE PATIO SENIOR</v>
          </cell>
          <cell r="M84">
            <v>2600</v>
          </cell>
          <cell r="N84">
            <v>2600</v>
          </cell>
          <cell r="O84">
            <v>0</v>
          </cell>
          <cell r="P84">
            <v>2600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2600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285.83999999999997</v>
          </cell>
          <cell r="AP84">
            <v>1078.48</v>
          </cell>
          <cell r="AQ84">
            <v>0</v>
          </cell>
          <cell r="AR84">
            <v>1364.32</v>
          </cell>
          <cell r="AS84">
            <v>0</v>
          </cell>
          <cell r="AT84">
            <v>450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4414.32</v>
          </cell>
          <cell r="BJ84">
            <v>261.48</v>
          </cell>
          <cell r="BK84">
            <v>4352.84</v>
          </cell>
          <cell r="BL84">
            <v>224</v>
          </cell>
          <cell r="BM84">
            <v>520</v>
          </cell>
          <cell r="BN84">
            <v>39</v>
          </cell>
          <cell r="BO84">
            <v>150.80000000000001</v>
          </cell>
          <cell r="BP84">
            <v>933.8</v>
          </cell>
          <cell r="BQ84">
            <v>5348.12</v>
          </cell>
        </row>
        <row r="85">
          <cell r="A85" t="str">
            <v>MARCOS MEDEIROS</v>
          </cell>
          <cell r="B85">
            <v>46023</v>
          </cell>
          <cell r="C85" t="str">
            <v>Empregado – Geral</v>
          </cell>
          <cell r="D85" t="str">
            <v>G3S  FL 04 - PRES PRUD</v>
          </cell>
          <cell r="E85" t="str">
            <v>20.947.332/0004-38</v>
          </cell>
          <cell r="F85" t="str">
            <v>OPERACIONAL</v>
          </cell>
          <cell r="G85" t="str">
            <v>PATIO</v>
          </cell>
          <cell r="H85" t="str">
            <v>SELETIVA PRESIDENTE PRUDENTE</v>
          </cell>
          <cell r="I85">
            <v>44228</v>
          </cell>
          <cell r="K85" t="str">
            <v>1.2.5.3 OPERACIONAL</v>
          </cell>
          <cell r="L85" t="str">
            <v>SOLDADOR MAÇARIQUEIRO</v>
          </cell>
          <cell r="M85">
            <v>2893.8</v>
          </cell>
          <cell r="N85">
            <v>2507.96</v>
          </cell>
          <cell r="O85">
            <v>0</v>
          </cell>
          <cell r="P85">
            <v>2507.96</v>
          </cell>
          <cell r="Q85">
            <v>0</v>
          </cell>
          <cell r="R85">
            <v>681.43</v>
          </cell>
          <cell r="S85">
            <v>0</v>
          </cell>
          <cell r="T85">
            <v>0</v>
          </cell>
          <cell r="U85">
            <v>280.97000000000003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3470.36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285.83999999999997</v>
          </cell>
          <cell r="AP85">
            <v>515</v>
          </cell>
          <cell r="AQ85">
            <v>0</v>
          </cell>
          <cell r="AR85">
            <v>800.84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4271.2</v>
          </cell>
          <cell r="BJ85">
            <v>1736.35</v>
          </cell>
          <cell r="BK85">
            <v>1857.78</v>
          </cell>
          <cell r="BL85">
            <v>277.62</v>
          </cell>
          <cell r="BM85">
            <v>694.07</v>
          </cell>
          <cell r="BN85">
            <v>52.05</v>
          </cell>
          <cell r="BO85">
            <v>201.28</v>
          </cell>
          <cell r="BP85">
            <v>1225.02</v>
          </cell>
          <cell r="BQ85">
            <v>5496.22</v>
          </cell>
        </row>
        <row r="86">
          <cell r="A86" t="str">
            <v>ANDRESSA MEIRIELLE DE OLIVEIRA TOKAWA</v>
          </cell>
          <cell r="B86">
            <v>46023</v>
          </cell>
          <cell r="C86" t="str">
            <v>Empregado – Geral</v>
          </cell>
          <cell r="D86" t="str">
            <v>G3S  FL 04 - PRES PRUD</v>
          </cell>
          <cell r="E86" t="str">
            <v>20.947.332/0004-38</v>
          </cell>
          <cell r="F86" t="str">
            <v>ADMINISTRATIVO</v>
          </cell>
          <cell r="G86" t="str">
            <v>ATENDIMENTO</v>
          </cell>
          <cell r="H86" t="str">
            <v>SELETIVA PRESIDENTE PRUDENTE</v>
          </cell>
          <cell r="I86">
            <v>44635</v>
          </cell>
          <cell r="K86" t="str">
            <v>1.2.5.1 ADMINISTRATIVO</v>
          </cell>
          <cell r="L86" t="str">
            <v>AUX ADMINISTRATIVO JUNIOR</v>
          </cell>
          <cell r="M86">
            <v>2459.1999999999998</v>
          </cell>
          <cell r="N86">
            <v>1557.49</v>
          </cell>
          <cell r="O86">
            <v>573.80999999999995</v>
          </cell>
          <cell r="P86">
            <v>2131.3000000000002</v>
          </cell>
          <cell r="Q86">
            <v>0</v>
          </cell>
          <cell r="R86">
            <v>522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118.7</v>
          </cell>
          <cell r="AB86">
            <v>13.19</v>
          </cell>
          <cell r="AC86">
            <v>0</v>
          </cell>
          <cell r="AD86">
            <v>0</v>
          </cell>
          <cell r="AE86">
            <v>0</v>
          </cell>
          <cell r="AF86">
            <v>155.75</v>
          </cell>
          <cell r="AG86">
            <v>2940.94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285.83999999999997</v>
          </cell>
          <cell r="AP86">
            <v>0</v>
          </cell>
          <cell r="AQ86">
            <v>0</v>
          </cell>
          <cell r="AR86">
            <v>285.83999999999997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3226.78</v>
          </cell>
          <cell r="BJ86">
            <v>1183.58</v>
          </cell>
          <cell r="BK86">
            <v>1521.2</v>
          </cell>
          <cell r="BL86">
            <v>235.27</v>
          </cell>
          <cell r="BM86">
            <v>588.19000000000005</v>
          </cell>
          <cell r="BN86">
            <v>44.11</v>
          </cell>
          <cell r="BO86">
            <v>170.57</v>
          </cell>
          <cell r="BP86">
            <v>1038.1400000000001</v>
          </cell>
          <cell r="BQ86">
            <v>4264.92</v>
          </cell>
        </row>
        <row r="87">
          <cell r="A87" t="str">
            <v>ALESSANDRA ARAUJO MOURA</v>
          </cell>
          <cell r="B87">
            <v>46023</v>
          </cell>
          <cell r="C87" t="str">
            <v>Empregado – Geral</v>
          </cell>
          <cell r="D87" t="str">
            <v>G3S  FL 04 - PRES PRUD</v>
          </cell>
          <cell r="E87" t="str">
            <v>20.947.332/0004-38</v>
          </cell>
          <cell r="F87" t="str">
            <v>ADMINISTRATIVO</v>
          </cell>
          <cell r="G87" t="str">
            <v>ATENDIMENTO</v>
          </cell>
          <cell r="H87" t="str">
            <v>SELETIVA CORPORATIVO SUCATA</v>
          </cell>
          <cell r="I87">
            <v>44783</v>
          </cell>
          <cell r="K87" t="str">
            <v>1.2.1.1 APOIO</v>
          </cell>
          <cell r="L87" t="str">
            <v>SUPERVISOR(A) ADMINISTRATIVO(A)</v>
          </cell>
          <cell r="M87">
            <v>3392</v>
          </cell>
          <cell r="N87">
            <v>2939.73</v>
          </cell>
          <cell r="O87">
            <v>0</v>
          </cell>
          <cell r="P87">
            <v>2939.73</v>
          </cell>
          <cell r="Q87">
            <v>0</v>
          </cell>
          <cell r="R87">
            <v>844.23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1175.8900000000001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4959.8500000000004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285.83999999999997</v>
          </cell>
          <cell r="AP87">
            <v>0</v>
          </cell>
          <cell r="AQ87">
            <v>0</v>
          </cell>
          <cell r="AR87">
            <v>285.83999999999997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5245.69</v>
          </cell>
          <cell r="BJ87">
            <v>1815.26</v>
          </cell>
          <cell r="BK87">
            <v>2586.1999999999998</v>
          </cell>
          <cell r="BL87">
            <v>396.78</v>
          </cell>
          <cell r="BM87">
            <v>991.97</v>
          </cell>
          <cell r="BN87">
            <v>74.39</v>
          </cell>
          <cell r="BO87">
            <v>287.67</v>
          </cell>
          <cell r="BP87">
            <v>1750.81</v>
          </cell>
          <cell r="BQ87">
            <v>6996.5</v>
          </cell>
        </row>
        <row r="88">
          <cell r="A88" t="str">
            <v>MAURICIO ANTONIO SALETE</v>
          </cell>
          <cell r="B88">
            <v>46023</v>
          </cell>
          <cell r="C88" t="str">
            <v>Empregado – Geral</v>
          </cell>
          <cell r="D88" t="str">
            <v>G3S  FL 04 - PRES PRUD</v>
          </cell>
          <cell r="E88" t="str">
            <v>20.947.332/0004-38</v>
          </cell>
          <cell r="F88" t="str">
            <v>OPERACIONAL</v>
          </cell>
          <cell r="G88" t="str">
            <v>PATIO</v>
          </cell>
          <cell r="H88" t="str">
            <v>SELETIVA PRESIDENTE PRUDENTE</v>
          </cell>
          <cell r="I88">
            <v>44942</v>
          </cell>
          <cell r="K88" t="str">
            <v>1.2.5.3 OPERACIONAL</v>
          </cell>
          <cell r="L88" t="str">
            <v>GERENTE DE PATIO SENIOR</v>
          </cell>
          <cell r="M88">
            <v>3679.83</v>
          </cell>
          <cell r="N88">
            <v>3679.83</v>
          </cell>
          <cell r="O88">
            <v>0</v>
          </cell>
          <cell r="P88">
            <v>3679.83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1103.95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406.48</v>
          </cell>
          <cell r="AB88">
            <v>97.56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5287.82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285.83999999999997</v>
          </cell>
          <cell r="AP88">
            <v>0</v>
          </cell>
          <cell r="AQ88">
            <v>0</v>
          </cell>
          <cell r="AR88">
            <v>285.83999999999997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5573.66</v>
          </cell>
          <cell r="BJ88">
            <v>1769.79</v>
          </cell>
          <cell r="BK88">
            <v>3803.87</v>
          </cell>
          <cell r="BL88">
            <v>423.02</v>
          </cell>
          <cell r="BM88">
            <v>1057.56</v>
          </cell>
          <cell r="BN88">
            <v>79.31</v>
          </cell>
          <cell r="BO88">
            <v>306.69</v>
          </cell>
          <cell r="BP88">
            <v>1866.58</v>
          </cell>
          <cell r="BQ88">
            <v>7440.24</v>
          </cell>
        </row>
        <row r="89">
          <cell r="A89" t="str">
            <v>JOSE ANTONIO CAETANO</v>
          </cell>
          <cell r="B89">
            <v>46023</v>
          </cell>
          <cell r="C89" t="str">
            <v>Empregado – Geral</v>
          </cell>
          <cell r="D89" t="str">
            <v>G3S  FL 04 - PRES PRUD</v>
          </cell>
          <cell r="E89" t="str">
            <v>20.947.332/0004-38</v>
          </cell>
          <cell r="F89" t="str">
            <v>OPERACIONAL</v>
          </cell>
          <cell r="G89" t="str">
            <v>PATIO</v>
          </cell>
          <cell r="H89" t="str">
            <v>SELETIVA PRESIDENTE PRUDENTE</v>
          </cell>
          <cell r="I89">
            <v>43906</v>
          </cell>
          <cell r="K89" t="str">
            <v>1.2.5.3 OPERACIONAL</v>
          </cell>
          <cell r="L89" t="str">
            <v>CLASSIFICADOR SENIOR</v>
          </cell>
          <cell r="M89">
            <v>2967.69</v>
          </cell>
          <cell r="N89">
            <v>2572</v>
          </cell>
          <cell r="O89">
            <v>0</v>
          </cell>
          <cell r="P89">
            <v>2572</v>
          </cell>
          <cell r="Q89">
            <v>0</v>
          </cell>
          <cell r="R89">
            <v>533.72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3105.72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285.83999999999997</v>
          </cell>
          <cell r="AP89">
            <v>200</v>
          </cell>
          <cell r="AQ89">
            <v>0</v>
          </cell>
          <cell r="AR89">
            <v>485.84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3591.56</v>
          </cell>
          <cell r="BJ89">
            <v>1675.06</v>
          </cell>
          <cell r="BK89">
            <v>1448.9</v>
          </cell>
          <cell r="BL89">
            <v>248.45</v>
          </cell>
          <cell r="BM89">
            <v>621.14</v>
          </cell>
          <cell r="BN89">
            <v>46.58</v>
          </cell>
          <cell r="BO89">
            <v>180.13</v>
          </cell>
          <cell r="BP89">
            <v>1096.3</v>
          </cell>
          <cell r="BQ89">
            <v>4687.8599999999997</v>
          </cell>
        </row>
        <row r="90">
          <cell r="A90" t="str">
            <v>WELLINGTON APARECIDO S DE OLIVEIRA SOUSA</v>
          </cell>
          <cell r="B90">
            <v>46023</v>
          </cell>
          <cell r="C90" t="str">
            <v>Empregado – Geral</v>
          </cell>
          <cell r="D90" t="str">
            <v>G3S  FL 04 - PRES PRUD</v>
          </cell>
          <cell r="E90" t="str">
            <v>20.947.332/0004-38</v>
          </cell>
          <cell r="F90" t="str">
            <v>OPERACIONAL</v>
          </cell>
          <cell r="G90" t="str">
            <v>PATIO</v>
          </cell>
          <cell r="H90" t="str">
            <v>SELETIVA PRESIDENTE PRUDENTE</v>
          </cell>
          <cell r="I90">
            <v>45966</v>
          </cell>
          <cell r="J90">
            <v>46027</v>
          </cell>
          <cell r="K90" t="str">
            <v>1.2.5.3 OPERACIONAL</v>
          </cell>
          <cell r="L90" t="str">
            <v>AUXILIAR DE PATIO JUNIOR</v>
          </cell>
          <cell r="M90">
            <v>2155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1388.19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</row>
        <row r="91">
          <cell r="A91" t="str">
            <v>CAIO MURILO SPINDOLA DOS SANTOS</v>
          </cell>
          <cell r="B91">
            <v>46023</v>
          </cell>
          <cell r="C91" t="str">
            <v>Bolsista - Estagiário</v>
          </cell>
          <cell r="D91" t="str">
            <v>G3S  FL 04 - PRES PRUD</v>
          </cell>
          <cell r="E91" t="str">
            <v>20.947.332/0004-38</v>
          </cell>
          <cell r="F91" t="str">
            <v>ADMINISTRATIVO</v>
          </cell>
          <cell r="G91" t="str">
            <v>ATENDIMENTO</v>
          </cell>
          <cell r="H91" t="str">
            <v>SELETIVA PRESIDENTE PRUDENTE</v>
          </cell>
          <cell r="I91">
            <v>45950</v>
          </cell>
          <cell r="K91" t="str">
            <v>1.2.5.1 ADMINISTRATIVO</v>
          </cell>
          <cell r="L91" t="str">
            <v>AUXILIAR ADMINISTRATIVO - ESTAGIARIO(A)</v>
          </cell>
          <cell r="M91">
            <v>1000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1000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1000</v>
          </cell>
          <cell r="BJ91">
            <v>0</v>
          </cell>
          <cell r="BK91">
            <v>866.67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1000</v>
          </cell>
        </row>
        <row r="92">
          <cell r="A92" t="str">
            <v>REGINALDO DELA COSTA</v>
          </cell>
          <cell r="B92">
            <v>46023</v>
          </cell>
          <cell r="C92" t="str">
            <v>Empregado – Geral</v>
          </cell>
          <cell r="D92" t="str">
            <v>G3S FL 05 - PRES PRUD</v>
          </cell>
          <cell r="E92" t="str">
            <v>20.947.332/0005-19</v>
          </cell>
          <cell r="F92" t="str">
            <v>LOGISTICA</v>
          </cell>
          <cell r="G92" t="str">
            <v>TRANSPORTE</v>
          </cell>
          <cell r="H92" t="str">
            <v>BRACOFER</v>
          </cell>
          <cell r="I92">
            <v>43234</v>
          </cell>
          <cell r="K92" t="str">
            <v>1.3.1.4 LOGISTICA</v>
          </cell>
          <cell r="L92" t="str">
            <v>MOTORISTA TRUCK MANTENEDOR SENIOR</v>
          </cell>
          <cell r="M92">
            <v>2700</v>
          </cell>
          <cell r="N92">
            <v>900</v>
          </cell>
          <cell r="O92">
            <v>0</v>
          </cell>
          <cell r="P92">
            <v>900</v>
          </cell>
          <cell r="Q92">
            <v>0</v>
          </cell>
          <cell r="R92">
            <v>3951.55</v>
          </cell>
          <cell r="S92">
            <v>1383.04</v>
          </cell>
          <cell r="T92">
            <v>180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45</v>
          </cell>
          <cell r="Z92">
            <v>0</v>
          </cell>
          <cell r="AA92">
            <v>544.6</v>
          </cell>
          <cell r="AB92">
            <v>204.23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7208.42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900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8108.42</v>
          </cell>
          <cell r="BJ92">
            <v>285.91000000000003</v>
          </cell>
          <cell r="BK92">
            <v>2487.92</v>
          </cell>
          <cell r="BL92">
            <v>466.03</v>
          </cell>
          <cell r="BM92">
            <v>1441.68</v>
          </cell>
          <cell r="BN92">
            <v>108.12</v>
          </cell>
          <cell r="BO92">
            <v>418.08</v>
          </cell>
          <cell r="BP92">
            <v>2433.91</v>
          </cell>
          <cell r="BQ92">
            <v>10542.33</v>
          </cell>
        </row>
        <row r="93">
          <cell r="A93" t="str">
            <v>ROBERTO DOS SANTOS</v>
          </cell>
          <cell r="B93">
            <v>46023</v>
          </cell>
          <cell r="C93" t="str">
            <v>Empregado – Geral</v>
          </cell>
          <cell r="D93" t="str">
            <v>G3S FL 05 - PRES PRUD</v>
          </cell>
          <cell r="E93" t="str">
            <v>20.947.332/0005-19</v>
          </cell>
          <cell r="F93" t="str">
            <v>COMERCIAL</v>
          </cell>
          <cell r="G93" t="str">
            <v>VENDAS</v>
          </cell>
          <cell r="H93" t="str">
            <v>BRACOFER</v>
          </cell>
          <cell r="I93">
            <v>43761</v>
          </cell>
          <cell r="K93" t="str">
            <v>1.3.1.2 COMERCIAL</v>
          </cell>
          <cell r="L93" t="str">
            <v>VENDEDOR(A)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1774.93</v>
          </cell>
          <cell r="S93">
            <v>1774.95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5718.91</v>
          </cell>
          <cell r="AD93">
            <v>1345.63</v>
          </cell>
          <cell r="AE93">
            <v>0</v>
          </cell>
          <cell r="AF93">
            <v>0</v>
          </cell>
          <cell r="AG93">
            <v>10614.42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10614.42</v>
          </cell>
          <cell r="BJ93">
            <v>2002.94</v>
          </cell>
          <cell r="BK93">
            <v>5061.6000000000004</v>
          </cell>
          <cell r="BL93">
            <v>707.15</v>
          </cell>
          <cell r="BM93">
            <v>2122.88</v>
          </cell>
          <cell r="BN93">
            <v>159.21</v>
          </cell>
          <cell r="BO93">
            <v>615.63</v>
          </cell>
          <cell r="BP93">
            <v>3604.87</v>
          </cell>
          <cell r="BQ93">
            <v>14219.29</v>
          </cell>
        </row>
        <row r="94">
          <cell r="A94" t="str">
            <v>PAULO DIAS CORREA</v>
          </cell>
          <cell r="B94">
            <v>46023</v>
          </cell>
          <cell r="C94" t="str">
            <v>Empregado – Geral</v>
          </cell>
          <cell r="D94" t="str">
            <v>G3S FL 05 - PRES PRUD</v>
          </cell>
          <cell r="E94" t="str">
            <v>20.947.332/0005-19</v>
          </cell>
          <cell r="F94" t="str">
            <v>LOGISTICA</v>
          </cell>
          <cell r="G94" t="str">
            <v>TRANSPORTE</v>
          </cell>
          <cell r="H94" t="str">
            <v>BRACOFER</v>
          </cell>
          <cell r="I94">
            <v>43888</v>
          </cell>
          <cell r="K94" t="str">
            <v>1.3.1.4 LOGISTICA</v>
          </cell>
          <cell r="L94" t="str">
            <v>MOTORISTA TRUCK MANTENEDOR SENIOR</v>
          </cell>
          <cell r="M94">
            <v>2700</v>
          </cell>
          <cell r="N94">
            <v>2700</v>
          </cell>
          <cell r="O94">
            <v>0</v>
          </cell>
          <cell r="P94">
            <v>2700</v>
          </cell>
          <cell r="Q94">
            <v>0</v>
          </cell>
          <cell r="R94">
            <v>0</v>
          </cell>
          <cell r="S94">
            <v>0</v>
          </cell>
          <cell r="T94">
            <v>540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135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3375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612</v>
          </cell>
          <cell r="AQ94">
            <v>0</v>
          </cell>
          <cell r="AR94">
            <v>612</v>
          </cell>
          <cell r="AS94">
            <v>0</v>
          </cell>
          <cell r="AT94">
            <v>0</v>
          </cell>
          <cell r="AU94">
            <v>0</v>
          </cell>
          <cell r="AV94">
            <v>540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4527</v>
          </cell>
          <cell r="BJ94">
            <v>1410.03</v>
          </cell>
          <cell r="BK94">
            <v>3116.97</v>
          </cell>
          <cell r="BL94">
            <v>270</v>
          </cell>
          <cell r="BM94">
            <v>675</v>
          </cell>
          <cell r="BN94">
            <v>50.62</v>
          </cell>
          <cell r="BO94">
            <v>195.75</v>
          </cell>
          <cell r="BP94">
            <v>1191.3699999999999</v>
          </cell>
          <cell r="BQ94">
            <v>5718.37</v>
          </cell>
        </row>
        <row r="95">
          <cell r="A95" t="str">
            <v>LARISSA APARECIDA LIMA QUEIROZ</v>
          </cell>
          <cell r="B95">
            <v>46023</v>
          </cell>
          <cell r="C95" t="str">
            <v>Empregado – Geral</v>
          </cell>
          <cell r="D95" t="str">
            <v>G3S FL 05 - PRES PRUD</v>
          </cell>
          <cell r="E95" t="str">
            <v>20.947.332/0005-19</v>
          </cell>
          <cell r="F95" t="str">
            <v>ADMINISTRATIVO</v>
          </cell>
          <cell r="G95" t="str">
            <v>FINANCEIRO</v>
          </cell>
          <cell r="H95" t="str">
            <v>BRACOFER</v>
          </cell>
          <cell r="I95">
            <v>44267</v>
          </cell>
          <cell r="K95" t="str">
            <v>1.3.1.1 ADMINISTRATIVO</v>
          </cell>
          <cell r="L95" t="str">
            <v>ANALISTA FINANCEIRO PLENO</v>
          </cell>
          <cell r="M95">
            <v>3180</v>
          </cell>
          <cell r="N95">
            <v>1802</v>
          </cell>
          <cell r="O95">
            <v>954</v>
          </cell>
          <cell r="P95">
            <v>2756</v>
          </cell>
          <cell r="Q95">
            <v>0</v>
          </cell>
          <cell r="R95">
            <v>621.58000000000004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90.1</v>
          </cell>
          <cell r="AG95">
            <v>3467.68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3467.68</v>
          </cell>
          <cell r="BJ95">
            <v>1671.79</v>
          </cell>
          <cell r="BK95">
            <v>1174.31</v>
          </cell>
          <cell r="BL95">
            <v>277.41000000000003</v>
          </cell>
          <cell r="BM95">
            <v>693.54</v>
          </cell>
          <cell r="BN95">
            <v>52.01</v>
          </cell>
          <cell r="BO95">
            <v>201.12</v>
          </cell>
          <cell r="BP95">
            <v>1224.08</v>
          </cell>
          <cell r="BQ95">
            <v>4691.76</v>
          </cell>
        </row>
        <row r="96">
          <cell r="A96" t="str">
            <v>ADRIANA APARECIDA GUABERTO PALANCIO</v>
          </cell>
          <cell r="B96">
            <v>46023</v>
          </cell>
          <cell r="C96" t="str">
            <v>Empregado – Geral</v>
          </cell>
          <cell r="D96" t="str">
            <v>G3S FL 05 - PRES PRUD</v>
          </cell>
          <cell r="E96" t="str">
            <v>20.947.332/0005-19</v>
          </cell>
          <cell r="F96" t="str">
            <v>ADMINISTRATIVO</v>
          </cell>
          <cell r="G96" t="str">
            <v>FINANCEIRO</v>
          </cell>
          <cell r="H96" t="str">
            <v>SELETIVA CORPORATIVO SUCATA</v>
          </cell>
          <cell r="I96">
            <v>43866</v>
          </cell>
          <cell r="K96" t="str">
            <v>1.2.1.1 APOIO</v>
          </cell>
          <cell r="L96" t="str">
            <v>ANALISTA FINANCEIRO PLENO</v>
          </cell>
          <cell r="M96">
            <v>3180</v>
          </cell>
          <cell r="N96">
            <v>1484</v>
          </cell>
          <cell r="O96">
            <v>0</v>
          </cell>
          <cell r="P96">
            <v>1484</v>
          </cell>
          <cell r="Q96">
            <v>0</v>
          </cell>
          <cell r="R96">
            <v>2363.19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3847.19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3847.19</v>
          </cell>
          <cell r="BJ96">
            <v>1392.96</v>
          </cell>
          <cell r="BK96">
            <v>91.04</v>
          </cell>
          <cell r="BL96">
            <v>307.77</v>
          </cell>
          <cell r="BM96">
            <v>769.44</v>
          </cell>
          <cell r="BN96">
            <v>57.7</v>
          </cell>
          <cell r="BO96">
            <v>223.13</v>
          </cell>
          <cell r="BP96">
            <v>1358.04</v>
          </cell>
          <cell r="BQ96">
            <v>5205.2299999999996</v>
          </cell>
        </row>
        <row r="97">
          <cell r="A97" t="str">
            <v>LUIZ CARLOS DE SOUZA</v>
          </cell>
          <cell r="B97">
            <v>46023</v>
          </cell>
          <cell r="C97" t="str">
            <v>Empregado – Geral</v>
          </cell>
          <cell r="D97" t="str">
            <v>G3S FL 05 - PRES PRUD</v>
          </cell>
          <cell r="E97" t="str">
            <v>20.947.332/0005-19</v>
          </cell>
          <cell r="F97" t="str">
            <v>OPERACIONAL</v>
          </cell>
          <cell r="G97" t="str">
            <v>PATIO</v>
          </cell>
          <cell r="H97" t="str">
            <v>BRACOFER</v>
          </cell>
          <cell r="I97">
            <v>44378</v>
          </cell>
          <cell r="K97" t="str">
            <v>1.3.1.3 OPERACIONAL</v>
          </cell>
          <cell r="L97" t="str">
            <v>AUXILIAR DE PATIO SENIOR</v>
          </cell>
          <cell r="M97">
            <v>2600</v>
          </cell>
          <cell r="N97">
            <v>866.67</v>
          </cell>
          <cell r="O97">
            <v>0</v>
          </cell>
          <cell r="P97">
            <v>866.67</v>
          </cell>
          <cell r="Q97">
            <v>0</v>
          </cell>
          <cell r="R97">
            <v>2338.84</v>
          </cell>
          <cell r="S97">
            <v>818.6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288.37</v>
          </cell>
          <cell r="AB97">
            <v>108.14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4420.62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520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4940.62</v>
          </cell>
          <cell r="BJ97">
            <v>133.11000000000001</v>
          </cell>
          <cell r="BK97">
            <v>1650.07</v>
          </cell>
          <cell r="BL97">
            <v>288.16000000000003</v>
          </cell>
          <cell r="BM97">
            <v>884.12</v>
          </cell>
          <cell r="BN97">
            <v>66.3</v>
          </cell>
          <cell r="BO97">
            <v>256.39</v>
          </cell>
          <cell r="BP97">
            <v>1494.97</v>
          </cell>
          <cell r="BQ97">
            <v>6435.59</v>
          </cell>
        </row>
        <row r="98">
          <cell r="A98" t="str">
            <v>THIAGO OLIVEIRA DOS SANTOS</v>
          </cell>
          <cell r="B98">
            <v>46023</v>
          </cell>
          <cell r="C98" t="str">
            <v>Empregado – Geral</v>
          </cell>
          <cell r="D98" t="str">
            <v>G3S FL 05 - PRES PRUD</v>
          </cell>
          <cell r="E98" t="str">
            <v>20.947.332/0005-19</v>
          </cell>
          <cell r="F98" t="str">
            <v>OPERACIONAL</v>
          </cell>
          <cell r="G98" t="str">
            <v>CORTE E DOBRA</v>
          </cell>
          <cell r="H98" t="str">
            <v>BRACOFER</v>
          </cell>
          <cell r="I98">
            <v>41786</v>
          </cell>
          <cell r="K98" t="str">
            <v>1.3.1.5 CORTE E DOBRA</v>
          </cell>
          <cell r="L98" t="str">
            <v>GERENTE DE PATIO JUNIOR</v>
          </cell>
          <cell r="M98">
            <v>3056.81</v>
          </cell>
          <cell r="N98">
            <v>2037.87</v>
          </cell>
          <cell r="O98">
            <v>0</v>
          </cell>
          <cell r="P98">
            <v>2037.87</v>
          </cell>
          <cell r="Q98">
            <v>0</v>
          </cell>
          <cell r="R98">
            <v>1950.65</v>
          </cell>
          <cell r="S98">
            <v>1950.65</v>
          </cell>
          <cell r="T98">
            <v>407.57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200.08</v>
          </cell>
          <cell r="AB98">
            <v>47.08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6593.9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734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7327.9</v>
          </cell>
          <cell r="BJ98">
            <v>1533.77</v>
          </cell>
          <cell r="BK98">
            <v>1892.83</v>
          </cell>
          <cell r="BL98">
            <v>371.46</v>
          </cell>
          <cell r="BM98">
            <v>1318.78</v>
          </cell>
          <cell r="BN98">
            <v>98.9</v>
          </cell>
          <cell r="BO98">
            <v>382.44</v>
          </cell>
          <cell r="BP98">
            <v>2171.58</v>
          </cell>
          <cell r="BQ98">
            <v>9499.48</v>
          </cell>
        </row>
        <row r="99">
          <cell r="A99" t="str">
            <v>ELISMAR FERREIRA MEDEIROS</v>
          </cell>
          <cell r="B99">
            <v>46023</v>
          </cell>
          <cell r="C99" t="str">
            <v>Empregado – Geral</v>
          </cell>
          <cell r="D99" t="str">
            <v>G3S FL 05 - PRES PRUD</v>
          </cell>
          <cell r="E99" t="str">
            <v>20.947.332/0005-19</v>
          </cell>
          <cell r="F99" t="str">
            <v>OPERACIONAL</v>
          </cell>
          <cell r="G99" t="str">
            <v>PATIO</v>
          </cell>
          <cell r="H99" t="str">
            <v>BRACOFER</v>
          </cell>
          <cell r="I99">
            <v>45238</v>
          </cell>
          <cell r="K99" t="str">
            <v>1.3.1.3 OPERACIONAL</v>
          </cell>
          <cell r="L99" t="str">
            <v>AUXILIAR DE PATIO PLENO</v>
          </cell>
          <cell r="M99">
            <v>2350</v>
          </cell>
          <cell r="N99">
            <v>2350</v>
          </cell>
          <cell r="O99">
            <v>0</v>
          </cell>
          <cell r="P99">
            <v>2350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101.41</v>
          </cell>
          <cell r="AB99">
            <v>24.34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2475.75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350</v>
          </cell>
          <cell r="AQ99">
            <v>0</v>
          </cell>
          <cell r="AR99">
            <v>350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2825.75</v>
          </cell>
          <cell r="BJ99">
            <v>1170.67</v>
          </cell>
          <cell r="BK99">
            <v>1655.08</v>
          </cell>
          <cell r="BL99">
            <v>198.06</v>
          </cell>
          <cell r="BM99">
            <v>495.15</v>
          </cell>
          <cell r="BN99">
            <v>37.130000000000003</v>
          </cell>
          <cell r="BO99">
            <v>143.59</v>
          </cell>
          <cell r="BP99">
            <v>873.93</v>
          </cell>
          <cell r="BQ99">
            <v>3699.68</v>
          </cell>
        </row>
        <row r="100">
          <cell r="A100" t="str">
            <v>DIEGO LEANDRO DE OLIVEIRA</v>
          </cell>
          <cell r="B100">
            <v>46023</v>
          </cell>
          <cell r="C100" t="str">
            <v>Empregado – Geral</v>
          </cell>
          <cell r="D100" t="str">
            <v>G3S FL 05 - PRES PRUD</v>
          </cell>
          <cell r="E100" t="str">
            <v>20.947.332/0005-19</v>
          </cell>
          <cell r="F100" t="str">
            <v>OPERACIONAL</v>
          </cell>
          <cell r="G100" t="str">
            <v>CORTE E DOBRA</v>
          </cell>
          <cell r="H100" t="str">
            <v>BRACOFER</v>
          </cell>
          <cell r="I100">
            <v>45021</v>
          </cell>
          <cell r="K100" t="str">
            <v>1.3.1.5 CORTE E DOBRA</v>
          </cell>
          <cell r="L100" t="str">
            <v>AUXILIAR DE PATIO PLENO</v>
          </cell>
          <cell r="M100">
            <v>2350</v>
          </cell>
          <cell r="N100">
            <v>783.33</v>
          </cell>
          <cell r="O100">
            <v>0</v>
          </cell>
          <cell r="P100">
            <v>783.33</v>
          </cell>
          <cell r="Q100">
            <v>0</v>
          </cell>
          <cell r="R100">
            <v>2569.61</v>
          </cell>
          <cell r="S100">
            <v>899.37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4252.3100000000004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350</v>
          </cell>
          <cell r="AQ100">
            <v>0</v>
          </cell>
          <cell r="AR100">
            <v>350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470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5072.3100000000004</v>
          </cell>
          <cell r="BJ100">
            <v>82.45</v>
          </cell>
          <cell r="BK100">
            <v>1520.88</v>
          </cell>
          <cell r="BL100">
            <v>268.23</v>
          </cell>
          <cell r="BM100">
            <v>850.46</v>
          </cell>
          <cell r="BN100">
            <v>63.78</v>
          </cell>
          <cell r="BO100">
            <v>246.63</v>
          </cell>
          <cell r="BP100">
            <v>1429.1</v>
          </cell>
          <cell r="BQ100">
            <v>6501.41</v>
          </cell>
        </row>
        <row r="101">
          <cell r="A101" t="str">
            <v>LUIS AUGUSTO DUARTE SILVA</v>
          </cell>
          <cell r="B101">
            <v>46023</v>
          </cell>
          <cell r="C101" t="str">
            <v>Empregado – Geral</v>
          </cell>
          <cell r="D101" t="str">
            <v>G3S FL 05 - PRES PRUD</v>
          </cell>
          <cell r="E101" t="str">
            <v>20.947.332/0005-19</v>
          </cell>
          <cell r="F101" t="str">
            <v>COMERCIAL</v>
          </cell>
          <cell r="G101" t="str">
            <v>VENDAS</v>
          </cell>
          <cell r="H101" t="str">
            <v>BRACOFER</v>
          </cell>
          <cell r="I101">
            <v>45671</v>
          </cell>
          <cell r="K101" t="str">
            <v>1.3.1.2 COMERCIAL</v>
          </cell>
          <cell r="L101" t="str">
            <v>VENDEDOR(A)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3064.08</v>
          </cell>
          <cell r="AD101">
            <v>735.38</v>
          </cell>
          <cell r="AE101">
            <v>0</v>
          </cell>
          <cell r="AF101">
            <v>0</v>
          </cell>
          <cell r="AG101">
            <v>3799.46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3799.46</v>
          </cell>
          <cell r="BJ101">
            <v>2125.83</v>
          </cell>
          <cell r="BK101">
            <v>1673.63</v>
          </cell>
          <cell r="BL101">
            <v>303.95</v>
          </cell>
          <cell r="BM101">
            <v>759.89</v>
          </cell>
          <cell r="BN101">
            <v>56.99</v>
          </cell>
          <cell r="BO101">
            <v>220.36</v>
          </cell>
          <cell r="BP101">
            <v>1341.19</v>
          </cell>
          <cell r="BQ101">
            <v>5140.6499999999996</v>
          </cell>
        </row>
        <row r="102">
          <cell r="A102" t="str">
            <v>MARCOS ROBERTO DA SILVA MARTINS</v>
          </cell>
          <cell r="B102">
            <v>46023</v>
          </cell>
          <cell r="C102" t="str">
            <v>Empregado – Geral</v>
          </cell>
          <cell r="D102" t="str">
            <v>G3S FL 05 - PRES PRUD</v>
          </cell>
          <cell r="E102" t="str">
            <v>20.947.332/0005-19</v>
          </cell>
          <cell r="F102" t="str">
            <v>LOGISTICA</v>
          </cell>
          <cell r="G102" t="str">
            <v>TRANSPORTE</v>
          </cell>
          <cell r="H102" t="str">
            <v>BRACOFER</v>
          </cell>
          <cell r="I102">
            <v>45701</v>
          </cell>
          <cell r="K102" t="str">
            <v>1.3.1.4 LOGISTICA</v>
          </cell>
          <cell r="L102" t="str">
            <v>MOTORISTA TRUCK MANTENEDOR JUNIOR</v>
          </cell>
          <cell r="M102">
            <v>2308.81</v>
          </cell>
          <cell r="N102">
            <v>2000.97</v>
          </cell>
          <cell r="O102">
            <v>0</v>
          </cell>
          <cell r="P102">
            <v>2000.97</v>
          </cell>
          <cell r="Q102">
            <v>0</v>
          </cell>
          <cell r="R102">
            <v>518.32000000000005</v>
          </cell>
          <cell r="S102">
            <v>0</v>
          </cell>
          <cell r="T102">
            <v>400.19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302.87</v>
          </cell>
          <cell r="AB102">
            <v>52.67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3275.02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60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3335.02</v>
          </cell>
          <cell r="BJ102">
            <v>1936.87</v>
          </cell>
          <cell r="BK102">
            <v>879.83</v>
          </cell>
          <cell r="BL102">
            <v>262</v>
          </cell>
          <cell r="BM102">
            <v>655</v>
          </cell>
          <cell r="BN102">
            <v>49.12</v>
          </cell>
          <cell r="BO102">
            <v>189.95</v>
          </cell>
          <cell r="BP102">
            <v>1156.07</v>
          </cell>
          <cell r="BQ102">
            <v>4491.09</v>
          </cell>
        </row>
        <row r="103">
          <cell r="A103" t="str">
            <v>THAYNA RANI FERNANDES ALMEIDA</v>
          </cell>
          <cell r="B103">
            <v>46023</v>
          </cell>
          <cell r="C103" t="str">
            <v>Empregado – Geral</v>
          </cell>
          <cell r="D103" t="str">
            <v>G3S FL 05 - PRES PRUD</v>
          </cell>
          <cell r="E103" t="str">
            <v>20.947.332/0005-19</v>
          </cell>
          <cell r="F103" t="str">
            <v>ADMINISTRATIVO</v>
          </cell>
          <cell r="G103" t="str">
            <v>CONTABILIDADE</v>
          </cell>
          <cell r="H103" t="str">
            <v>BRACOFER</v>
          </cell>
          <cell r="I103">
            <v>44980</v>
          </cell>
          <cell r="K103" t="str">
            <v>1.3.1.1 ADMINISTRATIVO</v>
          </cell>
          <cell r="L103" t="str">
            <v>ANALISTA CONTABIL PLENO</v>
          </cell>
          <cell r="M103">
            <v>3180</v>
          </cell>
          <cell r="N103">
            <v>2756</v>
          </cell>
          <cell r="O103">
            <v>0</v>
          </cell>
          <cell r="P103">
            <v>2756</v>
          </cell>
          <cell r="Q103">
            <v>0</v>
          </cell>
          <cell r="R103">
            <v>574.53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3330.53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3330.53</v>
          </cell>
          <cell r="BJ103">
            <v>243.05</v>
          </cell>
          <cell r="BK103">
            <v>2512.9499999999998</v>
          </cell>
          <cell r="BL103">
            <v>266.44</v>
          </cell>
          <cell r="BM103">
            <v>666.11</v>
          </cell>
          <cell r="BN103">
            <v>49.95</v>
          </cell>
          <cell r="BO103">
            <v>193.17</v>
          </cell>
          <cell r="BP103">
            <v>1175.67</v>
          </cell>
          <cell r="BQ103">
            <v>4506.2</v>
          </cell>
        </row>
        <row r="104">
          <cell r="A104" t="str">
            <v>BRUNO RUANI SCARFONI</v>
          </cell>
          <cell r="B104">
            <v>46023</v>
          </cell>
          <cell r="C104" t="str">
            <v>Empregado – Geral</v>
          </cell>
          <cell r="D104" t="str">
            <v>G3S FL 05 - PRES PRUD</v>
          </cell>
          <cell r="E104" t="str">
            <v>20.947.332/0005-19</v>
          </cell>
          <cell r="F104" t="str">
            <v>OPERACIONAL</v>
          </cell>
          <cell r="G104" t="str">
            <v>CORTE E DOBRA</v>
          </cell>
          <cell r="H104" t="str">
            <v>BRACOFER</v>
          </cell>
          <cell r="I104">
            <v>45831</v>
          </cell>
          <cell r="J104">
            <v>46053</v>
          </cell>
          <cell r="K104" t="str">
            <v>1.3.1.5 CORTE E DOBRA</v>
          </cell>
          <cell r="L104" t="str">
            <v>AUXILIAR DE PATIO JUNIOR</v>
          </cell>
          <cell r="M104">
            <v>2155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350</v>
          </cell>
          <cell r="AQ104">
            <v>0</v>
          </cell>
          <cell r="AR104">
            <v>350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3428.04</v>
          </cell>
          <cell r="BG104">
            <v>264.56</v>
          </cell>
          <cell r="BH104">
            <v>3692.6</v>
          </cell>
          <cell r="BI104">
            <v>350</v>
          </cell>
          <cell r="BJ104">
            <v>4501.6400000000003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350</v>
          </cell>
        </row>
        <row r="105">
          <cell r="A105" t="str">
            <v>LUIS HENRIQUE SEMENSATO</v>
          </cell>
          <cell r="B105">
            <v>46023</v>
          </cell>
          <cell r="C105" t="str">
            <v>Empregado – Geral</v>
          </cell>
          <cell r="D105" t="str">
            <v>G3S FL 05 - PRES PRUD</v>
          </cell>
          <cell r="E105" t="str">
            <v>20.947.332/0005-19</v>
          </cell>
          <cell r="F105" t="str">
            <v>OPERACIONAL</v>
          </cell>
          <cell r="G105" t="str">
            <v>CORTE E DOBRA</v>
          </cell>
          <cell r="H105" t="str">
            <v>BRACOFER</v>
          </cell>
          <cell r="I105">
            <v>45845</v>
          </cell>
          <cell r="K105" t="str">
            <v>1.3.1.5 CORTE E DOBRA</v>
          </cell>
          <cell r="L105" t="str">
            <v>AUXILIAR DE PATIO JUNIOR</v>
          </cell>
          <cell r="M105">
            <v>2155</v>
          </cell>
          <cell r="N105">
            <v>2155</v>
          </cell>
          <cell r="O105">
            <v>0</v>
          </cell>
          <cell r="P105">
            <v>2155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125.38</v>
          </cell>
          <cell r="AB105">
            <v>30.09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2310.4699999999998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350</v>
          </cell>
          <cell r="AQ105">
            <v>0</v>
          </cell>
          <cell r="AR105">
            <v>350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2660.47</v>
          </cell>
          <cell r="BJ105">
            <v>1818.72</v>
          </cell>
          <cell r="BK105">
            <v>841.75</v>
          </cell>
          <cell r="BL105">
            <v>184.83</v>
          </cell>
          <cell r="BM105">
            <v>462.09</v>
          </cell>
          <cell r="BN105">
            <v>34.65</v>
          </cell>
          <cell r="BO105">
            <v>134</v>
          </cell>
          <cell r="BP105">
            <v>815.57</v>
          </cell>
          <cell r="BQ105">
            <v>3476.04</v>
          </cell>
        </row>
        <row r="106">
          <cell r="A106" t="str">
            <v>ANDRESSA FRANCINI CRUZ DE SOUZA</v>
          </cell>
          <cell r="B106">
            <v>46023</v>
          </cell>
          <cell r="C106" t="str">
            <v>Empregado – Geral</v>
          </cell>
          <cell r="D106" t="str">
            <v>G3S FL 05 - PRES PRUD</v>
          </cell>
          <cell r="E106" t="str">
            <v>20.947.332/0005-19</v>
          </cell>
          <cell r="F106" t="str">
            <v>TRANSMOVE</v>
          </cell>
          <cell r="G106" t="str">
            <v>ADMINISTRATIVO</v>
          </cell>
          <cell r="H106" t="str">
            <v>TRANSMOVE GSL</v>
          </cell>
          <cell r="I106">
            <v>45925</v>
          </cell>
          <cell r="K106" t="str">
            <v>1.4.1.2 ADMINISTRATIVO</v>
          </cell>
          <cell r="L106" t="str">
            <v>SUPERVISOR(A) DE LOGISTICA</v>
          </cell>
          <cell r="M106">
            <v>3500</v>
          </cell>
          <cell r="N106">
            <v>3500</v>
          </cell>
          <cell r="O106">
            <v>0</v>
          </cell>
          <cell r="P106">
            <v>3500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1400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4900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100</v>
          </cell>
          <cell r="AQ106">
            <v>0</v>
          </cell>
          <cell r="AR106">
            <v>100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5000</v>
          </cell>
          <cell r="BJ106">
            <v>527.5</v>
          </cell>
          <cell r="BK106">
            <v>4472.5</v>
          </cell>
          <cell r="BL106">
            <v>392</v>
          </cell>
          <cell r="BM106">
            <v>980</v>
          </cell>
          <cell r="BN106">
            <v>73.5</v>
          </cell>
          <cell r="BO106">
            <v>284.2</v>
          </cell>
          <cell r="BP106">
            <v>1729.7</v>
          </cell>
          <cell r="BQ106">
            <v>6729.7</v>
          </cell>
        </row>
        <row r="107">
          <cell r="A107" t="str">
            <v>MURILO LIMA DE CARVALHO SILVA</v>
          </cell>
          <cell r="B107">
            <v>46023</v>
          </cell>
          <cell r="C107" t="str">
            <v>Empregado – Geral</v>
          </cell>
          <cell r="D107" t="str">
            <v>G3S FL 05 - PRES PRUD</v>
          </cell>
          <cell r="E107" t="str">
            <v>20.947.332/0005-19</v>
          </cell>
          <cell r="F107" t="str">
            <v>ADMINISTRATIVO</v>
          </cell>
          <cell r="G107" t="str">
            <v>FINANCEIRO</v>
          </cell>
          <cell r="H107" t="str">
            <v>BRACOFER</v>
          </cell>
          <cell r="I107">
            <v>45962</v>
          </cell>
          <cell r="K107" t="str">
            <v>1.3.1.1 ADMINISTRATIVO</v>
          </cell>
          <cell r="L107" t="str">
            <v>AUXILIAR FINANCEIRO</v>
          </cell>
          <cell r="M107">
            <v>2098</v>
          </cell>
          <cell r="N107">
            <v>2098</v>
          </cell>
          <cell r="O107">
            <v>0</v>
          </cell>
          <cell r="P107">
            <v>2098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2098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2098</v>
          </cell>
          <cell r="BJ107">
            <v>191.77</v>
          </cell>
          <cell r="BK107">
            <v>1906.23</v>
          </cell>
          <cell r="BL107">
            <v>167.84</v>
          </cell>
          <cell r="BM107">
            <v>419.6</v>
          </cell>
          <cell r="BN107">
            <v>31.47</v>
          </cell>
          <cell r="BO107">
            <v>121.68</v>
          </cell>
          <cell r="BP107">
            <v>740.59</v>
          </cell>
          <cell r="BQ107">
            <v>2838.59</v>
          </cell>
        </row>
        <row r="108">
          <cell r="A108" t="str">
            <v>LUIS DOUGLAS SANTOS BRAS</v>
          </cell>
          <cell r="B108">
            <v>46023</v>
          </cell>
          <cell r="C108" t="str">
            <v>Empregado – Geral</v>
          </cell>
          <cell r="D108" t="str">
            <v>G3S FL 05 - PRES PRUD</v>
          </cell>
          <cell r="E108" t="str">
            <v>20.947.332/0005-19</v>
          </cell>
          <cell r="F108" t="str">
            <v>OPERACIONAL</v>
          </cell>
          <cell r="G108" t="str">
            <v>CORTE E DOBRA</v>
          </cell>
          <cell r="H108" t="str">
            <v>BRACOFER</v>
          </cell>
          <cell r="I108">
            <v>45966</v>
          </cell>
          <cell r="K108" t="str">
            <v>1.3.1.5 CORTE E DOBRA</v>
          </cell>
          <cell r="L108" t="str">
            <v>AUXILIAR DE PATIO JUNIOR</v>
          </cell>
          <cell r="M108">
            <v>2155</v>
          </cell>
          <cell r="N108">
            <v>2155</v>
          </cell>
          <cell r="O108">
            <v>0</v>
          </cell>
          <cell r="P108">
            <v>2155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96.91</v>
          </cell>
          <cell r="AB108">
            <v>23.26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2275.17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350</v>
          </cell>
          <cell r="AQ108">
            <v>0</v>
          </cell>
          <cell r="AR108">
            <v>350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2625.17</v>
          </cell>
          <cell r="BJ108">
            <v>1072.02</v>
          </cell>
          <cell r="BK108">
            <v>1553.15</v>
          </cell>
          <cell r="BL108">
            <v>182.01</v>
          </cell>
          <cell r="BM108">
            <v>455.03</v>
          </cell>
          <cell r="BN108">
            <v>34.119999999999997</v>
          </cell>
          <cell r="BO108">
            <v>131.94999999999999</v>
          </cell>
          <cell r="BP108">
            <v>803.11</v>
          </cell>
          <cell r="BQ108">
            <v>3428.28</v>
          </cell>
        </row>
        <row r="109">
          <cell r="A109" t="str">
            <v>EDUARDO SOARES E SILVA</v>
          </cell>
          <cell r="B109">
            <v>46023</v>
          </cell>
          <cell r="C109" t="str">
            <v>Empregado – Geral</v>
          </cell>
          <cell r="D109" t="str">
            <v>G3S FL 05 - PRES PRUD</v>
          </cell>
          <cell r="E109" t="str">
            <v>20.947.332/0005-19</v>
          </cell>
          <cell r="F109" t="str">
            <v>OPERACIONAL</v>
          </cell>
          <cell r="G109" t="str">
            <v>CORTE E DOBRA</v>
          </cell>
          <cell r="H109" t="str">
            <v>BRACOFER</v>
          </cell>
          <cell r="I109">
            <v>45979</v>
          </cell>
          <cell r="K109" t="str">
            <v>1.3.1.5 CORTE E DOBRA</v>
          </cell>
          <cell r="L109" t="str">
            <v>AUXILIAR DE PATIO JUNIOR</v>
          </cell>
          <cell r="M109">
            <v>2155</v>
          </cell>
          <cell r="N109">
            <v>2155</v>
          </cell>
          <cell r="O109">
            <v>0</v>
          </cell>
          <cell r="P109">
            <v>2155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2155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350</v>
          </cell>
          <cell r="AQ109">
            <v>0</v>
          </cell>
          <cell r="AR109">
            <v>350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2505</v>
          </cell>
          <cell r="BJ109">
            <v>197.65</v>
          </cell>
          <cell r="BK109">
            <v>2307.35</v>
          </cell>
          <cell r="BL109">
            <v>172.4</v>
          </cell>
          <cell r="BM109">
            <v>431</v>
          </cell>
          <cell r="BN109">
            <v>32.32</v>
          </cell>
          <cell r="BO109">
            <v>124.99</v>
          </cell>
          <cell r="BP109">
            <v>760.71</v>
          </cell>
          <cell r="BQ109">
            <v>3265.71</v>
          </cell>
        </row>
        <row r="110">
          <cell r="A110" t="str">
            <v>JUNIOR CESAR SOARES</v>
          </cell>
          <cell r="B110">
            <v>46023</v>
          </cell>
          <cell r="C110" t="str">
            <v>Empregado – Geral</v>
          </cell>
          <cell r="D110" t="str">
            <v>G3S FL 05 - PRES PRUD</v>
          </cell>
          <cell r="E110" t="str">
            <v>20.947.332/0005-19</v>
          </cell>
          <cell r="F110" t="str">
            <v>COMERCIAL</v>
          </cell>
          <cell r="G110" t="str">
            <v>VENDAS</v>
          </cell>
          <cell r="H110" t="str">
            <v>BRACOFER</v>
          </cell>
          <cell r="I110">
            <v>46048</v>
          </cell>
          <cell r="K110" t="str">
            <v>1.3.1.2 COMERCIAL</v>
          </cell>
          <cell r="L110" t="str">
            <v>VENDEDOR INTERNO SENIOR</v>
          </cell>
          <cell r="M110">
            <v>3000</v>
          </cell>
          <cell r="N110">
            <v>600</v>
          </cell>
          <cell r="O110">
            <v>0</v>
          </cell>
          <cell r="P110">
            <v>600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600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100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700</v>
          </cell>
          <cell r="BJ110">
            <v>45</v>
          </cell>
          <cell r="BK110">
            <v>655</v>
          </cell>
          <cell r="BL110">
            <v>48</v>
          </cell>
          <cell r="BM110">
            <v>120</v>
          </cell>
          <cell r="BN110">
            <v>9</v>
          </cell>
          <cell r="BO110">
            <v>34.799999999999997</v>
          </cell>
          <cell r="BP110">
            <v>211.8</v>
          </cell>
          <cell r="BQ110">
            <v>911.8</v>
          </cell>
        </row>
        <row r="111">
          <cell r="A111" t="str">
            <v>GABRIELA BARBOSA FONTE BASSO</v>
          </cell>
          <cell r="B111">
            <v>46023</v>
          </cell>
          <cell r="C111" t="str">
            <v>Empregado – Geral</v>
          </cell>
          <cell r="D111" t="str">
            <v>G3S FL 05 - PRES PRUD</v>
          </cell>
          <cell r="E111" t="str">
            <v>20.947.332/0005-19</v>
          </cell>
          <cell r="F111" t="str">
            <v>COMERCIAL</v>
          </cell>
          <cell r="G111" t="str">
            <v>VENDAS</v>
          </cell>
          <cell r="H111" t="str">
            <v>BRACOFER</v>
          </cell>
          <cell r="I111">
            <v>46050</v>
          </cell>
          <cell r="K111" t="str">
            <v>1.3.1.2 COMERCIAL</v>
          </cell>
          <cell r="L111" t="str">
            <v>VENDEDOR INTERNO PLENO</v>
          </cell>
          <cell r="M111">
            <v>2500</v>
          </cell>
          <cell r="N111">
            <v>333.33</v>
          </cell>
          <cell r="O111">
            <v>0</v>
          </cell>
          <cell r="P111">
            <v>333.33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333.33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66.67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400</v>
          </cell>
          <cell r="BJ111">
            <v>24.99</v>
          </cell>
          <cell r="BK111">
            <v>375.01</v>
          </cell>
          <cell r="BL111">
            <v>26.66</v>
          </cell>
          <cell r="BM111">
            <v>66.67</v>
          </cell>
          <cell r="BN111">
            <v>5</v>
          </cell>
          <cell r="BO111">
            <v>19.329999999999998</v>
          </cell>
          <cell r="BP111">
            <v>117.66</v>
          </cell>
          <cell r="BQ111">
            <v>517.66</v>
          </cell>
        </row>
        <row r="112">
          <cell r="A112" t="str">
            <v>HELENA SOARES GOES DA SILVA</v>
          </cell>
          <cell r="B112">
            <v>46023</v>
          </cell>
          <cell r="C112" t="str">
            <v>Bolsista - Estagiário</v>
          </cell>
          <cell r="D112" t="str">
            <v>G3S FL 05 - PRES PRUD</v>
          </cell>
          <cell r="E112" t="str">
            <v>20.947.332/0005-19</v>
          </cell>
          <cell r="F112" t="str">
            <v>COMERCIAL</v>
          </cell>
          <cell r="G112" t="str">
            <v>COMERCIAL</v>
          </cell>
          <cell r="H112" t="str">
            <v>PILARES</v>
          </cell>
          <cell r="I112">
            <v>45663</v>
          </cell>
          <cell r="K112" t="str">
            <v>1.1.2 ADMINISTRATIVO</v>
          </cell>
          <cell r="L112" t="str">
            <v>AUXILIAR COMERCIAL - ESTAGIARIO</v>
          </cell>
          <cell r="M112">
            <v>1000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1000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1000</v>
          </cell>
          <cell r="BJ112">
            <v>0</v>
          </cell>
          <cell r="BK112">
            <v>866.67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1000</v>
          </cell>
        </row>
        <row r="113">
          <cell r="A113" t="str">
            <v>NATALIA BAROSSI TREVISAN</v>
          </cell>
          <cell r="B113">
            <v>46023</v>
          </cell>
          <cell r="C113" t="str">
            <v>Bolsista - Estagiário</v>
          </cell>
          <cell r="D113" t="str">
            <v>G3S FL 05 - PRES PRUD</v>
          </cell>
          <cell r="E113" t="str">
            <v>20.947.332/0005-19</v>
          </cell>
          <cell r="F113" t="str">
            <v>COMERCIAL</v>
          </cell>
          <cell r="G113" t="str">
            <v>COMERCIAL</v>
          </cell>
          <cell r="H113" t="str">
            <v>BRACOFER</v>
          </cell>
          <cell r="I113">
            <v>45964</v>
          </cell>
          <cell r="K113" t="str">
            <v>1.1.2 ADMINISTRATIVO</v>
          </cell>
          <cell r="L113" t="str">
            <v>AUXILIAR COMERCIAL - ESTAGIARIO</v>
          </cell>
          <cell r="M113">
            <v>1000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1000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1000</v>
          </cell>
          <cell r="BJ113">
            <v>0</v>
          </cell>
          <cell r="BK113">
            <v>1000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1000</v>
          </cell>
        </row>
        <row r="114">
          <cell r="A114" t="str">
            <v>VALTER LEITE VIEIRA</v>
          </cell>
          <cell r="B114">
            <v>46023</v>
          </cell>
          <cell r="C114" t="str">
            <v>Empregado – Geral</v>
          </cell>
          <cell r="D114" t="str">
            <v>G3S FL 06 - MARINGA</v>
          </cell>
          <cell r="E114" t="str">
            <v>20.947.332/0006-08</v>
          </cell>
          <cell r="F114" t="str">
            <v>OPERACIONAL</v>
          </cell>
          <cell r="G114" t="str">
            <v>PATIO</v>
          </cell>
          <cell r="H114" t="str">
            <v>SELETIVA MARINGA DISTRITO</v>
          </cell>
          <cell r="I114">
            <v>44067</v>
          </cell>
          <cell r="K114" t="str">
            <v>1.2.4.3 OPERACIONAL</v>
          </cell>
          <cell r="L114" t="str">
            <v>GERENTE DE PATIO SENIOR</v>
          </cell>
          <cell r="M114">
            <v>3679.83</v>
          </cell>
          <cell r="N114">
            <v>3189.19</v>
          </cell>
          <cell r="O114">
            <v>0</v>
          </cell>
          <cell r="P114">
            <v>3189.19</v>
          </cell>
          <cell r="Q114">
            <v>0</v>
          </cell>
          <cell r="R114">
            <v>1335.18</v>
          </cell>
          <cell r="S114">
            <v>0</v>
          </cell>
          <cell r="T114">
            <v>637.84</v>
          </cell>
          <cell r="U114">
            <v>0</v>
          </cell>
          <cell r="V114">
            <v>956.76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350.32</v>
          </cell>
          <cell r="AB114">
            <v>43.79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6513.08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178.07</v>
          </cell>
          <cell r="AP114">
            <v>0</v>
          </cell>
          <cell r="AQ114">
            <v>0</v>
          </cell>
          <cell r="AR114">
            <v>178.07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6691.15</v>
          </cell>
          <cell r="BJ114">
            <v>2528.08</v>
          </cell>
          <cell r="BK114">
            <v>3005.92</v>
          </cell>
          <cell r="BL114">
            <v>521.04</v>
          </cell>
          <cell r="BM114">
            <v>1302.6199999999999</v>
          </cell>
          <cell r="BN114">
            <v>97.69</v>
          </cell>
          <cell r="BO114">
            <v>377.75</v>
          </cell>
          <cell r="BP114">
            <v>2299.1</v>
          </cell>
          <cell r="BQ114">
            <v>8990.25</v>
          </cell>
        </row>
        <row r="115">
          <cell r="A115" t="str">
            <v>PATRICIA CECILIA GUIDOTTI DE FREITAS</v>
          </cell>
          <cell r="B115">
            <v>46023</v>
          </cell>
          <cell r="C115" t="str">
            <v>Empregado – Geral</v>
          </cell>
          <cell r="D115" t="str">
            <v>G3S FL 06 - MARINGA</v>
          </cell>
          <cell r="E115" t="str">
            <v>20.947.332/0006-08</v>
          </cell>
          <cell r="F115" t="str">
            <v>ADMINISTRATIVO</v>
          </cell>
          <cell r="G115" t="str">
            <v>ATENDIMENTO</v>
          </cell>
          <cell r="H115" t="str">
            <v>SELETIVA MARINGA DISTRITO</v>
          </cell>
          <cell r="I115">
            <v>45880</v>
          </cell>
          <cell r="K115" t="str">
            <v>1.2.4.1 ADMINISTRATIVO</v>
          </cell>
          <cell r="L115" t="str">
            <v>AUX ADMINISTRATIVO JUNIOR</v>
          </cell>
          <cell r="M115">
            <v>2320</v>
          </cell>
          <cell r="N115">
            <v>2010.67</v>
          </cell>
          <cell r="O115">
            <v>0</v>
          </cell>
          <cell r="P115">
            <v>2010.67</v>
          </cell>
          <cell r="Q115">
            <v>0</v>
          </cell>
          <cell r="R115">
            <v>466.88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307.11</v>
          </cell>
          <cell r="AB115">
            <v>38.39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2823.05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19.54</v>
          </cell>
          <cell r="AP115">
            <v>0</v>
          </cell>
          <cell r="AQ115">
            <v>0</v>
          </cell>
          <cell r="AR115">
            <v>19.54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2842.59</v>
          </cell>
          <cell r="BJ115">
            <v>192.79</v>
          </cell>
          <cell r="BK115">
            <v>2182.92</v>
          </cell>
          <cell r="BL115">
            <v>225.84</v>
          </cell>
          <cell r="BM115">
            <v>564.61</v>
          </cell>
          <cell r="BN115">
            <v>42.34</v>
          </cell>
          <cell r="BO115">
            <v>163.72999999999999</v>
          </cell>
          <cell r="BP115">
            <v>996.52</v>
          </cell>
          <cell r="BQ115">
            <v>3839.11</v>
          </cell>
        </row>
        <row r="116">
          <cell r="A116" t="str">
            <v>ALIFER BRENO PEREIRA ALMEIDA DE JESUS</v>
          </cell>
          <cell r="B116">
            <v>46023</v>
          </cell>
          <cell r="C116" t="str">
            <v>Empregado – Geral</v>
          </cell>
          <cell r="D116" t="str">
            <v>G3S FL 06 - MARINGA</v>
          </cell>
          <cell r="E116" t="str">
            <v>20.947.332/0006-08</v>
          </cell>
          <cell r="F116" t="str">
            <v>ADMINISTRATIVO</v>
          </cell>
          <cell r="G116" t="str">
            <v>ATENDIMENTO</v>
          </cell>
          <cell r="H116" t="str">
            <v>SELETIVA MARINGA DISTRITO</v>
          </cell>
          <cell r="I116">
            <v>46034</v>
          </cell>
          <cell r="K116" t="str">
            <v>1.2.4.1 ADMINISTRATIVO</v>
          </cell>
          <cell r="L116" t="str">
            <v>AUX ADMINISTRATIVO JUNIOR</v>
          </cell>
          <cell r="M116">
            <v>2320</v>
          </cell>
          <cell r="N116">
            <v>1546.67</v>
          </cell>
          <cell r="O116">
            <v>0</v>
          </cell>
          <cell r="P116">
            <v>1546.67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1546.67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27.43</v>
          </cell>
          <cell r="AP116">
            <v>0</v>
          </cell>
          <cell r="AQ116">
            <v>0</v>
          </cell>
          <cell r="AR116">
            <v>27.43</v>
          </cell>
          <cell r="AS116">
            <v>0</v>
          </cell>
          <cell r="AT116">
            <v>0</v>
          </cell>
          <cell r="AU116">
            <v>0</v>
          </cell>
          <cell r="AV116">
            <v>924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2498.1</v>
          </cell>
          <cell r="BJ116">
            <v>1040</v>
          </cell>
          <cell r="BK116">
            <v>1458.1</v>
          </cell>
          <cell r="BL116">
            <v>123.73</v>
          </cell>
          <cell r="BM116">
            <v>309.33</v>
          </cell>
          <cell r="BN116">
            <v>23.2</v>
          </cell>
          <cell r="BO116">
            <v>89.7</v>
          </cell>
          <cell r="BP116">
            <v>545.96</v>
          </cell>
          <cell r="BQ116">
            <v>3044.06</v>
          </cell>
        </row>
      </sheetData>
      <sheetData sheetId="1"/>
      <sheetData sheetId="2">
        <row r="1">
          <cell r="A1" t="str">
            <v>FUNCIONÁRIO</v>
          </cell>
          <cell r="B1" t="str">
            <v>COMPETÊNCIA</v>
          </cell>
          <cell r="C1" t="str">
            <v>MODALIDADE</v>
          </cell>
          <cell r="D1" t="str">
            <v>EMPRESA</v>
          </cell>
          <cell r="E1" t="str">
            <v>FILIAL</v>
          </cell>
          <cell r="F1" t="str">
            <v>EMPRESA + FILIAL</v>
          </cell>
          <cell r="G1" t="str">
            <v>CNPJ</v>
          </cell>
          <cell r="H1" t="str">
            <v>SETOR</v>
          </cell>
          <cell r="I1" t="str">
            <v>SEÇÃO</v>
          </cell>
          <cell r="J1" t="str">
            <v>TOMADOR</v>
          </cell>
          <cell r="K1" t="str">
            <v>ADMISSÃO</v>
          </cell>
          <cell r="L1" t="str">
            <v>DEMISSÃO</v>
          </cell>
          <cell r="M1" t="str">
            <v>RESPONSÁVEL</v>
          </cell>
          <cell r="N1" t="str">
            <v>CENTRO DE CUSTO</v>
          </cell>
          <cell r="O1" t="str">
            <v>FUNÇÃO</v>
          </cell>
          <cell r="P1" t="str">
            <v>SAL. BASE</v>
          </cell>
          <cell r="Q1" t="str">
            <v>SALÁRIO</v>
          </cell>
          <cell r="R1" t="str">
            <v>AUX. MATERNIDADE</v>
          </cell>
          <cell r="S1" t="str">
            <v>FÉRIAS</v>
          </cell>
          <cell r="T1" t="str">
            <v>AD. FUNÇÃO 20%</v>
          </cell>
          <cell r="U1" t="str">
            <v>AD. INSALUBRIDADE 20%</v>
          </cell>
          <cell r="V1" t="str">
            <v>AD. PERICULOSIDADE 30%</v>
          </cell>
          <cell r="W1" t="str">
            <v>GRATIFICAÇÃO 40%</v>
          </cell>
          <cell r="X1" t="str">
            <v>GRAT(ADRIANA)</v>
          </cell>
          <cell r="Y1" t="str">
            <v>BIÊNIO 5%</v>
          </cell>
          <cell r="Z1" t="str">
            <v>AD. NOTURNO 20%</v>
          </cell>
          <cell r="AA1" t="str">
            <v>HORA EXTRA</v>
          </cell>
          <cell r="AB1" t="str">
            <v>H. EXTRA DSR</v>
          </cell>
          <cell r="AC1" t="str">
            <v>COMISSÃO</v>
          </cell>
          <cell r="AD1" t="str">
            <v>COMISSÃO DSR</v>
          </cell>
          <cell r="AE1" t="str">
            <v>DIF. CONVENÇÃO</v>
          </cell>
          <cell r="AF1" t="str">
            <v>QUEBRA DE CAIXA</v>
          </cell>
          <cell r="AG1" t="str">
            <v>TOTAL EVENTOS COM IMPOSTOS</v>
          </cell>
          <cell r="AH1" t="str">
            <v>ESTAGIARIOS</v>
          </cell>
          <cell r="AI1" t="str">
            <v>AJUDA 
CUSTO VT</v>
          </cell>
          <cell r="AJ1" t="str">
            <v>CESTA BASICA DINHEIRO</v>
          </cell>
          <cell r="AK1" t="str">
            <v>CESTA BASICA PRODUTO</v>
          </cell>
          <cell r="AL1" t="str">
            <v>PRODUÇÃO FIXO</v>
          </cell>
          <cell r="AM1" t="str">
            <v>PRODUÇÃO CHECK LIST MOTORISTA</v>
          </cell>
          <cell r="AN1" t="str">
            <v>PRODUÇÃO PRENSA</v>
          </cell>
          <cell r="AO1" t="str">
            <v>CAÇAMBA/CONTAINER</v>
          </cell>
          <cell r="AP1" t="str">
            <v>PRÊMIO FIXO</v>
          </cell>
          <cell r="AQ1" t="str">
            <v>PRÊMIO OPERADORES</v>
          </cell>
          <cell r="AR1" t="str">
            <v>PRÊMIO VENDAS UNIDADES</v>
          </cell>
          <cell r="AS1" t="str">
            <v>PRÊMIO PORTA</v>
          </cell>
          <cell r="AT1" t="str">
            <v>PRÊMIO ANUÊNIO</v>
          </cell>
          <cell r="AU1" t="str">
            <v>REFEIÇÃO</v>
          </cell>
          <cell r="AV1" t="str">
            <v>DIÁRIA DIFERENCIADA</v>
          </cell>
          <cell r="AW1" t="str">
            <v>ABONO PECUNIÁRIO FÉRIAS</v>
          </cell>
          <cell r="AX1" t="str">
            <v>SALÁRIO FAMÍLIA</v>
          </cell>
          <cell r="AY1" t="str">
            <v>PLANO DE SAÚDE</v>
          </cell>
          <cell r="AZ1" t="str">
            <v>ASSISTÊNCIA SAÚDE</v>
          </cell>
          <cell r="BA1" t="str">
            <v>AJUDA DE ALUGUEL</v>
          </cell>
          <cell r="BB1" t="str">
            <v>PREMIO GRATIFICAÇÃO</v>
          </cell>
          <cell r="BC1" t="str">
            <v>TOTAL EVENTOS SEM IMPOSTOS</v>
          </cell>
          <cell r="BD1" t="str">
            <v>TOTAL BRUTO</v>
          </cell>
          <cell r="BE1" t="str">
            <v>SALÁRIO PF</v>
          </cell>
          <cell r="BF1" t="str">
            <v>TOTAL BRUTO + PF</v>
          </cell>
        </row>
        <row r="2">
          <cell r="A2" t="str">
            <v>ADEMIR DOS SANTOS</v>
          </cell>
          <cell r="B2">
            <v>46023</v>
          </cell>
          <cell r="C2" t="str">
            <v>CLT</v>
          </cell>
          <cell r="D2" t="str">
            <v>G3S FL 11 - MARINGA</v>
          </cell>
          <cell r="E2"/>
          <cell r="F2"/>
          <cell r="G2" t="str">
            <v>20.947.332/0011-67</v>
          </cell>
          <cell r="H2" t="str">
            <v>OPERACIONAL</v>
          </cell>
          <cell r="I2" t="str">
            <v>PATIO</v>
          </cell>
          <cell r="J2" t="str">
            <v>SELETIVA MARINGA CIDADE ALTA</v>
          </cell>
          <cell r="K2">
            <v>45915</v>
          </cell>
          <cell r="N2" t="str">
            <v>1.2.8.3. OPERACIONAL</v>
          </cell>
          <cell r="O2" t="str">
            <v>AUXILIAR DE PATIO SENIOR</v>
          </cell>
          <cell r="P2">
            <v>2600</v>
          </cell>
          <cell r="Q2">
            <v>2600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2600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27.43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27.43</v>
          </cell>
          <cell r="BD2">
            <v>2627.43</v>
          </cell>
          <cell r="BE2"/>
          <cell r="BF2">
            <v>2627.43</v>
          </cell>
        </row>
        <row r="3">
          <cell r="A3" t="str">
            <v>ADRIANA APARECIDA GUABERTO PALANCIO</v>
          </cell>
          <cell r="B3">
            <v>46023</v>
          </cell>
          <cell r="C3" t="str">
            <v>CLT</v>
          </cell>
          <cell r="D3" t="str">
            <v>G3S FL 05 - PRES PRUD</v>
          </cell>
          <cell r="E3"/>
          <cell r="F3"/>
          <cell r="G3" t="str">
            <v>20.947.332/0005-19</v>
          </cell>
          <cell r="H3" t="str">
            <v>ADMINISTRATIVO</v>
          </cell>
          <cell r="I3" t="str">
            <v>FINANCEIRO</v>
          </cell>
          <cell r="J3" t="str">
            <v>SELETIVA CORPORATIVO SUCATA</v>
          </cell>
          <cell r="K3">
            <v>43866</v>
          </cell>
          <cell r="N3" t="str">
            <v>1.2.1.1 APOIO</v>
          </cell>
          <cell r="O3" t="str">
            <v>ANALISTA FINANCEIRO PLENO</v>
          </cell>
          <cell r="P3">
            <v>3180</v>
          </cell>
          <cell r="Q3">
            <v>1484</v>
          </cell>
          <cell r="R3">
            <v>0</v>
          </cell>
          <cell r="S3">
            <v>2363.19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3847.19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3847.19</v>
          </cell>
          <cell r="BE3"/>
          <cell r="BF3">
            <v>3847.19</v>
          </cell>
        </row>
        <row r="4">
          <cell r="A4" t="str">
            <v>ADRIANA CANDIDO FIGUEIREDO</v>
          </cell>
          <cell r="B4">
            <v>46023</v>
          </cell>
          <cell r="C4" t="str">
            <v>CLT</v>
          </cell>
          <cell r="D4" t="str">
            <v>G3S FL 10 - PRES PRUD</v>
          </cell>
          <cell r="E4"/>
          <cell r="F4"/>
          <cell r="G4" t="str">
            <v>20.947.332/0010-86</v>
          </cell>
          <cell r="H4" t="str">
            <v>GESTÃO DE GENTE</v>
          </cell>
          <cell r="I4" t="str">
            <v>DEPTO PESSOAL</v>
          </cell>
          <cell r="J4" t="str">
            <v>PILARES</v>
          </cell>
          <cell r="K4">
            <v>43692</v>
          </cell>
          <cell r="N4" t="str">
            <v>1.1.10 PESSOAS</v>
          </cell>
          <cell r="O4" t="str">
            <v>ANALISTA DE DEPTO PESSOAL</v>
          </cell>
          <cell r="P4">
            <v>4300</v>
          </cell>
          <cell r="Q4">
            <v>4300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4300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4300</v>
          </cell>
          <cell r="BE4"/>
          <cell r="BF4">
            <v>4300</v>
          </cell>
        </row>
        <row r="5">
          <cell r="A5" t="str">
            <v>ADRIANA REGINA NOGUEIRA DOS SANTOS</v>
          </cell>
          <cell r="B5">
            <v>46023</v>
          </cell>
          <cell r="C5" t="str">
            <v>PJ</v>
          </cell>
          <cell r="D5" t="str">
            <v>G3S FL 10 - PRES PRUD</v>
          </cell>
          <cell r="E5">
            <v>4</v>
          </cell>
          <cell r="F5"/>
          <cell r="G5" t="str">
            <v>CONTRATO PJ</v>
          </cell>
          <cell r="H5" t="str">
            <v>PILARES</v>
          </cell>
          <cell r="I5" t="str">
            <v>FINANCEIRO</v>
          </cell>
          <cell r="J5" t="str">
            <v>PILARES</v>
          </cell>
          <cell r="K5"/>
          <cell r="M5" t="str">
            <v>HUGO</v>
          </cell>
          <cell r="N5" t="str">
            <v>1.1.3 FINANCEIRO</v>
          </cell>
          <cell r="O5" t="str">
            <v>SUPERVISOR(A) FINANCEIRO</v>
          </cell>
          <cell r="P5">
            <v>8800</v>
          </cell>
          <cell r="Q5">
            <v>8800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8800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8800</v>
          </cell>
          <cell r="BE5"/>
          <cell r="BF5">
            <v>8800</v>
          </cell>
        </row>
        <row r="6">
          <cell r="A6" t="str">
            <v>ALEKSANDER APARECIDO GONÇALVES DA SILVA</v>
          </cell>
          <cell r="B6">
            <v>46023</v>
          </cell>
          <cell r="C6" t="str">
            <v>CLT</v>
          </cell>
          <cell r="D6" t="str">
            <v>G3S FL 11 - MARINGA</v>
          </cell>
          <cell r="E6"/>
          <cell r="F6"/>
          <cell r="G6" t="str">
            <v>20.947.332/0011-67</v>
          </cell>
          <cell r="H6" t="str">
            <v>OPERACIONAL</v>
          </cell>
          <cell r="I6" t="str">
            <v>PATIO</v>
          </cell>
          <cell r="J6" t="str">
            <v>SELETIVA MARINGA DISTRITO</v>
          </cell>
          <cell r="K6">
            <v>46050</v>
          </cell>
          <cell r="N6" t="str">
            <v>1.2.8.3. OPERACIONAL</v>
          </cell>
          <cell r="O6" t="str">
            <v>GERENTE DE PATIO SENIOR</v>
          </cell>
          <cell r="P6">
            <v>3679.83</v>
          </cell>
          <cell r="Q6">
            <v>490.64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147.19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637.82999999999993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9.01</v>
          </cell>
          <cell r="AY6">
            <v>0</v>
          </cell>
          <cell r="AZ6">
            <v>3</v>
          </cell>
          <cell r="BA6">
            <v>0</v>
          </cell>
          <cell r="BB6">
            <v>0</v>
          </cell>
          <cell r="BC6">
            <v>12.01</v>
          </cell>
          <cell r="BD6">
            <v>649.83999999999992</v>
          </cell>
          <cell r="BE6"/>
          <cell r="BF6">
            <v>649.83999999999992</v>
          </cell>
        </row>
        <row r="7">
          <cell r="A7" t="str">
            <v>ALESSANDRA ARAUJO MOURA</v>
          </cell>
          <cell r="B7">
            <v>46023</v>
          </cell>
          <cell r="C7" t="str">
            <v>CLT</v>
          </cell>
          <cell r="D7" t="str">
            <v>G3S  FL 04 - PRES PRUD</v>
          </cell>
          <cell r="E7"/>
          <cell r="F7"/>
          <cell r="G7" t="str">
            <v>20.947.332/0004-38</v>
          </cell>
          <cell r="H7" t="str">
            <v>ADMINISTRATIVO</v>
          </cell>
          <cell r="I7" t="str">
            <v>ATENDIMENTO</v>
          </cell>
          <cell r="J7" t="str">
            <v>SELETIVA CORPORATIVO SUCATA</v>
          </cell>
          <cell r="K7">
            <v>44783</v>
          </cell>
          <cell r="N7" t="str">
            <v>1.2.1.1 APOIO</v>
          </cell>
          <cell r="O7" t="str">
            <v>SUPERVISOR(A) ADMINISTRATIVO(A)</v>
          </cell>
          <cell r="P7">
            <v>3392</v>
          </cell>
          <cell r="Q7">
            <v>2939.73</v>
          </cell>
          <cell r="R7">
            <v>0</v>
          </cell>
          <cell r="S7">
            <v>844.23</v>
          </cell>
          <cell r="T7">
            <v>0</v>
          </cell>
          <cell r="U7">
            <v>0</v>
          </cell>
          <cell r="V7">
            <v>0</v>
          </cell>
          <cell r="W7">
            <v>1175.8900000000001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4959.8500000000004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285.83999999999997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285.83999999999997</v>
          </cell>
          <cell r="BD7">
            <v>5245.6900000000005</v>
          </cell>
          <cell r="BE7"/>
          <cell r="BF7">
            <v>5245.6900000000005</v>
          </cell>
        </row>
        <row r="8">
          <cell r="A8" t="str">
            <v>ALEXANDRO JUNIOR ROSANI DETONI</v>
          </cell>
          <cell r="B8">
            <v>46023</v>
          </cell>
          <cell r="C8" t="str">
            <v>CLT</v>
          </cell>
          <cell r="D8" t="str">
            <v>G S FL 04 - MARINGA</v>
          </cell>
          <cell r="E8"/>
          <cell r="F8"/>
          <cell r="G8" t="str">
            <v>20.504.237/0004-60</v>
          </cell>
          <cell r="H8" t="str">
            <v>OPERACIONAL</v>
          </cell>
          <cell r="I8" t="str">
            <v>PATIO</v>
          </cell>
          <cell r="J8" t="str">
            <v>SELETIVA MARINGA DISTRITO</v>
          </cell>
          <cell r="K8">
            <v>45966</v>
          </cell>
          <cell r="L8">
            <v>46037</v>
          </cell>
          <cell r="N8" t="str">
            <v>1.2.8.3. OPERACIONAL</v>
          </cell>
          <cell r="O8" t="str">
            <v>OPERADOR MANTENEDOR PLENO</v>
          </cell>
          <cell r="P8">
            <v>2816.11</v>
          </cell>
          <cell r="Q8">
            <v>0</v>
          </cell>
          <cell r="R8">
            <v>0</v>
          </cell>
          <cell r="S8">
            <v>619.04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4.82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623.86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23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33.770000000000003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56.77</v>
          </cell>
          <cell r="BD8">
            <v>680.63</v>
          </cell>
          <cell r="BE8"/>
          <cell r="BF8">
            <v>680.63</v>
          </cell>
        </row>
        <row r="9">
          <cell r="A9" t="str">
            <v>ALIFER BRENO PEREIRA ALMEIDA DE JESUS</v>
          </cell>
          <cell r="B9">
            <v>46023</v>
          </cell>
          <cell r="C9" t="str">
            <v>CLT</v>
          </cell>
          <cell r="D9" t="str">
            <v>G3S FL 06 - MARINGA</v>
          </cell>
          <cell r="E9"/>
          <cell r="F9"/>
          <cell r="G9" t="str">
            <v>20.947.332/0006-08</v>
          </cell>
          <cell r="H9" t="str">
            <v>ADMINISTRATIVO</v>
          </cell>
          <cell r="I9" t="str">
            <v>ATENDIMENTO</v>
          </cell>
          <cell r="J9" t="str">
            <v>SELETIVA MARINGA DISTRITO</v>
          </cell>
          <cell r="K9">
            <v>46034</v>
          </cell>
          <cell r="N9" t="str">
            <v>1.2.4.1 ADMINISTRATIVO</v>
          </cell>
          <cell r="O9" t="str">
            <v>AUX ADMINISTRATIVO JUNIOR</v>
          </cell>
          <cell r="P9">
            <v>2320</v>
          </cell>
          <cell r="Q9">
            <v>1546.67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1546.67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27.43</v>
          </cell>
          <cell r="AS9">
            <v>0</v>
          </cell>
          <cell r="AT9">
            <v>0</v>
          </cell>
          <cell r="AU9">
            <v>924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7</v>
          </cell>
          <cell r="BA9">
            <v>0</v>
          </cell>
          <cell r="BB9">
            <v>0</v>
          </cell>
          <cell r="BC9">
            <v>958.43</v>
          </cell>
          <cell r="BD9">
            <v>2505.1</v>
          </cell>
          <cell r="BE9"/>
          <cell r="BF9">
            <v>2505.1</v>
          </cell>
        </row>
        <row r="10">
          <cell r="A10" t="str">
            <v>AMANDA DE OLIVEIRA VINCO</v>
          </cell>
          <cell r="B10">
            <v>46023</v>
          </cell>
          <cell r="C10" t="str">
            <v>CLT</v>
          </cell>
          <cell r="D10" t="str">
            <v>G3S FL 10 - PRES PRUD</v>
          </cell>
          <cell r="G10" t="str">
            <v>20.947.332/0010-86</v>
          </cell>
          <cell r="H10" t="str">
            <v>ADMINISTRATIVO</v>
          </cell>
          <cell r="I10" t="str">
            <v>CONTABILIDADE</v>
          </cell>
          <cell r="J10" t="str">
            <v>PILARES</v>
          </cell>
          <cell r="K10">
            <v>45552</v>
          </cell>
          <cell r="L10"/>
          <cell r="M10"/>
          <cell r="N10" t="str">
            <v>1.1.4 CONTABILIDADE/FISCAL</v>
          </cell>
          <cell r="O10" t="str">
            <v>ANALISTA CONTABIL JUNIOR</v>
          </cell>
          <cell r="P10">
            <v>2500</v>
          </cell>
          <cell r="Q10">
            <v>2000</v>
          </cell>
          <cell r="R10">
            <v>0</v>
          </cell>
          <cell r="S10">
            <v>666.67</v>
          </cell>
          <cell r="T10">
            <v>1111.1099999999999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3777.7799999999997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1111.1099999999999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83.33</v>
          </cell>
          <cell r="BC10">
            <v>1194.4399999999998</v>
          </cell>
          <cell r="BD10">
            <v>4972.2199999999993</v>
          </cell>
          <cell r="BE10"/>
          <cell r="BF10">
            <v>4972.2199999999993</v>
          </cell>
        </row>
        <row r="11">
          <cell r="A11" t="str">
            <v>ANDERSON ZANUTO</v>
          </cell>
          <cell r="B11">
            <v>46023</v>
          </cell>
          <cell r="C11" t="str">
            <v>PJ</v>
          </cell>
          <cell r="D11" t="str">
            <v>G3S FL 05 - PRES PRUD</v>
          </cell>
          <cell r="E11">
            <v>5</v>
          </cell>
          <cell r="F11"/>
          <cell r="G11" t="str">
            <v>CONTRATO PJ</v>
          </cell>
          <cell r="H11" t="str">
            <v>BRACOFER</v>
          </cell>
          <cell r="I11" t="str">
            <v>GERENCIA</v>
          </cell>
          <cell r="J11" t="str">
            <v>BRACOFER</v>
          </cell>
          <cell r="K11"/>
          <cell r="M11" t="str">
            <v>MARCONDES</v>
          </cell>
          <cell r="N11" t="str">
            <v>1.3.1.1 ADMINISTRATIVO</v>
          </cell>
          <cell r="O11" t="str">
            <v>GERENTE COMERCIAL</v>
          </cell>
          <cell r="P11">
            <v>9500</v>
          </cell>
          <cell r="Q11">
            <v>9500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9500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9500</v>
          </cell>
          <cell r="BE11"/>
          <cell r="BF11">
            <v>9500</v>
          </cell>
        </row>
        <row r="12">
          <cell r="A12" t="str">
            <v>ANDRESSA FRANCINI CRUZ DE SOUZA</v>
          </cell>
          <cell r="B12">
            <v>46023</v>
          </cell>
          <cell r="C12" t="str">
            <v>CLT</v>
          </cell>
          <cell r="D12" t="str">
            <v>G3S FL 05 - PRES PRUD</v>
          </cell>
          <cell r="E12"/>
          <cell r="F12"/>
          <cell r="G12" t="str">
            <v>20.947.332/0005-19</v>
          </cell>
          <cell r="H12" t="str">
            <v>TRANSMOVE</v>
          </cell>
          <cell r="I12" t="str">
            <v>ADMINISTRATIVO</v>
          </cell>
          <cell r="J12" t="str">
            <v>TRANSMOVE GSL</v>
          </cell>
          <cell r="K12">
            <v>45925</v>
          </cell>
          <cell r="N12" t="str">
            <v>1.4.1.2 ADMINISTRATIVO</v>
          </cell>
          <cell r="O12" t="str">
            <v>SUPERVISOR(A) DE LOGISTICA</v>
          </cell>
          <cell r="P12">
            <v>3500</v>
          </cell>
          <cell r="Q12">
            <v>3500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1400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4900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100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100</v>
          </cell>
          <cell r="BD12">
            <v>5000</v>
          </cell>
          <cell r="BE12"/>
          <cell r="BF12">
            <v>5000</v>
          </cell>
        </row>
        <row r="13">
          <cell r="A13" t="str">
            <v>ANDRESSA MEIRIELLE DE OLIVEIRA TOKAWA</v>
          </cell>
          <cell r="B13">
            <v>46023</v>
          </cell>
          <cell r="C13" t="str">
            <v>CLT</v>
          </cell>
          <cell r="D13" t="str">
            <v>G3S  FL 04 - PRES PRUD</v>
          </cell>
          <cell r="E13"/>
          <cell r="F13"/>
          <cell r="G13" t="str">
            <v>20.947.332/0004-38</v>
          </cell>
          <cell r="H13" t="str">
            <v>ADMINISTRATIVO</v>
          </cell>
          <cell r="I13" t="str">
            <v>ATENDIMENTO</v>
          </cell>
          <cell r="J13" t="str">
            <v>SELETIVA PRESIDENTE PRUDENTE</v>
          </cell>
          <cell r="K13">
            <v>44635</v>
          </cell>
          <cell r="N13" t="str">
            <v>1.2.5.1 ADMINISTRATIVO</v>
          </cell>
          <cell r="O13" t="str">
            <v>AUX ADMINISTRATIVO JUNIOR</v>
          </cell>
          <cell r="P13">
            <v>2459.1999999999998</v>
          </cell>
          <cell r="Q13">
            <v>2131.3000000000002</v>
          </cell>
          <cell r="R13">
            <v>0</v>
          </cell>
          <cell r="S13">
            <v>522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13.19</v>
          </cell>
          <cell r="AC13">
            <v>0</v>
          </cell>
          <cell r="AD13">
            <v>0</v>
          </cell>
          <cell r="AE13">
            <v>0</v>
          </cell>
          <cell r="AF13">
            <v>155.75</v>
          </cell>
          <cell r="AG13">
            <v>2822.2400000000002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285.83999999999997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285.83999999999997</v>
          </cell>
          <cell r="BD13">
            <v>3108.0800000000004</v>
          </cell>
          <cell r="BE13"/>
          <cell r="BF13">
            <v>3108.0800000000004</v>
          </cell>
        </row>
        <row r="14">
          <cell r="A14" t="str">
            <v>ANTONIO ANACLETO DE OLIVEIRA</v>
          </cell>
          <cell r="B14">
            <v>46023</v>
          </cell>
          <cell r="C14" t="str">
            <v>CLT</v>
          </cell>
          <cell r="D14" t="str">
            <v>G3S  FL 04 - PRES PRUD</v>
          </cell>
          <cell r="E14"/>
          <cell r="F14"/>
          <cell r="G14" t="str">
            <v>20.947.332/0004-38</v>
          </cell>
          <cell r="H14" t="str">
            <v>OPERACIONAL</v>
          </cell>
          <cell r="I14" t="str">
            <v>PATIO</v>
          </cell>
          <cell r="J14" t="str">
            <v>SELETIVA PRESIDENTE PRUDENTE</v>
          </cell>
          <cell r="K14">
            <v>40118</v>
          </cell>
          <cell r="N14" t="str">
            <v>1.2.5.3 OPERACIONAL</v>
          </cell>
          <cell r="O14" t="str">
            <v>AUXILIAR DE PATIO SENIOR</v>
          </cell>
          <cell r="P14">
            <v>2600</v>
          </cell>
          <cell r="Q14">
            <v>2600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2600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1078.48</v>
          </cell>
          <cell r="AQ14">
            <v>0</v>
          </cell>
          <cell r="AR14">
            <v>285.83999999999997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1364.32</v>
          </cell>
          <cell r="BD14">
            <v>3964.3199999999997</v>
          </cell>
          <cell r="BE14"/>
          <cell r="BF14">
            <v>3964.3199999999997</v>
          </cell>
        </row>
        <row r="15">
          <cell r="A15" t="str">
            <v>ANTONIO APARECIDO FAQUIANO SOBRINHO</v>
          </cell>
          <cell r="B15">
            <v>46023</v>
          </cell>
          <cell r="C15" t="str">
            <v>CLT</v>
          </cell>
          <cell r="D15" t="str">
            <v>G S FL 03 - DOURADOS</v>
          </cell>
          <cell r="E15"/>
          <cell r="F15"/>
          <cell r="G15" t="str">
            <v>20.504.237/0003-89</v>
          </cell>
          <cell r="H15" t="str">
            <v>LOGISTICA</v>
          </cell>
          <cell r="I15" t="str">
            <v>TRANSPORTE</v>
          </cell>
          <cell r="J15" t="str">
            <v>SELETIVA DOURADOS</v>
          </cell>
          <cell r="K15">
            <v>43521</v>
          </cell>
          <cell r="N15" t="str">
            <v>1.2.2.4 LOGISTICA</v>
          </cell>
          <cell r="O15" t="str">
            <v>MOTORISTA CARRETEIRO MANTENEDOR SENIOR I</v>
          </cell>
          <cell r="P15">
            <v>2690.66</v>
          </cell>
          <cell r="Q15">
            <v>2690.66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105.56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2796.22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178.86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600</v>
          </cell>
          <cell r="AS15">
            <v>0</v>
          </cell>
          <cell r="AT15">
            <v>0</v>
          </cell>
          <cell r="AU15">
            <v>1220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1998.8600000000001</v>
          </cell>
          <cell r="BD15">
            <v>4795.08</v>
          </cell>
          <cell r="BE15"/>
          <cell r="BF15">
            <v>4795.08</v>
          </cell>
        </row>
        <row r="16">
          <cell r="A16" t="str">
            <v>ANTONIO BATISTA DA SILVA</v>
          </cell>
          <cell r="B16">
            <v>46023</v>
          </cell>
          <cell r="C16" t="str">
            <v>CLT</v>
          </cell>
          <cell r="D16" t="str">
            <v>G S FL 06 - CAMPO GRANDE</v>
          </cell>
          <cell r="E16"/>
          <cell r="F16"/>
          <cell r="G16" t="str">
            <v>20.504.237/0006-21</v>
          </cell>
          <cell r="H16" t="str">
            <v>LOGISTICA</v>
          </cell>
          <cell r="I16" t="str">
            <v>TRANSPORTE</v>
          </cell>
          <cell r="J16" t="str">
            <v>SELETIVA C GRANDE</v>
          </cell>
          <cell r="K16">
            <v>45597</v>
          </cell>
          <cell r="N16" t="str">
            <v>1.2.7.4 LOGISTICA</v>
          </cell>
          <cell r="O16" t="str">
            <v>MOTORISTA CARRETEIRO MANTENEDOR PLENO</v>
          </cell>
          <cell r="P16">
            <v>2591</v>
          </cell>
          <cell r="Q16">
            <v>2418.27</v>
          </cell>
          <cell r="R16">
            <v>0</v>
          </cell>
          <cell r="S16">
            <v>337.57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52.63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2808.4700000000003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451.22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60.56</v>
          </cell>
          <cell r="AS16">
            <v>0</v>
          </cell>
          <cell r="AT16">
            <v>0</v>
          </cell>
          <cell r="AU16">
            <v>338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849.78</v>
          </cell>
          <cell r="BD16">
            <v>3658.25</v>
          </cell>
          <cell r="BE16"/>
          <cell r="BF16">
            <v>3658.25</v>
          </cell>
        </row>
        <row r="17">
          <cell r="A17" t="str">
            <v>BEATRIZ FERREIRA DE SOUZA</v>
          </cell>
          <cell r="B17">
            <v>46023</v>
          </cell>
          <cell r="C17" t="str">
            <v>CLT</v>
          </cell>
          <cell r="D17" t="str">
            <v>G3S FL 10 - PRES PRUD</v>
          </cell>
          <cell r="E17"/>
          <cell r="F17"/>
          <cell r="G17" t="str">
            <v>20.947.332/0010-86</v>
          </cell>
          <cell r="H17" t="str">
            <v>COMERCIAL</v>
          </cell>
          <cell r="I17" t="str">
            <v>COMERCIAL</v>
          </cell>
          <cell r="J17" t="str">
            <v>SELETIVA CORPORATIVO SUCATA</v>
          </cell>
          <cell r="K17">
            <v>45628</v>
          </cell>
          <cell r="N17" t="str">
            <v>1.2.1.1 APOIO</v>
          </cell>
          <cell r="O17" t="str">
            <v>ASSISTENTE COMERCIAL</v>
          </cell>
          <cell r="P17">
            <v>2098</v>
          </cell>
          <cell r="Q17">
            <v>1818.27</v>
          </cell>
          <cell r="R17">
            <v>0</v>
          </cell>
          <cell r="S17">
            <v>388.1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2206.37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260.95999999999998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260.95999999999998</v>
          </cell>
          <cell r="BD17">
            <v>2467.33</v>
          </cell>
          <cell r="BE17"/>
          <cell r="BF17">
            <v>2467.33</v>
          </cell>
        </row>
        <row r="18">
          <cell r="A18" t="str">
            <v>BRUNO JUSTINIANO MATOS</v>
          </cell>
          <cell r="B18">
            <v>46023</v>
          </cell>
          <cell r="C18" t="str">
            <v>PJ</v>
          </cell>
          <cell r="D18" t="str">
            <v>G S FL 06 - CAMPO GRANDE</v>
          </cell>
          <cell r="E18">
            <v>6</v>
          </cell>
          <cell r="F18"/>
          <cell r="G18" t="str">
            <v>CONTRATO PJ</v>
          </cell>
          <cell r="H18" t="str">
            <v>COMERCIAL</v>
          </cell>
          <cell r="I18" t="str">
            <v>COMERCIAL</v>
          </cell>
          <cell r="J18" t="str">
            <v>SELETIVA C GRANDE</v>
          </cell>
          <cell r="K18"/>
          <cell r="M18"/>
          <cell r="N18" t="str">
            <v>1.2.7.2 COMERCIAL</v>
          </cell>
          <cell r="O18" t="str">
            <v>COMPRADOR</v>
          </cell>
          <cell r="P18">
            <v>4500</v>
          </cell>
          <cell r="Q18">
            <v>4500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4500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4500</v>
          </cell>
          <cell r="BE18"/>
          <cell r="BF18">
            <v>4500</v>
          </cell>
        </row>
        <row r="19">
          <cell r="A19" t="str">
            <v>BRUNO RUANI SCARFONI</v>
          </cell>
          <cell r="B19">
            <v>46023</v>
          </cell>
          <cell r="C19" t="str">
            <v>CLT</v>
          </cell>
          <cell r="D19" t="str">
            <v>G3S FL 05 - PRES PRUD</v>
          </cell>
          <cell r="G19" t="str">
            <v>20.947.332/0005-19</v>
          </cell>
          <cell r="H19" t="str">
            <v>OPERACIONAL</v>
          </cell>
          <cell r="I19" t="str">
            <v>CORTE E DOBRA</v>
          </cell>
          <cell r="J19" t="str">
            <v>BRACOFER</v>
          </cell>
          <cell r="K19">
            <v>45831</v>
          </cell>
          <cell r="L19">
            <v>46053</v>
          </cell>
          <cell r="M19"/>
          <cell r="N19" t="str">
            <v>1.3.1.5 CORTE E DOBRA</v>
          </cell>
          <cell r="O19" t="str">
            <v>AUXILIAR DE PATIO JUNIOR</v>
          </cell>
          <cell r="P19">
            <v>2155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350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350</v>
          </cell>
          <cell r="BD19">
            <v>350</v>
          </cell>
          <cell r="BE19"/>
          <cell r="BF19">
            <v>350</v>
          </cell>
        </row>
        <row r="20">
          <cell r="A20" t="str">
            <v>CAIO MURILO SPINDOLA DOS SANTOS</v>
          </cell>
          <cell r="B20">
            <v>46023</v>
          </cell>
          <cell r="C20" t="str">
            <v>ESTÁGIO</v>
          </cell>
          <cell r="D20" t="str">
            <v>G3S  FL 04 - PRES PRUD</v>
          </cell>
          <cell r="E20"/>
          <cell r="F20"/>
          <cell r="G20" t="str">
            <v>20.947.332/0004-38</v>
          </cell>
          <cell r="H20" t="str">
            <v>ADMINISTRATIVO</v>
          </cell>
          <cell r="I20" t="str">
            <v>ATENDIMENTO</v>
          </cell>
          <cell r="J20" t="str">
            <v>SELETIVA PRESIDENTE PRUDENTE</v>
          </cell>
          <cell r="K20">
            <v>45950</v>
          </cell>
          <cell r="N20" t="str">
            <v>1.2.5.1 ADMINISTRATIVO</v>
          </cell>
          <cell r="O20" t="str">
            <v>AUXILIAR ADMINISTRATIVO - ESTAGIARIO(A)</v>
          </cell>
          <cell r="P20">
            <v>1000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1000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1000</v>
          </cell>
          <cell r="BD20">
            <v>1000</v>
          </cell>
          <cell r="BE20"/>
          <cell r="BF20">
            <v>1000</v>
          </cell>
        </row>
        <row r="21">
          <cell r="A21" t="str">
            <v>CELIO MATEUS</v>
          </cell>
          <cell r="B21">
            <v>46023</v>
          </cell>
          <cell r="C21" t="str">
            <v>CLT</v>
          </cell>
          <cell r="D21" t="str">
            <v>G S MATRIZ - PRES PRUD</v>
          </cell>
          <cell r="E21"/>
          <cell r="F21"/>
          <cell r="G21" t="str">
            <v>20.504.237/0001-17</v>
          </cell>
          <cell r="H21" t="str">
            <v>OPERACIONAL</v>
          </cell>
          <cell r="I21" t="str">
            <v>PATIO</v>
          </cell>
          <cell r="J21" t="str">
            <v>SELETIVA PRESIDENTE PRUDENTE</v>
          </cell>
          <cell r="K21">
            <v>40269</v>
          </cell>
          <cell r="M21"/>
          <cell r="N21" t="str">
            <v>1.2.5.3 OPERACIONAL</v>
          </cell>
          <cell r="O21" t="str">
            <v>OPERADOR MANTENEDOR JR</v>
          </cell>
          <cell r="P21">
            <v>2610</v>
          </cell>
          <cell r="Q21">
            <v>2610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130.5</v>
          </cell>
          <cell r="Z21">
            <v>0</v>
          </cell>
          <cell r="AA21">
            <v>0</v>
          </cell>
          <cell r="AB21">
            <v>173.24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2913.74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285.83999999999997</v>
          </cell>
          <cell r="AS21">
            <v>0</v>
          </cell>
          <cell r="AT21">
            <v>0</v>
          </cell>
          <cell r="AU21">
            <v>1680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1965.84</v>
          </cell>
          <cell r="BD21">
            <v>4879.58</v>
          </cell>
          <cell r="BE21"/>
          <cell r="BF21">
            <v>4879.58</v>
          </cell>
        </row>
        <row r="22">
          <cell r="A22" t="str">
            <v>CRISTIANO LUCAS BACHIO</v>
          </cell>
          <cell r="B22">
            <v>46023</v>
          </cell>
          <cell r="C22" t="str">
            <v>CLT</v>
          </cell>
          <cell r="D22" t="str">
            <v>G S FL 05 - BARUERI</v>
          </cell>
          <cell r="E22"/>
          <cell r="F22"/>
          <cell r="G22" t="str">
            <v>20.504.237/0005-40</v>
          </cell>
          <cell r="H22" t="str">
            <v>OPERACIONAL</v>
          </cell>
          <cell r="I22" t="str">
            <v>TUPY/JOINVILLE - SC</v>
          </cell>
          <cell r="J22" t="str">
            <v>EKIPA LOCACOES E SERV G&amp;S</v>
          </cell>
          <cell r="K22">
            <v>45026</v>
          </cell>
          <cell r="N22" t="str">
            <v>1.7.1.8 TUPY - JOINVILLE/SC</v>
          </cell>
          <cell r="O22" t="str">
            <v>OPERADOR MANTENEDOR PLENO</v>
          </cell>
          <cell r="P22">
            <v>2816.11</v>
          </cell>
          <cell r="Q22">
            <v>2440.63</v>
          </cell>
          <cell r="R22">
            <v>0</v>
          </cell>
          <cell r="S22">
            <v>690.48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16.649999999999999</v>
          </cell>
          <cell r="AA22">
            <v>16.649999999999999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3164.4100000000003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667.8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667.8</v>
          </cell>
          <cell r="BD22">
            <v>3832.21</v>
          </cell>
          <cell r="BE22"/>
          <cell r="BF22">
            <v>3832.21</v>
          </cell>
        </row>
        <row r="23">
          <cell r="A23" t="str">
            <v>CRISTINA SUGUI</v>
          </cell>
          <cell r="B23">
            <v>46023</v>
          </cell>
          <cell r="C23" t="str">
            <v>PJ</v>
          </cell>
          <cell r="D23" t="str">
            <v>G3S FL 10 - PRES PRUD</v>
          </cell>
          <cell r="E23">
            <v>10</v>
          </cell>
          <cell r="F23"/>
          <cell r="G23" t="str">
            <v>CONTRATO PJ</v>
          </cell>
          <cell r="H23" t="str">
            <v>PILARES</v>
          </cell>
          <cell r="I23" t="str">
            <v>ADMINISTRATIVO</v>
          </cell>
          <cell r="J23" t="str">
            <v>PILARES</v>
          </cell>
          <cell r="K23"/>
          <cell r="M23" t="str">
            <v>RENATO</v>
          </cell>
          <cell r="N23" t="str">
            <v>1.1.2 ADMINISTRATIVO</v>
          </cell>
          <cell r="O23" t="str">
            <v>CONSULTOR</v>
          </cell>
          <cell r="P23">
            <v>9086.67</v>
          </cell>
          <cell r="Q23">
            <v>9086.67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9086.67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9086.67</v>
          </cell>
          <cell r="BE23"/>
          <cell r="BF23">
            <v>9086.67</v>
          </cell>
        </row>
        <row r="24">
          <cell r="A24" t="str">
            <v>DANIEL JUNIOR SANTOS</v>
          </cell>
          <cell r="B24">
            <v>46023</v>
          </cell>
          <cell r="C24" t="str">
            <v>CLT</v>
          </cell>
          <cell r="D24" t="str">
            <v>G S FL 05 - BARUERI</v>
          </cell>
          <cell r="E24"/>
          <cell r="F24"/>
          <cell r="G24" t="str">
            <v>20.504.237/0005-40</v>
          </cell>
          <cell r="H24" t="str">
            <v>OPERACIONAL</v>
          </cell>
          <cell r="I24" t="str">
            <v>RESENDE - RJ</v>
          </cell>
          <cell r="J24" t="str">
            <v>EKIPA LOCACOES E SERV G&amp;S</v>
          </cell>
          <cell r="K24">
            <v>44617</v>
          </cell>
          <cell r="N24" t="str">
            <v>1.7.1.2 ARCELOR - RESENDE/RJ</v>
          </cell>
          <cell r="O24" t="str">
            <v>MOTORISTA CARRETEIRO MANTENEDOR SENIOR III</v>
          </cell>
          <cell r="P24">
            <v>3287.33</v>
          </cell>
          <cell r="Q24">
            <v>1095.78</v>
          </cell>
          <cell r="R24">
            <v>0</v>
          </cell>
          <cell r="S24">
            <v>4762.45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55.88</v>
          </cell>
          <cell r="AA24">
            <v>55.88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5969.99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2520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2520</v>
          </cell>
          <cell r="BD24">
            <v>8489.99</v>
          </cell>
          <cell r="BE24"/>
          <cell r="BF24">
            <v>8489.99</v>
          </cell>
        </row>
        <row r="25">
          <cell r="A25" t="str">
            <v>DANIELA SANTOS MORAES</v>
          </cell>
          <cell r="B25">
            <v>46023</v>
          </cell>
          <cell r="C25" t="str">
            <v>CLT</v>
          </cell>
          <cell r="D25" t="str">
            <v>G3S FL 10 - PRES PRUD</v>
          </cell>
          <cell r="E25"/>
          <cell r="F25"/>
          <cell r="G25" t="str">
            <v>20.947.332/0010-86</v>
          </cell>
          <cell r="H25" t="str">
            <v>ADMINISTRATIVO</v>
          </cell>
          <cell r="I25" t="str">
            <v>CONTABILIDADE</v>
          </cell>
          <cell r="J25" t="str">
            <v>PILARES</v>
          </cell>
          <cell r="K25">
            <v>43678</v>
          </cell>
          <cell r="N25" t="str">
            <v>1.1.4 CONTABILIDADE/FISCAL</v>
          </cell>
          <cell r="O25" t="str">
            <v>ANALISTA CONTABIL SENIOR</v>
          </cell>
          <cell r="P25">
            <v>3500</v>
          </cell>
          <cell r="Q25">
            <v>3500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3500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100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100</v>
          </cell>
          <cell r="BD25">
            <v>3600</v>
          </cell>
          <cell r="BE25"/>
          <cell r="BF25">
            <v>3600</v>
          </cell>
        </row>
        <row r="26">
          <cell r="A26" t="str">
            <v>DIEGO LEANDRO DE OLIVEIRA</v>
          </cell>
          <cell r="B26">
            <v>46023</v>
          </cell>
          <cell r="C26" t="str">
            <v>CLT</v>
          </cell>
          <cell r="D26" t="str">
            <v>G3S FL 05 - PRES PRUD</v>
          </cell>
          <cell r="E26"/>
          <cell r="F26"/>
          <cell r="G26" t="str">
            <v>20.947.332/0005-19</v>
          </cell>
          <cell r="H26" t="str">
            <v>OPERACIONAL</v>
          </cell>
          <cell r="I26" t="str">
            <v>CORTE E DOBRA</v>
          </cell>
          <cell r="J26" t="str">
            <v>BRACOFER</v>
          </cell>
          <cell r="K26">
            <v>45021</v>
          </cell>
          <cell r="N26" t="str">
            <v>1.3.1.5 CORTE E DOBRA</v>
          </cell>
          <cell r="O26" t="str">
            <v>AUXILIAR DE PATIO PLENO</v>
          </cell>
          <cell r="P26">
            <v>2350</v>
          </cell>
          <cell r="Q26">
            <v>783.33</v>
          </cell>
          <cell r="R26">
            <v>0</v>
          </cell>
          <cell r="S26">
            <v>2569.61</v>
          </cell>
          <cell r="T26">
            <v>899.37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4252.3100000000004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350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899.37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470</v>
          </cell>
          <cell r="BC26">
            <v>1719.37</v>
          </cell>
          <cell r="BD26">
            <v>5971.68</v>
          </cell>
          <cell r="BE26"/>
          <cell r="BF26">
            <v>5971.68</v>
          </cell>
        </row>
        <row r="27">
          <cell r="A27" t="str">
            <v>DYESSILA MARY ALVES SEMPREBON FREIRE</v>
          </cell>
          <cell r="B27">
            <v>46023</v>
          </cell>
          <cell r="C27" t="str">
            <v>CLT</v>
          </cell>
          <cell r="D27" t="str">
            <v>G3S FL 11 - MARINGA</v>
          </cell>
          <cell r="E27"/>
          <cell r="F27"/>
          <cell r="G27" t="str">
            <v>20.947.332/0011-67</v>
          </cell>
          <cell r="H27" t="str">
            <v>ADMINISTRATIVO</v>
          </cell>
          <cell r="I27" t="str">
            <v>ATENDIMENTO</v>
          </cell>
          <cell r="J27" t="str">
            <v>SELETIVA MARINGA DISTRITO</v>
          </cell>
          <cell r="K27">
            <v>45323</v>
          </cell>
          <cell r="N27" t="str">
            <v>1.2.4.1 ADMINISTRATIVO</v>
          </cell>
          <cell r="O27" t="str">
            <v>AUX ADMINISTRATIVO JUNIOR</v>
          </cell>
          <cell r="P27">
            <v>2320</v>
          </cell>
          <cell r="Q27">
            <v>2165.33</v>
          </cell>
          <cell r="R27">
            <v>0</v>
          </cell>
          <cell r="S27">
            <v>223.93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24.83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2414.0899999999997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27.43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27.43</v>
          </cell>
          <cell r="BD27">
            <v>2441.5199999999995</v>
          </cell>
          <cell r="BE27"/>
          <cell r="BF27">
            <v>2441.5199999999995</v>
          </cell>
        </row>
        <row r="28">
          <cell r="A28" t="str">
            <v>EDEN RODRIGUES DE OLIVEIRA</v>
          </cell>
          <cell r="B28">
            <v>46023</v>
          </cell>
          <cell r="C28" t="str">
            <v>CLT</v>
          </cell>
          <cell r="D28" t="str">
            <v>G3S CMATRIZ - CAMPO GRANDE</v>
          </cell>
          <cell r="E28"/>
          <cell r="F28"/>
          <cell r="G28" t="str">
            <v>20.947.332/0001-95</v>
          </cell>
          <cell r="H28" t="str">
            <v>OPERACIONAL</v>
          </cell>
          <cell r="I28" t="str">
            <v>PATIO</v>
          </cell>
          <cell r="J28" t="str">
            <v>SELETIVA C GRANDE</v>
          </cell>
          <cell r="K28">
            <v>46001</v>
          </cell>
          <cell r="L28">
            <v>46048</v>
          </cell>
          <cell r="N28" t="str">
            <v>1.2.7.3 OPERACIONAL</v>
          </cell>
          <cell r="O28" t="str">
            <v>AUXILIAR DE PATIO JUNIOR</v>
          </cell>
          <cell r="P28">
            <v>2155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60.56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60.56</v>
          </cell>
          <cell r="BD28">
            <v>60.56</v>
          </cell>
          <cell r="BE28"/>
          <cell r="BF28">
            <v>60.56</v>
          </cell>
        </row>
        <row r="29">
          <cell r="A29" t="str">
            <v>EDILEUSA PEREIRA LISBOA</v>
          </cell>
          <cell r="B29">
            <v>46023</v>
          </cell>
          <cell r="C29" t="str">
            <v>CLT</v>
          </cell>
          <cell r="D29" t="str">
            <v>G S MATRIZ - PRES PRUD</v>
          </cell>
          <cell r="E29"/>
          <cell r="F29"/>
          <cell r="G29" t="str">
            <v>20.504.237/0001-17</v>
          </cell>
          <cell r="H29" t="str">
            <v>OPERACIONAL</v>
          </cell>
          <cell r="I29" t="str">
            <v>PATIO</v>
          </cell>
          <cell r="J29" t="str">
            <v>SELETIVA PRESIDENTE PRUDENTE</v>
          </cell>
          <cell r="K29">
            <v>46043</v>
          </cell>
          <cell r="N29" t="str">
            <v>1.2.5.3 OPERACIONAL</v>
          </cell>
          <cell r="O29" t="str">
            <v>OPERADOR MANTENEDOR JR</v>
          </cell>
          <cell r="P29">
            <v>2610</v>
          </cell>
          <cell r="Q29">
            <v>957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957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957</v>
          </cell>
          <cell r="BE29"/>
          <cell r="BF29">
            <v>957</v>
          </cell>
        </row>
        <row r="30">
          <cell r="A30" t="str">
            <v>EDMILSON DA COSTA LEITAO</v>
          </cell>
          <cell r="B30">
            <v>46023</v>
          </cell>
          <cell r="C30" t="str">
            <v>PJ</v>
          </cell>
          <cell r="D30" t="str">
            <v>G S FL 01 - PRUDENTE</v>
          </cell>
          <cell r="E30">
            <v>1</v>
          </cell>
          <cell r="G30" t="str">
            <v>CONTRATO PJ</v>
          </cell>
          <cell r="H30" t="str">
            <v>OPERACIONAL</v>
          </cell>
          <cell r="I30" t="str">
            <v>MANUTENCAO</v>
          </cell>
          <cell r="J30" t="str">
            <v>SELETIVA CORPORATIVO SUCATA</v>
          </cell>
          <cell r="M30" t="str">
            <v>MARCONDES</v>
          </cell>
          <cell r="N30" t="str">
            <v>1.2.1.1 APOIO</v>
          </cell>
          <cell r="O30" t="str">
            <v>ENCARREGADO MANUT MAQ E EQUIPAMENTOS</v>
          </cell>
          <cell r="P30">
            <v>8500</v>
          </cell>
          <cell r="Q30">
            <v>8500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8500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8500</v>
          </cell>
          <cell r="BE30"/>
          <cell r="BF30">
            <v>8500</v>
          </cell>
        </row>
        <row r="31">
          <cell r="A31" t="str">
            <v>EDUARDO SOARES E SILVA</v>
          </cell>
          <cell r="B31">
            <v>46023</v>
          </cell>
          <cell r="C31" t="str">
            <v>CLT</v>
          </cell>
          <cell r="D31" t="str">
            <v>G3S FL 05 - PRES PRUD</v>
          </cell>
          <cell r="E31"/>
          <cell r="F31"/>
          <cell r="G31" t="str">
            <v>20.947.332/0005-19</v>
          </cell>
          <cell r="H31" t="str">
            <v>OPERACIONAL</v>
          </cell>
          <cell r="I31" t="str">
            <v>CORTE E DOBRA</v>
          </cell>
          <cell r="J31" t="str">
            <v>BRACOFER</v>
          </cell>
          <cell r="K31">
            <v>45979</v>
          </cell>
          <cell r="N31" t="str">
            <v>1.3.1.5 CORTE E DOBRA</v>
          </cell>
          <cell r="O31" t="str">
            <v>AUXILIAR DE PATIO JUNIOR</v>
          </cell>
          <cell r="P31">
            <v>2155</v>
          </cell>
          <cell r="Q31">
            <v>2155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2155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350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350</v>
          </cell>
          <cell r="BD31">
            <v>2505</v>
          </cell>
          <cell r="BE31"/>
          <cell r="BF31">
            <v>2505</v>
          </cell>
        </row>
        <row r="32">
          <cell r="A32" t="str">
            <v>EDUARDO YUICHI CHINMEI</v>
          </cell>
          <cell r="B32">
            <v>46023</v>
          </cell>
          <cell r="C32" t="str">
            <v>CLT</v>
          </cell>
          <cell r="D32" t="str">
            <v>G3S FL 10 - PRES PRUD</v>
          </cell>
          <cell r="E32">
            <v>4</v>
          </cell>
          <cell r="F32"/>
          <cell r="G32" t="str">
            <v>20.947.332/0010-86</v>
          </cell>
          <cell r="H32" t="str">
            <v>COMERCIAL</v>
          </cell>
          <cell r="I32" t="str">
            <v>COMERCIAL</v>
          </cell>
          <cell r="J32" t="str">
            <v>SELETIVA CORPORATIVO SUCATA</v>
          </cell>
          <cell r="K32">
            <v>45748</v>
          </cell>
          <cell r="M32" t="str">
            <v>MARCONDES</v>
          </cell>
          <cell r="N32" t="str">
            <v>1.2.1.1 APOIO</v>
          </cell>
          <cell r="O32" t="str">
            <v>ASSISTENTE COMERCIAL</v>
          </cell>
          <cell r="P32">
            <v>2098</v>
          </cell>
          <cell r="Q32">
            <v>1818.26</v>
          </cell>
          <cell r="R32">
            <v>0</v>
          </cell>
          <cell r="S32">
            <v>379.3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2197.56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260.95999999999998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260.95999999999998</v>
          </cell>
          <cell r="BD32">
            <v>2458.52</v>
          </cell>
          <cell r="BE32"/>
          <cell r="BF32">
            <v>2458.52</v>
          </cell>
        </row>
        <row r="33">
          <cell r="A33" t="str">
            <v>ELAINE CRISTINA PANIZZA SILVA</v>
          </cell>
          <cell r="B33">
            <v>46023</v>
          </cell>
          <cell r="C33" t="str">
            <v>CLT</v>
          </cell>
          <cell r="D33" t="str">
            <v>G3S FL 10 - PRES PRUD</v>
          </cell>
          <cell r="E33"/>
          <cell r="F33"/>
          <cell r="G33" t="str">
            <v>20.947.332/0010-86</v>
          </cell>
          <cell r="H33" t="str">
            <v>GESTÃO DE GENTE</v>
          </cell>
          <cell r="I33" t="str">
            <v>RECURSOS HUMANOS</v>
          </cell>
          <cell r="J33" t="str">
            <v>PILARES</v>
          </cell>
          <cell r="K33">
            <v>45825</v>
          </cell>
          <cell r="N33" t="str">
            <v>1.1.9 RECURSOS HUMANOS</v>
          </cell>
          <cell r="O33" t="str">
            <v>ANALISTA DE RECURSOS HUMANOS SENIOR</v>
          </cell>
          <cell r="P33">
            <v>4000</v>
          </cell>
          <cell r="Q33">
            <v>4000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4000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4000</v>
          </cell>
          <cell r="BE33"/>
          <cell r="BF33">
            <v>4000</v>
          </cell>
        </row>
        <row r="34">
          <cell r="A34" t="str">
            <v>ELISMAR FERREIRA MEDEIROS</v>
          </cell>
          <cell r="B34">
            <v>46023</v>
          </cell>
          <cell r="C34" t="str">
            <v>CLT</v>
          </cell>
          <cell r="D34" t="str">
            <v>G3S FL 05 - PRES PRUD</v>
          </cell>
          <cell r="E34"/>
          <cell r="F34"/>
          <cell r="G34" t="str">
            <v>20.947.332/0005-19</v>
          </cell>
          <cell r="H34" t="str">
            <v>OPERACIONAL</v>
          </cell>
          <cell r="I34" t="str">
            <v>PATIO</v>
          </cell>
          <cell r="J34" t="str">
            <v>BRACOFER</v>
          </cell>
          <cell r="K34">
            <v>45238</v>
          </cell>
          <cell r="N34" t="str">
            <v>1.3.1.3 OPERACIONAL</v>
          </cell>
          <cell r="O34" t="str">
            <v>AUXILIAR DE PATIO PLENO</v>
          </cell>
          <cell r="P34">
            <v>2350</v>
          </cell>
          <cell r="Q34">
            <v>2350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24.34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2374.34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350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350</v>
          </cell>
          <cell r="BD34">
            <v>2724.34</v>
          </cell>
          <cell r="BE34"/>
          <cell r="BF34">
            <v>2724.34</v>
          </cell>
        </row>
        <row r="35">
          <cell r="A35" t="str">
            <v>ERNESTO EUGENIO DA SILVA</v>
          </cell>
          <cell r="B35">
            <v>46023</v>
          </cell>
          <cell r="C35" t="str">
            <v>CLT</v>
          </cell>
          <cell r="D35" t="str">
            <v>G S FL 03 - DOURADOS</v>
          </cell>
          <cell r="G35" t="str">
            <v>20.504.237/0003-89</v>
          </cell>
          <cell r="H35" t="str">
            <v>LOGISTICA</v>
          </cell>
          <cell r="I35" t="str">
            <v>TRANSPORTE</v>
          </cell>
          <cell r="J35" t="str">
            <v>SELETIVA DOURADOS</v>
          </cell>
          <cell r="K35">
            <v>45103</v>
          </cell>
          <cell r="L35"/>
          <cell r="M35"/>
          <cell r="N35" t="str">
            <v>1.2.2.4 LOGISTICA</v>
          </cell>
          <cell r="O35" t="str">
            <v>MOTORISTA CARRETEIRO MANTENEDOR SENIOR I</v>
          </cell>
          <cell r="P35">
            <v>2690.66</v>
          </cell>
          <cell r="Q35">
            <v>2331.91</v>
          </cell>
          <cell r="R35">
            <v>0</v>
          </cell>
          <cell r="S35">
            <v>726.35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42.71</v>
          </cell>
          <cell r="AA35">
            <v>42.71</v>
          </cell>
          <cell r="AB35">
            <v>70.45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3214.1299999999997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83.07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600</v>
          </cell>
          <cell r="AS35">
            <v>0</v>
          </cell>
          <cell r="AT35">
            <v>0</v>
          </cell>
          <cell r="AU35">
            <v>791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1474.07</v>
          </cell>
          <cell r="BD35">
            <v>4688.2</v>
          </cell>
          <cell r="BE35"/>
          <cell r="BF35">
            <v>4688.2</v>
          </cell>
        </row>
        <row r="36">
          <cell r="A36" t="str">
            <v>EVALDO JANES DE CANDIDO OLIVIERA</v>
          </cell>
          <cell r="B36">
            <v>46023</v>
          </cell>
          <cell r="C36" t="str">
            <v>PJ</v>
          </cell>
          <cell r="D36" t="str">
            <v>G S FL 05 - BARUERI</v>
          </cell>
          <cell r="E36">
            <v>5</v>
          </cell>
          <cell r="F36"/>
          <cell r="G36" t="str">
            <v>CONTRATO PJ</v>
          </cell>
          <cell r="H36" t="str">
            <v>COMERCIAL</v>
          </cell>
          <cell r="I36" t="str">
            <v>VENDAS</v>
          </cell>
          <cell r="J36" t="str">
            <v>EKIPA LOCACOES E SERV G&amp;S</v>
          </cell>
          <cell r="K36"/>
          <cell r="L36"/>
          <cell r="M36" t="str">
            <v>RENATO</v>
          </cell>
          <cell r="N36" t="str">
            <v>1.7.2.2 COMERCIAL</v>
          </cell>
          <cell r="O36" t="str">
            <v>GERENTE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/>
          <cell r="BF36">
            <v>0</v>
          </cell>
        </row>
        <row r="37">
          <cell r="A37" t="str">
            <v>EVERTON BENITES SOBRINHO</v>
          </cell>
          <cell r="B37">
            <v>46023</v>
          </cell>
          <cell r="C37" t="str">
            <v>CLT</v>
          </cell>
          <cell r="D37" t="str">
            <v>G S FL 03 - DOURADOS</v>
          </cell>
          <cell r="E37"/>
          <cell r="F37"/>
          <cell r="G37" t="str">
            <v>20.504.237/0003-89</v>
          </cell>
          <cell r="H37" t="str">
            <v>LOGISTICA</v>
          </cell>
          <cell r="I37" t="str">
            <v>TRANSPORTE</v>
          </cell>
          <cell r="J37" t="str">
            <v>SELETIVA DOURADOS</v>
          </cell>
          <cell r="K37">
            <v>45440</v>
          </cell>
          <cell r="N37" t="str">
            <v>1.2.2.4 LOGISTICA</v>
          </cell>
          <cell r="O37" t="str">
            <v>MOTORISTA CARRETEIRO MANTENEDOR SENIOR I</v>
          </cell>
          <cell r="P37">
            <v>2690.66</v>
          </cell>
          <cell r="Q37">
            <v>2511.2800000000002</v>
          </cell>
          <cell r="R37">
            <v>0</v>
          </cell>
          <cell r="S37">
            <v>366.03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22.36</v>
          </cell>
          <cell r="AA37">
            <v>22.36</v>
          </cell>
          <cell r="AB37">
            <v>109.96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3031.9900000000007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154.69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600</v>
          </cell>
          <cell r="AS37">
            <v>0</v>
          </cell>
          <cell r="AT37">
            <v>0</v>
          </cell>
          <cell r="AU37">
            <v>1092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1846.69</v>
          </cell>
          <cell r="BD37">
            <v>4878.68</v>
          </cell>
          <cell r="BE37"/>
          <cell r="BF37">
            <v>4878.68</v>
          </cell>
        </row>
        <row r="38">
          <cell r="A38" t="str">
            <v>FERNANDA DIAS DE ANDRADE</v>
          </cell>
          <cell r="B38">
            <v>46023</v>
          </cell>
          <cell r="C38" t="str">
            <v>ESTÁGIO</v>
          </cell>
          <cell r="D38" t="str">
            <v>G3S CMATRIZ - CAMPO GRANDE</v>
          </cell>
          <cell r="E38"/>
          <cell r="F38"/>
          <cell r="G38" t="str">
            <v>20.947.332/0001-95</v>
          </cell>
          <cell r="H38" t="str">
            <v>ADMINISTRATIVO</v>
          </cell>
          <cell r="I38" t="str">
            <v>ATENDIMENTO</v>
          </cell>
          <cell r="J38" t="str">
            <v>SELETIVA C GRANDE</v>
          </cell>
          <cell r="K38">
            <v>45950</v>
          </cell>
          <cell r="N38" t="str">
            <v>1.2.7.1 ADMINISTRATIVO</v>
          </cell>
          <cell r="O38" t="str">
            <v>AUXILIAR ADMINISTRATIVO - ESTAGIARIO(A)</v>
          </cell>
          <cell r="P38">
            <v>1000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1000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1000</v>
          </cell>
          <cell r="BD38">
            <v>1000</v>
          </cell>
          <cell r="BE38"/>
          <cell r="BF38">
            <v>1000</v>
          </cell>
        </row>
        <row r="39">
          <cell r="A39" t="str">
            <v>FERNANDA OLIVEIRA SILVA CARDOSO</v>
          </cell>
          <cell r="B39">
            <v>46023</v>
          </cell>
          <cell r="C39" t="str">
            <v>CLT</v>
          </cell>
          <cell r="D39" t="str">
            <v>G3S FL 10 - PRES PRUD</v>
          </cell>
          <cell r="E39"/>
          <cell r="F39"/>
          <cell r="G39" t="str">
            <v>20.947.332/0010-86</v>
          </cell>
          <cell r="H39" t="str">
            <v>ADMINISTRATIVO</v>
          </cell>
          <cell r="I39" t="str">
            <v>FISCAL</v>
          </cell>
          <cell r="J39" t="str">
            <v>PILARES</v>
          </cell>
          <cell r="K39">
            <v>45812</v>
          </cell>
          <cell r="N39" t="str">
            <v>1.1.4 CONTABILIDADE/FISCAL</v>
          </cell>
          <cell r="O39" t="str">
            <v>ANALISTA FISCAL PLENO</v>
          </cell>
          <cell r="P39">
            <v>3000</v>
          </cell>
          <cell r="Q39">
            <v>3000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3000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3000</v>
          </cell>
          <cell r="BE39"/>
          <cell r="BF39">
            <v>3000</v>
          </cell>
        </row>
        <row r="40">
          <cell r="A40" t="str">
            <v>FERNANDO DA COSTA FERREIRA</v>
          </cell>
          <cell r="B40">
            <v>46023</v>
          </cell>
          <cell r="C40" t="str">
            <v>PJ</v>
          </cell>
          <cell r="D40" t="str">
            <v>G3S  FL 04 - PRES PRUD</v>
          </cell>
          <cell r="E40">
            <v>4</v>
          </cell>
          <cell r="F40"/>
          <cell r="G40" t="str">
            <v>CONTRATO PJ</v>
          </cell>
          <cell r="H40" t="str">
            <v>SELETIVA APOIO</v>
          </cell>
          <cell r="I40" t="str">
            <v>GERENCIA</v>
          </cell>
          <cell r="J40" t="str">
            <v>SELETIVA CORPORATIVO SUCATA</v>
          </cell>
          <cell r="K40"/>
          <cell r="M40" t="str">
            <v>MARCONDES</v>
          </cell>
          <cell r="N40" t="str">
            <v>1.2.1.1 APOIO</v>
          </cell>
          <cell r="O40" t="str">
            <v>GERENTE</v>
          </cell>
          <cell r="P40">
            <v>17795.990000000002</v>
          </cell>
          <cell r="Q40">
            <v>17795.990000000002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17795.990000000002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17795.990000000002</v>
          </cell>
          <cell r="BE40"/>
          <cell r="BF40">
            <v>17795.990000000002</v>
          </cell>
        </row>
        <row r="41">
          <cell r="A41" t="str">
            <v>FERNANDO FERRAREZI DOS SANTOS</v>
          </cell>
          <cell r="B41">
            <v>46023</v>
          </cell>
          <cell r="C41" t="str">
            <v>CLT</v>
          </cell>
          <cell r="D41" t="str">
            <v>G S FL 04 - MARINGA</v>
          </cell>
          <cell r="E41"/>
          <cell r="F41"/>
          <cell r="G41" t="str">
            <v>20.504.237/0004-60</v>
          </cell>
          <cell r="H41" t="str">
            <v>LOGISTICA</v>
          </cell>
          <cell r="I41" t="str">
            <v>TRANSPORTE</v>
          </cell>
          <cell r="J41" t="str">
            <v>SELETIVA MARINGA DISTRITO</v>
          </cell>
          <cell r="K41">
            <v>46027</v>
          </cell>
          <cell r="N41" t="str">
            <v>1.2.4.4 LOGISTICA</v>
          </cell>
          <cell r="O41" t="str">
            <v>MOTORISTA CARRETEIRO MANTENEDOR SENIOR I</v>
          </cell>
          <cell r="P41">
            <v>3345</v>
          </cell>
          <cell r="Q41">
            <v>3010.5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42.15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3052.65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19.54</v>
          </cell>
          <cell r="AS41">
            <v>0</v>
          </cell>
          <cell r="AT41">
            <v>0</v>
          </cell>
          <cell r="AU41">
            <v>594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1</v>
          </cell>
          <cell r="BA41">
            <v>0</v>
          </cell>
          <cell r="BB41">
            <v>0</v>
          </cell>
          <cell r="BC41">
            <v>614.54</v>
          </cell>
          <cell r="BD41">
            <v>3667.19</v>
          </cell>
          <cell r="BE41"/>
          <cell r="BF41">
            <v>3667.19</v>
          </cell>
        </row>
        <row r="42">
          <cell r="A42" t="str">
            <v>FRANCISCO CARLOS DA SILVA</v>
          </cell>
          <cell r="B42">
            <v>46023</v>
          </cell>
          <cell r="C42" t="str">
            <v>PJ</v>
          </cell>
          <cell r="D42" t="str">
            <v>G3S  FL 04 - PRES PRUD</v>
          </cell>
          <cell r="E42">
            <v>4</v>
          </cell>
          <cell r="F42"/>
          <cell r="G42" t="str">
            <v>CONTRATO PJ</v>
          </cell>
          <cell r="H42" t="str">
            <v>SELETIVA APOIO</v>
          </cell>
          <cell r="I42" t="str">
            <v>COORDENACAO SP</v>
          </cell>
          <cell r="J42" t="str">
            <v>SELETIVA PRESIDENTE PRUDENTE</v>
          </cell>
          <cell r="K42"/>
          <cell r="M42" t="str">
            <v>MARCONDES</v>
          </cell>
          <cell r="N42" t="str">
            <v>1.2.1.4 COORDENACAO SP</v>
          </cell>
          <cell r="O42" t="str">
            <v>GERENTE DE COMPRAS</v>
          </cell>
          <cell r="P42">
            <v>4000</v>
          </cell>
          <cell r="Q42">
            <v>4000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4000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4000</v>
          </cell>
          <cell r="BE42"/>
          <cell r="BF42">
            <v>4000</v>
          </cell>
        </row>
        <row r="43">
          <cell r="A43" t="str">
            <v>GABRIEL SATOSHI DA SILVA SAKATA</v>
          </cell>
          <cell r="B43">
            <v>46023</v>
          </cell>
          <cell r="C43" t="str">
            <v>ESTÁGIO</v>
          </cell>
          <cell r="D43" t="str">
            <v>G3S FL 10 - PRES PRUD</v>
          </cell>
          <cell r="E43"/>
          <cell r="F43"/>
          <cell r="G43" t="str">
            <v>20.947.332/0010-86</v>
          </cell>
          <cell r="H43" t="str">
            <v>ADMINISTRATIVO</v>
          </cell>
          <cell r="I43" t="str">
            <v>SUPRIMENTOS</v>
          </cell>
          <cell r="J43" t="str">
            <v>PILARES</v>
          </cell>
          <cell r="K43">
            <v>45810</v>
          </cell>
          <cell r="L43"/>
          <cell r="N43" t="str">
            <v>1.1.14 SUPRIMENTOS</v>
          </cell>
          <cell r="O43" t="str">
            <v>AUXILIAR ADMINISTRATIVO - ESTAGIARIO(A)</v>
          </cell>
          <cell r="P43">
            <v>1000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1000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1000</v>
          </cell>
          <cell r="BD43">
            <v>1000</v>
          </cell>
          <cell r="BE43"/>
          <cell r="BF43">
            <v>1000</v>
          </cell>
        </row>
        <row r="44">
          <cell r="A44" t="str">
            <v>GABRIELA BARBOSA FONTE BASSO</v>
          </cell>
          <cell r="B44">
            <v>46023</v>
          </cell>
          <cell r="C44" t="str">
            <v>CLT</v>
          </cell>
          <cell r="D44" t="str">
            <v>G3S FL 05 - PRES PRUD</v>
          </cell>
          <cell r="G44" t="str">
            <v>20.947.332/0005-19</v>
          </cell>
          <cell r="H44" t="str">
            <v>COMERCIAL</v>
          </cell>
          <cell r="I44" t="str">
            <v>VENDAS</v>
          </cell>
          <cell r="J44" t="str">
            <v>BRACOFER</v>
          </cell>
          <cell r="K44">
            <v>46050</v>
          </cell>
          <cell r="L44"/>
          <cell r="M44"/>
          <cell r="N44" t="str">
            <v>1.3.1.2 COMERCIAL</v>
          </cell>
          <cell r="O44" t="str">
            <v>VENDEDOR INTERNO PLENO</v>
          </cell>
          <cell r="P44">
            <v>2500</v>
          </cell>
          <cell r="Q44">
            <v>333.33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333.33</v>
          </cell>
          <cell r="AH44">
            <v>0</v>
          </cell>
          <cell r="AI44">
            <v>0</v>
          </cell>
          <cell r="AJ44">
            <v>0</v>
          </cell>
          <cell r="AK44">
            <v>6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6</v>
          </cell>
          <cell r="BA44">
            <v>0</v>
          </cell>
          <cell r="BB44">
            <v>0</v>
          </cell>
          <cell r="BC44">
            <v>12</v>
          </cell>
          <cell r="BD44">
            <v>345.33</v>
          </cell>
          <cell r="BE44"/>
          <cell r="BF44">
            <v>345.33</v>
          </cell>
        </row>
        <row r="45">
          <cell r="A45" t="str">
            <v>GEOVANI RODRIGUES DUTRA</v>
          </cell>
          <cell r="B45">
            <v>46023</v>
          </cell>
          <cell r="C45" t="str">
            <v>CLT</v>
          </cell>
          <cell r="D45" t="str">
            <v>G3S  FL 03 - DOURADOS</v>
          </cell>
          <cell r="E45"/>
          <cell r="F45"/>
          <cell r="G45" t="str">
            <v>20.947.332/0003-57</v>
          </cell>
          <cell r="H45" t="str">
            <v>OPERACIONAL</v>
          </cell>
          <cell r="I45" t="str">
            <v>PATIO</v>
          </cell>
          <cell r="J45" t="str">
            <v>SELETIVA DOURADOS</v>
          </cell>
          <cell r="K45">
            <v>46048</v>
          </cell>
          <cell r="N45" t="str">
            <v>1.2.2.3 OPERACIONAL</v>
          </cell>
          <cell r="O45" t="str">
            <v>MACARIQUEIRO PLENO</v>
          </cell>
          <cell r="P45">
            <v>2587.5</v>
          </cell>
          <cell r="Q45">
            <v>517.5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517.5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4</v>
          </cell>
          <cell r="BA45">
            <v>0</v>
          </cell>
          <cell r="BB45">
            <v>0</v>
          </cell>
          <cell r="BC45">
            <v>4</v>
          </cell>
          <cell r="BD45">
            <v>521.5</v>
          </cell>
          <cell r="BE45"/>
          <cell r="BF45">
            <v>521.5</v>
          </cell>
        </row>
        <row r="46">
          <cell r="A46" t="str">
            <v>GIOVANE PORTO</v>
          </cell>
          <cell r="B46">
            <v>46023</v>
          </cell>
          <cell r="C46" t="str">
            <v>PJ</v>
          </cell>
          <cell r="D46" t="str">
            <v>G3S FL 10 - PRES PRUD</v>
          </cell>
          <cell r="E46">
            <v>4</v>
          </cell>
          <cell r="F46"/>
          <cell r="G46" t="str">
            <v>CONTRATO PJ</v>
          </cell>
          <cell r="H46" t="str">
            <v>PILARES</v>
          </cell>
          <cell r="I46" t="str">
            <v>ADMINISTRATIVO</v>
          </cell>
          <cell r="J46" t="str">
            <v>PILARES</v>
          </cell>
          <cell r="K46"/>
          <cell r="M46" t="str">
            <v>RENATO</v>
          </cell>
          <cell r="N46" t="str">
            <v>1.1.2 ADMINISTRATIVO</v>
          </cell>
          <cell r="O46" t="str">
            <v>CONSULTOR</v>
          </cell>
          <cell r="P46">
            <v>4700</v>
          </cell>
          <cell r="Q46">
            <v>4700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4700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4700</v>
          </cell>
          <cell r="BE46"/>
          <cell r="BF46">
            <v>4700</v>
          </cell>
        </row>
        <row r="47">
          <cell r="A47" t="str">
            <v>GIOVANNA SILVA DE OLIVEIRA</v>
          </cell>
          <cell r="B47">
            <v>46023</v>
          </cell>
          <cell r="C47" t="str">
            <v>CLT</v>
          </cell>
          <cell r="D47" t="str">
            <v>G3S FL 10 - PRES PRUD</v>
          </cell>
          <cell r="E47"/>
          <cell r="F47"/>
          <cell r="G47" t="str">
            <v>20.947.332/0010-86</v>
          </cell>
          <cell r="H47" t="str">
            <v>COMERCIAL</v>
          </cell>
          <cell r="I47" t="str">
            <v>COMERCIAL</v>
          </cell>
          <cell r="J47" t="str">
            <v>SELETIVA CORPORATIVO SUCATA</v>
          </cell>
          <cell r="K47">
            <v>44397</v>
          </cell>
          <cell r="N47" t="str">
            <v>1.2.1.1 APOIO</v>
          </cell>
          <cell r="O47" t="str">
            <v>ANALISTA COMERCIAL SENIOR</v>
          </cell>
          <cell r="P47">
            <v>3360</v>
          </cell>
          <cell r="Q47">
            <v>0</v>
          </cell>
          <cell r="R47">
            <v>3544.65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3544.65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3544.65</v>
          </cell>
          <cell r="BE47"/>
          <cell r="BF47">
            <v>3544.65</v>
          </cell>
        </row>
        <row r="48">
          <cell r="A48" t="str">
            <v>GISELE APARECIDA TONETTO SANTOS</v>
          </cell>
          <cell r="B48">
            <v>46023</v>
          </cell>
          <cell r="C48" t="str">
            <v>PJ</v>
          </cell>
          <cell r="D48" t="str">
            <v>G3S  FL 04 - PRES PRUD</v>
          </cell>
          <cell r="E48">
            <v>4</v>
          </cell>
          <cell r="F48"/>
          <cell r="G48" t="str">
            <v>CONTRATO PJ</v>
          </cell>
          <cell r="H48" t="str">
            <v>SELETIVA APOIO</v>
          </cell>
          <cell r="I48" t="str">
            <v>ADMINISTRATIVO</v>
          </cell>
          <cell r="J48" t="str">
            <v>SELETIVA CORPORATIVO SUCATA</v>
          </cell>
          <cell r="K48"/>
          <cell r="M48" t="str">
            <v>MARCONDES</v>
          </cell>
          <cell r="N48" t="str">
            <v>1.2.1.1 APOIO</v>
          </cell>
          <cell r="O48" t="str">
            <v>GERENTE ADMINISTRATIVO</v>
          </cell>
          <cell r="P48">
            <v>8800</v>
          </cell>
          <cell r="Q48">
            <v>8800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8800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8800</v>
          </cell>
          <cell r="BE48"/>
          <cell r="BF48">
            <v>8800</v>
          </cell>
        </row>
        <row r="49">
          <cell r="A49" t="str">
            <v>GLAUBER HENRIQUE PINTO</v>
          </cell>
          <cell r="B49">
            <v>46023</v>
          </cell>
          <cell r="C49" t="str">
            <v>PJ</v>
          </cell>
          <cell r="D49" t="str">
            <v>G3S FL 05 - PRES PRUD</v>
          </cell>
          <cell r="E49">
            <v>5</v>
          </cell>
          <cell r="F49"/>
          <cell r="G49" t="str">
            <v>CONTRATO PJ</v>
          </cell>
          <cell r="H49" t="str">
            <v>BRACOFER</v>
          </cell>
          <cell r="I49" t="str">
            <v>VENDAS</v>
          </cell>
          <cell r="J49" t="str">
            <v>BRACOFER</v>
          </cell>
          <cell r="K49"/>
          <cell r="M49"/>
          <cell r="N49" t="str">
            <v>1.3.1.2 COMERCIAL</v>
          </cell>
          <cell r="O49" t="str">
            <v>VENDEDOR(A)</v>
          </cell>
          <cell r="P49">
            <v>2328.08</v>
          </cell>
          <cell r="Q49">
            <v>2328.08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2328.08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2328.08</v>
          </cell>
          <cell r="BE49"/>
          <cell r="BF49">
            <v>2328.08</v>
          </cell>
        </row>
        <row r="50">
          <cell r="A50" t="str">
            <v>GUSTAVO LINO DUARTE</v>
          </cell>
          <cell r="B50">
            <v>46023</v>
          </cell>
          <cell r="C50" t="str">
            <v>CLT</v>
          </cell>
          <cell r="D50" t="str">
            <v>G3S CMATRIZ - CAMPO GRANDE</v>
          </cell>
          <cell r="G50" t="str">
            <v>20.947.332/0001-95</v>
          </cell>
          <cell r="H50" t="str">
            <v>OPERACIONAL</v>
          </cell>
          <cell r="I50" t="str">
            <v>PATIO</v>
          </cell>
          <cell r="J50" t="str">
            <v>SELETIVA C GRANDE</v>
          </cell>
          <cell r="K50">
            <v>45237</v>
          </cell>
          <cell r="L50"/>
          <cell r="M50"/>
          <cell r="N50" t="str">
            <v>1.2.7.3 OPERACIONAL</v>
          </cell>
          <cell r="O50" t="str">
            <v>AUXILIAR DE PATIO JUNIOR</v>
          </cell>
          <cell r="P50">
            <v>2305.85</v>
          </cell>
          <cell r="Q50">
            <v>1998.4</v>
          </cell>
          <cell r="R50">
            <v>0</v>
          </cell>
          <cell r="S50">
            <v>419.86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2418.2600000000002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60.56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60.56</v>
          </cell>
          <cell r="BD50">
            <v>2478.8200000000002</v>
          </cell>
          <cell r="BE50"/>
          <cell r="BF50">
            <v>2478.8200000000002</v>
          </cell>
        </row>
        <row r="51">
          <cell r="A51" t="str">
            <v>HELENA SOARES GOES DA SILVA</v>
          </cell>
          <cell r="B51">
            <v>46023</v>
          </cell>
          <cell r="C51" t="str">
            <v>ESTÁGIO</v>
          </cell>
          <cell r="D51" t="str">
            <v>G3S FL 05 - PRES PRUD</v>
          </cell>
          <cell r="E51"/>
          <cell r="F51"/>
          <cell r="G51" t="str">
            <v>20.947.332/0005-19</v>
          </cell>
          <cell r="H51" t="str">
            <v>COMERCIAL</v>
          </cell>
          <cell r="I51" t="str">
            <v>COMERCIAL</v>
          </cell>
          <cell r="J51" t="str">
            <v>PILARES</v>
          </cell>
          <cell r="K51">
            <v>45663</v>
          </cell>
          <cell r="M51"/>
          <cell r="N51" t="str">
            <v>1.1.2 ADMINISTRATIVO</v>
          </cell>
          <cell r="O51" t="str">
            <v>AUXILIAR COMERCIAL - ESTAGIARIO</v>
          </cell>
          <cell r="P51">
            <v>1000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1000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1000</v>
          </cell>
          <cell r="BD51">
            <v>1000</v>
          </cell>
          <cell r="BE51"/>
          <cell r="BF51">
            <v>1000</v>
          </cell>
        </row>
        <row r="52">
          <cell r="A52" t="str">
            <v>HUGO BIANCHI BOSSOLANI</v>
          </cell>
          <cell r="B52">
            <v>46023</v>
          </cell>
          <cell r="C52" t="str">
            <v>PJ</v>
          </cell>
          <cell r="D52" t="str">
            <v>G3S FL 10 - PRES PRUD</v>
          </cell>
          <cell r="E52">
            <v>4</v>
          </cell>
          <cell r="F52"/>
          <cell r="G52" t="str">
            <v>CONTRATO PJ</v>
          </cell>
          <cell r="H52" t="str">
            <v>PILARES</v>
          </cell>
          <cell r="I52" t="str">
            <v>ADMINISTRATIVO</v>
          </cell>
          <cell r="J52" t="str">
            <v>PILARES</v>
          </cell>
          <cell r="K52"/>
          <cell r="L52"/>
          <cell r="M52" t="str">
            <v>RENATO</v>
          </cell>
          <cell r="N52" t="str">
            <v>1.1.2 ADMINISTRATIVO</v>
          </cell>
          <cell r="O52" t="str">
            <v>CONSULTOR</v>
          </cell>
          <cell r="P52">
            <v>9192.48</v>
          </cell>
          <cell r="Q52">
            <v>9192.48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9192.48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9192.48</v>
          </cell>
          <cell r="BE52"/>
          <cell r="BF52">
            <v>9192.48</v>
          </cell>
        </row>
        <row r="53">
          <cell r="A53" t="str">
            <v>ISADORA THAYNA VIOTTO DIAS</v>
          </cell>
          <cell r="B53">
            <v>46023</v>
          </cell>
          <cell r="C53" t="str">
            <v>ESTÁGIO</v>
          </cell>
          <cell r="D53" t="str">
            <v>G3S FL 10 - PRES PRUD</v>
          </cell>
          <cell r="E53"/>
          <cell r="F53"/>
          <cell r="G53" t="str">
            <v>20.947.332/0010-86</v>
          </cell>
          <cell r="H53" t="str">
            <v>ADMINISTRATIVO</v>
          </cell>
          <cell r="I53" t="str">
            <v>ADMINISTRATIVO</v>
          </cell>
          <cell r="J53" t="str">
            <v>RENDER LOCACOES</v>
          </cell>
          <cell r="K53">
            <v>45973</v>
          </cell>
          <cell r="N53" t="str">
            <v>1.8.1 ADMINISTRATIVO</v>
          </cell>
          <cell r="O53" t="str">
            <v>AUXILIAR ADMINISTRATIVO - ESTAGIARIO(A)</v>
          </cell>
          <cell r="P53">
            <v>1000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1238.6199999999999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1238.6199999999999</v>
          </cell>
          <cell r="BD53">
            <v>1238.6199999999999</v>
          </cell>
          <cell r="BE53"/>
          <cell r="BF53">
            <v>1238.6199999999999</v>
          </cell>
        </row>
        <row r="54">
          <cell r="A54" t="str">
            <v>JOAO BATISTA RIBEIRO SILVA</v>
          </cell>
          <cell r="B54">
            <v>46023</v>
          </cell>
          <cell r="C54" t="str">
            <v>CLT</v>
          </cell>
          <cell r="D54" t="str">
            <v>G S FL 05 - BARUERI</v>
          </cell>
          <cell r="E54"/>
          <cell r="F54"/>
          <cell r="G54" t="str">
            <v>20.504.237/0005-40</v>
          </cell>
          <cell r="H54" t="str">
            <v>OPERACIONAL</v>
          </cell>
          <cell r="I54" t="str">
            <v>PATIO</v>
          </cell>
          <cell r="J54" t="str">
            <v>SELETIVA MARINGA DISTRITO</v>
          </cell>
          <cell r="K54">
            <v>42826</v>
          </cell>
          <cell r="N54" t="str">
            <v>1.2.3.3 OPERACIONAL</v>
          </cell>
          <cell r="O54" t="str">
            <v>OPERADOR MANTENEDOR PLENO</v>
          </cell>
          <cell r="P54">
            <v>2816.11</v>
          </cell>
          <cell r="Q54">
            <v>938.7</v>
          </cell>
          <cell r="R54">
            <v>0</v>
          </cell>
          <cell r="S54">
            <v>4199.5200000000004</v>
          </cell>
          <cell r="T54">
            <v>1049.8800000000001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322.57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6510.67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19.54</v>
          </cell>
          <cell r="AS54">
            <v>0</v>
          </cell>
          <cell r="AT54">
            <v>0</v>
          </cell>
          <cell r="AU54">
            <v>2080</v>
          </cell>
          <cell r="AV54">
            <v>0</v>
          </cell>
          <cell r="AW54">
            <v>1049.8800000000001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902</v>
          </cell>
          <cell r="BC54">
            <v>4051.42</v>
          </cell>
          <cell r="BD54">
            <v>10562.09</v>
          </cell>
          <cell r="BE54"/>
          <cell r="BF54">
            <v>10562.09</v>
          </cell>
        </row>
        <row r="55">
          <cell r="A55" t="str">
            <v>JOAO EMANUEL SANTOS SILVA</v>
          </cell>
          <cell r="B55">
            <v>46023</v>
          </cell>
          <cell r="C55" t="str">
            <v>ESTÁGIO</v>
          </cell>
          <cell r="D55" t="str">
            <v>G3S FL 10 - PRES PRUD</v>
          </cell>
          <cell r="E55"/>
          <cell r="F55"/>
          <cell r="G55" t="str">
            <v>20.947.332/0010-86</v>
          </cell>
          <cell r="H55" t="str">
            <v>ADMINISTRATIVO</v>
          </cell>
          <cell r="I55" t="str">
            <v>FINANCEIRO</v>
          </cell>
          <cell r="J55" t="str">
            <v>PILARES</v>
          </cell>
          <cell r="K55">
            <v>45958</v>
          </cell>
          <cell r="N55" t="str">
            <v>1.1.3 FINANCEIRO</v>
          </cell>
          <cell r="O55" t="str">
            <v>AUXILIAR FINANCEIRO - ESTAGIARIO</v>
          </cell>
          <cell r="P55">
            <v>1000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1000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1000</v>
          </cell>
          <cell r="BD55">
            <v>1000</v>
          </cell>
          <cell r="BE55"/>
          <cell r="BF55">
            <v>1000</v>
          </cell>
        </row>
        <row r="56">
          <cell r="A56" t="str">
            <v>JOAO PAULO MARTINS OZORES</v>
          </cell>
          <cell r="B56">
            <v>46023</v>
          </cell>
          <cell r="C56" t="str">
            <v>ESTÁGIO</v>
          </cell>
          <cell r="D56" t="str">
            <v>G3S FL 10 - PRES PRUD</v>
          </cell>
          <cell r="E56"/>
          <cell r="F56"/>
          <cell r="G56" t="str">
            <v>20.947.332/0010-86</v>
          </cell>
          <cell r="H56" t="str">
            <v>ADMINISTRATIVO</v>
          </cell>
          <cell r="I56" t="str">
            <v>SUPRIMENTOS</v>
          </cell>
          <cell r="J56" t="str">
            <v>PILARES</v>
          </cell>
          <cell r="K56">
            <v>45929</v>
          </cell>
          <cell r="N56" t="str">
            <v>1.1.14 SUPRIMENTOS</v>
          </cell>
          <cell r="O56" t="str">
            <v>AUXILIAR ADMINISTRATIVO - ESTAGIARIO(A)</v>
          </cell>
          <cell r="P56">
            <v>1000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1000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1000</v>
          </cell>
          <cell r="BD56">
            <v>1000</v>
          </cell>
          <cell r="BE56"/>
          <cell r="BF56">
            <v>1000</v>
          </cell>
        </row>
        <row r="57">
          <cell r="A57" t="str">
            <v>JOHNNIS GUANDALINI SCHIAVON</v>
          </cell>
          <cell r="B57">
            <v>46023</v>
          </cell>
          <cell r="C57" t="str">
            <v>CLT</v>
          </cell>
          <cell r="D57" t="str">
            <v>G S FL 04 - MARINGA</v>
          </cell>
          <cell r="E57"/>
          <cell r="F57"/>
          <cell r="G57" t="str">
            <v>20.504.237/0004-60</v>
          </cell>
          <cell r="H57" t="str">
            <v>OPERACIONAL</v>
          </cell>
          <cell r="I57" t="str">
            <v>PATIO</v>
          </cell>
          <cell r="J57" t="str">
            <v>SELETIVA MARINGA DISTRITO</v>
          </cell>
          <cell r="K57">
            <v>45790</v>
          </cell>
          <cell r="N57" t="str">
            <v>1.2.4.3 OPERACIONAL</v>
          </cell>
          <cell r="O57" t="str">
            <v>OPERADOR MANTENEDOR JR</v>
          </cell>
          <cell r="P57">
            <v>2610</v>
          </cell>
          <cell r="Q57">
            <v>2262</v>
          </cell>
          <cell r="R57">
            <v>0</v>
          </cell>
          <cell r="S57">
            <v>596.66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2858.66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27.43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27.43</v>
          </cell>
          <cell r="BD57">
            <v>2886.0899999999997</v>
          </cell>
          <cell r="BE57"/>
          <cell r="BF57">
            <v>2886.0899999999997</v>
          </cell>
        </row>
        <row r="58">
          <cell r="A58" t="str">
            <v>JOSE ANTONIO CAETANO</v>
          </cell>
          <cell r="B58">
            <v>46023</v>
          </cell>
          <cell r="C58" t="str">
            <v>CLT</v>
          </cell>
          <cell r="D58" t="str">
            <v>G3S  FL 04 - PRES PRUD</v>
          </cell>
          <cell r="E58"/>
          <cell r="F58"/>
          <cell r="G58" t="str">
            <v>20.947.332/0004-38</v>
          </cell>
          <cell r="H58" t="str">
            <v>OPERACIONAL</v>
          </cell>
          <cell r="I58" t="str">
            <v>PATIO</v>
          </cell>
          <cell r="J58" t="str">
            <v>SELETIVA PRESIDENTE PRUDENTE</v>
          </cell>
          <cell r="K58">
            <v>43906</v>
          </cell>
          <cell r="N58" t="str">
            <v>1.2.5.3 OPERACIONAL</v>
          </cell>
          <cell r="O58" t="str">
            <v>CLASSIFICADOR SENIOR</v>
          </cell>
          <cell r="P58">
            <v>2967.69</v>
          </cell>
          <cell r="Q58">
            <v>2572</v>
          </cell>
          <cell r="R58">
            <v>0</v>
          </cell>
          <cell r="S58">
            <v>533.72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3105.7200000000003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200</v>
          </cell>
          <cell r="AQ58">
            <v>0</v>
          </cell>
          <cell r="AR58">
            <v>285.83999999999997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485.84</v>
          </cell>
          <cell r="BD58">
            <v>3591.5600000000004</v>
          </cell>
          <cell r="BE58"/>
          <cell r="BF58">
            <v>3591.5600000000004</v>
          </cell>
        </row>
        <row r="59">
          <cell r="A59" t="str">
            <v>JOSE MANOEL DOS SANTOS</v>
          </cell>
          <cell r="B59">
            <v>46023</v>
          </cell>
          <cell r="C59" t="str">
            <v>CLT</v>
          </cell>
          <cell r="D59" t="str">
            <v>G S FL 03 - DOURADOS</v>
          </cell>
          <cell r="E59">
            <v>3</v>
          </cell>
          <cell r="F59"/>
          <cell r="G59" t="str">
            <v>20.504.237/0003-89</v>
          </cell>
          <cell r="H59" t="str">
            <v>OPERACIONAL</v>
          </cell>
          <cell r="I59" t="str">
            <v>PATIO</v>
          </cell>
          <cell r="J59" t="str">
            <v>SELETIVA DOURADOS</v>
          </cell>
          <cell r="K59">
            <v>44964</v>
          </cell>
          <cell r="M59"/>
          <cell r="N59" t="str">
            <v>1.2.2.3 OPERACIONAL</v>
          </cell>
          <cell r="O59" t="str">
            <v>OPERADOR MANTENEDOR JR</v>
          </cell>
          <cell r="P59">
            <v>2610</v>
          </cell>
          <cell r="Q59">
            <v>2262</v>
          </cell>
          <cell r="R59">
            <v>0</v>
          </cell>
          <cell r="S59">
            <v>638.63</v>
          </cell>
          <cell r="T59">
            <v>1596.56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18.79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4515.9800000000005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262.56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1596.56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104.4</v>
          </cell>
          <cell r="BC59">
            <v>1963.52</v>
          </cell>
          <cell r="BD59">
            <v>6479.5</v>
          </cell>
          <cell r="BE59"/>
          <cell r="BF59">
            <v>6479.5</v>
          </cell>
        </row>
        <row r="60">
          <cell r="A60" t="str">
            <v>JULIANO VIEIRA DE SANTANA</v>
          </cell>
          <cell r="B60">
            <v>46023</v>
          </cell>
          <cell r="C60" t="str">
            <v>CLT</v>
          </cell>
          <cell r="D60" t="str">
            <v>G S MATRIZ - PRES PRUD</v>
          </cell>
          <cell r="E60"/>
          <cell r="F60"/>
          <cell r="G60" t="str">
            <v>20.504.237/0001-17</v>
          </cell>
          <cell r="H60" t="str">
            <v>LOGISTICA</v>
          </cell>
          <cell r="I60" t="str">
            <v>TRANSPORTE</v>
          </cell>
          <cell r="J60" t="str">
            <v>SELETIVA CORPORATIVO SUCATA</v>
          </cell>
          <cell r="K60">
            <v>42217</v>
          </cell>
          <cell r="L60"/>
          <cell r="M60"/>
          <cell r="N60" t="str">
            <v>1.2.1.1 APOIO</v>
          </cell>
          <cell r="O60" t="str">
            <v>MOTORISTA CARRETEIRO MANTENEDOR SENIOR III</v>
          </cell>
          <cell r="P60">
            <v>3287.33</v>
          </cell>
          <cell r="Q60">
            <v>2849.02</v>
          </cell>
          <cell r="R60">
            <v>0</v>
          </cell>
          <cell r="S60">
            <v>1097.8699999999999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142.44999999999999</v>
          </cell>
          <cell r="Z60">
            <v>0</v>
          </cell>
          <cell r="AA60">
            <v>0</v>
          </cell>
          <cell r="AB60">
            <v>124.49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4213.83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285.83999999999997</v>
          </cell>
          <cell r="AS60">
            <v>0</v>
          </cell>
          <cell r="AT60">
            <v>0</v>
          </cell>
          <cell r="AU60">
            <v>2100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547.88</v>
          </cell>
          <cell r="BC60">
            <v>2933.7200000000003</v>
          </cell>
          <cell r="BD60">
            <v>7147.55</v>
          </cell>
          <cell r="BE60"/>
          <cell r="BF60">
            <v>7147.55</v>
          </cell>
        </row>
        <row r="61">
          <cell r="A61" t="str">
            <v>JULIO VIEIRA DE SANTANA</v>
          </cell>
          <cell r="B61">
            <v>46023</v>
          </cell>
          <cell r="C61" t="str">
            <v>CLT</v>
          </cell>
          <cell r="D61" t="str">
            <v>G S FL 05 - BARUERI</v>
          </cell>
          <cell r="E61"/>
          <cell r="F61"/>
          <cell r="G61" t="str">
            <v>20.504.237/0005-40</v>
          </cell>
          <cell r="H61" t="str">
            <v>OPERACIONAL</v>
          </cell>
          <cell r="I61" t="str">
            <v>MANUTENCAO</v>
          </cell>
          <cell r="J61" t="str">
            <v>SELETIVA CORPORATIVO SUCATA</v>
          </cell>
          <cell r="K61">
            <v>41883</v>
          </cell>
          <cell r="L61"/>
          <cell r="M61"/>
          <cell r="N61" t="str">
            <v>1.2.1.1 APOIO</v>
          </cell>
          <cell r="O61" t="str">
            <v>MOTORISTA CARRETEIRO MANTENEDOR SENIOR III</v>
          </cell>
          <cell r="P61">
            <v>3287.33</v>
          </cell>
          <cell r="Q61">
            <v>3287.33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48.45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3335.7799999999997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1817.17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2100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3917.17</v>
          </cell>
          <cell r="BD61">
            <v>7252.95</v>
          </cell>
          <cell r="BE61"/>
          <cell r="BF61">
            <v>7252.95</v>
          </cell>
        </row>
        <row r="62">
          <cell r="A62" t="str">
            <v>JUNIOR CESAR SOARES</v>
          </cell>
          <cell r="B62">
            <v>46023</v>
          </cell>
          <cell r="C62" t="str">
            <v>CLT</v>
          </cell>
          <cell r="D62" t="str">
            <v>G3S FL 05 - PRES PRUD</v>
          </cell>
          <cell r="E62"/>
          <cell r="F62"/>
          <cell r="G62" t="str">
            <v>20.947.332/0005-19</v>
          </cell>
          <cell r="H62" t="str">
            <v>COMERCIAL</v>
          </cell>
          <cell r="I62" t="str">
            <v>VENDAS</v>
          </cell>
          <cell r="J62" t="str">
            <v>BRACOFER</v>
          </cell>
          <cell r="K62">
            <v>46048</v>
          </cell>
          <cell r="N62" t="str">
            <v>1.3.1.2 COMERCIAL</v>
          </cell>
          <cell r="O62" t="str">
            <v>VENDEDOR INTERNO SENIOR</v>
          </cell>
          <cell r="P62">
            <v>3000</v>
          </cell>
          <cell r="Q62">
            <v>600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600</v>
          </cell>
          <cell r="AH62">
            <v>0</v>
          </cell>
          <cell r="AI62">
            <v>0</v>
          </cell>
          <cell r="AJ62">
            <v>0</v>
          </cell>
          <cell r="AK62">
            <v>5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5</v>
          </cell>
          <cell r="BA62">
            <v>0</v>
          </cell>
          <cell r="BB62">
            <v>0</v>
          </cell>
          <cell r="BC62">
            <v>10</v>
          </cell>
          <cell r="BD62">
            <v>610</v>
          </cell>
          <cell r="BE62"/>
          <cell r="BF62">
            <v>610</v>
          </cell>
        </row>
        <row r="63">
          <cell r="A63" t="str">
            <v>KAMYLA FERNANDA FORIM</v>
          </cell>
          <cell r="B63">
            <v>46023</v>
          </cell>
          <cell r="C63" t="str">
            <v>CLT</v>
          </cell>
          <cell r="D63" t="str">
            <v>G3S  FL 08 - LONDRINA</v>
          </cell>
          <cell r="E63"/>
          <cell r="F63"/>
          <cell r="G63" t="str">
            <v>20.947.332/0008-61</v>
          </cell>
          <cell r="H63" t="str">
            <v>ADMINISTRATIVO</v>
          </cell>
          <cell r="I63" t="str">
            <v>ATENDIMENTO</v>
          </cell>
          <cell r="J63" t="str">
            <v>SELETIVA LONDRINA</v>
          </cell>
          <cell r="K63">
            <v>43903</v>
          </cell>
          <cell r="N63" t="str">
            <v>1.2.3.1 ADMINISTRATIVO</v>
          </cell>
          <cell r="O63" t="str">
            <v>AUX ADMINISTRATIVO SENIOR</v>
          </cell>
          <cell r="P63">
            <v>2950</v>
          </cell>
          <cell r="Q63">
            <v>2556.67</v>
          </cell>
          <cell r="R63">
            <v>0</v>
          </cell>
          <cell r="S63">
            <v>630.41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27.24</v>
          </cell>
          <cell r="AC63">
            <v>0</v>
          </cell>
          <cell r="AD63">
            <v>0</v>
          </cell>
          <cell r="AE63">
            <v>0</v>
          </cell>
          <cell r="AF63">
            <v>255.67</v>
          </cell>
          <cell r="AG63">
            <v>3469.99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158.53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158.53</v>
          </cell>
          <cell r="BD63">
            <v>3628.52</v>
          </cell>
          <cell r="BE63"/>
          <cell r="BF63">
            <v>3628.52</v>
          </cell>
        </row>
        <row r="64">
          <cell r="A64" t="str">
            <v>LAIS VERON TEIXEIRA RIQUELME</v>
          </cell>
          <cell r="B64">
            <v>46023</v>
          </cell>
          <cell r="C64" t="str">
            <v>CLT</v>
          </cell>
          <cell r="D64" t="str">
            <v>G3S  FL 03 - DOURADOS</v>
          </cell>
          <cell r="E64"/>
          <cell r="F64"/>
          <cell r="G64" t="str">
            <v>20.947.332/0003-57</v>
          </cell>
          <cell r="H64" t="str">
            <v>ADMINISTRATIVO</v>
          </cell>
          <cell r="I64" t="str">
            <v>ATENDIMENTO</v>
          </cell>
          <cell r="J64" t="str">
            <v>SELETIVA DOURADOS</v>
          </cell>
          <cell r="K64">
            <v>44769</v>
          </cell>
          <cell r="N64" t="str">
            <v>1.2.2.1 ADMINISTRATIVO</v>
          </cell>
          <cell r="O64" t="str">
            <v>AUX ADMINISTRATIVO JUNIOR</v>
          </cell>
          <cell r="P64">
            <v>2482.4</v>
          </cell>
          <cell r="Q64">
            <v>2151.42</v>
          </cell>
          <cell r="R64">
            <v>0</v>
          </cell>
          <cell r="S64">
            <v>497.46</v>
          </cell>
          <cell r="T64">
            <v>621.84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206.87</v>
          </cell>
          <cell r="AG64">
            <v>3477.59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262.56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621.84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884.40000000000009</v>
          </cell>
          <cell r="BD64">
            <v>4361.99</v>
          </cell>
          <cell r="BE64"/>
          <cell r="BF64">
            <v>4361.99</v>
          </cell>
        </row>
        <row r="65">
          <cell r="A65" t="str">
            <v>LARISSA APARECIDA LIMA QUEIROZ</v>
          </cell>
          <cell r="B65">
            <v>46023</v>
          </cell>
          <cell r="C65" t="str">
            <v>CLT</v>
          </cell>
          <cell r="D65" t="str">
            <v>G3S FL 05 - PRES PRUD</v>
          </cell>
          <cell r="E65"/>
          <cell r="F65"/>
          <cell r="G65" t="str">
            <v>20.947.332/0005-19</v>
          </cell>
          <cell r="H65" t="str">
            <v>ADMINISTRATIVO</v>
          </cell>
          <cell r="I65" t="str">
            <v>FINANCEIRO</v>
          </cell>
          <cell r="J65" t="str">
            <v>BRACOFER</v>
          </cell>
          <cell r="K65">
            <v>44267</v>
          </cell>
          <cell r="N65" t="str">
            <v>1.3.1.1 ADMINISTRATIVO</v>
          </cell>
          <cell r="O65" t="str">
            <v>ANALISTA FINANCEIRO PLENO</v>
          </cell>
          <cell r="P65">
            <v>3180</v>
          </cell>
          <cell r="Q65">
            <v>2756</v>
          </cell>
          <cell r="R65">
            <v>0</v>
          </cell>
          <cell r="S65">
            <v>621.58000000000004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90.1</v>
          </cell>
          <cell r="AG65">
            <v>3467.68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3467.68</v>
          </cell>
          <cell r="BE65"/>
          <cell r="BF65">
            <v>3467.68</v>
          </cell>
        </row>
        <row r="66">
          <cell r="A66" t="str">
            <v>LAYZA PINHEIRO FRANCESQUETTE</v>
          </cell>
          <cell r="B66">
            <v>46023</v>
          </cell>
          <cell r="C66" t="str">
            <v>CLT</v>
          </cell>
          <cell r="D66" t="str">
            <v>G3S FL 10 - PRES PRUD</v>
          </cell>
          <cell r="E66"/>
          <cell r="F66"/>
          <cell r="G66" t="str">
            <v>20.947.332/0010-86</v>
          </cell>
          <cell r="H66" t="str">
            <v>COMERCIAL</v>
          </cell>
          <cell r="I66" t="str">
            <v>COMERCIAL</v>
          </cell>
          <cell r="J66" t="str">
            <v>SELETIVA CORPORATIVO SUCATA</v>
          </cell>
          <cell r="K66">
            <v>45845</v>
          </cell>
          <cell r="N66" t="str">
            <v>1.2.1.1 APOIO</v>
          </cell>
          <cell r="O66" t="str">
            <v>ASSISTENTE COMERCIAL</v>
          </cell>
          <cell r="P66">
            <v>2098</v>
          </cell>
          <cell r="Q66">
            <v>2098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2098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260.95999999999998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260.95999999999998</v>
          </cell>
          <cell r="BD66">
            <v>2358.96</v>
          </cell>
          <cell r="BE66"/>
          <cell r="BF66">
            <v>2358.96</v>
          </cell>
        </row>
        <row r="67">
          <cell r="A67" t="str">
            <v>LEONARDO SOARES CAVALHEIRO</v>
          </cell>
          <cell r="B67">
            <v>46023</v>
          </cell>
          <cell r="C67" t="str">
            <v>PJ</v>
          </cell>
          <cell r="D67" t="str">
            <v>G3S  FL 03 - DOURADOS</v>
          </cell>
          <cell r="E67">
            <v>5</v>
          </cell>
          <cell r="F67"/>
          <cell r="G67" t="str">
            <v>CONTRATO PJ</v>
          </cell>
          <cell r="H67" t="str">
            <v>SELETIVA DOURADOS</v>
          </cell>
          <cell r="I67" t="str">
            <v>COMERCIAL</v>
          </cell>
          <cell r="J67" t="str">
            <v>SELETIVA DOURADOS</v>
          </cell>
          <cell r="K67"/>
          <cell r="M67" t="str">
            <v>MARCONDES</v>
          </cell>
          <cell r="N67" t="str">
            <v>1.2.2.2 COMERCIAL</v>
          </cell>
          <cell r="O67" t="str">
            <v>COMPRADOR</v>
          </cell>
          <cell r="P67">
            <v>5000</v>
          </cell>
          <cell r="Q67">
            <v>5000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5000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5000</v>
          </cell>
          <cell r="BE67"/>
          <cell r="BF67">
            <v>5000</v>
          </cell>
        </row>
        <row r="68">
          <cell r="A68" t="str">
            <v>LETICIA NOVAIS GASPAR GULLICH</v>
          </cell>
          <cell r="B68">
            <v>46023</v>
          </cell>
          <cell r="C68" t="str">
            <v>CLT</v>
          </cell>
          <cell r="D68" t="str">
            <v>RSE COM DE FERRO,ACO E LOCA</v>
          </cell>
          <cell r="E68"/>
          <cell r="F68"/>
          <cell r="G68" t="str">
            <v>6.916.551/0001-86</v>
          </cell>
          <cell r="H68" t="str">
            <v>COMERCIAL</v>
          </cell>
          <cell r="I68" t="str">
            <v>ADMINISTRATIVO</v>
          </cell>
          <cell r="J68" t="str">
            <v>EKIPA LOCACOES E SERV G&amp;S</v>
          </cell>
          <cell r="K68">
            <v>45580</v>
          </cell>
          <cell r="L68">
            <v>46045</v>
          </cell>
          <cell r="N68" t="str">
            <v>1.5.1.2 COMERCIAL</v>
          </cell>
          <cell r="O68" t="str">
            <v>VENDEDOR (A)</v>
          </cell>
          <cell r="P68">
            <v>2329.44</v>
          </cell>
          <cell r="Q68">
            <v>0</v>
          </cell>
          <cell r="R68">
            <v>0</v>
          </cell>
          <cell r="S68">
            <v>207.06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400</v>
          </cell>
          <cell r="AD68">
            <v>94.12</v>
          </cell>
          <cell r="AE68">
            <v>0</v>
          </cell>
          <cell r="AF68">
            <v>0</v>
          </cell>
          <cell r="AG68">
            <v>701.18</v>
          </cell>
          <cell r="AH68">
            <v>0</v>
          </cell>
          <cell r="AI68">
            <v>0</v>
          </cell>
          <cell r="AJ68">
            <v>383.33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600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983.32999999999993</v>
          </cell>
          <cell r="BD68">
            <v>1684.5099999999998</v>
          </cell>
          <cell r="BE68"/>
          <cell r="BF68">
            <v>1684.5099999999998</v>
          </cell>
        </row>
        <row r="69">
          <cell r="A69" t="str">
            <v>LUCAS DA SILVA CONCEICAO</v>
          </cell>
          <cell r="B69">
            <v>46023</v>
          </cell>
          <cell r="C69" t="str">
            <v>CLT</v>
          </cell>
          <cell r="D69" t="str">
            <v>G S FL 07 - LONDRINA</v>
          </cell>
          <cell r="E69"/>
          <cell r="F69"/>
          <cell r="G69" t="str">
            <v>20.504.237/0007-02</v>
          </cell>
          <cell r="H69" t="str">
            <v>OPERACIONAL</v>
          </cell>
          <cell r="I69" t="str">
            <v>PATIO</v>
          </cell>
          <cell r="J69" t="str">
            <v>SELETIVA LONDRINA</v>
          </cell>
          <cell r="K69">
            <v>45532</v>
          </cell>
          <cell r="L69"/>
          <cell r="M69"/>
          <cell r="N69" t="str">
            <v>1.2.3.3 OPERACIONAL</v>
          </cell>
          <cell r="O69" t="str">
            <v>OPERADOR MANTENEDOR JR</v>
          </cell>
          <cell r="P69">
            <v>2610</v>
          </cell>
          <cell r="Q69">
            <v>2436</v>
          </cell>
          <cell r="R69">
            <v>0</v>
          </cell>
          <cell r="S69">
            <v>356.54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38.39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2830.93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158.53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158.53</v>
          </cell>
          <cell r="BD69">
            <v>2989.46</v>
          </cell>
          <cell r="BE69"/>
          <cell r="BF69">
            <v>2989.46</v>
          </cell>
        </row>
        <row r="70">
          <cell r="A70" t="str">
            <v>LUCIANO ROGERIO FARIA</v>
          </cell>
          <cell r="B70">
            <v>46023</v>
          </cell>
          <cell r="C70" t="str">
            <v>PJ</v>
          </cell>
          <cell r="D70" t="str">
            <v>G3S FL 10 - PRES PRUD</v>
          </cell>
          <cell r="E70">
            <v>4</v>
          </cell>
          <cell r="F70"/>
          <cell r="G70" t="str">
            <v>CONTRATO PJ</v>
          </cell>
          <cell r="H70" t="str">
            <v>PILARES</v>
          </cell>
          <cell r="I70" t="str">
            <v>QUALIDADE</v>
          </cell>
          <cell r="J70" t="str">
            <v>PILARES</v>
          </cell>
          <cell r="K70"/>
          <cell r="L70"/>
          <cell r="M70" t="str">
            <v>HUGO</v>
          </cell>
          <cell r="N70" t="str">
            <v>1.1.5 QUALIDADE</v>
          </cell>
          <cell r="O70" t="str">
            <v>COORDENADOR DE QUALIDADE</v>
          </cell>
          <cell r="P70">
            <v>8800</v>
          </cell>
          <cell r="Q70">
            <v>8800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8800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8800</v>
          </cell>
          <cell r="BE70"/>
          <cell r="BF70">
            <v>8800</v>
          </cell>
        </row>
        <row r="71">
          <cell r="A71" t="str">
            <v>LUCIMARA PAIZ DE OLIVEIRA</v>
          </cell>
          <cell r="B71">
            <v>46023</v>
          </cell>
          <cell r="C71" t="str">
            <v>CLT</v>
          </cell>
          <cell r="D71" t="str">
            <v>G3S  FL 04 - PRES PRUD</v>
          </cell>
          <cell r="E71"/>
          <cell r="F71"/>
          <cell r="G71" t="str">
            <v>20.947.332/0004-38</v>
          </cell>
          <cell r="H71" t="str">
            <v>ADMINISTRATIVO</v>
          </cell>
          <cell r="I71" t="str">
            <v>ADMINISTRATIVO</v>
          </cell>
          <cell r="J71" t="str">
            <v>SELETIVA PRESIDENTE PRUDENTE</v>
          </cell>
          <cell r="K71">
            <v>45600</v>
          </cell>
          <cell r="L71"/>
          <cell r="M71"/>
          <cell r="N71" t="str">
            <v>1.2.5.1 ADMINISTRATIVO</v>
          </cell>
          <cell r="O71" t="str">
            <v>FAXINEIRO (EMPRESA)</v>
          </cell>
          <cell r="P71">
            <v>1849.8</v>
          </cell>
          <cell r="Q71">
            <v>1603.16</v>
          </cell>
          <cell r="R71">
            <v>0</v>
          </cell>
          <cell r="S71">
            <v>334.96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1938.1200000000001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1938.1200000000001</v>
          </cell>
          <cell r="BE71"/>
          <cell r="BF71">
            <v>1938.1200000000001</v>
          </cell>
        </row>
        <row r="72">
          <cell r="A72" t="str">
            <v>LUIS AUGUSTO DUARTE SILVA</v>
          </cell>
          <cell r="B72">
            <v>46023</v>
          </cell>
          <cell r="C72" t="str">
            <v>CLT</v>
          </cell>
          <cell r="D72" t="str">
            <v>G3S FL 05 - PRES PRUD</v>
          </cell>
          <cell r="E72"/>
          <cell r="F72"/>
          <cell r="G72" t="str">
            <v>20.947.332/0005-19</v>
          </cell>
          <cell r="H72" t="str">
            <v>COMERCIAL</v>
          </cell>
          <cell r="I72" t="str">
            <v>VENDAS</v>
          </cell>
          <cell r="J72" t="str">
            <v>BRACOFER</v>
          </cell>
          <cell r="K72">
            <v>45671</v>
          </cell>
          <cell r="L72"/>
          <cell r="M72"/>
          <cell r="N72" t="str">
            <v>1.3.1.2 COMERCIAL</v>
          </cell>
          <cell r="O72" t="str">
            <v>VENDEDOR(A)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3064.08</v>
          </cell>
          <cell r="AD72">
            <v>735.38</v>
          </cell>
          <cell r="AE72">
            <v>0</v>
          </cell>
          <cell r="AF72">
            <v>0</v>
          </cell>
          <cell r="AG72">
            <v>3799.46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3799.46</v>
          </cell>
          <cell r="BE72"/>
          <cell r="BF72">
            <v>3799.46</v>
          </cell>
        </row>
        <row r="73">
          <cell r="A73" t="str">
            <v>LUIS DOUGLAS SANTOS BRAS</v>
          </cell>
          <cell r="B73">
            <v>46023</v>
          </cell>
          <cell r="C73" t="str">
            <v>CLT</v>
          </cell>
          <cell r="D73" t="str">
            <v>G3S FL 05 - PRES PRUD</v>
          </cell>
          <cell r="E73"/>
          <cell r="F73"/>
          <cell r="G73" t="str">
            <v>20.947.332/0005-19</v>
          </cell>
          <cell r="H73" t="str">
            <v>OPERACIONAL</v>
          </cell>
          <cell r="I73" t="str">
            <v>CORTE E DOBRA</v>
          </cell>
          <cell r="J73" t="str">
            <v>BRACOFER</v>
          </cell>
          <cell r="K73">
            <v>45966</v>
          </cell>
          <cell r="L73"/>
          <cell r="M73"/>
          <cell r="N73" t="str">
            <v>1.3.1.5 CORTE E DOBRA</v>
          </cell>
          <cell r="O73" t="str">
            <v>AUXILIAR DE PATIO JUNIOR</v>
          </cell>
          <cell r="P73">
            <v>2155</v>
          </cell>
          <cell r="Q73">
            <v>2155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23.26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2178.2600000000002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350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350</v>
          </cell>
          <cell r="BD73">
            <v>2528.2600000000002</v>
          </cell>
          <cell r="BE73"/>
          <cell r="BF73">
            <v>2528.2600000000002</v>
          </cell>
        </row>
        <row r="74">
          <cell r="A74" t="str">
            <v>LUIS HENRIQUE SEMENSATO</v>
          </cell>
          <cell r="B74">
            <v>46023</v>
          </cell>
          <cell r="C74" t="str">
            <v>CLT</v>
          </cell>
          <cell r="D74" t="str">
            <v>G3S FL 05 - PRES PRUD</v>
          </cell>
          <cell r="E74"/>
          <cell r="F74"/>
          <cell r="G74" t="str">
            <v>20.947.332/0005-19</v>
          </cell>
          <cell r="H74" t="str">
            <v>OPERACIONAL</v>
          </cell>
          <cell r="I74" t="str">
            <v>CORTE E DOBRA</v>
          </cell>
          <cell r="J74" t="str">
            <v>BRACOFER</v>
          </cell>
          <cell r="K74">
            <v>45845</v>
          </cell>
          <cell r="L74"/>
          <cell r="M74"/>
          <cell r="N74" t="str">
            <v>1.3.1.5 CORTE E DOBRA</v>
          </cell>
          <cell r="O74" t="str">
            <v>AUXILIAR DE PATIO JUNIOR</v>
          </cell>
          <cell r="P74">
            <v>2155</v>
          </cell>
          <cell r="Q74">
            <v>2155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30.09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2185.09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350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350</v>
          </cell>
          <cell r="BD74">
            <v>2535.09</v>
          </cell>
          <cell r="BE74"/>
          <cell r="BF74">
            <v>2535.09</v>
          </cell>
        </row>
        <row r="75">
          <cell r="A75" t="str">
            <v>LUIZ CARLOS DE SOUZA</v>
          </cell>
          <cell r="B75">
            <v>46023</v>
          </cell>
          <cell r="C75" t="str">
            <v>CLT</v>
          </cell>
          <cell r="D75" t="str">
            <v>G3S FL 05 - PRES PRUD</v>
          </cell>
          <cell r="E75"/>
          <cell r="F75"/>
          <cell r="G75" t="str">
            <v>20.947.332/0005-19</v>
          </cell>
          <cell r="H75" t="str">
            <v>OPERACIONAL</v>
          </cell>
          <cell r="I75" t="str">
            <v>PATIO</v>
          </cell>
          <cell r="J75" t="str">
            <v>BRACOFER</v>
          </cell>
          <cell r="K75">
            <v>44378</v>
          </cell>
          <cell r="L75"/>
          <cell r="M75"/>
          <cell r="N75" t="str">
            <v>1.3.1.3 OPERACIONAL</v>
          </cell>
          <cell r="O75" t="str">
            <v>AUXILIAR DE PATIO SENIOR</v>
          </cell>
          <cell r="P75">
            <v>2600</v>
          </cell>
          <cell r="Q75">
            <v>866.67</v>
          </cell>
          <cell r="R75">
            <v>0</v>
          </cell>
          <cell r="S75">
            <v>2338.84</v>
          </cell>
          <cell r="T75">
            <v>818.6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108.14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4132.25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818.6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520</v>
          </cell>
          <cell r="BC75">
            <v>1338.6</v>
          </cell>
          <cell r="BD75">
            <v>5470.85</v>
          </cell>
          <cell r="BE75"/>
          <cell r="BF75">
            <v>5470.85</v>
          </cell>
        </row>
        <row r="76">
          <cell r="A76" t="str">
            <v>LUIZ GUILHERME BRAGHINI</v>
          </cell>
          <cell r="B76">
            <v>46023</v>
          </cell>
          <cell r="C76" t="str">
            <v>CLT</v>
          </cell>
          <cell r="D76" t="str">
            <v>G3S CMATRIZ - CAMPO GRANDE</v>
          </cell>
          <cell r="E76"/>
          <cell r="F76"/>
          <cell r="G76" t="str">
            <v>20.947.332/0001-95</v>
          </cell>
          <cell r="H76" t="str">
            <v>OPERACIONAL</v>
          </cell>
          <cell r="I76" t="str">
            <v>PATIO</v>
          </cell>
          <cell r="J76" t="str">
            <v>SELETIVA C GRANDE</v>
          </cell>
          <cell r="K76">
            <v>44630</v>
          </cell>
          <cell r="L76"/>
          <cell r="M76"/>
          <cell r="N76" t="str">
            <v>1.2.7.3 OPERACIONAL</v>
          </cell>
          <cell r="O76" t="str">
            <v>GERENTE DE PATIO SENIOR</v>
          </cell>
          <cell r="P76">
            <v>3679.83</v>
          </cell>
          <cell r="Q76">
            <v>3679.83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1103.95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4783.78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60.56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60.56</v>
          </cell>
          <cell r="BD76">
            <v>4844.34</v>
          </cell>
          <cell r="BE76"/>
          <cell r="BF76">
            <v>4844.34</v>
          </cell>
        </row>
        <row r="77">
          <cell r="A77" t="str">
            <v>MARCELO VITOR</v>
          </cell>
          <cell r="B77">
            <v>46023</v>
          </cell>
          <cell r="C77" t="str">
            <v>CLT</v>
          </cell>
          <cell r="D77" t="str">
            <v>G S MATRIZ - PRES PRUD</v>
          </cell>
          <cell r="E77"/>
          <cell r="F77"/>
          <cell r="G77" t="str">
            <v>20.504.237/0001-17</v>
          </cell>
          <cell r="H77" t="str">
            <v>OPERACIONAL</v>
          </cell>
          <cell r="I77" t="str">
            <v>PATIO</v>
          </cell>
          <cell r="J77" t="str">
            <v>SELETIVA PRESIDENTE PRUDENTE</v>
          </cell>
          <cell r="K77">
            <v>43790</v>
          </cell>
          <cell r="L77"/>
          <cell r="M77"/>
          <cell r="N77" t="str">
            <v>1.2.5.5 PRENSA FIXA JCG800</v>
          </cell>
          <cell r="O77" t="str">
            <v>OPERADOR MANTENEDOR SENIOR</v>
          </cell>
          <cell r="P77">
            <v>3158.66</v>
          </cell>
          <cell r="Q77">
            <v>3158.66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157.93</v>
          </cell>
          <cell r="Z77">
            <v>0</v>
          </cell>
          <cell r="AA77">
            <v>0</v>
          </cell>
          <cell r="AB77">
            <v>277.82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3594.41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285.83999999999997</v>
          </cell>
          <cell r="AS77">
            <v>0</v>
          </cell>
          <cell r="AT77">
            <v>0</v>
          </cell>
          <cell r="AU77">
            <v>1176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1461.84</v>
          </cell>
          <cell r="BD77">
            <v>5056.25</v>
          </cell>
          <cell r="BE77"/>
          <cell r="BF77">
            <v>5056.25</v>
          </cell>
        </row>
        <row r="78">
          <cell r="A78" t="str">
            <v>MARCIO AFONSO</v>
          </cell>
          <cell r="B78">
            <v>46023</v>
          </cell>
          <cell r="C78" t="str">
            <v>CLT</v>
          </cell>
          <cell r="D78" t="str">
            <v>G S MATRIZ - PRES PRUD</v>
          </cell>
          <cell r="E78"/>
          <cell r="F78"/>
          <cell r="G78" t="str">
            <v>20.504.237/0001-17</v>
          </cell>
          <cell r="H78" t="str">
            <v>LOGISTICA</v>
          </cell>
          <cell r="I78" t="str">
            <v>TRANSPORTE</v>
          </cell>
          <cell r="J78" t="str">
            <v>SELETIVA PRESIDENTE PRUDENTE</v>
          </cell>
          <cell r="K78">
            <v>44153</v>
          </cell>
          <cell r="L78"/>
          <cell r="M78"/>
          <cell r="N78" t="str">
            <v>1.2.5.4 LOGISTICA</v>
          </cell>
          <cell r="O78" t="str">
            <v>MOTORISTA CARRETEIRO MANTENEDOR SENIOR III</v>
          </cell>
          <cell r="P78">
            <v>3287.33</v>
          </cell>
          <cell r="Q78">
            <v>2629.87</v>
          </cell>
          <cell r="R78">
            <v>0</v>
          </cell>
          <cell r="S78">
            <v>1539.76</v>
          </cell>
          <cell r="T78">
            <v>2566.2800000000002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131.49</v>
          </cell>
          <cell r="Z78">
            <v>0</v>
          </cell>
          <cell r="AA78">
            <v>0</v>
          </cell>
          <cell r="AB78">
            <v>113.75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6981.15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280.07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285.83999999999997</v>
          </cell>
          <cell r="AS78">
            <v>0</v>
          </cell>
          <cell r="AT78">
            <v>0</v>
          </cell>
          <cell r="AU78">
            <v>1452</v>
          </cell>
          <cell r="AV78">
            <v>0</v>
          </cell>
          <cell r="AW78">
            <v>2566.2800000000002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4584.1900000000005</v>
          </cell>
          <cell r="BD78">
            <v>11565.34</v>
          </cell>
          <cell r="BE78"/>
          <cell r="BF78">
            <v>11565.34</v>
          </cell>
        </row>
        <row r="79">
          <cell r="A79" t="str">
            <v>MARCIO APARECIDO DA COSTA</v>
          </cell>
          <cell r="B79">
            <v>46023</v>
          </cell>
          <cell r="C79" t="str">
            <v>CLT</v>
          </cell>
          <cell r="D79" t="str">
            <v>G S FL 07 - LONDRINA</v>
          </cell>
          <cell r="E79"/>
          <cell r="F79"/>
          <cell r="G79" t="str">
            <v>20.504.237/0007-02</v>
          </cell>
          <cell r="H79" t="str">
            <v>LOGISTICA</v>
          </cell>
          <cell r="I79" t="str">
            <v>TRANSPORTE</v>
          </cell>
          <cell r="J79" t="str">
            <v>SELETIVA LONDRINA</v>
          </cell>
          <cell r="K79">
            <v>45261</v>
          </cell>
          <cell r="L79"/>
          <cell r="M79"/>
          <cell r="N79" t="str">
            <v>1.2.3.4 LOGISTICA</v>
          </cell>
          <cell r="O79" t="str">
            <v>MOTORISTA CARRETEIRO MANTENEDOR SENIOR I</v>
          </cell>
          <cell r="P79">
            <v>3345</v>
          </cell>
          <cell r="Q79">
            <v>2899</v>
          </cell>
          <cell r="R79">
            <v>0</v>
          </cell>
          <cell r="S79">
            <v>916.45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71.34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3886.79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352.76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158.53</v>
          </cell>
          <cell r="AS79">
            <v>0</v>
          </cell>
          <cell r="AT79">
            <v>0</v>
          </cell>
          <cell r="AU79">
            <v>540.37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1051.6599999999999</v>
          </cell>
          <cell r="BD79">
            <v>4938.45</v>
          </cell>
          <cell r="BE79"/>
          <cell r="BF79">
            <v>4938.45</v>
          </cell>
        </row>
        <row r="80">
          <cell r="A80" t="str">
            <v>MARCONDES VALENTIM VICTORINO</v>
          </cell>
          <cell r="B80">
            <v>46023</v>
          </cell>
          <cell r="C80" t="str">
            <v>PJ</v>
          </cell>
          <cell r="D80" t="str">
            <v>G3S  FL 04 - PRES PRUD</v>
          </cell>
          <cell r="E80">
            <v>4</v>
          </cell>
          <cell r="F80"/>
          <cell r="G80" t="str">
            <v>CONTRATO PJ</v>
          </cell>
          <cell r="H80" t="str">
            <v>SELETIVA APOIO</v>
          </cell>
          <cell r="I80" t="str">
            <v>DIRETORIA</v>
          </cell>
          <cell r="J80" t="str">
            <v>SELETIVA CORPORATIVO SUCATA</v>
          </cell>
          <cell r="K80"/>
          <cell r="L80"/>
          <cell r="M80" t="str">
            <v>RENATO</v>
          </cell>
          <cell r="N80" t="str">
            <v>1.2.1.5 DIRETORIA COMERCIAL COMPRA SUCATA</v>
          </cell>
          <cell r="O80" t="str">
            <v>DIRETOR COMERCIAL COMPRA SUCATA</v>
          </cell>
          <cell r="P80">
            <v>15000</v>
          </cell>
          <cell r="Q80">
            <v>15000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15000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15000</v>
          </cell>
          <cell r="BE80"/>
          <cell r="BF80">
            <v>15000</v>
          </cell>
        </row>
        <row r="81">
          <cell r="A81" t="str">
            <v>MARCOS ANTONIO CLAUDIO</v>
          </cell>
          <cell r="B81">
            <v>46023</v>
          </cell>
          <cell r="C81" t="str">
            <v>CLT</v>
          </cell>
          <cell r="D81" t="str">
            <v>G S FL 05 - BARUERI</v>
          </cell>
          <cell r="E81"/>
          <cell r="F81"/>
          <cell r="G81" t="str">
            <v>20.504.237/0005-40</v>
          </cell>
          <cell r="H81" t="str">
            <v>OPERACIONAL</v>
          </cell>
          <cell r="I81" t="str">
            <v>ARCELOR/PIRACICABA - SP</v>
          </cell>
          <cell r="J81" t="str">
            <v>EKIPA LOCACOES E SERV G&amp;S</v>
          </cell>
          <cell r="K81">
            <v>45742</v>
          </cell>
          <cell r="N81" t="str">
            <v>1.7.1.4 ARCELOR - PIRACICABA</v>
          </cell>
          <cell r="O81" t="str">
            <v>OPERADOR MANTENEDOR PLENO</v>
          </cell>
          <cell r="P81">
            <v>2816.11</v>
          </cell>
          <cell r="Q81">
            <v>2816.11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265.07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3081.1800000000003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1637.73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1680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3317.73</v>
          </cell>
          <cell r="BD81">
            <v>6398.91</v>
          </cell>
          <cell r="BE81"/>
          <cell r="BF81">
            <v>6398.91</v>
          </cell>
        </row>
        <row r="82">
          <cell r="A82" t="str">
            <v>MARCOS MEDEIROS</v>
          </cell>
          <cell r="B82">
            <v>46023</v>
          </cell>
          <cell r="C82" t="str">
            <v>CLT</v>
          </cell>
          <cell r="D82" t="str">
            <v>G3S  FL 04 - PRES PRUD</v>
          </cell>
          <cell r="E82"/>
          <cell r="F82"/>
          <cell r="G82" t="str">
            <v>20.947.332/0004-38</v>
          </cell>
          <cell r="H82" t="str">
            <v>OPERACIONAL</v>
          </cell>
          <cell r="I82" t="str">
            <v>PATIO</v>
          </cell>
          <cell r="J82" t="str">
            <v>SELETIVA PRESIDENTE PRUDENTE</v>
          </cell>
          <cell r="K82">
            <v>44228</v>
          </cell>
          <cell r="N82" t="str">
            <v>1.2.5.3 OPERACIONAL</v>
          </cell>
          <cell r="O82" t="str">
            <v>SOLDADOR MAÇARIQUEIRO</v>
          </cell>
          <cell r="P82">
            <v>2893.8</v>
          </cell>
          <cell r="Q82">
            <v>2507.96</v>
          </cell>
          <cell r="R82">
            <v>0</v>
          </cell>
          <cell r="S82">
            <v>681.43</v>
          </cell>
          <cell r="T82">
            <v>0</v>
          </cell>
          <cell r="U82">
            <v>280.97000000000003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3470.3599999999997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515</v>
          </cell>
          <cell r="AQ82">
            <v>0</v>
          </cell>
          <cell r="AR82">
            <v>285.83999999999997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800.83999999999992</v>
          </cell>
          <cell r="BD82">
            <v>4271.2</v>
          </cell>
          <cell r="BE82"/>
          <cell r="BF82">
            <v>4271.2</v>
          </cell>
        </row>
        <row r="83">
          <cell r="A83" t="str">
            <v>MARCOS ROBERTO DA SILVA MARTINS</v>
          </cell>
          <cell r="B83">
            <v>46023</v>
          </cell>
          <cell r="C83" t="str">
            <v>CLT</v>
          </cell>
          <cell r="D83" t="str">
            <v>G3S FL 05 - PRES PRUD</v>
          </cell>
          <cell r="E83"/>
          <cell r="F83"/>
          <cell r="G83" t="str">
            <v>20.947.332/0005-19</v>
          </cell>
          <cell r="H83" t="str">
            <v>LOGISTICA</v>
          </cell>
          <cell r="I83" t="str">
            <v>TRANSPORTE</v>
          </cell>
          <cell r="J83" t="str">
            <v>BRACOFER</v>
          </cell>
          <cell r="K83">
            <v>45701</v>
          </cell>
          <cell r="N83" t="str">
            <v>1.3.1.4 LOGISTICA</v>
          </cell>
          <cell r="O83" t="str">
            <v>MOTORISTA TRUCK MANTENEDOR JUNIOR</v>
          </cell>
          <cell r="P83">
            <v>2308.81</v>
          </cell>
          <cell r="Q83">
            <v>2000.97</v>
          </cell>
          <cell r="R83">
            <v>0</v>
          </cell>
          <cell r="S83">
            <v>518.32000000000005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52.67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2571.96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60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60</v>
          </cell>
          <cell r="BD83">
            <v>2631.96</v>
          </cell>
          <cell r="BE83"/>
          <cell r="BF83">
            <v>2631.96</v>
          </cell>
        </row>
        <row r="84">
          <cell r="A84" t="str">
            <v>MARIA EDUARDA FREITAS MESSIAS</v>
          </cell>
          <cell r="B84">
            <v>46023</v>
          </cell>
          <cell r="C84" t="str">
            <v>CLT</v>
          </cell>
          <cell r="D84" t="str">
            <v>G3S FL 10 - PRES PRUD</v>
          </cell>
          <cell r="E84"/>
          <cell r="F84"/>
          <cell r="G84" t="str">
            <v>20.947.332/0010-86</v>
          </cell>
          <cell r="H84" t="str">
            <v>ADMINISTRATIVO</v>
          </cell>
          <cell r="I84" t="str">
            <v>FINANCEIRO</v>
          </cell>
          <cell r="J84" t="str">
            <v>SELETIVA CORPORATIVO SUCATA</v>
          </cell>
          <cell r="K84">
            <v>44410</v>
          </cell>
          <cell r="N84" t="str">
            <v>1.1.3 FINANCEIRO</v>
          </cell>
          <cell r="O84" t="str">
            <v>ANALISTA FINANCEIRO SENIOR</v>
          </cell>
          <cell r="P84">
            <v>3500</v>
          </cell>
          <cell r="Q84">
            <v>3033.33</v>
          </cell>
          <cell r="R84">
            <v>0</v>
          </cell>
          <cell r="S84">
            <v>634.13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3667.46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3667.46</v>
          </cell>
          <cell r="BE84"/>
          <cell r="BF84">
            <v>3667.46</v>
          </cell>
        </row>
        <row r="85">
          <cell r="A85" t="str">
            <v>MARIANA SIQUEIRA</v>
          </cell>
          <cell r="B85">
            <v>46023</v>
          </cell>
          <cell r="C85" t="str">
            <v>ESTÁGIO</v>
          </cell>
          <cell r="D85" t="str">
            <v>G3S FL 10 - PRES PRUD</v>
          </cell>
          <cell r="E85"/>
          <cell r="F85"/>
          <cell r="G85" t="str">
            <v>20.947.332/0010-86</v>
          </cell>
          <cell r="H85" t="str">
            <v>COMERCIAL</v>
          </cell>
          <cell r="I85" t="str">
            <v>COMERCIAL</v>
          </cell>
          <cell r="J85" t="str">
            <v>SELETIVA PRESIDENTE PRUDENTE</v>
          </cell>
          <cell r="K85">
            <v>45824</v>
          </cell>
          <cell r="L85">
            <v>46053</v>
          </cell>
          <cell r="M85"/>
          <cell r="N85" t="str">
            <v>1.2.1.1 APOIO</v>
          </cell>
          <cell r="O85" t="str">
            <v>AUXILIAR COMERCIAL - ESTAGIARIO</v>
          </cell>
          <cell r="P85">
            <v>1000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1000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1000</v>
          </cell>
          <cell r="BD85">
            <v>1000</v>
          </cell>
          <cell r="BE85"/>
          <cell r="BF85">
            <v>1000</v>
          </cell>
        </row>
        <row r="86">
          <cell r="A86" t="str">
            <v>MARIANE APARECIDA MOREIRA DE CRISTOFANO</v>
          </cell>
          <cell r="B86">
            <v>46023</v>
          </cell>
          <cell r="C86" t="str">
            <v>CLT</v>
          </cell>
          <cell r="D86" t="str">
            <v>G3S FL 10 - PRES PRUD</v>
          </cell>
          <cell r="E86"/>
          <cell r="F86"/>
          <cell r="G86" t="str">
            <v>20.947.332/0010-86</v>
          </cell>
          <cell r="H86" t="str">
            <v>GESTÃO DE GENTE</v>
          </cell>
          <cell r="I86" t="str">
            <v>SEGURANCA DO TRABALHO</v>
          </cell>
          <cell r="J86" t="str">
            <v>SELETIVA CORPORATIVO SUCATA</v>
          </cell>
          <cell r="K86">
            <v>44271</v>
          </cell>
          <cell r="N86" t="str">
            <v>1.1.10 PESSOAS</v>
          </cell>
          <cell r="O86" t="str">
            <v>ANALISTA DE SESMT</v>
          </cell>
          <cell r="P86">
            <v>4000</v>
          </cell>
          <cell r="Q86">
            <v>3466.67</v>
          </cell>
          <cell r="R86">
            <v>0</v>
          </cell>
          <cell r="S86">
            <v>741.63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4208.3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4208.3</v>
          </cell>
          <cell r="BE86"/>
          <cell r="BF86">
            <v>4208.3</v>
          </cell>
        </row>
        <row r="87">
          <cell r="A87" t="str">
            <v>MARIO CESAR DA COSTA FARIAS</v>
          </cell>
          <cell r="B87">
            <v>46023</v>
          </cell>
          <cell r="C87" t="str">
            <v>CLT</v>
          </cell>
          <cell r="D87" t="str">
            <v>G3S  FL 08 - LONDRINA</v>
          </cell>
          <cell r="E87"/>
          <cell r="F87"/>
          <cell r="G87" t="str">
            <v>20.947.332/0008-61</v>
          </cell>
          <cell r="H87" t="str">
            <v>SELETIVA APOIO</v>
          </cell>
          <cell r="I87" t="str">
            <v>ADMINISTRATIVO</v>
          </cell>
          <cell r="J87" t="str">
            <v>SELETIVA LONDRINA</v>
          </cell>
          <cell r="K87">
            <v>44630</v>
          </cell>
          <cell r="L87">
            <v>46052</v>
          </cell>
          <cell r="N87" t="str">
            <v>1.2.3.2 COMERCIAL</v>
          </cell>
          <cell r="O87" t="str">
            <v>COMPRADOR</v>
          </cell>
          <cell r="P87">
            <v>2611.1799999999998</v>
          </cell>
          <cell r="Q87">
            <v>0</v>
          </cell>
          <cell r="R87">
            <v>0</v>
          </cell>
          <cell r="S87">
            <v>580.26</v>
          </cell>
          <cell r="T87">
            <v>1160.52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1287.5999999999999</v>
          </cell>
          <cell r="AF87">
            <v>0</v>
          </cell>
          <cell r="AG87">
            <v>3028.38</v>
          </cell>
          <cell r="AH87">
            <v>0</v>
          </cell>
          <cell r="AI87">
            <v>0</v>
          </cell>
          <cell r="AJ87">
            <v>560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3978.95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1493.33</v>
          </cell>
          <cell r="AV87">
            <v>0</v>
          </cell>
          <cell r="AW87">
            <v>1160.52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7192.7999999999993</v>
          </cell>
          <cell r="BD87">
            <v>10221.18</v>
          </cell>
          <cell r="BE87"/>
          <cell r="BF87">
            <v>10221.18</v>
          </cell>
        </row>
        <row r="88">
          <cell r="A88" t="str">
            <v>MAURICIO ANTONIO SALETE</v>
          </cell>
          <cell r="B88">
            <v>46023</v>
          </cell>
          <cell r="C88" t="str">
            <v>CLT</v>
          </cell>
          <cell r="D88" t="str">
            <v>G3S  FL 04 - PRES PRUD</v>
          </cell>
          <cell r="E88"/>
          <cell r="F88"/>
          <cell r="G88" t="str">
            <v>20.947.332/0004-38</v>
          </cell>
          <cell r="H88" t="str">
            <v>OPERACIONAL</v>
          </cell>
          <cell r="I88" t="str">
            <v>PATIO</v>
          </cell>
          <cell r="J88" t="str">
            <v>SELETIVA PRESIDENTE PRUDENTE</v>
          </cell>
          <cell r="K88">
            <v>44942</v>
          </cell>
          <cell r="N88" t="str">
            <v>1.2.5.3 OPERACIONAL</v>
          </cell>
          <cell r="O88" t="str">
            <v>GERENTE DE PATIO SENIOR</v>
          </cell>
          <cell r="P88">
            <v>3679.83</v>
          </cell>
          <cell r="Q88">
            <v>3679.83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1103.95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97.56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4881.34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285.83999999999997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285.83999999999997</v>
          </cell>
          <cell r="BD88">
            <v>5167.18</v>
          </cell>
          <cell r="BE88"/>
          <cell r="BF88">
            <v>5167.18</v>
          </cell>
        </row>
        <row r="89">
          <cell r="A89" t="str">
            <v>MELISSA DE FREITAS ORRIGO</v>
          </cell>
          <cell r="B89">
            <v>46023</v>
          </cell>
          <cell r="C89" t="str">
            <v>ESTÁGIO</v>
          </cell>
          <cell r="D89" t="str">
            <v>G3S FL 10 - PRES PRUD</v>
          </cell>
          <cell r="E89"/>
          <cell r="F89"/>
          <cell r="G89" t="str">
            <v>20.947.332/0010-86</v>
          </cell>
          <cell r="H89" t="str">
            <v>COMERCIAL</v>
          </cell>
          <cell r="I89" t="str">
            <v>COMERCIAL</v>
          </cell>
          <cell r="J89" t="str">
            <v>SELETIVA CORPORATIVO SUCATA</v>
          </cell>
          <cell r="K89">
            <v>45824</v>
          </cell>
          <cell r="M89"/>
          <cell r="N89" t="str">
            <v>1.2.1.1 APOIO</v>
          </cell>
          <cell r="O89" t="str">
            <v>AUXILIAR COMERCIAL - ESTAGIARIO</v>
          </cell>
          <cell r="P89">
            <v>1000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1000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1000</v>
          </cell>
          <cell r="BD89">
            <v>1000</v>
          </cell>
          <cell r="BE89"/>
          <cell r="BF89">
            <v>1000</v>
          </cell>
        </row>
        <row r="90">
          <cell r="A90" t="str">
            <v>MICHELLE CAMPHORA STAQUECINI</v>
          </cell>
          <cell r="B90">
            <v>46023</v>
          </cell>
          <cell r="C90" t="str">
            <v>PJ</v>
          </cell>
          <cell r="D90" t="str">
            <v>G3S FL 10 - PRES PRUD</v>
          </cell>
          <cell r="E90">
            <v>4</v>
          </cell>
          <cell r="F90"/>
          <cell r="G90" t="str">
            <v>CONTRATO PJ</v>
          </cell>
          <cell r="H90" t="str">
            <v>PILARES</v>
          </cell>
          <cell r="I90" t="str">
            <v>CONTABILIDADE</v>
          </cell>
          <cell r="J90" t="str">
            <v>PILARES</v>
          </cell>
          <cell r="K90"/>
          <cell r="M90" t="str">
            <v>HUGO</v>
          </cell>
          <cell r="N90" t="str">
            <v>1.1.4 CONTABILIDADE/FISCAL</v>
          </cell>
          <cell r="O90" t="str">
            <v>SUPERVISOR CONTABIL/FISCAL</v>
          </cell>
          <cell r="P90">
            <v>8800</v>
          </cell>
          <cell r="Q90">
            <v>8800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8800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8800</v>
          </cell>
          <cell r="BE90"/>
          <cell r="BF90">
            <v>8800</v>
          </cell>
        </row>
        <row r="91">
          <cell r="A91" t="str">
            <v>MONIQUE ISABELE DE LIMA</v>
          </cell>
          <cell r="B91">
            <v>46023</v>
          </cell>
          <cell r="C91" t="str">
            <v>CLT</v>
          </cell>
          <cell r="D91" t="str">
            <v>G S MATRIZ - PRES PRUD</v>
          </cell>
          <cell r="G91" t="str">
            <v>20.504.237/0001-17</v>
          </cell>
          <cell r="H91" t="str">
            <v>TRANSMOVE</v>
          </cell>
          <cell r="I91" t="str">
            <v>ADMINISTRATIVO</v>
          </cell>
          <cell r="J91" t="str">
            <v>TRANSMOVE GSL</v>
          </cell>
          <cell r="K91">
            <v>44274</v>
          </cell>
          <cell r="L91"/>
          <cell r="M91"/>
          <cell r="N91" t="str">
            <v>1.4.1.2 ADMINISTRATIVO</v>
          </cell>
          <cell r="O91" t="str">
            <v>ANALISTA ADMINISTRATIVO SENIOR</v>
          </cell>
          <cell r="P91">
            <v>2950</v>
          </cell>
          <cell r="Q91">
            <v>2556.67</v>
          </cell>
          <cell r="R91">
            <v>0</v>
          </cell>
          <cell r="S91">
            <v>586.25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72.27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3215.19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600</v>
          </cell>
          <cell r="AM91">
            <v>0</v>
          </cell>
          <cell r="AN91">
            <v>0</v>
          </cell>
          <cell r="AO91">
            <v>0</v>
          </cell>
          <cell r="AP91">
            <v>150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750</v>
          </cell>
          <cell r="BD91">
            <v>3965.19</v>
          </cell>
          <cell r="BE91"/>
          <cell r="BF91">
            <v>3965.19</v>
          </cell>
        </row>
        <row r="92">
          <cell r="A92" t="str">
            <v>MURILO LIMA DE CARVALHO SILVA</v>
          </cell>
          <cell r="B92">
            <v>46023</v>
          </cell>
          <cell r="C92" t="str">
            <v>CLT</v>
          </cell>
          <cell r="D92" t="str">
            <v>G3S FL 05 - PRES PRUD</v>
          </cell>
          <cell r="G92" t="str">
            <v>20.947.332/0005-19</v>
          </cell>
          <cell r="H92" t="str">
            <v>ADMINISTRATIVO</v>
          </cell>
          <cell r="I92" t="str">
            <v>FINANCEIRO</v>
          </cell>
          <cell r="J92" t="str">
            <v>BRACOFER</v>
          </cell>
          <cell r="K92">
            <v>45962</v>
          </cell>
          <cell r="L92"/>
          <cell r="M92"/>
          <cell r="N92" t="str">
            <v>1.3.1.1 ADMINISTRATIVO</v>
          </cell>
          <cell r="O92" t="str">
            <v>AUXILIAR FINANCEIRO</v>
          </cell>
          <cell r="P92">
            <v>2098</v>
          </cell>
          <cell r="Q92">
            <v>2098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2098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2098</v>
          </cell>
          <cell r="BE92"/>
          <cell r="BF92">
            <v>2098</v>
          </cell>
        </row>
        <row r="93">
          <cell r="A93" t="str">
            <v>MURILO PRADO</v>
          </cell>
          <cell r="B93">
            <v>46023</v>
          </cell>
          <cell r="C93" t="str">
            <v>PJ</v>
          </cell>
          <cell r="D93" t="str">
            <v>G3S FL 10 - PRES PRUD</v>
          </cell>
          <cell r="E93">
            <v>10</v>
          </cell>
          <cell r="F93"/>
          <cell r="G93" t="str">
            <v>CONTRATO PJ</v>
          </cell>
          <cell r="H93" t="str">
            <v>PILARES</v>
          </cell>
          <cell r="I93" t="str">
            <v>ADMINISTRATIVO</v>
          </cell>
          <cell r="J93" t="str">
            <v>PILARES</v>
          </cell>
          <cell r="K93"/>
          <cell r="L93"/>
          <cell r="M93" t="str">
            <v>RENATO</v>
          </cell>
          <cell r="N93" t="str">
            <v>1.1.2 ADMINISTRATIVO</v>
          </cell>
          <cell r="O93" t="str">
            <v>CONSULTOR</v>
          </cell>
          <cell r="P93">
            <v>6578</v>
          </cell>
          <cell r="Q93">
            <v>6578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6578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6578</v>
          </cell>
          <cell r="BE93"/>
          <cell r="BF93">
            <v>6578</v>
          </cell>
        </row>
        <row r="94">
          <cell r="A94" t="str">
            <v>NATALIA BAROSSI TREVISAN</v>
          </cell>
          <cell r="B94">
            <v>46023</v>
          </cell>
          <cell r="C94" t="str">
            <v>ESTÁGIO</v>
          </cell>
          <cell r="D94" t="str">
            <v>G3S FL 05 - PRES PRUD</v>
          </cell>
          <cell r="E94"/>
          <cell r="F94"/>
          <cell r="G94" t="str">
            <v>20.947.332/0005-19</v>
          </cell>
          <cell r="H94" t="str">
            <v>COMERCIAL</v>
          </cell>
          <cell r="I94" t="str">
            <v>COMERCIAL</v>
          </cell>
          <cell r="J94" t="str">
            <v>BRACOFER</v>
          </cell>
          <cell r="K94">
            <v>45964</v>
          </cell>
          <cell r="L94"/>
          <cell r="M94"/>
          <cell r="N94" t="str">
            <v>1.1.2 ADMINISTRATIVO</v>
          </cell>
          <cell r="O94" t="str">
            <v>AUXILIAR COMERCIAL - ESTAGIARIO</v>
          </cell>
          <cell r="P94">
            <v>1000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1000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1000</v>
          </cell>
          <cell r="BD94">
            <v>1000</v>
          </cell>
          <cell r="BE94"/>
          <cell r="BF94">
            <v>1000</v>
          </cell>
        </row>
        <row r="95">
          <cell r="A95" t="str">
            <v>NIVALDO MATEUS</v>
          </cell>
          <cell r="B95">
            <v>46023</v>
          </cell>
          <cell r="C95" t="str">
            <v>CLT</v>
          </cell>
          <cell r="D95" t="str">
            <v>G3S  FL 04 - PRES PRUD</v>
          </cell>
          <cell r="G95" t="str">
            <v>20.947.332/0004-38</v>
          </cell>
          <cell r="H95" t="str">
            <v>OPERACIONAL</v>
          </cell>
          <cell r="I95" t="str">
            <v>PATIO</v>
          </cell>
          <cell r="J95" t="str">
            <v>SELETIVA PRESIDENTE PRUDENTE</v>
          </cell>
          <cell r="K95">
            <v>44166</v>
          </cell>
          <cell r="L95"/>
          <cell r="M95"/>
          <cell r="N95" t="str">
            <v>1.2.5.3 OPERACIONAL</v>
          </cell>
          <cell r="O95" t="str">
            <v>GERENTE DE PATIO SENIOR PP</v>
          </cell>
          <cell r="P95">
            <v>3679.83</v>
          </cell>
          <cell r="Q95">
            <v>3189.19</v>
          </cell>
          <cell r="R95">
            <v>0</v>
          </cell>
          <cell r="S95">
            <v>1129.28</v>
          </cell>
          <cell r="T95">
            <v>0</v>
          </cell>
          <cell r="U95">
            <v>0</v>
          </cell>
          <cell r="V95">
            <v>956.76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109.11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5384.34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450</v>
          </cell>
          <cell r="AQ95">
            <v>0</v>
          </cell>
          <cell r="AR95">
            <v>285.83999999999997</v>
          </cell>
          <cell r="AS95">
            <v>0</v>
          </cell>
          <cell r="AT95">
            <v>0</v>
          </cell>
          <cell r="AU95">
            <v>1680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2415.84</v>
          </cell>
          <cell r="BD95">
            <v>7800.18</v>
          </cell>
          <cell r="BE95"/>
          <cell r="BF95">
            <v>7800.18</v>
          </cell>
        </row>
        <row r="96">
          <cell r="A96" t="str">
            <v>OSWALDO JONATAN PEREIRA DE CASTRO</v>
          </cell>
          <cell r="B96">
            <v>46023</v>
          </cell>
          <cell r="C96" t="str">
            <v>PJ</v>
          </cell>
          <cell r="D96" t="str">
            <v>G3S  FL 04 - PRES PRUD</v>
          </cell>
          <cell r="E96">
            <v>4</v>
          </cell>
          <cell r="F96"/>
          <cell r="G96" t="str">
            <v>CONTRATO PJ</v>
          </cell>
          <cell r="H96" t="str">
            <v>SELETIVA APOIO</v>
          </cell>
          <cell r="I96" t="str">
            <v>GERENCIA</v>
          </cell>
          <cell r="J96" t="str">
            <v>SELETIVA CORPORATIVO SUCATA</v>
          </cell>
          <cell r="K96"/>
          <cell r="L96"/>
          <cell r="M96" t="str">
            <v>MARCONDES</v>
          </cell>
          <cell r="N96" t="str">
            <v>1.2.1.1 APOIO</v>
          </cell>
          <cell r="O96" t="str">
            <v>GERENTE</v>
          </cell>
          <cell r="P96">
            <v>13500</v>
          </cell>
          <cell r="Q96">
            <v>13500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13500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13500</v>
          </cell>
          <cell r="BE96"/>
          <cell r="BF96">
            <v>13500</v>
          </cell>
        </row>
        <row r="97">
          <cell r="A97" t="str">
            <v>PATRICIA CECILIA GUIDOTTI DE FREITAS</v>
          </cell>
          <cell r="B97">
            <v>46023</v>
          </cell>
          <cell r="C97" t="str">
            <v>CLT</v>
          </cell>
          <cell r="D97" t="str">
            <v>G3S FL 06 - MARINGA</v>
          </cell>
          <cell r="G97" t="str">
            <v>20.947.332/0006-08</v>
          </cell>
          <cell r="H97" t="str">
            <v>ADMINISTRATIVO</v>
          </cell>
          <cell r="I97" t="str">
            <v>ATENDIMENTO</v>
          </cell>
          <cell r="J97" t="str">
            <v>SELETIVA MARINGA DISTRITO</v>
          </cell>
          <cell r="K97">
            <v>45880</v>
          </cell>
          <cell r="L97"/>
          <cell r="M97"/>
          <cell r="N97" t="str">
            <v>1.2.4.1 ADMINISTRATIVO</v>
          </cell>
          <cell r="O97" t="str">
            <v>AUX ADMINISTRATIVO JUNIOR</v>
          </cell>
          <cell r="P97">
            <v>2320</v>
          </cell>
          <cell r="Q97">
            <v>2010.67</v>
          </cell>
          <cell r="R97">
            <v>0</v>
          </cell>
          <cell r="S97">
            <v>466.88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38.39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2515.94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19.54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19.54</v>
          </cell>
          <cell r="BD97">
            <v>2535.48</v>
          </cell>
          <cell r="BE97"/>
          <cell r="BF97">
            <v>2535.48</v>
          </cell>
        </row>
        <row r="98">
          <cell r="A98" t="str">
            <v>PATRICIA DANIELLE SILVA</v>
          </cell>
          <cell r="B98">
            <v>46023</v>
          </cell>
          <cell r="C98" t="str">
            <v>CLT</v>
          </cell>
          <cell r="D98" t="str">
            <v>G3S CMATRIZ - CAMPO GRANDE</v>
          </cell>
          <cell r="G98" t="str">
            <v>20.947.332/0001-95</v>
          </cell>
          <cell r="H98" t="str">
            <v>ADMINISTRATIVO</v>
          </cell>
          <cell r="I98" t="str">
            <v>ATENDIMENTO</v>
          </cell>
          <cell r="J98" t="str">
            <v>SELETIVA C GRANDE</v>
          </cell>
          <cell r="K98">
            <v>45733</v>
          </cell>
          <cell r="L98"/>
          <cell r="M98"/>
          <cell r="N98" t="str">
            <v>1.2.7.1 ADMINISTRATIVO</v>
          </cell>
          <cell r="O98" t="str">
            <v>AUX ADMINISTRATIVO JUNIOR</v>
          </cell>
          <cell r="P98">
            <v>2401.1999999999998</v>
          </cell>
          <cell r="Q98">
            <v>2081.04</v>
          </cell>
          <cell r="R98">
            <v>0</v>
          </cell>
          <cell r="S98">
            <v>484.99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7.37</v>
          </cell>
          <cell r="AC98">
            <v>0</v>
          </cell>
          <cell r="AD98">
            <v>0</v>
          </cell>
          <cell r="AE98">
            <v>0</v>
          </cell>
          <cell r="AF98">
            <v>208.1</v>
          </cell>
          <cell r="AG98">
            <v>2781.4999999999995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60.56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60.56</v>
          </cell>
          <cell r="BD98">
            <v>2842.0599999999995</v>
          </cell>
          <cell r="BE98"/>
          <cell r="BF98">
            <v>2842.0599999999995</v>
          </cell>
        </row>
        <row r="99">
          <cell r="A99" t="str">
            <v>PATRICIO SANTANA DA SILVA THEODORO</v>
          </cell>
          <cell r="B99">
            <v>46023</v>
          </cell>
          <cell r="C99" t="str">
            <v>CLT</v>
          </cell>
          <cell r="D99" t="str">
            <v>G S FL 04 - MARINGA</v>
          </cell>
          <cell r="G99" t="str">
            <v>20.504.237/0004-60</v>
          </cell>
          <cell r="H99" t="str">
            <v>OPERACIONAL</v>
          </cell>
          <cell r="I99" t="str">
            <v>PATIO</v>
          </cell>
          <cell r="J99" t="str">
            <v>SELETIVA MARINGA DISTRITO</v>
          </cell>
          <cell r="K99">
            <v>41276</v>
          </cell>
          <cell r="L99"/>
          <cell r="M99"/>
          <cell r="N99" t="str">
            <v>1.2.4.3 OPERACIONAL</v>
          </cell>
          <cell r="O99" t="str">
            <v>OPERADOR MANTENEDOR SENIOR</v>
          </cell>
          <cell r="P99">
            <v>3354.5</v>
          </cell>
          <cell r="Q99">
            <v>3354.5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248.77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3603.27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19.54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19.54</v>
          </cell>
          <cell r="BD99">
            <v>3622.81</v>
          </cell>
          <cell r="BE99"/>
          <cell r="BF99">
            <v>3622.81</v>
          </cell>
        </row>
        <row r="100">
          <cell r="A100" t="str">
            <v>PAULO DIAS CORREA</v>
          </cell>
          <cell r="B100">
            <v>46023</v>
          </cell>
          <cell r="C100" t="str">
            <v>CLT</v>
          </cell>
          <cell r="D100" t="str">
            <v>G3S FL 05 - PRES PRUD</v>
          </cell>
          <cell r="G100" t="str">
            <v>20.947.332/0005-19</v>
          </cell>
          <cell r="H100" t="str">
            <v>LOGISTICA</v>
          </cell>
          <cell r="I100" t="str">
            <v>TRANSPORTE</v>
          </cell>
          <cell r="J100" t="str">
            <v>BRACOFER</v>
          </cell>
          <cell r="K100">
            <v>43888</v>
          </cell>
          <cell r="L100"/>
          <cell r="N100" t="str">
            <v>1.3.1.4 LOGISTICA</v>
          </cell>
          <cell r="O100" t="str">
            <v>MOTORISTA TRUCK MANTENEDOR SENIOR</v>
          </cell>
          <cell r="P100">
            <v>2700</v>
          </cell>
          <cell r="Q100">
            <v>2700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135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2835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612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540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1152</v>
          </cell>
          <cell r="BD100">
            <v>3987</v>
          </cell>
          <cell r="BE100"/>
          <cell r="BF100">
            <v>3987</v>
          </cell>
        </row>
        <row r="101">
          <cell r="A101" t="str">
            <v>PAULO VITOR TOOKUNI DE LIMA</v>
          </cell>
          <cell r="B101">
            <v>46023</v>
          </cell>
          <cell r="C101" t="str">
            <v>CLT</v>
          </cell>
          <cell r="D101" t="str">
            <v>G3S  FL 08 - LONDRINA</v>
          </cell>
          <cell r="G101" t="str">
            <v>20.947.332/0008-61</v>
          </cell>
          <cell r="H101" t="str">
            <v>OPERACIONAL</v>
          </cell>
          <cell r="I101" t="str">
            <v>PATIO</v>
          </cell>
          <cell r="J101" t="str">
            <v>SELETIVA LONDRINA</v>
          </cell>
          <cell r="K101">
            <v>45027</v>
          </cell>
          <cell r="L101"/>
          <cell r="M101"/>
          <cell r="N101" t="str">
            <v>1.2.3.3 OPERACIONAL</v>
          </cell>
          <cell r="O101" t="str">
            <v>GERENTE DE PATIO SENIOR</v>
          </cell>
          <cell r="P101">
            <v>3679.83</v>
          </cell>
          <cell r="Q101">
            <v>3679.83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1103.95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4783.78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158.53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158.53</v>
          </cell>
          <cell r="BD101">
            <v>4942.3099999999995</v>
          </cell>
          <cell r="BE101"/>
          <cell r="BF101">
            <v>4942.3099999999995</v>
          </cell>
        </row>
        <row r="102">
          <cell r="A102" t="str">
            <v>PEDRO FELIPE PINA DO NASCIMENTO</v>
          </cell>
          <cell r="B102">
            <v>46023</v>
          </cell>
          <cell r="C102" t="str">
            <v>CLT</v>
          </cell>
          <cell r="D102" t="str">
            <v>G3S CMATRIZ - CAMPO GRANDE</v>
          </cell>
          <cell r="E102"/>
          <cell r="F102"/>
          <cell r="G102" t="str">
            <v>20.947.332/0001-95</v>
          </cell>
          <cell r="H102" t="str">
            <v>OPERACIONAL</v>
          </cell>
          <cell r="I102" t="str">
            <v>PATIO</v>
          </cell>
          <cell r="J102" t="str">
            <v>SELETIVA C GRANDE</v>
          </cell>
          <cell r="K102">
            <v>46001</v>
          </cell>
          <cell r="L102"/>
          <cell r="M102"/>
          <cell r="N102" t="str">
            <v>1.2.7.3 OPERACIONAL</v>
          </cell>
          <cell r="O102" t="str">
            <v>AUXILIAR DE PATIO JUNIOR</v>
          </cell>
          <cell r="P102">
            <v>2155</v>
          </cell>
          <cell r="Q102">
            <v>2155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2155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60.56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60.56</v>
          </cell>
          <cell r="BD102">
            <v>2215.56</v>
          </cell>
          <cell r="BE102"/>
          <cell r="BF102">
            <v>2215.56</v>
          </cell>
        </row>
        <row r="103">
          <cell r="A103" t="str">
            <v>PEDRO MARQUES GUARNIERI</v>
          </cell>
          <cell r="B103">
            <v>46023</v>
          </cell>
          <cell r="C103" t="str">
            <v>ESTÁGIO</v>
          </cell>
          <cell r="D103" t="str">
            <v>G3S FL 10 - PRES PRUD</v>
          </cell>
          <cell r="G103" t="str">
            <v>20.947.332/0010-86</v>
          </cell>
          <cell r="H103" t="str">
            <v>ADMINISTRATIVO</v>
          </cell>
          <cell r="I103" t="str">
            <v>QUALIDADE</v>
          </cell>
          <cell r="J103" t="str">
            <v>PILARES</v>
          </cell>
          <cell r="K103">
            <v>45790</v>
          </cell>
          <cell r="L103"/>
          <cell r="M103" t="str">
            <v>HUGO</v>
          </cell>
          <cell r="N103" t="str">
            <v>1.1.5 QUALIDADE</v>
          </cell>
          <cell r="O103" t="str">
            <v>AUXILIAR ADMINISTRATIVO - ESTAGIARIO(A)</v>
          </cell>
          <cell r="P103">
            <v>1000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1000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1000</v>
          </cell>
          <cell r="BD103">
            <v>1000</v>
          </cell>
          <cell r="BE103"/>
          <cell r="BF103">
            <v>1000</v>
          </cell>
        </row>
        <row r="104">
          <cell r="A104" t="str">
            <v>POLIANA CORREA DA SILVA</v>
          </cell>
          <cell r="B104">
            <v>46023</v>
          </cell>
          <cell r="C104" t="str">
            <v>CLT</v>
          </cell>
          <cell r="D104" t="str">
            <v>G3S  FL 03 - DOURADOS</v>
          </cell>
          <cell r="G104" t="str">
            <v>20.947.332/0003-57</v>
          </cell>
          <cell r="H104" t="str">
            <v>ADMINISTRATIVO</v>
          </cell>
          <cell r="I104" t="str">
            <v>ATENDIMENTO</v>
          </cell>
          <cell r="J104" t="str">
            <v>SELETIVA DOURADOS</v>
          </cell>
          <cell r="K104">
            <v>45376</v>
          </cell>
          <cell r="L104"/>
          <cell r="M104"/>
          <cell r="N104" t="str">
            <v>1.2.2.1 ADMINISTRATIVO</v>
          </cell>
          <cell r="O104" t="str">
            <v>AUX ADMINISTRATIVO JUNIOR</v>
          </cell>
          <cell r="P104">
            <v>2482.4</v>
          </cell>
          <cell r="Q104">
            <v>2316.9</v>
          </cell>
          <cell r="R104">
            <v>0</v>
          </cell>
          <cell r="S104">
            <v>232.93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19.260000000000002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2569.09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262.56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262.56</v>
          </cell>
          <cell r="BD104">
            <v>2831.65</v>
          </cell>
          <cell r="BE104"/>
          <cell r="BF104">
            <v>2831.65</v>
          </cell>
        </row>
        <row r="105">
          <cell r="A105" t="str">
            <v>RAMON FELIPE DE OLIVEIRA FREITAS</v>
          </cell>
          <cell r="B105">
            <v>46023</v>
          </cell>
          <cell r="C105" t="str">
            <v>CLT</v>
          </cell>
          <cell r="D105" t="str">
            <v>G S FL 06 - CAMPO GRANDE</v>
          </cell>
          <cell r="G105" t="str">
            <v>20.504.237/0006-21</v>
          </cell>
          <cell r="H105" t="str">
            <v>LOGISTICA</v>
          </cell>
          <cell r="I105" t="str">
            <v>TRANSPORTE</v>
          </cell>
          <cell r="J105" t="str">
            <v>SELETIVA C GRANDE</v>
          </cell>
          <cell r="K105">
            <v>44698</v>
          </cell>
          <cell r="L105"/>
          <cell r="M105"/>
          <cell r="N105" t="str">
            <v>1.2.7.4 LOGISTICA</v>
          </cell>
          <cell r="O105" t="str">
            <v>MOTORISTA CARRETEIRO MANTENEDOR PLENO II</v>
          </cell>
          <cell r="P105">
            <v>2746.46</v>
          </cell>
          <cell r="Q105">
            <v>2288.7199999999998</v>
          </cell>
          <cell r="R105">
            <v>0</v>
          </cell>
          <cell r="S105">
            <v>1077.17</v>
          </cell>
          <cell r="T105">
            <v>2154.36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1.36</v>
          </cell>
          <cell r="AA105">
            <v>1.36</v>
          </cell>
          <cell r="AB105">
            <v>148.46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5671.4299999999994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165.68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60.56</v>
          </cell>
          <cell r="AS105">
            <v>0</v>
          </cell>
          <cell r="AT105">
            <v>0</v>
          </cell>
          <cell r="AU105">
            <v>454</v>
          </cell>
          <cell r="AV105">
            <v>0</v>
          </cell>
          <cell r="AW105">
            <v>2154.36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2834.6000000000004</v>
          </cell>
          <cell r="BD105">
            <v>8506.0299999999988</v>
          </cell>
          <cell r="BE105"/>
          <cell r="BF105">
            <v>8506.0299999999988</v>
          </cell>
        </row>
        <row r="106">
          <cell r="A106" t="str">
            <v>REGINALDO DELA COSTA</v>
          </cell>
          <cell r="B106">
            <v>46023</v>
          </cell>
          <cell r="C106" t="str">
            <v>CLT</v>
          </cell>
          <cell r="D106" t="str">
            <v>G3S FL 05 - PRES PRUD</v>
          </cell>
          <cell r="G106" t="str">
            <v>20.947.332/0005-19</v>
          </cell>
          <cell r="H106" t="str">
            <v>LOGISTICA</v>
          </cell>
          <cell r="I106" t="str">
            <v>TRANSPORTE</v>
          </cell>
          <cell r="J106" t="str">
            <v>BRACOFER</v>
          </cell>
          <cell r="K106">
            <v>43234</v>
          </cell>
          <cell r="L106"/>
          <cell r="N106" t="str">
            <v>1.3.1.4 LOGISTICA</v>
          </cell>
          <cell r="O106" t="str">
            <v>MOTORISTA TRUCK MANTENEDOR SENIOR</v>
          </cell>
          <cell r="P106">
            <v>2700</v>
          </cell>
          <cell r="Q106">
            <v>900</v>
          </cell>
          <cell r="R106">
            <v>0</v>
          </cell>
          <cell r="S106">
            <v>3951.55</v>
          </cell>
          <cell r="T106">
            <v>1383.04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45</v>
          </cell>
          <cell r="Z106">
            <v>0</v>
          </cell>
          <cell r="AA106">
            <v>0</v>
          </cell>
          <cell r="AB106">
            <v>204.23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6483.82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1383.04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900</v>
          </cell>
          <cell r="BC106">
            <v>2283.04</v>
          </cell>
          <cell r="BD106">
            <v>8766.86</v>
          </cell>
          <cell r="BE106"/>
          <cell r="BF106">
            <v>8766.86</v>
          </cell>
        </row>
        <row r="107">
          <cell r="A107" t="str">
            <v>RIVAEL BARRETO DA SILVA</v>
          </cell>
          <cell r="B107">
            <v>46023</v>
          </cell>
          <cell r="C107" t="str">
            <v>CLT</v>
          </cell>
          <cell r="D107" t="str">
            <v>G S FL 05 - BARUERI</v>
          </cell>
          <cell r="G107" t="str">
            <v>20.504.237/0005-40</v>
          </cell>
          <cell r="H107" t="str">
            <v>OPERACIONAL</v>
          </cell>
          <cell r="I107" t="str">
            <v>TUPY/JOINVILLE - SC</v>
          </cell>
          <cell r="J107" t="str">
            <v>EKIPA LOCACOES E SERV G&amp;S</v>
          </cell>
          <cell r="K107">
            <v>44167</v>
          </cell>
          <cell r="L107"/>
          <cell r="M107"/>
          <cell r="N107" t="str">
            <v>1.7.1.8 TUPY - JOINVILLE/SC</v>
          </cell>
          <cell r="O107" t="str">
            <v>OPERADOR MANTENEDOR SENIOR</v>
          </cell>
          <cell r="P107">
            <v>3158.66</v>
          </cell>
          <cell r="Q107">
            <v>2737.51</v>
          </cell>
          <cell r="R107">
            <v>0</v>
          </cell>
          <cell r="S107">
            <v>673.84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3.39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3414.7400000000002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750</v>
          </cell>
          <cell r="AM107">
            <v>0</v>
          </cell>
          <cell r="AN107">
            <v>0</v>
          </cell>
          <cell r="AO107">
            <v>0</v>
          </cell>
          <cell r="AP107">
            <v>645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1395</v>
          </cell>
          <cell r="BD107">
            <v>4809.74</v>
          </cell>
          <cell r="BE107"/>
          <cell r="BF107">
            <v>4809.74</v>
          </cell>
        </row>
        <row r="108">
          <cell r="A108" t="str">
            <v>ROBERTO DOS SANTOS</v>
          </cell>
          <cell r="B108">
            <v>46023</v>
          </cell>
          <cell r="C108" t="str">
            <v>CLT</v>
          </cell>
          <cell r="D108" t="str">
            <v>G3S FL 05 - PRES PRUD</v>
          </cell>
          <cell r="G108" t="str">
            <v>20.947.332/0005-19</v>
          </cell>
          <cell r="H108" t="str">
            <v>COMERCIAL</v>
          </cell>
          <cell r="I108" t="str">
            <v>VENDAS</v>
          </cell>
          <cell r="J108" t="str">
            <v>BRACOFER</v>
          </cell>
          <cell r="K108">
            <v>43761</v>
          </cell>
          <cell r="L108"/>
          <cell r="M108"/>
          <cell r="N108" t="str">
            <v>1.3.1.2 COMERCIAL</v>
          </cell>
          <cell r="O108" t="str">
            <v>VENDEDOR(A)</v>
          </cell>
          <cell r="P108">
            <v>0</v>
          </cell>
          <cell r="Q108">
            <v>0</v>
          </cell>
          <cell r="R108">
            <v>0</v>
          </cell>
          <cell r="S108">
            <v>1774.93</v>
          </cell>
          <cell r="T108">
            <v>1774.95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5718.91</v>
          </cell>
          <cell r="AD108">
            <v>1345.63</v>
          </cell>
          <cell r="AE108">
            <v>0</v>
          </cell>
          <cell r="AF108">
            <v>0</v>
          </cell>
          <cell r="AG108">
            <v>10614.420000000002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1774.95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1774.95</v>
          </cell>
          <cell r="BD108">
            <v>12389.370000000003</v>
          </cell>
          <cell r="BE108"/>
          <cell r="BF108">
            <v>12389.370000000003</v>
          </cell>
        </row>
        <row r="109">
          <cell r="A109" t="str">
            <v>ROBERTT FERNANDO SIQUEIRA</v>
          </cell>
          <cell r="B109">
            <v>46023</v>
          </cell>
          <cell r="C109" t="str">
            <v>CLT</v>
          </cell>
          <cell r="D109" t="str">
            <v>G S FL 05 - BARUERI</v>
          </cell>
          <cell r="G109" t="str">
            <v>20.504.237/0005-40</v>
          </cell>
          <cell r="H109" t="str">
            <v>OPERACIONAL</v>
          </cell>
          <cell r="I109" t="str">
            <v>ARCELOR/BARRA MANSA - RJ</v>
          </cell>
          <cell r="J109" t="str">
            <v>EKIPA LOCACOES E SERV G&amp;S</v>
          </cell>
          <cell r="K109">
            <v>45520</v>
          </cell>
          <cell r="L109"/>
          <cell r="M109"/>
          <cell r="N109" t="str">
            <v>1.7.1.3 ARCELOR - BARRA MANS</v>
          </cell>
          <cell r="O109" t="str">
            <v>OPERADOR MANTENEDOR PLENO</v>
          </cell>
          <cell r="P109">
            <v>2816.11</v>
          </cell>
          <cell r="Q109">
            <v>2816.1099999999997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65.209999999999994</v>
          </cell>
          <cell r="AA109">
            <v>65.209999999999994</v>
          </cell>
          <cell r="AB109">
            <v>49.6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2996.1299999999997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784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784</v>
          </cell>
          <cell r="BD109">
            <v>3780.1299999999997</v>
          </cell>
          <cell r="BE109"/>
          <cell r="BF109">
            <v>3780.1299999999997</v>
          </cell>
        </row>
        <row r="110">
          <cell r="A110" t="str">
            <v>RODOLFO SALU DE OLIVEIRA</v>
          </cell>
          <cell r="B110">
            <v>46023</v>
          </cell>
          <cell r="C110" t="str">
            <v>CLT</v>
          </cell>
          <cell r="D110" t="str">
            <v>G3S  FL 03 - DOURADOS</v>
          </cell>
          <cell r="G110" t="str">
            <v>20.947.332/0003-57</v>
          </cell>
          <cell r="H110" t="str">
            <v>OPERACIONAL</v>
          </cell>
          <cell r="I110" t="str">
            <v>PATIO</v>
          </cell>
          <cell r="J110" t="str">
            <v>SELETIVA DOURADOS</v>
          </cell>
          <cell r="K110">
            <v>45733</v>
          </cell>
          <cell r="L110"/>
          <cell r="M110"/>
          <cell r="N110" t="str">
            <v>1.2.2.3 OPERACIONAL</v>
          </cell>
          <cell r="O110" t="str">
            <v>MACARIQUEIRO PLENO</v>
          </cell>
          <cell r="P110">
            <v>2587.5</v>
          </cell>
          <cell r="Q110">
            <v>2242.5</v>
          </cell>
          <cell r="R110">
            <v>0</v>
          </cell>
          <cell r="S110">
            <v>487.64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2730.14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262.56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262.56</v>
          </cell>
          <cell r="BD110">
            <v>2992.7</v>
          </cell>
          <cell r="BE110"/>
          <cell r="BF110">
            <v>2992.7</v>
          </cell>
        </row>
        <row r="111">
          <cell r="A111" t="str">
            <v>RODRIGO DA SILVA NORCIA</v>
          </cell>
          <cell r="B111">
            <v>46023</v>
          </cell>
          <cell r="C111" t="str">
            <v>PJ</v>
          </cell>
          <cell r="D111" t="str">
            <v>G3S FL 06 - MARINGA</v>
          </cell>
          <cell r="E111">
            <v>6</v>
          </cell>
          <cell r="F111"/>
          <cell r="G111" t="str">
            <v>CONTRATO PJ</v>
          </cell>
          <cell r="H111" t="str">
            <v>SELETIVA MARINGA</v>
          </cell>
          <cell r="I111" t="str">
            <v>COMERCIAL</v>
          </cell>
          <cell r="J111" t="str">
            <v>SELETIVA MARINGA</v>
          </cell>
          <cell r="K111"/>
          <cell r="L111"/>
          <cell r="M111" t="str">
            <v>MARCONDES</v>
          </cell>
          <cell r="N111" t="str">
            <v>1.2.4.2 COMERCIAL</v>
          </cell>
          <cell r="O111" t="str">
            <v>COMPRADOR</v>
          </cell>
          <cell r="P111">
            <v>7300</v>
          </cell>
          <cell r="Q111">
            <v>7300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7300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7300</v>
          </cell>
          <cell r="BE111"/>
          <cell r="BF111">
            <v>7300</v>
          </cell>
        </row>
        <row r="112">
          <cell r="A112" t="str">
            <v>RODRIGO PEREIRA DOS SANTOS</v>
          </cell>
          <cell r="B112">
            <v>46023</v>
          </cell>
          <cell r="C112" t="str">
            <v>CLT</v>
          </cell>
          <cell r="D112" t="str">
            <v>G S FL 04 - MARINGA</v>
          </cell>
          <cell r="G112" t="str">
            <v>20.504.237/0004-60</v>
          </cell>
          <cell r="H112" t="str">
            <v>LOGISTICA</v>
          </cell>
          <cell r="I112" t="str">
            <v>TRANSPORTE</v>
          </cell>
          <cell r="J112" t="str">
            <v>SELETIVA MARINGA DISTRITO</v>
          </cell>
          <cell r="K112">
            <v>45223</v>
          </cell>
          <cell r="L112">
            <v>46052</v>
          </cell>
          <cell r="M112"/>
          <cell r="N112" t="str">
            <v>1.2.4.4 LOGISTICA</v>
          </cell>
          <cell r="O112" t="str">
            <v>MOTORISTA CARRETEIRO MANTENEDOR SENIOR I</v>
          </cell>
          <cell r="P112">
            <v>3345</v>
          </cell>
          <cell r="Q112">
            <v>0</v>
          </cell>
          <cell r="R112">
            <v>0</v>
          </cell>
          <cell r="S112">
            <v>1028.75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1.1599999999999999</v>
          </cell>
          <cell r="AA112">
            <v>1.1599999999999999</v>
          </cell>
          <cell r="AB112">
            <v>188.56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1219.6300000000001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389.34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19.54</v>
          </cell>
          <cell r="AS112">
            <v>0</v>
          </cell>
          <cell r="AT112">
            <v>0</v>
          </cell>
          <cell r="AU112">
            <v>82.5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491.38</v>
          </cell>
          <cell r="BD112">
            <v>1711.0100000000002</v>
          </cell>
          <cell r="BE112"/>
          <cell r="BF112">
            <v>1711.0100000000002</v>
          </cell>
        </row>
        <row r="113">
          <cell r="A113" t="str">
            <v>RUBENS DE ARAUJO MOTA</v>
          </cell>
          <cell r="B113">
            <v>46023</v>
          </cell>
          <cell r="C113" t="str">
            <v>CLT</v>
          </cell>
          <cell r="D113" t="str">
            <v>G S FL 04 - MARINGA</v>
          </cell>
          <cell r="G113" t="str">
            <v>20.504.237/0004-60</v>
          </cell>
          <cell r="H113" t="str">
            <v>LOGISTICA</v>
          </cell>
          <cell r="I113" t="str">
            <v>TRANSPORTE</v>
          </cell>
          <cell r="J113" t="str">
            <v>SELETIVA MARINGA DISTRITO</v>
          </cell>
          <cell r="K113">
            <v>45664</v>
          </cell>
          <cell r="L113"/>
          <cell r="M113"/>
          <cell r="N113" t="str">
            <v>1.2.4.4 LOGISTICA</v>
          </cell>
          <cell r="O113" t="str">
            <v>MOTORISTA CARRETEIRO MANTENEDOR SENIOR I</v>
          </cell>
          <cell r="P113">
            <v>3345</v>
          </cell>
          <cell r="Q113">
            <v>2899</v>
          </cell>
          <cell r="R113">
            <v>0</v>
          </cell>
          <cell r="S113">
            <v>1020.35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170.82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4090.17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250.92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19.54</v>
          </cell>
          <cell r="AS113">
            <v>0</v>
          </cell>
          <cell r="AT113">
            <v>0</v>
          </cell>
          <cell r="AU113">
            <v>495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402</v>
          </cell>
          <cell r="BC113">
            <v>1167.46</v>
          </cell>
          <cell r="BD113">
            <v>5257.63</v>
          </cell>
          <cell r="BE113"/>
          <cell r="BF113">
            <v>5257.63</v>
          </cell>
        </row>
        <row r="114">
          <cell r="A114" t="str">
            <v>SAMUEL FERREIRA CRISTOVAM</v>
          </cell>
          <cell r="B114">
            <v>46023</v>
          </cell>
          <cell r="C114" t="str">
            <v>CLT</v>
          </cell>
          <cell r="D114" t="str">
            <v>G S FL 07 - LONDRINA</v>
          </cell>
          <cell r="E114"/>
          <cell r="F114"/>
          <cell r="G114" t="str">
            <v>20.504.237/0007-02</v>
          </cell>
          <cell r="H114" t="str">
            <v>LOGISTICA</v>
          </cell>
          <cell r="I114" t="str">
            <v>TRANSPORTE</v>
          </cell>
          <cell r="J114" t="str">
            <v>SELETIVA LONDRINA</v>
          </cell>
          <cell r="K114">
            <v>46048</v>
          </cell>
          <cell r="N114" t="str">
            <v>1.2.3.4 LOGISTICA</v>
          </cell>
          <cell r="O114" t="str">
            <v>MOTORISTA CARRETEIRO MANTENEDOR SENIOR I</v>
          </cell>
          <cell r="P114">
            <v>3345</v>
          </cell>
          <cell r="Q114">
            <v>669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669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363</v>
          </cell>
          <cell r="AV114">
            <v>0</v>
          </cell>
          <cell r="AW114">
            <v>0</v>
          </cell>
          <cell r="AX114">
            <v>40.520000000000003</v>
          </cell>
          <cell r="AY114">
            <v>0</v>
          </cell>
          <cell r="AZ114">
            <v>2</v>
          </cell>
          <cell r="BA114">
            <v>0</v>
          </cell>
          <cell r="BB114">
            <v>0</v>
          </cell>
          <cell r="BC114">
            <v>405.52</v>
          </cell>
          <cell r="BD114">
            <v>1074.52</v>
          </cell>
          <cell r="BE114"/>
          <cell r="BF114">
            <v>1074.52</v>
          </cell>
        </row>
        <row r="115">
          <cell r="A115" t="str">
            <v>SANDRILEI MOREIRA JUNIOR</v>
          </cell>
          <cell r="B115">
            <v>46023</v>
          </cell>
          <cell r="C115" t="str">
            <v>CLT</v>
          </cell>
          <cell r="D115" t="str">
            <v>G S FL 05 - BARUERI</v>
          </cell>
          <cell r="E115"/>
          <cell r="F115"/>
          <cell r="G115" t="str">
            <v>20.504.237/0005-40</v>
          </cell>
          <cell r="H115" t="str">
            <v>OPERACIONAL</v>
          </cell>
          <cell r="I115" t="str">
            <v>ARCELOR/BARRA MANSA - RJ</v>
          </cell>
          <cell r="J115" t="str">
            <v>EKIPA LOCACOES E SERV G&amp;S</v>
          </cell>
          <cell r="K115">
            <v>45728</v>
          </cell>
          <cell r="N115" t="str">
            <v>1.7.1.3 ARCELOR - BARRA MANS</v>
          </cell>
          <cell r="O115" t="str">
            <v>OPERADOR MANTENEDOR PLENO</v>
          </cell>
          <cell r="P115">
            <v>2816.11</v>
          </cell>
          <cell r="Q115">
            <v>2816.11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53.27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2869.38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712.8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712.8</v>
          </cell>
          <cell r="BD115">
            <v>3582.1800000000003</v>
          </cell>
          <cell r="BE115"/>
          <cell r="BF115">
            <v>3582.1800000000003</v>
          </cell>
        </row>
        <row r="116">
          <cell r="A116" t="str">
            <v>SERGIO ANTONIO DA SILVA</v>
          </cell>
          <cell r="B116">
            <v>46023</v>
          </cell>
          <cell r="C116" t="str">
            <v>PJ</v>
          </cell>
          <cell r="D116" t="str">
            <v>G3S FL 05 - PRES PRUD</v>
          </cell>
          <cell r="E116">
            <v>5</v>
          </cell>
          <cell r="F116"/>
          <cell r="G116" t="str">
            <v>CONTRATO PJ</v>
          </cell>
          <cell r="H116" t="str">
            <v>BRACOFER</v>
          </cell>
          <cell r="I116" t="str">
            <v>VENDAS</v>
          </cell>
          <cell r="J116" t="str">
            <v>BRACOFER</v>
          </cell>
          <cell r="K116"/>
          <cell r="M116" t="str">
            <v>MARCONDES</v>
          </cell>
          <cell r="N116" t="str">
            <v>1.3.1.2 COMERCIAL</v>
          </cell>
          <cell r="O116" t="str">
            <v>VENDEDOR(A)</v>
          </cell>
          <cell r="P116">
            <v>2554.1</v>
          </cell>
          <cell r="Q116">
            <v>2554.1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2554.1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2554.1</v>
          </cell>
          <cell r="BE116"/>
          <cell r="BF116">
            <v>2554.1</v>
          </cell>
        </row>
        <row r="117">
          <cell r="A117" t="str">
            <v>SERGIO LUIZ RIBEIRO</v>
          </cell>
          <cell r="B117">
            <v>46023</v>
          </cell>
          <cell r="C117" t="str">
            <v>CLT</v>
          </cell>
          <cell r="D117" t="str">
            <v>G S FL 05 - BARUERI</v>
          </cell>
          <cell r="E117"/>
          <cell r="F117"/>
          <cell r="G117" t="str">
            <v>20.504.237/0005-40</v>
          </cell>
          <cell r="H117" t="str">
            <v>OPERACIONAL</v>
          </cell>
          <cell r="I117" t="str">
            <v>RESENDE - RJ</v>
          </cell>
          <cell r="J117" t="str">
            <v>EKIPA LOCACOES E SERV G&amp;S</v>
          </cell>
          <cell r="K117">
            <v>45966</v>
          </cell>
          <cell r="N117" t="str">
            <v>1.7.1.2 ARCELOR - RESENDE/RJ</v>
          </cell>
          <cell r="O117" t="str">
            <v>OPERADOR MANTENEDOR SENIOR</v>
          </cell>
          <cell r="P117">
            <v>3158.66</v>
          </cell>
          <cell r="Q117">
            <v>3158.66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92.24</v>
          </cell>
          <cell r="AA117">
            <v>92.24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3343.1399999999994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126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126</v>
          </cell>
          <cell r="BD117">
            <v>3469.1399999999994</v>
          </cell>
          <cell r="BE117"/>
          <cell r="BF117">
            <v>3469.1399999999994</v>
          </cell>
        </row>
        <row r="118">
          <cell r="A118" t="str">
            <v>SILVANO VIEIRA DE SANTANA</v>
          </cell>
          <cell r="B118">
            <v>46023</v>
          </cell>
          <cell r="C118" t="str">
            <v>CLT</v>
          </cell>
          <cell r="D118" t="str">
            <v>G S FL 05 - BARUERI</v>
          </cell>
          <cell r="E118"/>
          <cell r="F118"/>
          <cell r="G118" t="str">
            <v>20.504.237/0005-40</v>
          </cell>
          <cell r="H118" t="str">
            <v>LOGISTICA</v>
          </cell>
          <cell r="I118" t="str">
            <v>TRANSPORTE</v>
          </cell>
          <cell r="J118" t="str">
            <v>SELETIVA CORPORATIVO SUCATA</v>
          </cell>
          <cell r="K118">
            <v>44238</v>
          </cell>
          <cell r="N118" t="str">
            <v>1.2.1.8 PRENSA MOVEL</v>
          </cell>
          <cell r="O118" t="str">
            <v>MOTORISTA CARRETEIRO MANTENEDOR SENIOR III</v>
          </cell>
          <cell r="P118">
            <v>3287.33</v>
          </cell>
          <cell r="Q118">
            <v>2849.02</v>
          </cell>
          <cell r="R118">
            <v>0</v>
          </cell>
          <cell r="S118">
            <v>750.32</v>
          </cell>
          <cell r="T118">
            <v>1875.81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91.24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5566.3899999999994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246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4537</v>
          </cell>
          <cell r="AV118">
            <v>0</v>
          </cell>
          <cell r="AW118">
            <v>1875.81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6658.8099999999995</v>
          </cell>
          <cell r="BD118">
            <v>12225.199999999999</v>
          </cell>
          <cell r="BE118"/>
          <cell r="BF118">
            <v>12225.199999999999</v>
          </cell>
        </row>
        <row r="119">
          <cell r="A119" t="str">
            <v>THAIS BARBOSA DA SILVA ROSA</v>
          </cell>
          <cell r="B119">
            <v>46023</v>
          </cell>
          <cell r="C119" t="str">
            <v>CLT</v>
          </cell>
          <cell r="D119" t="str">
            <v>G3S FL 10 - PRES PRUD</v>
          </cell>
          <cell r="E119"/>
          <cell r="F119"/>
          <cell r="G119" t="str">
            <v>20.947.332/0010-86</v>
          </cell>
          <cell r="H119" t="str">
            <v>COMERCIAL</v>
          </cell>
          <cell r="I119" t="str">
            <v>COMERCIAL</v>
          </cell>
          <cell r="J119" t="str">
            <v>SELETIVA PRESIDENTE PRUDENTE</v>
          </cell>
          <cell r="K119">
            <v>45301</v>
          </cell>
          <cell r="N119" t="str">
            <v>1.2.5.2 COMERCIAL</v>
          </cell>
          <cell r="O119" t="str">
            <v>ASSISTENTE COMERCIAL</v>
          </cell>
          <cell r="P119">
            <v>2098</v>
          </cell>
          <cell r="Q119">
            <v>1818.27</v>
          </cell>
          <cell r="R119">
            <v>0</v>
          </cell>
          <cell r="S119">
            <v>378.52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2196.79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260.95999999999998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260.95999999999998</v>
          </cell>
          <cell r="BD119">
            <v>2457.75</v>
          </cell>
          <cell r="BE119"/>
          <cell r="BF119">
            <v>2457.75</v>
          </cell>
        </row>
        <row r="120">
          <cell r="A120" t="str">
            <v>THAIS SILVA ROCHA</v>
          </cell>
          <cell r="B120">
            <v>46023</v>
          </cell>
          <cell r="C120" t="str">
            <v>CLT</v>
          </cell>
          <cell r="D120" t="str">
            <v>G S MATRIZ - PRES PRUD</v>
          </cell>
          <cell r="E120"/>
          <cell r="F120"/>
          <cell r="G120" t="str">
            <v>20.504.237/0001-17</v>
          </cell>
          <cell r="H120" t="str">
            <v>TRANSMOVE</v>
          </cell>
          <cell r="I120" t="str">
            <v>ADMINISTRATIVO</v>
          </cell>
          <cell r="J120" t="str">
            <v>SELETIVA PRESIDENTE PRUDENTE</v>
          </cell>
          <cell r="K120">
            <v>45931</v>
          </cell>
          <cell r="N120" t="str">
            <v>1.4.1.2 ADMINISTRATIVO</v>
          </cell>
          <cell r="O120" t="str">
            <v>ANALISTA ADMINISTRATIVO OPERACIONAL JUNIOR</v>
          </cell>
          <cell r="P120">
            <v>2500</v>
          </cell>
          <cell r="Q120">
            <v>2166.67</v>
          </cell>
          <cell r="R120">
            <v>0</v>
          </cell>
          <cell r="S120">
            <v>444.44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2611.11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83.33</v>
          </cell>
          <cell r="BC120">
            <v>83.33</v>
          </cell>
          <cell r="BD120">
            <v>2694.44</v>
          </cell>
          <cell r="BE120"/>
          <cell r="BF120">
            <v>2694.44</v>
          </cell>
        </row>
        <row r="121">
          <cell r="A121" t="str">
            <v>THAYNA RANI FERNANDES ALMEIDA</v>
          </cell>
          <cell r="B121">
            <v>46023</v>
          </cell>
          <cell r="C121" t="str">
            <v>CLT</v>
          </cell>
          <cell r="D121" t="str">
            <v>G3S FL 05 - PRES PRUD</v>
          </cell>
          <cell r="E121"/>
          <cell r="F121"/>
          <cell r="G121" t="str">
            <v>20.947.332/0005-19</v>
          </cell>
          <cell r="H121" t="str">
            <v>ADMINISTRATIVO</v>
          </cell>
          <cell r="I121" t="str">
            <v>CONTABILIDADE</v>
          </cell>
          <cell r="J121" t="str">
            <v>BRACOFER</v>
          </cell>
          <cell r="K121">
            <v>44980</v>
          </cell>
          <cell r="N121" t="str">
            <v>1.3.1.1 ADMINISTRATIVO</v>
          </cell>
          <cell r="O121" t="str">
            <v>ANALISTA CONTABIL PLENO</v>
          </cell>
          <cell r="P121">
            <v>3180</v>
          </cell>
          <cell r="Q121">
            <v>2756</v>
          </cell>
          <cell r="R121">
            <v>0</v>
          </cell>
          <cell r="S121">
            <v>574.53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3330.5299999999997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3330.5299999999997</v>
          </cell>
          <cell r="BE121"/>
          <cell r="BF121">
            <v>3330.5299999999997</v>
          </cell>
        </row>
        <row r="122">
          <cell r="A122" t="str">
            <v>THIAGO OLIVEIRA DOS SANTOS</v>
          </cell>
          <cell r="B122">
            <v>46023</v>
          </cell>
          <cell r="C122" t="str">
            <v>CLT</v>
          </cell>
          <cell r="D122" t="str">
            <v>G3S FL 05 - PRES PRUD</v>
          </cell>
          <cell r="E122"/>
          <cell r="F122"/>
          <cell r="G122" t="str">
            <v>20.947.332/0005-19</v>
          </cell>
          <cell r="H122" t="str">
            <v>OPERACIONAL</v>
          </cell>
          <cell r="I122" t="str">
            <v>CORTE E DOBRA</v>
          </cell>
          <cell r="J122" t="str">
            <v>BRACOFER</v>
          </cell>
          <cell r="K122">
            <v>41786</v>
          </cell>
          <cell r="N122" t="str">
            <v>1.3.1.5 CORTE E DOBRA</v>
          </cell>
          <cell r="O122" t="str">
            <v>GERENTE DE PATIO JUNIOR</v>
          </cell>
          <cell r="P122">
            <v>3056.81</v>
          </cell>
          <cell r="Q122">
            <v>2037.87</v>
          </cell>
          <cell r="R122">
            <v>0</v>
          </cell>
          <cell r="S122">
            <v>1950.65</v>
          </cell>
          <cell r="T122">
            <v>1950.65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47.08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5986.25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1950.65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734</v>
          </cell>
          <cell r="BC122">
            <v>2684.65</v>
          </cell>
          <cell r="BD122">
            <v>8670.9</v>
          </cell>
          <cell r="BE122"/>
          <cell r="BF122">
            <v>8670.9</v>
          </cell>
        </row>
        <row r="123">
          <cell r="A123" t="str">
            <v>TIAGO LUIS DE SOUZA</v>
          </cell>
          <cell r="B123">
            <v>46023</v>
          </cell>
          <cell r="C123" t="str">
            <v>CLT</v>
          </cell>
          <cell r="D123" t="str">
            <v>G S FL 07 - LONDRINA</v>
          </cell>
          <cell r="E123"/>
          <cell r="F123"/>
          <cell r="G123" t="str">
            <v>20.504.237/0007-02</v>
          </cell>
          <cell r="H123" t="str">
            <v>OPERACIONAL</v>
          </cell>
          <cell r="I123" t="str">
            <v>PATIO</v>
          </cell>
          <cell r="J123" t="str">
            <v>SELETIVA LONDRINA</v>
          </cell>
          <cell r="K123">
            <v>45594</v>
          </cell>
          <cell r="N123" t="str">
            <v>1.2.3.3 OPERACIONAL</v>
          </cell>
          <cell r="O123" t="str">
            <v>OPERADOR MANTENEDOR JR</v>
          </cell>
          <cell r="P123">
            <v>2610</v>
          </cell>
          <cell r="Q123">
            <v>2436</v>
          </cell>
          <cell r="R123">
            <v>0</v>
          </cell>
          <cell r="S123">
            <v>287.75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8.02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2731.77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158.53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158.53</v>
          </cell>
          <cell r="BD123">
            <v>2890.3</v>
          </cell>
          <cell r="BE123"/>
          <cell r="BF123">
            <v>2890.3</v>
          </cell>
        </row>
        <row r="124">
          <cell r="A124" t="str">
            <v>VALDECI DOS SANTOS MARTINS</v>
          </cell>
          <cell r="B124">
            <v>46023</v>
          </cell>
          <cell r="C124" t="str">
            <v>CLT</v>
          </cell>
          <cell r="D124" t="str">
            <v>G S FL 06 - CAMPO GRANDE</v>
          </cell>
          <cell r="E124"/>
          <cell r="F124"/>
          <cell r="G124" t="str">
            <v>20.504.237/0006-21</v>
          </cell>
          <cell r="H124" t="str">
            <v>OPERACIONAL</v>
          </cell>
          <cell r="I124" t="str">
            <v>TRANSPORTE</v>
          </cell>
          <cell r="J124" t="str">
            <v>SELETIVA C GRANDE</v>
          </cell>
          <cell r="K124">
            <v>44698</v>
          </cell>
          <cell r="N124" t="str">
            <v>1.2.7.3 OPERACIONAL</v>
          </cell>
          <cell r="O124" t="str">
            <v>OPERADOR MANTENEDOR</v>
          </cell>
          <cell r="P124">
            <v>2187.12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/>
          <cell r="BF124">
            <v>0</v>
          </cell>
        </row>
        <row r="125">
          <cell r="A125" t="str">
            <v>VALDECI PEREIRA GOMES JUNIOR</v>
          </cell>
          <cell r="B125">
            <v>46023</v>
          </cell>
          <cell r="C125" t="str">
            <v>CLT</v>
          </cell>
          <cell r="D125" t="str">
            <v>G S MATRIZ - PRES PRUD</v>
          </cell>
          <cell r="E125"/>
          <cell r="F125"/>
          <cell r="G125" t="str">
            <v>20.504.237/0001-17</v>
          </cell>
          <cell r="H125" t="str">
            <v>LOGISTICA</v>
          </cell>
          <cell r="I125" t="str">
            <v>TRANSPORTE</v>
          </cell>
          <cell r="J125" t="str">
            <v>SELETIVA PRESIDENTE PRUDENTE</v>
          </cell>
          <cell r="K125">
            <v>45980</v>
          </cell>
          <cell r="N125" t="str">
            <v>1.2.5.4 LOGISTICA</v>
          </cell>
          <cell r="O125" t="str">
            <v>MOTORISTA CARRETEIRO MANTENEDOR SENIOR I</v>
          </cell>
          <cell r="P125">
            <v>2925.98</v>
          </cell>
          <cell r="Q125">
            <v>2535.85</v>
          </cell>
          <cell r="R125">
            <v>0</v>
          </cell>
          <cell r="S125">
            <v>660.89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24.61</v>
          </cell>
          <cell r="AA125">
            <v>24.61</v>
          </cell>
          <cell r="AB125">
            <v>218.17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3464.13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100.67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285.83999999999997</v>
          </cell>
          <cell r="AS125">
            <v>0</v>
          </cell>
          <cell r="AT125">
            <v>0</v>
          </cell>
          <cell r="AU125">
            <v>1063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1449.51</v>
          </cell>
          <cell r="BD125">
            <v>4913.6400000000003</v>
          </cell>
          <cell r="BE125"/>
          <cell r="BF125">
            <v>4913.6400000000003</v>
          </cell>
        </row>
        <row r="126">
          <cell r="A126" t="str">
            <v>VALTER LEITE VIEIRA</v>
          </cell>
          <cell r="B126">
            <v>46023</v>
          </cell>
          <cell r="C126" t="str">
            <v>CLT</v>
          </cell>
          <cell r="D126" t="str">
            <v>G3S FL 06 - MARINGA</v>
          </cell>
          <cell r="E126"/>
          <cell r="F126"/>
          <cell r="G126" t="str">
            <v>20.947.332/0006-08</v>
          </cell>
          <cell r="H126" t="str">
            <v>OPERACIONAL</v>
          </cell>
          <cell r="I126" t="str">
            <v>PATIO</v>
          </cell>
          <cell r="J126" t="str">
            <v>SELETIVA MARINGA DISTRITO</v>
          </cell>
          <cell r="K126">
            <v>44067</v>
          </cell>
          <cell r="N126" t="str">
            <v>1.2.4.3 OPERACIONAL</v>
          </cell>
          <cell r="O126" t="str">
            <v>GERENTE DE PATIO SENIOR</v>
          </cell>
          <cell r="P126">
            <v>3679.83</v>
          </cell>
          <cell r="Q126">
            <v>3189.19</v>
          </cell>
          <cell r="R126">
            <v>0</v>
          </cell>
          <cell r="S126">
            <v>1335.18</v>
          </cell>
          <cell r="T126">
            <v>0</v>
          </cell>
          <cell r="U126">
            <v>0</v>
          </cell>
          <cell r="V126">
            <v>956.76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43.79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5524.92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178.07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178.07</v>
          </cell>
          <cell r="BD126">
            <v>5702.99</v>
          </cell>
          <cell r="BE126"/>
          <cell r="BF126">
            <v>5702.99</v>
          </cell>
        </row>
        <row r="127">
          <cell r="A127" t="str">
            <v>VINICIUS AUGUSTO ALVES VILELA</v>
          </cell>
          <cell r="B127">
            <v>46023</v>
          </cell>
          <cell r="C127" t="str">
            <v>PJ</v>
          </cell>
          <cell r="D127" t="str">
            <v>G3S  FL 10 - PRES PRUD</v>
          </cell>
          <cell r="E127">
            <v>10</v>
          </cell>
          <cell r="F127"/>
          <cell r="G127" t="str">
            <v>CONTRATO PJ</v>
          </cell>
          <cell r="H127" t="str">
            <v>ADMINISTRATIVO</v>
          </cell>
          <cell r="I127" t="str">
            <v>SUPRIMENTOS</v>
          </cell>
          <cell r="J127" t="str">
            <v>PILARES</v>
          </cell>
          <cell r="K127">
            <v>45839</v>
          </cell>
          <cell r="M127"/>
          <cell r="N127" t="str">
            <v>1.1.14 SUPRIMENTOS</v>
          </cell>
          <cell r="O127" t="str">
            <v>ANALISTA DE COMPRAS</v>
          </cell>
          <cell r="P127">
            <v>5500</v>
          </cell>
          <cell r="Q127">
            <v>5500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5500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5500</v>
          </cell>
          <cell r="BE127"/>
          <cell r="BF127">
            <v>5500</v>
          </cell>
        </row>
        <row r="128">
          <cell r="A128" t="str">
            <v>VINICIUS LIMA SALDANHA</v>
          </cell>
          <cell r="B128">
            <v>46023</v>
          </cell>
          <cell r="C128" t="str">
            <v>CLT</v>
          </cell>
          <cell r="D128" t="str">
            <v>G3S  FL 03 - DOURADOS</v>
          </cell>
          <cell r="E128"/>
          <cell r="F128"/>
          <cell r="G128" t="str">
            <v>20.947.332/0003-57</v>
          </cell>
          <cell r="H128" t="str">
            <v>OPERACIONAL</v>
          </cell>
          <cell r="I128" t="str">
            <v>PATIO</v>
          </cell>
          <cell r="J128" t="str">
            <v>SELETIVA DOURADOS</v>
          </cell>
          <cell r="K128">
            <v>44700</v>
          </cell>
          <cell r="N128" t="str">
            <v>1.2.2.3 OPERACIONAL</v>
          </cell>
          <cell r="O128" t="str">
            <v>GERENTE DE PATIO SENIOR</v>
          </cell>
          <cell r="P128">
            <v>3679.83</v>
          </cell>
          <cell r="Q128">
            <v>3679.83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1103.95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4783.78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262.56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262.56</v>
          </cell>
          <cell r="BD128">
            <v>5046.34</v>
          </cell>
          <cell r="BE128"/>
          <cell r="BF128">
            <v>5046.34</v>
          </cell>
        </row>
        <row r="129">
          <cell r="A129" t="str">
            <v>WAGNER APARECIDO DO NASCIMENTO</v>
          </cell>
          <cell r="B129">
            <v>46023</v>
          </cell>
          <cell r="C129" t="str">
            <v>CLT</v>
          </cell>
          <cell r="D129" t="str">
            <v>G S FL 05 - BARUERI</v>
          </cell>
          <cell r="E129"/>
          <cell r="F129"/>
          <cell r="G129" t="str">
            <v>20.504.237/0005-40</v>
          </cell>
          <cell r="H129" t="str">
            <v>LOGISTICA</v>
          </cell>
          <cell r="I129" t="str">
            <v>PRENSA MOVEL</v>
          </cell>
          <cell r="J129" t="str">
            <v>SELETIVA CORPORATIVO SUCATA</v>
          </cell>
          <cell r="K129">
            <v>43858</v>
          </cell>
          <cell r="N129" t="str">
            <v>1.2.1.8 PRENSA MOVEL</v>
          </cell>
          <cell r="O129" t="str">
            <v>MOTORISTA CARRETEIRO MANTENEDOR SENIOR II</v>
          </cell>
          <cell r="P129">
            <v>3091.39</v>
          </cell>
          <cell r="Q129">
            <v>2679.2</v>
          </cell>
          <cell r="R129">
            <v>0</v>
          </cell>
          <cell r="S129">
            <v>659.49</v>
          </cell>
          <cell r="T129">
            <v>1648.75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60.42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5047.8599999999997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2205</v>
          </cell>
          <cell r="AM129">
            <v>0</v>
          </cell>
          <cell r="AN129">
            <v>0</v>
          </cell>
          <cell r="AO129">
            <v>0</v>
          </cell>
          <cell r="AP129">
            <v>250</v>
          </cell>
          <cell r="AQ129">
            <v>0</v>
          </cell>
          <cell r="AR129">
            <v>0</v>
          </cell>
          <cell r="AS129">
            <v>0</v>
          </cell>
          <cell r="AT129">
            <v>1607.52</v>
          </cell>
          <cell r="AU129">
            <v>2520</v>
          </cell>
          <cell r="AV129">
            <v>0</v>
          </cell>
          <cell r="AW129">
            <v>1648.75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8231.27</v>
          </cell>
          <cell r="BD129">
            <v>13279.130000000001</v>
          </cell>
          <cell r="BE129"/>
          <cell r="BF129">
            <v>13279.130000000001</v>
          </cell>
        </row>
        <row r="130">
          <cell r="A130" t="str">
            <v>WAGNER CALDEIRA DA SILVA JUNIOR</v>
          </cell>
          <cell r="B130">
            <v>46023</v>
          </cell>
          <cell r="C130" t="str">
            <v>PJ</v>
          </cell>
          <cell r="D130" t="str">
            <v>G S FL 05 - BARUERI</v>
          </cell>
          <cell r="E130">
            <v>5</v>
          </cell>
          <cell r="F130"/>
          <cell r="G130" t="str">
            <v>CONTRATO PJ</v>
          </cell>
          <cell r="H130" t="str">
            <v>OPERACIONAL</v>
          </cell>
          <cell r="I130" t="str">
            <v>MANUTENCAO</v>
          </cell>
          <cell r="J130" t="str">
            <v>EKIPA LOCACOES E SERV G&amp;S</v>
          </cell>
          <cell r="K130">
            <v>42826</v>
          </cell>
          <cell r="M130"/>
          <cell r="N130" t="str">
            <v>1.1.15 MANUTENCAO DE MAQUINA</v>
          </cell>
          <cell r="O130" t="str">
            <v>ENCARREGADO MANUT MAQ E EQUIPAMENTOS</v>
          </cell>
          <cell r="P130">
            <v>10000</v>
          </cell>
          <cell r="Q130">
            <v>10000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10000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10000</v>
          </cell>
          <cell r="BE130"/>
          <cell r="BF130">
            <v>10000</v>
          </cell>
        </row>
        <row r="131">
          <cell r="A131" t="str">
            <v>WALLANCE ALIEL FURTADO</v>
          </cell>
          <cell r="B131">
            <v>46023</v>
          </cell>
          <cell r="C131" t="str">
            <v>CLT</v>
          </cell>
          <cell r="D131" t="str">
            <v>G S FL 05 - BARUERI</v>
          </cell>
          <cell r="E131"/>
          <cell r="F131"/>
          <cell r="G131" t="str">
            <v>20.504.237/0005-40</v>
          </cell>
          <cell r="H131" t="str">
            <v>OPERACIONAL</v>
          </cell>
          <cell r="I131" t="str">
            <v>ARCELOR/BARRA MANSA - RJ</v>
          </cell>
          <cell r="J131" t="str">
            <v>EKIPA LOCACOES E SERV G&amp;S</v>
          </cell>
          <cell r="K131">
            <v>44876</v>
          </cell>
          <cell r="N131" t="str">
            <v>1.7.1.3 ARCELOR - BARRA MANS</v>
          </cell>
          <cell r="O131" t="str">
            <v>OPERADOR MANTENEDOR SENIOR</v>
          </cell>
          <cell r="P131">
            <v>3158.66</v>
          </cell>
          <cell r="Q131">
            <v>3158.66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28.14</v>
          </cell>
          <cell r="AA131">
            <v>28.14</v>
          </cell>
          <cell r="AB131">
            <v>48.59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3263.5299999999997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784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784</v>
          </cell>
          <cell r="BD131">
            <v>4047.5299999999997</v>
          </cell>
          <cell r="BE131"/>
          <cell r="BF131">
            <v>4047.5299999999997</v>
          </cell>
        </row>
        <row r="132">
          <cell r="A132" t="str">
            <v>WELLINGTON APARECIDO S DE OLIVEIRA SOUSA</v>
          </cell>
          <cell r="B132">
            <v>46023</v>
          </cell>
          <cell r="C132" t="str">
            <v>CLT</v>
          </cell>
          <cell r="D132" t="str">
            <v>G3S  FL 04 - PRES PRUD</v>
          </cell>
          <cell r="E132"/>
          <cell r="F132"/>
          <cell r="G132" t="str">
            <v>20.947.332/0004-38</v>
          </cell>
          <cell r="H132" t="str">
            <v>OPERACIONAL</v>
          </cell>
          <cell r="I132" t="str">
            <v>PATIO</v>
          </cell>
          <cell r="J132" t="str">
            <v>SELETIVA PRESIDENTE PRUDENTE</v>
          </cell>
          <cell r="K132">
            <v>45966</v>
          </cell>
          <cell r="L132">
            <v>46027</v>
          </cell>
          <cell r="N132" t="str">
            <v>1.2.5.3 OPERACIONAL</v>
          </cell>
          <cell r="O132" t="str">
            <v>AUXILIAR DE PATIO JUNIOR</v>
          </cell>
          <cell r="P132">
            <v>2155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/>
          <cell r="BF132">
            <v>0</v>
          </cell>
        </row>
        <row r="133">
          <cell r="A133" t="str">
            <v>WILGNER DAVALO DA SILVA</v>
          </cell>
          <cell r="B133">
            <v>46023</v>
          </cell>
          <cell r="C133" t="str">
            <v>CLT</v>
          </cell>
          <cell r="D133" t="str">
            <v>G3S FL 10 - PRES PRUD</v>
          </cell>
          <cell r="E133"/>
          <cell r="F133"/>
          <cell r="G133" t="str">
            <v>20.947.332/0010-86</v>
          </cell>
          <cell r="H133" t="str">
            <v>ADMINISTRATIVO</v>
          </cell>
          <cell r="I133" t="str">
            <v>FINANCEIRO</v>
          </cell>
          <cell r="J133" t="str">
            <v>PILARES</v>
          </cell>
          <cell r="K133">
            <v>45562</v>
          </cell>
          <cell r="N133" t="str">
            <v>1.1.3 FINANCEIRO</v>
          </cell>
          <cell r="O133" t="str">
            <v>ANALISTA FINANCEIRO JUNIOR</v>
          </cell>
          <cell r="P133">
            <v>2500</v>
          </cell>
          <cell r="Q133">
            <v>2166.67</v>
          </cell>
          <cell r="R133">
            <v>0</v>
          </cell>
          <cell r="S133">
            <v>454.16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2620.83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2620.83</v>
          </cell>
          <cell r="BE133"/>
          <cell r="BF133">
            <v>2620.83</v>
          </cell>
        </row>
        <row r="134">
          <cell r="A134" t="str">
            <v>WILLIAM CRISTIAN LUPION</v>
          </cell>
          <cell r="B134">
            <v>46023</v>
          </cell>
          <cell r="C134" t="str">
            <v>CLT</v>
          </cell>
          <cell r="D134" t="str">
            <v>G S FL 04 - MARINGA</v>
          </cell>
          <cell r="E134"/>
          <cell r="F134"/>
          <cell r="G134" t="str">
            <v>20.504.237/0004-60</v>
          </cell>
          <cell r="H134" t="str">
            <v>LOGISTICA</v>
          </cell>
          <cell r="I134" t="str">
            <v>TRANSPORTE</v>
          </cell>
          <cell r="J134" t="str">
            <v>SELETIVA MARINGA DISTRITO</v>
          </cell>
          <cell r="K134">
            <v>45117</v>
          </cell>
          <cell r="N134" t="str">
            <v>1.2.4.4 LOGISTICA</v>
          </cell>
          <cell r="O134" t="str">
            <v>MOTORISTA CARRETEIRO MANTENEDOR SENIOR I</v>
          </cell>
          <cell r="P134">
            <v>3345</v>
          </cell>
          <cell r="Q134">
            <v>2899</v>
          </cell>
          <cell r="R134">
            <v>0</v>
          </cell>
          <cell r="S134">
            <v>984.71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70.75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3954.46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212.07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19.54</v>
          </cell>
          <cell r="AS134">
            <v>0</v>
          </cell>
          <cell r="AT134">
            <v>0</v>
          </cell>
          <cell r="AU134">
            <v>297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528.61</v>
          </cell>
          <cell r="BD134">
            <v>4483.07</v>
          </cell>
          <cell r="BE134"/>
          <cell r="BF134">
            <v>4483.07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iovane Porto | Seletiva" id="{1BA5F81E-D846-4728-8DE4-041AD09B5E1F}" userId="giovane.porto@seletiva.ind.br" providerId="PeoplePicker"/>
  <person displayName="Luciano Faria | Pilares" id="{002CA2FC-7BD8-4285-8D8A-278DBE800B31}" userId="S::luciano.faria@pilares.adm.br::35a23d0e-8c4b-4e16-9e00-2967167d731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ano Rogerio Faria" refreshedDate="46129.436493055553" createdVersion="8" refreshedVersion="8" minRefreshableVersion="3" recordCount="21" xr:uid="{FBDA9CBC-9418-4BAA-89B8-E680A261E86C}">
  <cacheSource type="worksheet">
    <worksheetSource ref="A2:O23" sheet="BRACOFER"/>
  </cacheSource>
  <cacheFields count="15">
    <cacheField name="Qtde" numFmtId="0">
      <sharedItems containsSemiMixedTypes="0" containsString="0" containsNumber="1" containsInteger="1" minValue="1" maxValue="19"/>
    </cacheField>
    <cacheField name="FUNCIONÁRIO" numFmtId="0">
      <sharedItems/>
    </cacheField>
    <cacheField name="Tipo" numFmtId="0">
      <sharedItems containsMixedTypes="1" containsNumber="1" containsInteger="1" minValue="0" maxValue="0" count="4">
        <s v="PJ"/>
        <s v="CLT"/>
        <s v="ESTÁGIO"/>
        <n v="0" u="1"/>
      </sharedItems>
    </cacheField>
    <cacheField name="Setor" numFmtId="0">
      <sharedItems/>
    </cacheField>
    <cacheField name="Função " numFmtId="0">
      <sharedItems/>
    </cacheField>
    <cacheField name="Status" numFmtId="0">
      <sharedItems count="3">
        <s v="Ativo"/>
        <s v="Desligado"/>
        <e v="#N/A" u="1"/>
      </sharedItems>
    </cacheField>
    <cacheField name="Empresa Registro" numFmtId="0">
      <sharedItems/>
    </cacheField>
    <cacheField name="CNPJ" numFmtId="0">
      <sharedItems/>
    </cacheField>
    <cacheField name="Provisão_x000a_de Férias + 13º" numFmtId="42">
      <sharedItems containsSemiMixedTypes="0" containsString="0" containsNumber="1" minValue="0" maxValue="1314.3530555555556"/>
    </cacheField>
    <cacheField name="Provisão _x000a_de Encargos" numFmtId="42">
      <sharedItems containsSemiMixedTypes="0" containsString="0" containsNumber="1" minValue="0" maxValue="2386.11"/>
    </cacheField>
    <cacheField name="Eventos Folha_x000a_(Caixa)" numFmtId="42">
      <sharedItems containsSemiMixedTypes="0" containsString="0" containsNumber="1" minValue="12.87" maxValue="2447.87"/>
    </cacheField>
    <cacheField name="Sal PF" numFmtId="42">
      <sharedItems containsSemiMixedTypes="0" containsString="0" containsNumber="1" minValue="183.33" maxValue="12012.87"/>
    </cacheField>
    <cacheField name="TT BRUTO_x000a_MARÇO" numFmtId="42">
      <sharedItems containsSemiMixedTypes="0" containsString="0" containsNumber="1" minValue="1521.87" maxValue="12012.87"/>
    </cacheField>
    <cacheField name="%" numFmtId="10">
      <sharedItems containsSemiMixedTypes="0" containsString="0" containsNumber="1" minValue="1.688643655877398E-2" maxValue="0.13329296664222254"/>
    </cacheField>
    <cacheField name="TT BRUTO_x000a_FEVEREIRO" numFmtId="42">
      <sharedItems containsSemiMixedTypes="0" containsString="0" containsNumber="1" minValue="0" maxValue="12389.37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ano Rogerio Faria" refreshedDate="46129.437143634263" createdVersion="8" refreshedVersion="8" minRefreshableVersion="3" recordCount="21" xr:uid="{EC8CEBCA-FD83-44D7-B00A-5A4C16C520A4}">
  <cacheSource type="worksheet">
    <worksheetSource ref="B2:M23" sheet="BRACOFER"/>
  </cacheSource>
  <cacheFields count="12">
    <cacheField name="FUNCIONÁRIO" numFmtId="0">
      <sharedItems/>
    </cacheField>
    <cacheField name="Tipo" numFmtId="0">
      <sharedItems/>
    </cacheField>
    <cacheField name="Setor" numFmtId="0">
      <sharedItems/>
    </cacheField>
    <cacheField name="Função " numFmtId="0">
      <sharedItems/>
    </cacheField>
    <cacheField name="Status" numFmtId="0">
      <sharedItems/>
    </cacheField>
    <cacheField name="Empresa Registro" numFmtId="0">
      <sharedItems count="2">
        <s v="G3S FL 05 - PRES PRUD"/>
        <e v="#N/A" u="1"/>
      </sharedItems>
    </cacheField>
    <cacheField name="CNPJ" numFmtId="0">
      <sharedItems count="3">
        <s v="CONTRATO PJ"/>
        <s v="20.947.332/0005-19"/>
        <e v="#N/A" u="1"/>
      </sharedItems>
    </cacheField>
    <cacheField name="Provisão_x000a_de Férias + 13º" numFmtId="42">
      <sharedItems containsSemiMixedTypes="0" containsString="0" containsNumber="1" minValue="0" maxValue="1314.3530555555556"/>
    </cacheField>
    <cacheField name="Provisão _x000a_de Encargos" numFmtId="42">
      <sharedItems containsSemiMixedTypes="0" containsString="0" containsNumber="1" minValue="0" maxValue="2386.11"/>
    </cacheField>
    <cacheField name="Eventos Folha_x000a_(Caixa)" numFmtId="42">
      <sharedItems containsSemiMixedTypes="0" containsString="0" containsNumber="1" minValue="12.87" maxValue="2447.87"/>
    </cacheField>
    <cacheField name="Sal PF" numFmtId="42">
      <sharedItems containsSemiMixedTypes="0" containsString="0" containsNumber="1" minValue="183.33" maxValue="12012.87"/>
    </cacheField>
    <cacheField name="TT BRUTO_x000a_MARÇO" numFmtId="42">
      <sharedItems containsSemiMixedTypes="0" containsString="0" containsNumber="1" minValue="1521.87" maxValue="12012.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ano Rogerio Faria" refreshedDate="46129.622772453702" createdVersion="8" refreshedVersion="8" minRefreshableVersion="3" recordCount="14" xr:uid="{3620410C-14D4-4549-8421-3DBFEAA43F4A}">
  <cacheSource type="worksheet">
    <worksheetSource ref="B2:M16" sheet="SELETIVA PRUDENTE"/>
  </cacheSource>
  <cacheFields count="12">
    <cacheField name="FUNCIONÁRIO" numFmtId="0">
      <sharedItems/>
    </cacheField>
    <cacheField name="Tipo" numFmtId="0">
      <sharedItems containsMixedTypes="1" containsNumber="1" containsInteger="1" minValue="0" maxValue="0" count="3">
        <s v="PJ"/>
        <s v="CLT"/>
        <n v="0" u="1"/>
      </sharedItems>
    </cacheField>
    <cacheField name="Setor" numFmtId="0">
      <sharedItems/>
    </cacheField>
    <cacheField name="Função " numFmtId="0">
      <sharedItems/>
    </cacheField>
    <cacheField name="Status" numFmtId="0">
      <sharedItems count="3">
        <s v="Ativo"/>
        <e v="#N/A" u="1"/>
        <s v="Desligado" u="1"/>
      </sharedItems>
    </cacheField>
    <cacheField name="Empresa Registro" numFmtId="0">
      <sharedItems count="4">
        <s v="G3S  FL 04 - PRES PRUD"/>
        <s v="G S MATRIZ - PRES PRUD"/>
        <s v="G3S FL 10 - PRES PRUD"/>
        <e v="#N/A" u="1"/>
      </sharedItems>
    </cacheField>
    <cacheField name="CNPJ" numFmtId="0">
      <sharedItems count="5">
        <s v="CONTRATO PJ"/>
        <s v="20.947.332/0004-38"/>
        <s v="20.504.237/0001-17"/>
        <s v="20.947.332/0010-86"/>
        <e v="#N/A" u="1"/>
      </sharedItems>
    </cacheField>
    <cacheField name="Provisão_x000a_de Férias + 13º" numFmtId="42">
      <sharedItems containsSemiMixedTypes="0" containsString="0" containsNumber="1" minValue="359.68333333333334" maxValue="1233.7344444444445"/>
    </cacheField>
    <cacheField name="Provisão _x000a_de Encargos" numFmtId="42">
      <sharedItems containsSemiMixedTypes="0" containsString="0" containsNumber="1" minValue="0" maxValue="2274.84"/>
    </cacheField>
    <cacheField name="Eventos Folha_x000a_(Caixa)" numFmtId="42">
      <sharedItems containsSemiMixedTypes="0" containsString="0" containsNumber="1" minValue="12.87" maxValue="7679.53"/>
    </cacheField>
    <cacheField name="Sal PF" numFmtId="42">
      <sharedItems containsSemiMixedTypes="0" containsString="0" containsNumber="1" minValue="2362.67" maxValue="12660.41"/>
    </cacheField>
    <cacheField name="TT BRUTO_x000a_MARÇO" numFmtId="42">
      <sharedItems containsSemiMixedTypes="0" containsString="0" containsNumber="1" minValue="2362.67" maxValue="12660.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ano Rogerio Faria" refreshedDate="46132.41034328704" createdVersion="8" refreshedVersion="8" minRefreshableVersion="3" recordCount="4" xr:uid="{3A99A9BB-74EE-49D9-972D-0E516F6F9429}">
  <cacheSource type="worksheet">
    <worksheetSource ref="B2:N6" sheet="SELETIVA CIDADE ALTA"/>
  </cacheSource>
  <cacheFields count="13">
    <cacheField name="FUNCIONÁRIO" numFmtId="0">
      <sharedItems/>
    </cacheField>
    <cacheField name="Tipo" numFmtId="0">
      <sharedItems/>
    </cacheField>
    <cacheField name="Setor" numFmtId="0">
      <sharedItems/>
    </cacheField>
    <cacheField name="Função " numFmtId="0">
      <sharedItems/>
    </cacheField>
    <cacheField name="Status" numFmtId="0">
      <sharedItems/>
    </cacheField>
    <cacheField name="Empresa Registro" numFmtId="0">
      <sharedItems count="4">
        <s v="G S FL 04 - MARINGA"/>
        <s v="G3S FL 11 - MARINGA"/>
        <e v="#N/A" u="1"/>
        <s v="G3S FL 06 - MARINGA" u="1"/>
      </sharedItems>
    </cacheField>
    <cacheField name="CNPJ" numFmtId="0">
      <sharedItems count="4">
        <s v="20.504.237/0004-60"/>
        <s v="20.947.332/0011-67"/>
        <e v="#N/A" u="1"/>
        <s v="20.947.332/0006-08" u="1"/>
      </sharedItems>
    </cacheField>
    <cacheField name="Provisão_x000a_de Férias + 13º" numFmtId="42">
      <sharedItems containsSemiMixedTypes="0" containsString="0" containsNumber="1" minValue="200.095" maxValue="636.04916666666668"/>
    </cacheField>
    <cacheField name="Provisão _x000a_de Encargos" numFmtId="42">
      <sharedItems containsSemiMixedTypes="0" containsString="0" containsNumber="1" minValue="552.25" maxValue="1203.75"/>
    </cacheField>
    <cacheField name="Eventos Folha_x000a_(Caixa)" numFmtId="42">
      <sharedItems containsSemiMixedTypes="0" containsString="0" containsNumber="1" minValue="295.59000000000003" maxValue="969.47"/>
    </cacheField>
    <cacheField name="Sal PF" numFmtId="42">
      <sharedItems containsSemiMixedTypes="0" containsString="0" containsNumber="1" minValue="1324.65" maxValue="4240.58"/>
    </cacheField>
    <cacheField name="TT BRUTO_x000a_MARÇO" numFmtId="42">
      <sharedItems containsSemiMixedTypes="0" containsString="0" containsNumber="1" minValue="1324.65" maxValue="4240.58"/>
    </cacheField>
    <cacheField name="%" numFmtId="10">
      <sharedItems containsSemiMixedTypes="0" containsString="0" containsNumber="1" minValue="0.10778134702884259" maxValue="0.345038632532041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ano Rogerio Faria" refreshedDate="46132.418931944441" createdVersion="8" refreshedVersion="8" minRefreshableVersion="3" recordCount="16" xr:uid="{B4F252A1-A8F8-4078-AF5D-46EA18E5B484}">
  <cacheSource type="worksheet">
    <worksheetSource ref="B2:M18" sheet="EKIPA"/>
  </cacheSource>
  <cacheFields count="12">
    <cacheField name="FUNCIONÁRIO" numFmtId="0">
      <sharedItems/>
    </cacheField>
    <cacheField name="Tipo" numFmtId="0">
      <sharedItems count="4">
        <s v="PJ"/>
        <s v="CLT"/>
        <s v="ESTÁGIO"/>
        <s v="PF" u="1"/>
      </sharedItems>
    </cacheField>
    <cacheField name="Setor" numFmtId="0">
      <sharedItems/>
    </cacheField>
    <cacheField name="Função " numFmtId="0">
      <sharedItems/>
    </cacheField>
    <cacheField name="Status" numFmtId="0">
      <sharedItems containsBlank="1" count="3">
        <s v="Ativo"/>
        <m u="1"/>
        <s v="Desligado" u="1"/>
      </sharedItems>
    </cacheField>
    <cacheField name="Empresa Registro" numFmtId="0">
      <sharedItems containsBlank="1" count="5">
        <s v="G S FL 05 - BARUERI"/>
        <s v="RSE COM DE FERRO,ACO E LOCA"/>
        <s v="G S MATRIZ - PRES PRUD"/>
        <m u="1"/>
        <e v="#N/A" u="1"/>
      </sharedItems>
    </cacheField>
    <cacheField name="CNPJ" numFmtId="0">
      <sharedItems containsBlank="1" count="6">
        <s v="CONTRATO PJ"/>
        <s v="20.504.237/0005-40"/>
        <s v="6.916.551/0001-86"/>
        <s v="20.504.237/0001-17"/>
        <m u="1"/>
        <e v="#N/A" u="1"/>
      </sharedItems>
    </cacheField>
    <cacheField name="Provisão_x000a_de Férias + 13º" numFmtId="42">
      <sharedItems containsSemiMixedTypes="0" containsString="0" containsNumber="1" minValue="0" maxValue="1014.813333333333"/>
    </cacheField>
    <cacheField name="Provisão _x000a_de Encargos" numFmtId="42">
      <sharedItems containsSemiMixedTypes="0" containsString="0" containsNumber="1" minValue="0" maxValue="1842.31"/>
    </cacheField>
    <cacheField name="Eventos Folha_x000a_(Caixa)" numFmtId="42">
      <sharedItems containsString="0" containsBlank="1" containsNumber="1" minValue="0" maxValue="4432.37"/>
    </cacheField>
    <cacheField name="Sal PF" numFmtId="42">
      <sharedItems containsString="0" containsBlank="1" containsNumber="1" minValue="0" maxValue="10012.870000000001"/>
    </cacheField>
    <cacheField name="TT BRUTO_x000a_MARÇO" numFmtId="42">
      <sharedItems containsSemiMixedTypes="0" containsString="0" containsNumber="1" minValue="0" maxValue="10012.87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ano Rogerio Faria" refreshedDate="46132.419962384258" createdVersion="8" refreshedVersion="8" minRefreshableVersion="3" recordCount="9" xr:uid="{15846541-5E9F-453E-AD71-3BFD36A0C6C7}">
  <cacheSource type="worksheet">
    <worksheetSource ref="B2:M11" sheet="SELETIVA C GRANDE"/>
  </cacheSource>
  <cacheFields count="12">
    <cacheField name="FUNCIONÁRIO" numFmtId="0">
      <sharedItems/>
    </cacheField>
    <cacheField name="Tipo" numFmtId="0">
      <sharedItems containsMixedTypes="1" containsNumber="1" containsInteger="1" minValue="0" maxValue="0" count="3">
        <s v="CLT"/>
        <s v="PJ"/>
        <n v="0" u="1"/>
      </sharedItems>
    </cacheField>
    <cacheField name="Setor" numFmtId="0">
      <sharedItems/>
    </cacheField>
    <cacheField name="Função " numFmtId="0">
      <sharedItems/>
    </cacheField>
    <cacheField name="Status" numFmtId="0">
      <sharedItems count="3">
        <s v="Ativo"/>
        <s v="Desligado"/>
        <e v="#N/A" u="1"/>
      </sharedItems>
    </cacheField>
    <cacheField name="Empresa Registro" numFmtId="0">
      <sharedItems count="3">
        <s v="G3S CMATRIZ - CAMPO GRANDE"/>
        <s v="G S FL 06 - CAMPO GRANDE"/>
        <e v="#N/A" u="1"/>
      </sharedItems>
    </cacheField>
    <cacheField name="CNPJ" numFmtId="0">
      <sharedItems count="5">
        <s v="20.947.332/0001-95"/>
        <s v="20.504.237/0006-21"/>
        <s v="CONTRATO PJ"/>
        <e v="#N/A" u="1"/>
        <s v="CONTRATO PF" u="1"/>
      </sharedItems>
    </cacheField>
    <cacheField name="Provisão_x000a_de Férias + 13º" numFmtId="42">
      <sharedItems containsSemiMixedTypes="0" containsString="0" containsNumber="1" minValue="0" maxValue="1073.2847222222222"/>
    </cacheField>
    <cacheField name="Provisão _x000a_de Encargos" numFmtId="42">
      <sharedItems containsSemiMixedTypes="0" containsString="0" containsNumber="1" minValue="0" maxValue="2118.19"/>
    </cacheField>
    <cacheField name="Eventos Folha_x000a_(Caixa)" numFmtId="42">
      <sharedItems containsSemiMixedTypes="0" containsString="0" containsNumber="1" minValue="12.87" maxValue="2090.31"/>
    </cacheField>
    <cacheField name="Sal PF" numFmtId="42">
      <sharedItems containsSemiMixedTypes="0" containsString="0" containsNumber="1" minValue="260.84000000000003" maxValue="6725.66"/>
    </cacheField>
    <cacheField name="TT BRUTO_x000a_MARÇO" numFmtId="42">
      <sharedItems containsSemiMixedTypes="0" containsString="0" containsNumber="1" minValue="1845.49" maxValue="6725.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ano Rogerio Faria" refreshedDate="46132.475215972219" createdVersion="8" refreshedVersion="8" minRefreshableVersion="3" recordCount="23" xr:uid="{8AA7BD11-DC37-4A92-BA81-2CF60854DFC1}">
  <cacheSource type="worksheet">
    <worksheetSource ref="A2:O25" sheet="PILARES"/>
  </cacheSource>
  <cacheFields count="15">
    <cacheField name="Qtde" numFmtId="0">
      <sharedItems containsSemiMixedTypes="0" containsString="0" containsNumber="1" containsInteger="1" minValue="1" maxValue="22"/>
    </cacheField>
    <cacheField name="FUNCIONÁRIO" numFmtId="0">
      <sharedItems/>
    </cacheField>
    <cacheField name="Tipo" numFmtId="0">
      <sharedItems count="3">
        <s v="PJ"/>
        <s v="CLT"/>
        <s v="ESTÁGIO"/>
      </sharedItems>
    </cacheField>
    <cacheField name="Setor" numFmtId="0">
      <sharedItems/>
    </cacheField>
    <cacheField name="Função " numFmtId="0">
      <sharedItems/>
    </cacheField>
    <cacheField name="Status" numFmtId="0">
      <sharedItems count="2">
        <s v="Ativo"/>
        <s v="Desligado" u="1"/>
      </sharedItems>
    </cacheField>
    <cacheField name="Empresa Registro" numFmtId="0">
      <sharedItems count="2">
        <s v="G3S FL 10 - PRES PRUD"/>
        <s v="G3S  FL 10 - PRES PRUD"/>
      </sharedItems>
    </cacheField>
    <cacheField name="CNPJ" numFmtId="0">
      <sharedItems count="2">
        <s v="CONTRATO PJ"/>
        <s v="20.947.332/0010-86"/>
      </sharedItems>
    </cacheField>
    <cacheField name="Provisão_x000a_de Férias + 13º" numFmtId="42">
      <sharedItems containsSemiMixedTypes="0" containsString="0" containsNumber="1" minValue="0" maxValue="1000"/>
    </cacheField>
    <cacheField name="Provisão _x000a_de Encargos" numFmtId="42">
      <sharedItems containsSemiMixedTypes="0" containsString="0" containsNumber="1" minValue="0" maxValue="1847.65"/>
    </cacheField>
    <cacheField name="Eventos Folha_x000a_(Caixa)" numFmtId="42">
      <sharedItems containsSemiMixedTypes="0" containsString="0" containsNumber="1" minValue="0" maxValue="2157.84"/>
    </cacheField>
    <cacheField name="Sal PF" numFmtId="42">
      <sharedItems containsSemiMixedTypes="0" containsString="0" containsNumber="1" minValue="650" maxValue="12021.87"/>
    </cacheField>
    <cacheField name="TT BRUTO_x000a_MARÇO" numFmtId="42">
      <sharedItems containsSemiMixedTypes="0" containsString="0" containsNumber="1" minValue="650" maxValue="12021.87"/>
    </cacheField>
    <cacheField name="%" numFmtId="10">
      <sharedItems containsSemiMixedTypes="0" containsString="0" containsNumber="1" minValue="5.9460156663791253E-3" maxValue="0.1099726574756511"/>
    </cacheField>
    <cacheField name="TT BRUTO_x000a_FEVEREIRO" numFmtId="42">
      <sharedItems containsSemiMixedTypes="0" containsString="0" containsNumber="1" minValue="0" maxValue="12693.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ano Rogerio Faria" refreshedDate="46132.477455671295" createdVersion="8" refreshedVersion="8" minRefreshableVersion="3" recordCount="2" xr:uid="{B3F845B9-D4D8-4DDE-96C9-016800288D0D}">
  <cacheSource type="worksheet">
    <worksheetSource ref="B2:M4" sheet="TRANSMOVE"/>
  </cacheSource>
  <cacheFields count="12">
    <cacheField name="FUNCIONÁRIO" numFmtId="0">
      <sharedItems/>
    </cacheField>
    <cacheField name="Tipo" numFmtId="0">
      <sharedItems count="2">
        <s v="CLT"/>
        <s v="ESTÁGIO" u="1"/>
      </sharedItems>
    </cacheField>
    <cacheField name="Setor" numFmtId="0">
      <sharedItems/>
    </cacheField>
    <cacheField name="Função " numFmtId="0">
      <sharedItems/>
    </cacheField>
    <cacheField name="Status" numFmtId="0">
      <sharedItems count="2">
        <s v="Ativo"/>
        <s v="Desligado" u="1"/>
      </sharedItems>
    </cacheField>
    <cacheField name="Empresa Registro" numFmtId="0">
      <sharedItems count="3">
        <s v="G3S FL 05 - PRES PRUD"/>
        <s v="G S MATRIZ - PRES PRUD"/>
        <s v="G3S FL 10 - PRES PRUD" u="1"/>
      </sharedItems>
    </cacheField>
    <cacheField name="CNPJ" numFmtId="0">
      <sharedItems count="3">
        <s v="20.947.332/0005-19"/>
        <s v="20.504.237/0001-17"/>
        <s v="20.947.332/0010-86" u="1"/>
      </sharedItems>
    </cacheField>
    <cacheField name="Provisão_x000a_de Férias + 13º" numFmtId="42">
      <sharedItems containsSemiMixedTypes="0" containsString="0" containsNumber="1" minValue="736.20361111111106" maxValue="952.77777777777771"/>
    </cacheField>
    <cacheField name="Provisão _x000a_de Encargos" numFmtId="42">
      <sharedItems containsSemiMixedTypes="0" containsString="0" containsNumber="1" minValue="1335.7599999999998" maxValue="1729.7"/>
    </cacheField>
    <cacheField name="Eventos Folha_x000a_(Caixa)" numFmtId="42">
      <sharedItems containsSemiMixedTypes="0" containsString="0" containsNumber="1" minValue="100" maxValue="1479.87"/>
    </cacheField>
    <cacheField name="Sal PF" numFmtId="42">
      <sharedItems containsSemiMixedTypes="0" containsString="0" containsNumber="1" minValue="5000" maxValue="5266.0599999999995"/>
    </cacheField>
    <cacheField name="TT BRUTO_x000a_MARÇO" numFmtId="42">
      <sharedItems containsSemiMixedTypes="0" containsString="0" containsNumber="1" minValue="5266.0599999999995" maxValue="9238.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ano Rogerio Faria" refreshedDate="46132.478030092592" createdVersion="8" refreshedVersion="8" minRefreshableVersion="3" recordCount="19" xr:uid="{C97F5F50-801D-40ED-968B-1B6E89E1D2DF}">
  <cacheSource type="worksheet">
    <worksheetSource ref="B2:M21" sheet="SELETIVA APOIO"/>
  </cacheSource>
  <cacheFields count="12">
    <cacheField name="FUNCIONÁRIO" numFmtId="0">
      <sharedItems/>
    </cacheField>
    <cacheField name="Tipo" numFmtId="0">
      <sharedItems count="4">
        <s v="PJ"/>
        <s v="CLT"/>
        <s v="PF"/>
        <s v="ESTÁGIO"/>
      </sharedItems>
    </cacheField>
    <cacheField name="Setor" numFmtId="0">
      <sharedItems/>
    </cacheField>
    <cacheField name="Função " numFmtId="0">
      <sharedItems/>
    </cacheField>
    <cacheField name="Status" numFmtId="0">
      <sharedItems count="2">
        <s v="Ativo"/>
        <s v="Desligado"/>
      </sharedItems>
    </cacheField>
    <cacheField name="Empresa Registro" numFmtId="0">
      <sharedItems count="6">
        <s v="G3S  FL 04 - PRES PRUD"/>
        <s v="G S FL 05 - BARUERI"/>
        <s v="G S FL 01 - PRUDENTE"/>
        <s v="G3S FL 10 - PRES PRUD"/>
        <s v="G3S FL 05 - PRES PRUD"/>
        <e v="#N/A" u="1"/>
      </sharedItems>
    </cacheField>
    <cacheField name="CNPJ" numFmtId="0">
      <sharedItems count="6">
        <s v="CONTRATO PJ"/>
        <s v="20.504.237/0005-40"/>
        <s v="20.947.332/0004-38"/>
        <s v="20.947.332/0010-86"/>
        <s v="20.947.332/0005-19"/>
        <e v="#N/A" u="1"/>
      </sharedItems>
    </cacheField>
    <cacheField name="Provisão_x000a_de Férias + 13º" numFmtId="42">
      <sharedItems containsSemiMixedTypes="0" containsString="0" containsNumber="1" minValue="0" maxValue="1853.5466666666669"/>
    </cacheField>
    <cacheField name="Provisão _x000a_de Encargos" numFmtId="42">
      <sharedItems containsSemiMixedTypes="0" containsString="0" containsNumber="1" minValue="0" maxValue="1676.3200000000002"/>
    </cacheField>
    <cacheField name="Eventos Folha_x000a_(Caixa)" numFmtId="42">
      <sharedItems containsSemiMixedTypes="0" containsString="0" containsNumber="1" minValue="0" maxValue="5935.07"/>
    </cacheField>
    <cacheField name="Sal PF" numFmtId="42">
      <sharedItems containsSemiMixedTypes="0" containsString="0" containsNumber="1" minValue="1354.5700000000002" maxValue="22755.43"/>
    </cacheField>
    <cacheField name="TT BRUTO_x000a_MARÇO" numFmtId="42">
      <sharedItems containsSemiMixedTypes="0" containsString="0" containsNumber="1" minValue="1500" maxValue="22755.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ano Rogerio Faria" refreshedDate="46132.479958564814" createdVersion="8" refreshedVersion="8" minRefreshableVersion="3" recordCount="134" xr:uid="{604F3AB9-7D32-4D04-941A-F9A74E52ADC5}">
  <cacheSource type="worksheet">
    <worksheetSource ref="B2:N136" sheet="GERAL"/>
  </cacheSource>
  <cacheFields count="13">
    <cacheField name="FUNCIONÁRIO" numFmtId="0">
      <sharedItems/>
    </cacheField>
    <cacheField name="Tipo" numFmtId="0">
      <sharedItems count="4">
        <s v="PJ"/>
        <s v="CLT"/>
        <s v="PF"/>
        <s v="ESTÁGIO"/>
      </sharedItems>
    </cacheField>
    <cacheField name="Setor" numFmtId="0">
      <sharedItems/>
    </cacheField>
    <cacheField name="Função " numFmtId="0">
      <sharedItems/>
    </cacheField>
    <cacheField name="Status" numFmtId="0">
      <sharedItems count="2">
        <s v="Ativo"/>
        <s v="Desligado"/>
      </sharedItems>
    </cacheField>
    <cacheField name="Empresa Registro" numFmtId="0">
      <sharedItems count="17">
        <s v="G3S  FL 04 - PRES PRUD"/>
        <s v="G3S  FL 03 - DOURADOS"/>
        <s v="G S MATRIZ - PRES PRUD"/>
        <s v="G3S FL 10 - PRES PRUD"/>
        <s v="G3S FL 05 - PRES PRUD"/>
        <s v="G3S  FL 08 - LONDRINA"/>
        <s v="G S FL 05 - BARUERI"/>
        <s v="G S FL 01 - PRUDENTE"/>
        <s v="G3S FL 06 - MARINGA"/>
        <s v="G S FL 04 - MARINGA"/>
        <s v="G S FL 03 - DOURADOS"/>
        <s v="G3S  FL 10 - PRES PRUD"/>
        <s v="G3S CMATRIZ - CAMPO GRANDE"/>
        <s v="G S FL 06 - CAMPO GRANDE"/>
        <s v="G S FL 07 - LONDRINA"/>
        <s v="G3S FL 11 - MARINGA"/>
        <s v="RSE COM DE FERRO,ACO E LOCA"/>
      </sharedItems>
    </cacheField>
    <cacheField name="CNPJ" numFmtId="0">
      <sharedItems count="16">
        <s v="CONTRATO PJ"/>
        <s v="20.947.332/0003-57"/>
        <s v="20.504.237/0001-17"/>
        <s v="20.947.332/0008-61"/>
        <s v="20.504.237/0005-40"/>
        <s v="20.947.332/0004-38"/>
        <s v="20.947.332/0005-19"/>
        <s v="20.504.237/0004-60"/>
        <s v="20.504.237/0003-89"/>
        <s v="20.947.332/0006-08"/>
        <s v="20.947.332/0001-95"/>
        <s v="20.947.332/0010-86"/>
        <s v="20.504.237/0006-21"/>
        <s v="20.504.237/0007-02"/>
        <s v="20.947.332/0011-67"/>
        <s v="6.916.551/0001-86"/>
      </sharedItems>
    </cacheField>
    <cacheField name="Provisão_x000a_de Férias + 13º" numFmtId="42">
      <sharedItems containsSemiMixedTypes="0" containsString="0" containsNumber="1" minValue="0" maxValue="1933.9444444444446"/>
    </cacheField>
    <cacheField name="Provisão _x000a_de Encargos" numFmtId="42">
      <sharedItems containsSemiMixedTypes="0" containsString="0" containsNumber="1" minValue="0" maxValue="4345.63"/>
    </cacheField>
    <cacheField name="Eventos Folha_x000a_(Caixa)" numFmtId="42">
      <sharedItems containsSemiMixedTypes="0" containsString="0" containsNumber="1" minValue="0" maxValue="7684.4"/>
    </cacheField>
    <cacheField name="Sal PF" numFmtId="42">
      <sharedItems containsSemiMixedTypes="0" containsString="0" containsNumber="1" minValue="0" maxValue="22755.43"/>
    </cacheField>
    <cacheField name="TT BRUTO_x000a_MARÇO" numFmtId="42">
      <sharedItems containsSemiMixedTypes="0" containsString="0" containsNumber="1" minValue="0" maxValue="22755.43"/>
    </cacheField>
    <cacheField name="%" numFmtId="10">
      <sharedItems containsString="0" containsBlank="1" containsNumber="1" minValue="0" maxValue="2.9859947224672397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ano Rogerio Faria" refreshedDate="46132.480714699072" createdVersion="8" refreshedVersion="8" minRefreshableVersion="3" recordCount="10" xr:uid="{98E5F454-D997-4288-B559-CF7260E09C00}">
  <cacheSource type="worksheet">
    <worksheetSource ref="B2:M12" sheet="SELETIVA DOURADOS"/>
  </cacheSource>
  <cacheFields count="12">
    <cacheField name="FUNCIONÁRIO" numFmtId="0">
      <sharedItems/>
    </cacheField>
    <cacheField name="Tipo" numFmtId="0">
      <sharedItems count="2">
        <s v="CLT"/>
        <s v="PJ"/>
      </sharedItems>
    </cacheField>
    <cacheField name="Setor" numFmtId="0">
      <sharedItems/>
    </cacheField>
    <cacheField name="Função " numFmtId="0">
      <sharedItems/>
    </cacheField>
    <cacheField name="Status" numFmtId="0">
      <sharedItems count="2">
        <s v="Ativo"/>
        <s v="Desligado"/>
      </sharedItems>
    </cacheField>
    <cacheField name="Empresa Registro" numFmtId="0">
      <sharedItems count="2">
        <s v="G3S  FL 03 - DOURADOS"/>
        <s v="G S FL 03 - DOURADOS"/>
      </sharedItems>
    </cacheField>
    <cacheField name="CNPJ" numFmtId="0">
      <sharedItems count="3">
        <s v="20.947.332/0003-57"/>
        <s v="20.504.237/0003-89"/>
        <s v="CONTRATO PJ"/>
      </sharedItems>
    </cacheField>
    <cacheField name="Provisão_x000a_de Férias + 13º" numFmtId="42">
      <sharedItems containsSemiMixedTypes="0" containsString="0" containsNumber="1" minValue="77.945000000000007" maxValue="1933.9444444444446"/>
    </cacheField>
    <cacheField name="Provisão _x000a_de Encargos" numFmtId="42">
      <sharedItems containsSemiMixedTypes="0" containsString="0" containsNumber="1" minValue="0" maxValue="4345.63"/>
    </cacheField>
    <cacheField name="Eventos Folha_x000a_(Caixa)" numFmtId="42">
      <sharedItems containsSemiMixedTypes="0" containsString="0" containsNumber="1" minValue="0" maxValue="7684.4"/>
    </cacheField>
    <cacheField name="Sal PF" numFmtId="42">
      <sharedItems containsSemiMixedTypes="0" containsString="0" containsNumber="1" minValue="1175.2600000000002" maxValue="17630.400000000001"/>
    </cacheField>
    <cacheField name="TT BRUTO_x000a_MARÇO" numFmtId="42">
      <sharedItems containsSemiMixedTypes="0" containsString="0" containsNumber="1" minValue="2784.21" maxValue="17630.4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ano Rogerio Faria" refreshedDate="46132.483017013888" createdVersion="8" refreshedVersion="8" minRefreshableVersion="3" recordCount="11" xr:uid="{B3BC721D-7D6C-49A5-A634-656993D4A381}">
  <cacheSource type="worksheet">
    <worksheetSource ref="B2:M13" sheet="SELETIVA MARINGÁ"/>
  </cacheSource>
  <cacheFields count="12">
    <cacheField name="FUNCIONÁRIO" numFmtId="0">
      <sharedItems/>
    </cacheField>
    <cacheField name="Tipo" numFmtId="0">
      <sharedItems count="2">
        <s v="CLT"/>
        <s v="PJ"/>
      </sharedItems>
    </cacheField>
    <cacheField name="Setor" numFmtId="0">
      <sharedItems/>
    </cacheField>
    <cacheField name="Função " numFmtId="0">
      <sharedItems/>
    </cacheField>
    <cacheField name="Status" numFmtId="0">
      <sharedItems count="2">
        <s v="Ativo"/>
        <s v="Desligado"/>
      </sharedItems>
    </cacheField>
    <cacheField name="Empresa Registro" numFmtId="0">
      <sharedItems count="4">
        <s v="G S FL 05 - BARUERI"/>
        <s v="G S FL 04 - MARINGA"/>
        <s v="G3S FL 06 - MARINGA"/>
        <s v="G3S FL 11 - MARINGA" u="1"/>
      </sharedItems>
    </cacheField>
    <cacheField name="CNPJ" numFmtId="0">
      <sharedItems count="5">
        <s v="20.504.237/0005-40"/>
        <s v="20.504.237/0004-60"/>
        <s v="CONTRATO PJ"/>
        <s v="20.947.332/0006-08"/>
        <s v="20.947.332/0011-67" u="1"/>
      </sharedItems>
    </cacheField>
    <cacheField name="Provisão_x000a_de Férias + 13º" numFmtId="42">
      <sharedItems containsSemiMixedTypes="0" containsString="0" containsNumber="1" minValue="0" maxValue="1211.4394444444447"/>
    </cacheField>
    <cacheField name="Provisão _x000a_de Encargos" numFmtId="42">
      <sharedItems containsSemiMixedTypes="0" containsString="0" containsNumber="1" minValue="0" maxValue="2292.7200000000003"/>
    </cacheField>
    <cacheField name="Eventos Folha_x000a_(Caixa)" numFmtId="42">
      <sharedItems containsSemiMixedTypes="0" containsString="0" containsNumber="1" minValue="21.87" maxValue="3013.3199999999997"/>
    </cacheField>
    <cacheField name="Sal PF" numFmtId="42">
      <sharedItems containsSemiMixedTypes="0" containsString="0" containsNumber="1" minValue="2925.45" maxValue="8263.02"/>
    </cacheField>
    <cacheField name="TT BRUTO_x000a_MARÇO" numFmtId="42">
      <sharedItems containsSemiMixedTypes="0" containsString="0" containsNumber="1" minValue="2925.45" maxValue="21959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ano Rogerio Faria" refreshedDate="46132.483527199074" createdVersion="8" refreshedVersion="8" minRefreshableVersion="3" recordCount="4" xr:uid="{6E073851-62A4-42B8-87E1-F158569FC35F}">
  <cacheSource type="worksheet">
    <worksheetSource ref="B2:M6" sheet="SELETIVA CIDADE ALTA"/>
  </cacheSource>
  <cacheFields count="12">
    <cacheField name="FUNCIONÁRIO" numFmtId="0">
      <sharedItems/>
    </cacheField>
    <cacheField name="Tipo" numFmtId="0">
      <sharedItems containsMixedTypes="1" containsNumber="1" containsInteger="1" minValue="0" maxValue="0" count="2">
        <s v="CLT"/>
        <n v="0" u="1"/>
      </sharedItems>
    </cacheField>
    <cacheField name="Setor" numFmtId="0">
      <sharedItems/>
    </cacheField>
    <cacheField name="Função " numFmtId="0">
      <sharedItems/>
    </cacheField>
    <cacheField name="Status" numFmtId="0">
      <sharedItems count="3">
        <s v="Ativo"/>
        <s v="Desligado"/>
        <e v="#N/A" u="1"/>
      </sharedItems>
    </cacheField>
    <cacheField name="Empresa Registro" numFmtId="0">
      <sharedItems/>
    </cacheField>
    <cacheField name="CNPJ" numFmtId="0">
      <sharedItems/>
    </cacheField>
    <cacheField name="Provisão_x000a_de Férias + 13º" numFmtId="42">
      <sharedItems containsSemiMixedTypes="0" containsString="0" containsNumber="1" minValue="200.095" maxValue="636.04916666666668"/>
    </cacheField>
    <cacheField name="Provisão _x000a_de Encargos" numFmtId="42">
      <sharedItems containsSemiMixedTypes="0" containsString="0" containsNumber="1" minValue="552.25" maxValue="1203.75"/>
    </cacheField>
    <cacheField name="Eventos Folha_x000a_(Caixa)" numFmtId="42">
      <sharedItems containsSemiMixedTypes="0" containsString="0" containsNumber="1" minValue="295.59000000000003" maxValue="969.47"/>
    </cacheField>
    <cacheField name="Sal PF" numFmtId="42">
      <sharedItems containsSemiMixedTypes="0" containsString="0" containsNumber="1" minValue="1324.65" maxValue="4240.58"/>
    </cacheField>
    <cacheField name="TT BRUTO_x000a_MARÇO" numFmtId="42">
      <sharedItems containsSemiMixedTypes="0" containsString="0" containsNumber="1" minValue="1324.65" maxValue="4240.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ano Rogerio Faria" refreshedDate="46132.483960300924" createdVersion="8" refreshedVersion="8" minRefreshableVersion="3" recordCount="5" xr:uid="{303999A1-B728-49B6-8866-E20A4BE53C80}">
  <cacheSource type="worksheet">
    <worksheetSource ref="B2:M7" sheet="SELETIVA LONDRINA"/>
  </cacheSource>
  <cacheFields count="12">
    <cacheField name="FUNCIONÁRIO" numFmtId="0">
      <sharedItems/>
    </cacheField>
    <cacheField name="Tipo" numFmtId="0">
      <sharedItems containsMixedTypes="1" containsNumber="1" containsInteger="1" minValue="0" maxValue="0" count="2">
        <s v="CLT"/>
        <n v="0" u="1"/>
      </sharedItems>
    </cacheField>
    <cacheField name="Setor" numFmtId="0">
      <sharedItems/>
    </cacheField>
    <cacheField name="Função " numFmtId="0">
      <sharedItems/>
    </cacheField>
    <cacheField name="Status" numFmtId="0">
      <sharedItems count="3">
        <s v="Ativo"/>
        <e v="#N/A" u="1"/>
        <s v="Desligado" u="1"/>
      </sharedItems>
    </cacheField>
    <cacheField name="Empresa Registro" numFmtId="0">
      <sharedItems count="3">
        <s v="G3S  FL 08 - LONDRINA"/>
        <s v="G S FL 07 - LONDRINA"/>
        <e v="#N/A" u="1"/>
      </sharedItems>
    </cacheField>
    <cacheField name="CNPJ" numFmtId="0">
      <sharedItems count="3">
        <s v="20.947.332/0008-61"/>
        <s v="20.504.237/0007-02"/>
        <e v="#N/A" u="1"/>
      </sharedItems>
    </cacheField>
    <cacheField name="Provisão_x000a_de Férias + 13º" numFmtId="42">
      <sharedItems containsSemiMixedTypes="0" containsString="0" containsNumber="1" minValue="703.10333333333324" maxValue="1426.6661111111109"/>
    </cacheField>
    <cacheField name="Provisão _x000a_de Encargos" numFmtId="42">
      <sharedItems containsSemiMixedTypes="0" containsString="0" containsNumber="1" minValue="1371.08" maxValue="3764.5800000000008"/>
    </cacheField>
    <cacheField name="Eventos Folha_x000a_(Caixa)" numFmtId="42">
      <sharedItems containsSemiMixedTypes="0" containsString="0" containsNumber="1" minValue="1042.3499999999999" maxValue="3799.96"/>
    </cacheField>
    <cacheField name="Sal PF" numFmtId="42">
      <sharedItems containsSemiMixedTypes="0" containsString="0" containsNumber="1" minValue="4667.3099999999995" maxValue="11137.099999999999"/>
    </cacheField>
    <cacheField name="TT BRUTO_x000a_MARÇO" numFmtId="42">
      <sharedItems containsSemiMixedTypes="0" containsString="0" containsNumber="1" minValue="4667.3099999999995" maxValue="11137.0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ano Rogerio Faria" refreshedDate="46134.392658217592" createdVersion="8" refreshedVersion="8" minRefreshableVersion="3" recordCount="135" xr:uid="{6F23FD2E-8042-4880-B4F0-52DEC8C0D00D}">
  <cacheSource type="worksheet">
    <worksheetSource ref="A1:BF1048576" sheet="BASE+TOMADOR"/>
  </cacheSource>
  <cacheFields count="58">
    <cacheField name="FUNCIONÁRIO" numFmtId="0">
      <sharedItems containsBlank="1"/>
    </cacheField>
    <cacheField name="COMPETÊNCIA" numFmtId="0">
      <sharedItems containsNonDate="0" containsDate="1" containsString="0" containsBlank="1" minDate="2026-03-01T00:00:00" maxDate="2026-03-02T00:00:00"/>
    </cacheField>
    <cacheField name="MODALIDADE" numFmtId="0">
      <sharedItems containsBlank="1" count="5">
        <s v="CLT"/>
        <s v="PF"/>
        <s v="ESTÁGIO"/>
        <s v="PJ"/>
        <m/>
      </sharedItems>
    </cacheField>
    <cacheField name="EMPRESA" numFmtId="0">
      <sharedItems containsBlank="1"/>
    </cacheField>
    <cacheField name="FILIAL" numFmtId="0">
      <sharedItems containsString="0" containsBlank="1" containsNumber="1" containsInteger="1" minValue="1" maxValue="10"/>
    </cacheField>
    <cacheField name="EMPRESA + FILIAL" numFmtId="0">
      <sharedItems containsNonDate="0" containsString="0" containsBlank="1"/>
    </cacheField>
    <cacheField name="CNPJ" numFmtId="0">
      <sharedItems containsBlank="1"/>
    </cacheField>
    <cacheField name="SETOR" numFmtId="0">
      <sharedItems containsBlank="1"/>
    </cacheField>
    <cacheField name="SEÇÃO" numFmtId="0">
      <sharedItems containsBlank="1"/>
    </cacheField>
    <cacheField name="TOMADOR" numFmtId="0">
      <sharedItems containsBlank="1" count="14">
        <s v="SELETIVA MARINGA CIDADE ALTA"/>
        <s v="SELETIVA CORPORATIVO SUCATA"/>
        <s v="PILARES"/>
        <s v="SELETIVA MARINGA DISTRITO"/>
        <s v="SELETIVA PRESIDENTE PRUDENTE"/>
        <s v="TRANSMOVE GSL"/>
        <s v="SELETIVA DOURADOS"/>
        <s v="SELETIVA C GRANDE"/>
        <s v="EKIPA LOCACOES E SERV G&amp;S"/>
        <s v="BRACOFER"/>
        <s v="SELETIVA LONDRINA"/>
        <s v="RENDER LOCACOES"/>
        <s v="SELETIVA MARINGA"/>
        <m/>
      </sharedItems>
    </cacheField>
    <cacheField name="ADMISSÃO" numFmtId="0">
      <sharedItems containsNonDate="0" containsDate="1" containsString="0" containsBlank="1" minDate="2009-11-01T00:00:00" maxDate="2026-03-20T00:00:00"/>
    </cacheField>
    <cacheField name="DEMISSÃO" numFmtId="14">
      <sharedItems containsNonDate="0" containsDate="1" containsString="0" containsBlank="1" minDate="2026-03-06T00:00:00" maxDate="2026-03-31T00:00:00"/>
    </cacheField>
    <cacheField name="RESPONSÁVEL" numFmtId="0">
      <sharedItems containsBlank="1"/>
    </cacheField>
    <cacheField name="CENTRO DE CUSTO" numFmtId="0">
      <sharedItems containsBlank="1"/>
    </cacheField>
    <cacheField name="FUNÇÃO" numFmtId="0">
      <sharedItems containsBlank="1"/>
    </cacheField>
    <cacheField name="SAL. BASE" numFmtId="166">
      <sharedItems containsString="0" containsBlank="1" containsNumber="1" minValue="0" maxValue="22242.560000000001"/>
    </cacheField>
    <cacheField name="SALÁRIO" numFmtId="166">
      <sharedItems containsString="0" containsBlank="1" containsNumber="1" minValue="0" maxValue="22242.560000000001"/>
    </cacheField>
    <cacheField name="AUX. MATERNIDADE" numFmtId="0">
      <sharedItems containsString="0" containsBlank="1" containsNumber="1" minValue="0" maxValue="3427.64"/>
    </cacheField>
    <cacheField name="FÉRIAS" numFmtId="0">
      <sharedItems containsString="0" containsBlank="1" containsNumber="1" minValue="0" maxValue="6114.99"/>
    </cacheField>
    <cacheField name="AD. FUNÇÃO 20%" numFmtId="0">
      <sharedItems containsString="0" containsBlank="1" containsNumber="1" minValue="0" maxValue="735.97"/>
    </cacheField>
    <cacheField name="AD. INSALUBRIDADE 20%" numFmtId="0">
      <sharedItems containsString="0" containsBlank="1" containsNumber="1" minValue="0" maxValue="324.2"/>
    </cacheField>
    <cacheField name="AD. PERICULOSIDADE 30%" numFmtId="0">
      <sharedItems containsString="0" containsBlank="1" containsNumber="1" minValue="0" maxValue="1103.95"/>
    </cacheField>
    <cacheField name="GRATIFICAÇÃO 40%" numFmtId="0">
      <sharedItems containsString="0" containsBlank="1" containsNumber="1" minValue="0" maxValue="1400"/>
    </cacheField>
    <cacheField name="GRAT(ADRIANA)" numFmtId="0">
      <sharedItems containsString="0" containsBlank="1" containsNumber="1" containsInteger="1" minValue="0" maxValue="0"/>
    </cacheField>
    <cacheField name="BIÊNIO 5%" numFmtId="0">
      <sharedItems containsString="0" containsBlank="1" containsNumber="1" minValue="0" maxValue="164.37"/>
    </cacheField>
    <cacheField name="AD. NOTURNO 20%" numFmtId="0">
      <sharedItems containsString="0" containsBlank="1" containsNumber="1" minValue="0" maxValue="106.82"/>
    </cacheField>
    <cacheField name="HORA EXTRA" numFmtId="0">
      <sharedItems containsString="0" containsBlank="1" containsNumber="1" minValue="0" maxValue="2010.05"/>
    </cacheField>
    <cacheField name="H. EXTRA DSR" numFmtId="0">
      <sharedItems containsString="0" containsBlank="1" containsNumber="1" minValue="0" maxValue="399.33"/>
    </cacheField>
    <cacheField name="COMISSÃO" numFmtId="0">
      <sharedItems containsString="0" containsBlank="1" containsNumber="1" minValue="0" maxValue="5669.28"/>
    </cacheField>
    <cacheField name="COMISSÃO DSR" numFmtId="0">
      <sharedItems containsString="0" containsBlank="1" containsNumber="1" minValue="0" maxValue="1090.25"/>
    </cacheField>
    <cacheField name="DIF. CONVENÇÃO" numFmtId="0">
      <sharedItems containsString="0" containsBlank="1" containsNumber="1" containsInteger="1" minValue="0" maxValue="0"/>
    </cacheField>
    <cacheField name="QUEBRA DE CAIXA" numFmtId="0">
      <sharedItems containsString="0" containsBlank="1" containsNumber="1" minValue="0" maxValue="295"/>
    </cacheField>
    <cacheField name="TOTAL EVENTOS COM IMPOSTOS" numFmtId="0">
      <sharedItems containsString="0" containsBlank="1" containsNumber="1" minValue="0" maxValue="22242.560000000001"/>
    </cacheField>
    <cacheField name="ESTAGIARIOS" numFmtId="44">
      <sharedItems containsString="0" containsBlank="1" containsNumber="1" minValue="0" maxValue="1500"/>
    </cacheField>
    <cacheField name="AJUDA _x000a_CUSTO VT" numFmtId="0">
      <sharedItems containsString="0" containsBlank="1" containsNumber="1" minValue="0" maxValue="521.87"/>
    </cacheField>
    <cacheField name="CESTA BASICA DINHEIRO" numFmtId="0">
      <sharedItems containsString="0" containsBlank="1" containsNumber="1" containsInteger="1" minValue="0" maxValue="500"/>
    </cacheField>
    <cacheField name="CESTA BASICA PRODUTO" numFmtId="0">
      <sharedItems containsString="0" containsBlank="1" containsNumber="1" containsInteger="1" minValue="0" maxValue="9"/>
    </cacheField>
    <cacheField name="PRODUÇÃO FIXO" numFmtId="0">
      <sharedItems containsString="0" containsBlank="1" containsNumber="1" minValue="0" maxValue="2205"/>
    </cacheField>
    <cacheField name="PRODUÇÃO CHECK LIST MOTORISTA" numFmtId="0">
      <sharedItems containsString="0" containsBlank="1" containsNumber="1" minValue="0" maxValue="914.98"/>
    </cacheField>
    <cacheField name="PRODUÇÃO PRENSA" numFmtId="0">
      <sharedItems containsString="0" containsBlank="1" containsNumber="1" minValue="0" maxValue="1903.5"/>
    </cacheField>
    <cacheField name="CAÇAMBA/CONTAINER" numFmtId="0">
      <sharedItems containsString="0" containsBlank="1" containsNumber="1" containsInteger="1" minValue="0" maxValue="400"/>
    </cacheField>
    <cacheField name="PRÊMIO FIXO" numFmtId="0">
      <sharedItems containsString="0" containsBlank="1" containsNumber="1" containsInteger="1" minValue="0" maxValue="1710"/>
    </cacheField>
    <cacheField name="PRÊMIO OPERADORES" numFmtId="0">
      <sharedItems containsString="0" containsBlank="1" containsNumber="1" minValue="0" maxValue="975"/>
    </cacheField>
    <cacheField name="PRÊMIO VENDAS UNIDADES" numFmtId="0">
      <sharedItems containsString="0" containsBlank="1" containsNumber="1" minValue="0" maxValue="904.34"/>
    </cacheField>
    <cacheField name="PRÊMIO PORTA" numFmtId="0">
      <sharedItems containsString="0" containsBlank="1" containsNumber="1" minValue="0" maxValue="929.47"/>
    </cacheField>
    <cacheField name="PRÊMIO ANUÊNIO" numFmtId="0">
      <sharedItems containsString="0" containsBlank="1" containsNumber="1" containsInteger="1" minValue="0" maxValue="0"/>
    </cacheField>
    <cacheField name="REFEIÇÃO" numFmtId="0">
      <sharedItems containsString="0" containsBlank="1" containsNumber="1" minValue="0" maxValue="2730"/>
    </cacheField>
    <cacheField name="DIÁRIA DIFERENCIADA" numFmtId="0">
      <sharedItems containsString="0" containsBlank="1" containsNumber="1" containsInteger="1" minValue="0" maxValue="900"/>
    </cacheField>
    <cacheField name="ABONO PECUNIÁRIO FÉRIAS" numFmtId="0">
      <sharedItems containsString="0" containsBlank="1" containsNumber="1" minValue="0" maxValue="3057.49"/>
    </cacheField>
    <cacheField name="SALÁRIO FAMÍLIA" numFmtId="0">
      <sharedItems containsString="0" containsBlank="1" containsNumber="1" minValue="0" maxValue="54.03"/>
    </cacheField>
    <cacheField name="PLANO DE SAÚDE" numFmtId="0">
      <sharedItems containsString="0" containsBlank="1" containsNumber="1" minValue="0" maxValue="96.2"/>
    </cacheField>
    <cacheField name="ASSISTÊNCIA SAÚDE" numFmtId="0">
      <sharedItems containsString="0" containsBlank="1" containsNumber="1" containsInteger="1" minValue="0" maxValue="9"/>
    </cacheField>
    <cacheField name="AJUDA DE ALUGUEL" numFmtId="0">
      <sharedItems containsString="0" containsBlank="1" containsNumber="1" containsInteger="1" minValue="0" maxValue="0"/>
    </cacheField>
    <cacheField name="PREMIO GRATIFICAÇÃO" numFmtId="0">
      <sharedItems containsString="0" containsBlank="1" containsNumber="1" minValue="0" maxValue="3679.83"/>
    </cacheField>
    <cacheField name="TOTAL EVENTOS SEM IMPOSTOS" numFmtId="44">
      <sharedItems containsString="0" containsBlank="1" containsNumber="1" minValue="0" maxValue="7684.4"/>
    </cacheField>
    <cacheField name="TOTAL BRUTO" numFmtId="0">
      <sharedItems containsString="0" containsBlank="1" containsNumber="1" minValue="0" maxValue="22755.43"/>
    </cacheField>
    <cacheField name="SALÁRIO PF" numFmtId="0">
      <sharedItems containsString="0" containsBlank="1" containsNumber="1" minValue="4238.33" maxValue="4238.33"/>
    </cacheField>
    <cacheField name="TOTAL BRUTO + PF" numFmtId="0">
      <sharedItems containsString="0" containsBlank="1" containsNumber="1" minValue="0" maxValue="22755.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1"/>
    <s v="ANDERSON ZANUTO"/>
    <x v="0"/>
    <s v="BRACOFER"/>
    <s v="GERENTE COMERCIAL"/>
    <x v="0"/>
    <s v="G3S FL 05 - PRES PRUD"/>
    <s v="CONTRATO PJ"/>
    <n v="1000"/>
    <n v="0"/>
    <n v="12.87"/>
    <n v="12012.87"/>
    <n v="12012.87"/>
    <n v="0.13329296664222254"/>
    <n v="9500"/>
  </r>
  <r>
    <n v="2"/>
    <s v="ROBERTO DOS SANTOS"/>
    <x v="1"/>
    <s v="COMERCIAL"/>
    <s v="VENDEDOR(A)"/>
    <x v="0"/>
    <s v="G3S FL 05 - PRES PRUD"/>
    <s v="20.947.332/0005-19"/>
    <n v="1314.3530555555556"/>
    <n v="2386.11"/>
    <n v="512.87"/>
    <n v="7272.4"/>
    <n v="7272.4"/>
    <n v="8.0693437172707189E-2"/>
    <n v="12389.370000000003"/>
  </r>
  <r>
    <n v="3"/>
    <s v="PAULO DIAS CORREA"/>
    <x v="1"/>
    <s v="LOGISTICA"/>
    <s v="MOTORISTA TRUCK MANTENEDOR SENIOR"/>
    <x v="0"/>
    <s v="G3S FL 05 - PRES PRUD"/>
    <s v="20.947.332/0005-19"/>
    <n v="671.2786111111111"/>
    <n v="1218.6500000000001"/>
    <n v="2447.87"/>
    <n v="5900.16"/>
    <n v="5900.16"/>
    <n v="6.5467272189225018E-2"/>
    <n v="3987"/>
  </r>
  <r>
    <n v="4"/>
    <s v="LUIS AUGUSTO DUARTE SILVA"/>
    <x v="1"/>
    <s v="COMERCIAL"/>
    <s v="VENDEDOR(A)"/>
    <x v="0"/>
    <s v="G3S FL 05 - PRES PRUD"/>
    <s v="20.947.332/0005-19"/>
    <n v="899.01583333333338"/>
    <n v="1632.0900000000001"/>
    <n v="521.87"/>
    <n v="5145.38"/>
    <n v="5145.38"/>
    <n v="5.7092348847657466E-2"/>
    <n v="3799.46"/>
  </r>
  <r>
    <n v="5"/>
    <s v="LUIZ CARLOS DE SOUZA"/>
    <x v="1"/>
    <s v="OPERACIONAL"/>
    <s v="AUXILIAR DE PATIO SENIOR"/>
    <x v="0"/>
    <s v="G3S FL 05 - PRES PRUD"/>
    <s v="20.947.332/0005-19"/>
    <n v="522.06777777777768"/>
    <n v="947.76"/>
    <n v="2231.87"/>
    <n v="4916.7899999999991"/>
    <n v="4916.7899999999991"/>
    <n v="5.4555949199218266E-2"/>
    <n v="5470.85"/>
  </r>
  <r>
    <n v="6"/>
    <s v="REGINALDO DELA COSTA"/>
    <x v="1"/>
    <s v="LOGISTICA"/>
    <s v="MOTORISTA TRUCK MANTENEDOR SENIOR"/>
    <x v="0"/>
    <s v="G3S FL 05 - PRES PRUD"/>
    <s v="20.947.332/0005-19"/>
    <n v="850.70611111111123"/>
    <n v="1544.38"/>
    <n v="512.87"/>
    <n v="4887.93"/>
    <n v="4887.93"/>
    <n v="5.4235723056981287E-2"/>
    <n v="8766.86"/>
  </r>
  <r>
    <n v="7"/>
    <s v="THIAGO OLIVEIRA DOS SANTOS"/>
    <x v="1"/>
    <s v="OPERACIONAL"/>
    <s v="GERENTE DE PATIO JUNIOR"/>
    <x v="0"/>
    <s v="G3S FL 05 - PRES PRUD"/>
    <s v="20.947.332/0005-19"/>
    <n v="837.26222222222214"/>
    <n v="1519.97"/>
    <n v="521.87"/>
    <n v="4827.79"/>
    <n v="4827.79"/>
    <n v="5.3568418822950339E-2"/>
    <n v="8670.9"/>
  </r>
  <r>
    <n v="8"/>
    <s v="LARISSA APARECIDA LIMA QUEIROZ"/>
    <x v="1"/>
    <s v="ADMINISTRATIVO"/>
    <s v="ANALISTA FINANCEIRO PLENO"/>
    <x v="0"/>
    <s v="G3S FL 05 - PRES PRUD"/>
    <s v="20.947.332/0005-19"/>
    <n v="666.48555555555549"/>
    <n v="1209.95"/>
    <n v="521.87"/>
    <n v="3949.5099999999998"/>
    <n v="3949.5099999999998"/>
    <n v="4.3823158386224463E-2"/>
    <n v="3467.68"/>
  </r>
  <r>
    <n v="9"/>
    <s v="DIEGO LEANDRO DE OLIVEIRA"/>
    <x v="1"/>
    <s v="OPERACIONAL"/>
    <s v="AUXILIAR DE PATIO PLENO"/>
    <x v="0"/>
    <s v="G3S FL 05 - PRES PRUD"/>
    <s v="20.947.332/0005-19"/>
    <n v="546.36166666666668"/>
    <n v="991.86"/>
    <n v="871.87"/>
    <n v="3681.73"/>
    <n v="3681.73"/>
    <n v="4.0851912496819652E-2"/>
    <n v="5971.68"/>
  </r>
  <r>
    <n v="10"/>
    <s v="EDUARDO SOARES E SILVA"/>
    <x v="1"/>
    <s v="OPERACIONAL"/>
    <s v="AUXILIAR DE PATIO JUNIOR"/>
    <x v="0"/>
    <s v="G3S FL 05 - PRES PRUD"/>
    <s v="20.947.332/0005-19"/>
    <n v="497.75444444444452"/>
    <n v="903.63"/>
    <n v="871.87"/>
    <n v="3431.75"/>
    <n v="3431.75"/>
    <n v="3.8078172682668429E-2"/>
    <n v="2505"/>
  </r>
  <r>
    <n v="11"/>
    <s v="ELISMAR FERREIRA MEDEIROS"/>
    <x v="1"/>
    <s v="OPERACIONAL"/>
    <s v="AUXILIAR DE PATIO PLENO"/>
    <x v="0"/>
    <s v="G3S FL 05 - PRES PRUD"/>
    <s v="20.947.332/0005-19"/>
    <n v="472.99194444444441"/>
    <n v="858.67000000000007"/>
    <n v="862.87"/>
    <n v="3295.3999999999996"/>
    <n v="3295.3999999999996"/>
    <n v="3.6565253954532098E-2"/>
    <n v="2724.34"/>
  </r>
  <r>
    <n v="12"/>
    <s v="LUIS HENRIQUE SEMENSATO"/>
    <x v="1"/>
    <s v="OPERACIONAL"/>
    <s v="AUXILIAR DE PATIO JUNIOR"/>
    <x v="0"/>
    <s v="G3S FL 05 - PRES PRUD"/>
    <s v="20.947.332/0005-19"/>
    <n v="470.74416666666673"/>
    <n v="854.57999999999993"/>
    <n v="862.87"/>
    <n v="3283.84"/>
    <n v="3283.84"/>
    <n v="3.6436985964086517E-2"/>
    <n v="2535.09"/>
  </r>
  <r>
    <n v="13"/>
    <s v="LUIS DOUGLAS SANTOS BRAS"/>
    <x v="1"/>
    <s v="OPERACIONAL"/>
    <s v="AUXILIAR DE PATIO JUNIOR"/>
    <x v="0"/>
    <s v="G3S FL 05 - PRES PRUD"/>
    <s v="20.947.332/0005-19"/>
    <n v="459.30111111111114"/>
    <n v="833.81000000000006"/>
    <n v="871.87"/>
    <n v="3233.99"/>
    <n v="3233.99"/>
    <n v="3.5883857994907224E-2"/>
    <n v="2528.2600000000002"/>
  </r>
  <r>
    <n v="14"/>
    <s v="JOAO PAULO BENEVENTO NETO"/>
    <x v="1"/>
    <s v="OPERACIONAL"/>
    <s v="AUXILIAR DE PATIO JUNIOR"/>
    <x v="0"/>
    <s v="G3S FL 05 - PRES PRUD"/>
    <s v="20.947.332/0005-19"/>
    <n v="442.4038888888889"/>
    <n v="803.13"/>
    <n v="862.87"/>
    <n v="3138.0899999999997"/>
    <n v="3138.0899999999997"/>
    <n v="3.4819766274861212E-2"/>
    <n v="0"/>
  </r>
  <r>
    <n v="15"/>
    <s v="GABRIELA BARBOSA FONTE BASSO"/>
    <x v="1"/>
    <s v="COMERCIAL"/>
    <s v="VENDEDOR INTERNO PLENO"/>
    <x v="0"/>
    <s v="G3S FL 05 - PRES PRUD"/>
    <s v="20.947.332/0005-19"/>
    <n v="486.11111111111114"/>
    <n v="882.5"/>
    <n v="512.87"/>
    <n v="3012.87"/>
    <n v="3012.87"/>
    <n v="3.3430344322993001E-2"/>
    <n v="345.33"/>
  </r>
  <r>
    <n v="16"/>
    <s v="MURILO LIMA DE CARVALHO SILVA"/>
    <x v="1"/>
    <s v="ADMINISTRATIVO"/>
    <s v="AUXILIAR FINANCEIRO"/>
    <x v="0"/>
    <s v="G3S FL 05 - PRES PRUD"/>
    <s v="20.947.332/0005-19"/>
    <n v="438.42555555555555"/>
    <n v="795.6099999999999"/>
    <n v="521.87"/>
    <n v="2776.63"/>
    <n v="2776.63"/>
    <n v="3.0809061445582472E-2"/>
    <n v="2098"/>
  </r>
  <r>
    <n v="17"/>
    <s v="NATALIA BAROSSI TREVISAN"/>
    <x v="1"/>
    <s v="ADMINISTRATIVO"/>
    <s v="AUXILIAR CONTABIL"/>
    <x v="0"/>
    <s v="G3S FL 05 - PRES PRUD"/>
    <s v="20.947.332/0005-19"/>
    <n v="0"/>
    <n v="740.59"/>
    <n v="528.87"/>
    <n v="2626.87"/>
    <n v="2626.87"/>
    <n v="2.9147347410190493E-2"/>
    <n v="1000"/>
  </r>
  <r>
    <n v="18"/>
    <s v="HELENA SOARES GOES DA SILVA"/>
    <x v="2"/>
    <s v="COMERCIAL"/>
    <s v="AUXILIAR COMERCIAL - ESTAGIARIO"/>
    <x v="0"/>
    <s v="G3S FL 05 - PRES PRUD"/>
    <s v="20.947.332/0005-19"/>
    <n v="0"/>
    <n v="0"/>
    <n v="1521.87"/>
    <n v="1521.87"/>
    <n v="1521.87"/>
    <n v="1.688643655877398E-2"/>
    <n v="1000"/>
  </r>
  <r>
    <n v="19"/>
    <s v="EDUARDO PEDRETTI ARRUDA RONCHESEL"/>
    <x v="2"/>
    <s v="ADMINISTRATIVO"/>
    <s v="AUXILIAR FINANCEIRO - ESTAGIARIO"/>
    <x v="0"/>
    <s v="G3S FL 05 - PRES PRUD"/>
    <s v="20.947.332/0005-19"/>
    <n v="0"/>
    <n v="0"/>
    <n v="1521.87"/>
    <n v="1521.87"/>
    <n v="1521.87"/>
    <n v="1.688643655877398E-2"/>
    <n v="0"/>
  </r>
  <r>
    <n v="2"/>
    <s v="MARCOS ROBERTO DA SILVA MARTINS"/>
    <x v="1"/>
    <s v="LOGISTICA"/>
    <s v="MOTORISTA TRUCK MANTENEDOR JUNIOR"/>
    <x v="1"/>
    <s v="G3S FL 05 - PRES PRUD"/>
    <s v="20.947.332/0005-19"/>
    <n v="52.021666666666668"/>
    <n v="73.03"/>
    <n v="554.03"/>
    <n v="821.56999999999994"/>
    <n v="7959.66"/>
    <n v="8.8319168929942043E-2"/>
    <n v="2631.96"/>
  </r>
  <r>
    <n v="1"/>
    <s v="JUNIOR CESAR SOARES"/>
    <x v="1"/>
    <s v="COMERCIAL"/>
    <s v="VENDEDOR INTERNO SENIOR"/>
    <x v="1"/>
    <s v="G3S FL 05 - PRES PRUD"/>
    <s v="20.947.332/0005-19"/>
    <n v="0"/>
    <n v="88"/>
    <n v="183.33"/>
    <n v="183.33"/>
    <n v="1726.41"/>
    <n v="1.9155981088682338E-2"/>
    <n v="6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ANDERSON ZANUTO"/>
    <s v="PJ"/>
    <s v="BRACOFER"/>
    <s v="GERENTE COMERCIAL"/>
    <s v="Ativo"/>
    <x v="0"/>
    <x v="0"/>
    <n v="1000"/>
    <n v="0"/>
    <n v="12.87"/>
    <n v="12012.87"/>
    <n v="12012.87"/>
  </r>
  <r>
    <s v="ROBERTO DOS SANTOS"/>
    <s v="CLT"/>
    <s v="COMERCIAL"/>
    <s v="VENDEDOR(A)"/>
    <s v="Ativo"/>
    <x v="0"/>
    <x v="1"/>
    <n v="1314.3530555555556"/>
    <n v="2386.11"/>
    <n v="512.87"/>
    <n v="7272.4"/>
    <n v="7272.4"/>
  </r>
  <r>
    <s v="PAULO DIAS CORREA"/>
    <s v="CLT"/>
    <s v="LOGISTICA"/>
    <s v="MOTORISTA TRUCK MANTENEDOR SENIOR"/>
    <s v="Ativo"/>
    <x v="0"/>
    <x v="1"/>
    <n v="671.2786111111111"/>
    <n v="1218.6500000000001"/>
    <n v="2447.87"/>
    <n v="5900.16"/>
    <n v="5900.16"/>
  </r>
  <r>
    <s v="LUIS AUGUSTO DUARTE SILVA"/>
    <s v="CLT"/>
    <s v="COMERCIAL"/>
    <s v="VENDEDOR(A)"/>
    <s v="Ativo"/>
    <x v="0"/>
    <x v="1"/>
    <n v="899.01583333333338"/>
    <n v="1632.0900000000001"/>
    <n v="521.87"/>
    <n v="5145.38"/>
    <n v="5145.38"/>
  </r>
  <r>
    <s v="LUIZ CARLOS DE SOUZA"/>
    <s v="CLT"/>
    <s v="OPERACIONAL"/>
    <s v="AUXILIAR DE PATIO SENIOR"/>
    <s v="Ativo"/>
    <x v="0"/>
    <x v="1"/>
    <n v="522.06777777777768"/>
    <n v="947.76"/>
    <n v="2231.87"/>
    <n v="4916.7899999999991"/>
    <n v="4916.7899999999991"/>
  </r>
  <r>
    <s v="REGINALDO DELA COSTA"/>
    <s v="CLT"/>
    <s v="LOGISTICA"/>
    <s v="MOTORISTA TRUCK MANTENEDOR SENIOR"/>
    <s v="Ativo"/>
    <x v="0"/>
    <x v="1"/>
    <n v="850.70611111111123"/>
    <n v="1544.38"/>
    <n v="512.87"/>
    <n v="4887.93"/>
    <n v="4887.93"/>
  </r>
  <r>
    <s v="THIAGO OLIVEIRA DOS SANTOS"/>
    <s v="CLT"/>
    <s v="OPERACIONAL"/>
    <s v="GERENTE DE PATIO JUNIOR"/>
    <s v="Ativo"/>
    <x v="0"/>
    <x v="1"/>
    <n v="837.26222222222214"/>
    <n v="1519.97"/>
    <n v="521.87"/>
    <n v="4827.79"/>
    <n v="4827.79"/>
  </r>
  <r>
    <s v="LARISSA APARECIDA LIMA QUEIROZ"/>
    <s v="CLT"/>
    <s v="ADMINISTRATIVO"/>
    <s v="ANALISTA FINANCEIRO PLENO"/>
    <s v="Ativo"/>
    <x v="0"/>
    <x v="1"/>
    <n v="666.48555555555549"/>
    <n v="1209.95"/>
    <n v="521.87"/>
    <n v="3949.5099999999998"/>
    <n v="3949.5099999999998"/>
  </r>
  <r>
    <s v="DIEGO LEANDRO DE OLIVEIRA"/>
    <s v="CLT"/>
    <s v="OPERACIONAL"/>
    <s v="AUXILIAR DE PATIO PLENO"/>
    <s v="Ativo"/>
    <x v="0"/>
    <x v="1"/>
    <n v="546.36166666666668"/>
    <n v="991.86"/>
    <n v="871.87"/>
    <n v="3681.73"/>
    <n v="3681.73"/>
  </r>
  <r>
    <s v="EDUARDO SOARES E SILVA"/>
    <s v="CLT"/>
    <s v="OPERACIONAL"/>
    <s v="AUXILIAR DE PATIO JUNIOR"/>
    <s v="Ativo"/>
    <x v="0"/>
    <x v="1"/>
    <n v="497.75444444444452"/>
    <n v="903.63"/>
    <n v="871.87"/>
    <n v="3431.75"/>
    <n v="3431.75"/>
  </r>
  <r>
    <s v="ELISMAR FERREIRA MEDEIROS"/>
    <s v="CLT"/>
    <s v="OPERACIONAL"/>
    <s v="AUXILIAR DE PATIO PLENO"/>
    <s v="Ativo"/>
    <x v="0"/>
    <x v="1"/>
    <n v="472.99194444444441"/>
    <n v="858.67000000000007"/>
    <n v="862.87"/>
    <n v="3295.3999999999996"/>
    <n v="3295.3999999999996"/>
  </r>
  <r>
    <s v="LUIS HENRIQUE SEMENSATO"/>
    <s v="CLT"/>
    <s v="OPERACIONAL"/>
    <s v="AUXILIAR DE PATIO JUNIOR"/>
    <s v="Ativo"/>
    <x v="0"/>
    <x v="1"/>
    <n v="470.74416666666673"/>
    <n v="854.57999999999993"/>
    <n v="862.87"/>
    <n v="3283.84"/>
    <n v="3283.84"/>
  </r>
  <r>
    <s v="LUIS DOUGLAS SANTOS BRAS"/>
    <s v="CLT"/>
    <s v="OPERACIONAL"/>
    <s v="AUXILIAR DE PATIO JUNIOR"/>
    <s v="Ativo"/>
    <x v="0"/>
    <x v="1"/>
    <n v="459.30111111111114"/>
    <n v="833.81000000000006"/>
    <n v="871.87"/>
    <n v="3233.99"/>
    <n v="3233.99"/>
  </r>
  <r>
    <s v="JOAO PAULO BENEVENTO NETO"/>
    <s v="CLT"/>
    <s v="OPERACIONAL"/>
    <s v="AUXILIAR DE PATIO JUNIOR"/>
    <s v="Ativo"/>
    <x v="0"/>
    <x v="1"/>
    <n v="442.4038888888889"/>
    <n v="803.13"/>
    <n v="862.87"/>
    <n v="3138.0899999999997"/>
    <n v="3138.0899999999997"/>
  </r>
  <r>
    <s v="GABRIELA BARBOSA FONTE BASSO"/>
    <s v="CLT"/>
    <s v="COMERCIAL"/>
    <s v="VENDEDOR INTERNO PLENO"/>
    <s v="Ativo"/>
    <x v="0"/>
    <x v="1"/>
    <n v="486.11111111111114"/>
    <n v="882.5"/>
    <n v="512.87"/>
    <n v="3012.87"/>
    <n v="3012.87"/>
  </r>
  <r>
    <s v="MURILO LIMA DE CARVALHO SILVA"/>
    <s v="CLT"/>
    <s v="ADMINISTRATIVO"/>
    <s v="AUXILIAR FINANCEIRO"/>
    <s v="Ativo"/>
    <x v="0"/>
    <x v="1"/>
    <n v="438.42555555555555"/>
    <n v="795.6099999999999"/>
    <n v="521.87"/>
    <n v="2776.63"/>
    <n v="2776.63"/>
  </r>
  <r>
    <s v="NATALIA BAROSSI TREVISAN"/>
    <s v="CLT"/>
    <s v="ADMINISTRATIVO"/>
    <s v="AUXILIAR CONTABIL"/>
    <s v="Ativo"/>
    <x v="0"/>
    <x v="1"/>
    <n v="0"/>
    <n v="740.59"/>
    <n v="528.87"/>
    <n v="2626.87"/>
    <n v="2626.87"/>
  </r>
  <r>
    <s v="HELENA SOARES GOES DA SILVA"/>
    <s v="ESTÁGIO"/>
    <s v="COMERCIAL"/>
    <s v="AUXILIAR COMERCIAL - ESTAGIARIO"/>
    <s v="Ativo"/>
    <x v="0"/>
    <x v="1"/>
    <n v="0"/>
    <n v="0"/>
    <n v="1521.87"/>
    <n v="1521.87"/>
    <n v="1521.87"/>
  </r>
  <r>
    <s v="EDUARDO PEDRETTI ARRUDA RONCHESEL"/>
    <s v="ESTÁGIO"/>
    <s v="ADMINISTRATIVO"/>
    <s v="AUXILIAR FINANCEIRO - ESTAGIARIO"/>
    <s v="Ativo"/>
    <x v="0"/>
    <x v="1"/>
    <n v="0"/>
    <n v="0"/>
    <n v="1521.87"/>
    <n v="1521.87"/>
    <n v="1521.87"/>
  </r>
  <r>
    <s v="MARCOS ROBERTO DA SILVA MARTINS"/>
    <s v="CLT"/>
    <s v="LOGISTICA"/>
    <s v="MOTORISTA TRUCK MANTENEDOR JUNIOR"/>
    <s v="Desligado"/>
    <x v="0"/>
    <x v="1"/>
    <n v="52.021666666666668"/>
    <n v="73.03"/>
    <n v="554.03"/>
    <n v="821.56999999999994"/>
    <n v="7959.66"/>
  </r>
  <r>
    <s v="JUNIOR CESAR SOARES"/>
    <s v="CLT"/>
    <s v="COMERCIAL"/>
    <s v="VENDEDOR INTERNO SENIOR"/>
    <s v="Desligado"/>
    <x v="0"/>
    <x v="1"/>
    <n v="0"/>
    <n v="88"/>
    <n v="183.33"/>
    <n v="183.33"/>
    <n v="1726.4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FRANCISCO CARLOS DA SILVA"/>
    <x v="0"/>
    <s v="SELETIVA APOIO"/>
    <s v="GERENTE DE COMPRAS"/>
    <x v="0"/>
    <x v="0"/>
    <x v="0"/>
    <n v="738.75"/>
    <n v="0"/>
    <n v="12.87"/>
    <n v="8877.8700000000008"/>
    <n v="8877.8700000000008"/>
  </r>
  <r>
    <s v="NIVALDO MATEUS"/>
    <x v="1"/>
    <s v="OPERACIONAL"/>
    <s v="GERENTE DE PATIO SENIOR PP"/>
    <x v="0"/>
    <x v="0"/>
    <x v="1"/>
    <n v="1114.2347222222222"/>
    <n v="2022.8000000000002"/>
    <n v="3558.21"/>
    <n v="9288.5600000000013"/>
    <n v="9288.5600000000013"/>
  </r>
  <r>
    <s v="JULIANO VIEIRA DE SANTANA"/>
    <x v="1"/>
    <s v="LOGISTICA"/>
    <s v="MOTORISTA CARRETEIRO MANTENEDOR SENIOR III"/>
    <x v="0"/>
    <x v="1"/>
    <x v="2"/>
    <n v="987.37333333333345"/>
    <n v="1792.48"/>
    <n v="3297.21"/>
    <n v="8375.130000000001"/>
    <n v="8375.130000000001"/>
  </r>
  <r>
    <s v="MARCIO AFONSO"/>
    <x v="1"/>
    <s v="LOGISTICA"/>
    <s v="MOTORISTA CARRETEIRO MANTENEDOR SENIOR III"/>
    <x v="0"/>
    <x v="1"/>
    <x v="2"/>
    <n v="992.56888888888898"/>
    <n v="1801.92"/>
    <n v="3451.13"/>
    <n v="8555.77"/>
    <n v="8555.77"/>
  </r>
  <r>
    <s v="MARCELO VITOR"/>
    <x v="1"/>
    <s v="OPERACIONAL"/>
    <s v="OPERADOR MANTENEDOR SENIOR"/>
    <x v="0"/>
    <x v="1"/>
    <x v="2"/>
    <n v="1233.7344444444445"/>
    <n v="2239.7400000000002"/>
    <n v="3532.42"/>
    <n v="9877.34"/>
    <n v="9877.34"/>
  </r>
  <r>
    <s v="ANTONIO ANACLETO DE OLIVEIRA"/>
    <x v="1"/>
    <s v="OPERACIONAL"/>
    <s v="AUXILIAR DE PATIO SENIOR"/>
    <x v="0"/>
    <x v="0"/>
    <x v="1"/>
    <n v="505.55555555555554"/>
    <n v="933.8"/>
    <n v="2109.34"/>
    <n v="4709.34"/>
    <n v="4709.34"/>
  </r>
  <r>
    <s v="MAURICIO ANTONIO SALETE"/>
    <x v="1"/>
    <s v="OPERACIONAL"/>
    <s v="GERENTE DE PATIO SENIOR"/>
    <x v="0"/>
    <x v="0"/>
    <x v="1"/>
    <n v="997.53111111111104"/>
    <n v="1810.93"/>
    <n v="1092.21"/>
    <n v="6222.37"/>
    <n v="6222.37"/>
  </r>
  <r>
    <s v="CELIO MATEUS"/>
    <x v="1"/>
    <s v="OPERACIONAL"/>
    <s v="OPERADOR MANTENEDOR JR"/>
    <x v="0"/>
    <x v="1"/>
    <x v="2"/>
    <n v="968.5044444444444"/>
    <n v="2274.84"/>
    <n v="7679.53"/>
    <n v="12660.41"/>
    <n v="12660.41"/>
  </r>
  <r>
    <s v="MARCOS MEDEIROS"/>
    <x v="1"/>
    <s v="OPERACIONAL"/>
    <s v="SOLDADOR MAÇARIQUEIRO"/>
    <x v="0"/>
    <x v="0"/>
    <x v="1"/>
    <n v="643.08416666666676"/>
    <n v="1167.46"/>
    <n v="1607.21"/>
    <n v="4914.5"/>
    <n v="4914.5"/>
  </r>
  <r>
    <s v="JOSE ANTONIO CAETANO"/>
    <x v="1"/>
    <s v="OPERACIONAL"/>
    <s v="CLASSIFICADOR SENIOR"/>
    <x v="0"/>
    <x v="0"/>
    <x v="1"/>
    <n v="577.05083333333334"/>
    <n v="1047.58"/>
    <n v="1292.21"/>
    <n v="4259.8999999999996"/>
    <n v="4259.8999999999996"/>
  </r>
  <r>
    <s v="EDILEUSA PEREIRA LISBOA"/>
    <x v="1"/>
    <s v="OPERACIONAL"/>
    <s v="OPERADOR MANTENEDOR JR"/>
    <x v="0"/>
    <x v="1"/>
    <x v="2"/>
    <n v="783.02"/>
    <n v="1421.5"/>
    <n v="1092.21"/>
    <n v="5119.17"/>
    <n v="5119.17"/>
  </r>
  <r>
    <s v="ANDERSON RODRIGO FERREIRA DE LIMA"/>
    <x v="1"/>
    <s v="OPERACIONAL"/>
    <s v="MACARIQUEIRO PLENO"/>
    <x v="0"/>
    <x v="0"/>
    <x v="1"/>
    <n v="503.125"/>
    <n v="913.37999999999988"/>
    <n v="1092.21"/>
    <n v="3679.71"/>
    <n v="3679.71"/>
  </r>
  <r>
    <s v="LUCIMARA PAIZ DE OLIVEIRA"/>
    <x v="1"/>
    <s v="ADMINISTRATIVO"/>
    <s v="FAXINEIRO (EMPRESA)"/>
    <x v="0"/>
    <x v="0"/>
    <x v="1"/>
    <n v="359.68333333333334"/>
    <n v="652.96"/>
    <n v="512.87"/>
    <n v="2362.67"/>
    <n v="2362.67"/>
  </r>
  <r>
    <s v="THAIS BARBOSA DA SILVA ROSA"/>
    <x v="1"/>
    <s v="ADMINISTRATIVO"/>
    <s v="AUX ADMINISTRATIVO JUNIOR"/>
    <x v="0"/>
    <x v="2"/>
    <x v="3"/>
    <n v="527.23611111111109"/>
    <n v="997.81999999999994"/>
    <n v="1101.21"/>
    <n v="3812.71"/>
    <n v="3812.7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s v="JOHNNIS GUANDALINI SCHIAVON"/>
    <s v="CLT"/>
    <s v="OPERACIONAL"/>
    <s v="OPERADOR MANTENEDOR JR"/>
    <s v="Ativo"/>
    <x v="0"/>
    <x v="0"/>
    <n v="636.04916666666668"/>
    <n v="1203.75"/>
    <n v="969.47"/>
    <n v="4240.58"/>
    <n v="4240.58"/>
    <n v="0.34503863253204187"/>
  </r>
  <r>
    <s v="ADEMIR DOS SANTOS"/>
    <s v="CLT"/>
    <s v="OPERACIONAL"/>
    <s v="AUXILIAR DE PATIO SENIOR"/>
    <s v="Ativo"/>
    <x v="1"/>
    <x v="1"/>
    <n v="524.09194444444438"/>
    <n v="991.86"/>
    <n v="969.47"/>
    <n v="3664.8"/>
    <n v="3664.8"/>
    <n v="0.29818977132925856"/>
  </r>
  <r>
    <s v="DYESSILA MARY ALVES"/>
    <s v="CLT"/>
    <s v="ADMINISTRATIVO"/>
    <s v="AUX ADMINISTRATIVO JUNIOR"/>
    <s v="Ativo"/>
    <x v="1"/>
    <x v="1"/>
    <n v="506.24194444444447"/>
    <n v="958.09"/>
    <n v="456.6"/>
    <n v="3060.13"/>
    <n v="3060.13"/>
    <n v="0.24899024910985701"/>
  </r>
  <r>
    <s v="ALEKSANDER APARECIDO GONÇALVES DA SILVA"/>
    <s v="CLT"/>
    <s v="OPERACIONAL"/>
    <s v="GERENTE DE PATIO SENIOR"/>
    <s v="Desligado"/>
    <x v="1"/>
    <x v="1"/>
    <n v="200.095"/>
    <n v="552.25"/>
    <n v="295.59000000000003"/>
    <n v="1324.65"/>
    <n v="1324.65"/>
    <n v="0.1077813470288425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WAGNER CALDEIRA DA SILVA JUNIOR"/>
    <x v="0"/>
    <s v="OPERACIONAL"/>
    <s v="ENCARREGADO MANUT MAQ E EQUIPAMENTOS"/>
    <x v="0"/>
    <x v="0"/>
    <x v="0"/>
    <n v="833.33333333333337"/>
    <n v="0"/>
    <n v="12.87"/>
    <n v="10012.870000000001"/>
    <n v="10012.870000000001"/>
  </r>
  <r>
    <s v="MARCOS ANTONIO CLAUDIO"/>
    <x v="1"/>
    <s v="OPERACIONAL"/>
    <s v="OPERADOR MANTENEDOR PLENO"/>
    <x v="0"/>
    <x v="0"/>
    <x v="1"/>
    <n v="1014.813333333333"/>
    <n v="1842.31"/>
    <n v="4432.37"/>
    <n v="9651.41"/>
    <n v="9651.41"/>
  </r>
  <r>
    <s v="DANIEL JUNIOR SANTOS"/>
    <x v="1"/>
    <s v="OPERACIONAL"/>
    <s v="MOTORISTA CARRETEIRO MANTENEDOR SENIOR III"/>
    <x v="0"/>
    <x v="0"/>
    <x v="1"/>
    <n v="844.76583333333338"/>
    <n v="1533.6"/>
    <n v="3935.51"/>
    <n v="8280.02"/>
    <n v="8280.02"/>
  </r>
  <r>
    <s v="SILVANO VIEIRA DE SANTANA"/>
    <x v="1"/>
    <s v="LOGISTICA"/>
    <s v="MOTORISTA CARRETEIRO MANTENEDOR SENIOR III"/>
    <x v="0"/>
    <x v="0"/>
    <x v="1"/>
    <n v="839.79194444444454"/>
    <n v="1524.57"/>
    <n v="3134.87"/>
    <n v="7453.8"/>
    <n v="7453.8"/>
  </r>
  <r>
    <s v="RIVAEL BARRETO DA SILVA"/>
    <x v="1"/>
    <s v="OPERACIONAL"/>
    <s v="OPERADOR MANTENEDOR SENIOR"/>
    <x v="0"/>
    <x v="0"/>
    <x v="1"/>
    <n v="801.72944444444454"/>
    <n v="1455.4699999999998"/>
    <n v="1445"/>
    <n v="5568.18"/>
    <n v="5568.18"/>
  </r>
  <r>
    <s v="CRISTIANO LUCAS BACHIO"/>
    <x v="1"/>
    <s v="OPERACIONAL"/>
    <s v="OPERADOR MANTENEDOR PLENO"/>
    <x v="0"/>
    <x v="0"/>
    <x v="1"/>
    <n v="751.87777777777774"/>
    <n v="1364.97"/>
    <n v="1487.87"/>
    <n v="5354.67"/>
    <n v="5354.67"/>
  </r>
  <r>
    <s v="SERGIO LUIZ RIBEIRO"/>
    <x v="1"/>
    <s v="OPERACIONAL"/>
    <s v="OPERADOR MANTENEDOR SENIOR"/>
    <x v="0"/>
    <x v="0"/>
    <x v="1"/>
    <n v="749.47055555555551"/>
    <n v="1360.5900000000001"/>
    <n v="1325.8400000000001"/>
    <n v="5180.26"/>
    <n v="5180.26"/>
  </r>
  <r>
    <s v="WALLANCE ALIEL FURTADO"/>
    <x v="1"/>
    <s v="OPERACIONAL"/>
    <s v="OPERADOR MANTENEDOR SENIOR"/>
    <x v="0"/>
    <x v="0"/>
    <x v="1"/>
    <n v="745.5"/>
    <n v="1353.3999999999999"/>
    <n v="992.5"/>
    <n v="4826.5"/>
    <n v="4826.5"/>
  </r>
  <r>
    <s v="SANDRILEI MOREIRA JUNIOR"/>
    <x v="1"/>
    <s v="OPERACIONAL"/>
    <s v="OPERADOR MANTENEDOR PLENO"/>
    <x v="0"/>
    <x v="0"/>
    <x v="1"/>
    <n v="719.09249999999986"/>
    <n v="1305.45"/>
    <n v="1000.6"/>
    <n v="4698.79"/>
    <n v="4698.79"/>
  </r>
  <r>
    <s v="ROBERTT FERNANDO SIQUEIRA"/>
    <x v="1"/>
    <s v="OPERACIONAL"/>
    <s v="OPERADOR MANTENEDOR PLENO"/>
    <x v="0"/>
    <x v="0"/>
    <x v="1"/>
    <n v="666.99111111111097"/>
    <n v="1210.8600000000001"/>
    <n v="1143.2"/>
    <n v="4573.4399999999996"/>
    <n v="4573.4399999999996"/>
  </r>
  <r>
    <s v="BRUNO RUANI SCARFONI"/>
    <x v="1"/>
    <s v="COMERCIAL"/>
    <s v="VENDEDOR (A)"/>
    <x v="0"/>
    <x v="1"/>
    <x v="2"/>
    <n v="486.11111111111114"/>
    <n v="882.5"/>
    <n v="921.87"/>
    <n v="3421.87"/>
    <n v="3421.87"/>
  </r>
  <r>
    <s v="THAIS SILVA ROCHA"/>
    <x v="1"/>
    <s v="INTRA-LOGISTICA"/>
    <s v="ANALISTA ADMINISTRATIVO OPERACIONAL JUNIOR"/>
    <x v="0"/>
    <x v="2"/>
    <x v="3"/>
    <n v="486.11111111111114"/>
    <n v="882.5"/>
    <n v="521.87"/>
    <n v="3021.87"/>
    <n v="3021.87"/>
  </r>
  <r>
    <s v="LAERME MUNIZ"/>
    <x v="1"/>
    <s v="OPERACIONAL"/>
    <s v="OPERADOR MANTENEDOR SENIOR"/>
    <x v="0"/>
    <x v="0"/>
    <x v="1"/>
    <n v="0"/>
    <n v="713.59"/>
    <m/>
    <m/>
    <n v="2594.5699999999997"/>
  </r>
  <r>
    <s v="MURILO BONI CANDIDO"/>
    <x v="2"/>
    <s v="INTRA-LOGISTICA"/>
    <s v="AUXILIAR DE MARKETING - ESTAGIARIO"/>
    <x v="0"/>
    <x v="2"/>
    <x v="3"/>
    <n v="0"/>
    <n v="0"/>
    <m/>
    <m/>
    <n v="1500"/>
  </r>
  <r>
    <s v="FERNANDO THALLES SOUZA OLIVEIRA"/>
    <x v="2"/>
    <s v="INTRA-LOGISTICA"/>
    <s v="AUXILIAR DE ENGENHARIA - ESTAGIARIO"/>
    <x v="0"/>
    <x v="2"/>
    <x v="3"/>
    <n v="0"/>
    <n v="0"/>
    <m/>
    <m/>
    <n v="1500"/>
  </r>
  <r>
    <s v="EVALDO JANES DE CANDIDO OLIVIERA"/>
    <x v="0"/>
    <s v="COMERCIAL"/>
    <s v="GERENTE"/>
    <x v="0"/>
    <x v="0"/>
    <x v="0"/>
    <n v="0"/>
    <n v="0"/>
    <n v="0"/>
    <n v="0"/>
    <n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LUIZ GUILHERME BRAGHINI"/>
    <x v="0"/>
    <s v="OPERACIONAL"/>
    <s v="GERENTE DE PATIO SENIOR"/>
    <x v="0"/>
    <x v="0"/>
    <x v="0"/>
    <n v="1073.2847222222222"/>
    <n v="2118.19"/>
    <n v="1205.9099999999999"/>
    <n v="6725.66"/>
    <n v="6725.66"/>
  </r>
  <r>
    <s v="RAMON FELIPE DE OLIVEIRA FREITAS"/>
    <x v="0"/>
    <s v="LOGISTICA"/>
    <s v="MOTORISTA CARRETEIRO MANTENEDOR PLENO II"/>
    <x v="0"/>
    <x v="1"/>
    <x v="1"/>
    <n v="780.19861111111118"/>
    <n v="1476.57"/>
    <n v="2090.31"/>
    <n v="6102.76"/>
    <n v="6102.76"/>
  </r>
  <r>
    <s v="ANTONIO BATISTA DA SILVA"/>
    <x v="0"/>
    <s v="LOGISTICA"/>
    <s v="MOTORISTA CARRETEIRO MANTENEDOR PLENO"/>
    <x v="0"/>
    <x v="1"/>
    <x v="1"/>
    <n v="695.84472222222234"/>
    <n v="1316.14"/>
    <n v="2082.6299999999997"/>
    <n v="5661.26"/>
    <n v="5661.26"/>
  </r>
  <r>
    <s v="BRUNO JUSTINIANO MATOS"/>
    <x v="1"/>
    <s v="COMERCIAL"/>
    <s v="COMPRADOR"/>
    <x v="0"/>
    <x v="1"/>
    <x v="2"/>
    <n v="416.66666666666669"/>
    <n v="0"/>
    <n v="12.87"/>
    <n v="5012.87"/>
    <n v="5012.87"/>
  </r>
  <r>
    <s v="PATRICIA DANIELLE SILVA"/>
    <x v="0"/>
    <s v="ADMINISTRATIVO"/>
    <s v="AUX ADMINISTRATIVO PLENO"/>
    <x v="0"/>
    <x v="0"/>
    <x v="0"/>
    <n v="574.89833333333331"/>
    <n v="1134.5800000000002"/>
    <n v="1054.9099999999999"/>
    <n v="4011.5299999999997"/>
    <n v="4011.5299999999997"/>
  </r>
  <r>
    <s v="RAFAEL RAMIRES DE ARAUJO"/>
    <x v="0"/>
    <s v="OPERACIONAL"/>
    <s v="AUXILIAR DE PATIO JUNIOR"/>
    <x v="0"/>
    <x v="0"/>
    <x v="0"/>
    <n v="419.02777777777783"/>
    <n v="826.98"/>
    <n v="1045.9099999999999"/>
    <n v="3200.91"/>
    <n v="3200.91"/>
  </r>
  <r>
    <s v="EDUARDO DE OLIVEIRA ALMEIDA"/>
    <x v="0"/>
    <s v="OPERACIONAL"/>
    <s v="OPERADOR MANTENEDOR SENIOR"/>
    <x v="0"/>
    <x v="1"/>
    <x v="1"/>
    <n v="0"/>
    <n v="1418.72"/>
    <n v="1041.04"/>
    <n v="4896.2999999999993"/>
    <n v="4896.2999999999993"/>
  </r>
  <r>
    <s v="GUSTAVO LINO DUARTE"/>
    <x v="0"/>
    <s v="OPERACIONAL"/>
    <s v="AUXILIAR DE PATIO JUNIOR"/>
    <x v="1"/>
    <x v="0"/>
    <x v="0"/>
    <n v="0"/>
    <n v="0"/>
    <n v="610.84"/>
    <n v="610.84"/>
    <n v="6569.72"/>
  </r>
  <r>
    <s v="PEDRO FELIPE PINA DO NASCIMENTO"/>
    <x v="0"/>
    <s v="OPERACIONAL"/>
    <s v="AUXILIAR DE PATIO JUNIOR"/>
    <x v="1"/>
    <x v="0"/>
    <x v="0"/>
    <n v="0"/>
    <n v="0"/>
    <n v="260.84000000000003"/>
    <n v="260.84000000000003"/>
    <n v="1845.49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1"/>
    <s v="CRISTINA SUGUI"/>
    <x v="0"/>
    <s v="PILARES"/>
    <s v="CONSULTOR"/>
    <x v="0"/>
    <x v="0"/>
    <x v="0"/>
    <n v="915.55583333333334"/>
    <n v="0"/>
    <n v="12.87"/>
    <n v="10999.54"/>
    <n v="10999.54"/>
    <n v="0.10062067255840593"/>
    <n v="12693.34"/>
  </r>
  <r>
    <n v="2"/>
    <s v="ADRIANA REGINA NOGUEIRA DOS SANTOS"/>
    <x v="0"/>
    <s v="PILARES"/>
    <s v="SUPERVISOR(A) FINANCEIRO"/>
    <x v="0"/>
    <x v="0"/>
    <x v="0"/>
    <n v="1000"/>
    <n v="0"/>
    <n v="21.87"/>
    <n v="12021.87"/>
    <n v="12021.87"/>
    <n v="0.1099726574756511"/>
    <n v="12000"/>
  </r>
  <r>
    <n v="3"/>
    <s v="HUGO BIANCHI BOSSOLANI"/>
    <x v="0"/>
    <s v="PILARES"/>
    <s v="CONSULTOR"/>
    <x v="0"/>
    <x v="0"/>
    <x v="0"/>
    <n v="957.55000000000007"/>
    <n v="0"/>
    <n v="21.87"/>
    <n v="11512.470000000001"/>
    <n v="11512.470000000001"/>
    <n v="0.10531281073649185"/>
    <n v="9192.48"/>
  </r>
  <r>
    <n v="4"/>
    <s v="LUCIANO ROGERIO FARIA"/>
    <x v="0"/>
    <s v="PILARES"/>
    <s v="COORDENADOR DE QUALIDADE"/>
    <x v="0"/>
    <x v="0"/>
    <x v="0"/>
    <n v="762.5"/>
    <n v="0"/>
    <n v="21.87"/>
    <n v="9171.8700000000008"/>
    <n v="9171.8700000000008"/>
    <n v="8.3901665707681095E-2"/>
    <n v="8800"/>
  </r>
  <r>
    <n v="5"/>
    <s v="MURILO PRADO"/>
    <x v="0"/>
    <s v="PILARES"/>
    <s v="CONSULTOR"/>
    <x v="0"/>
    <x v="0"/>
    <x v="0"/>
    <n v="0"/>
    <n v="0"/>
    <n v="0"/>
    <n v="6578"/>
    <n v="6578"/>
    <n v="6.0173678543756749E-2"/>
    <n v="6000"/>
  </r>
  <r>
    <n v="6"/>
    <s v="VINICIUS AUGUSTO ALVES VILELA"/>
    <x v="0"/>
    <s v="ADMINISTRATIVO"/>
    <s v="ANALISTA DE COMPRAS"/>
    <x v="0"/>
    <x v="1"/>
    <x v="0"/>
    <n v="541.66666666666663"/>
    <n v="0"/>
    <n v="521.87"/>
    <n v="7021.87"/>
    <n v="7021.87"/>
    <n v="6.4234075426580911E-2"/>
    <n v="5500"/>
  </r>
  <r>
    <n v="7"/>
    <s v="ADRIANA CANDIDO FIGUEIREDO"/>
    <x v="1"/>
    <s v="GESTÃO DE GENTE"/>
    <s v="ANALISTA DE DEPTO PESSOAL"/>
    <x v="0"/>
    <x v="0"/>
    <x v="1"/>
    <n v="888.36805555555566"/>
    <n v="1681.29"/>
    <n v="512.87"/>
    <n v="5081.62"/>
    <n v="5081.62"/>
    <n v="4.6485218662439216E-2"/>
    <n v="4837.5"/>
  </r>
  <r>
    <n v="8"/>
    <s v="MARIANE APARECIDA MOREIRA DE CRISTOFANO"/>
    <x v="1"/>
    <s v="GESTÃO DE GENTE"/>
    <s v="ANALISTA DE SESMT"/>
    <x v="0"/>
    <x v="0"/>
    <x v="1"/>
    <n v="826.38888888888891"/>
    <n v="1847.65"/>
    <n v="2157.84"/>
    <n v="6407.84"/>
    <n v="6407.84"/>
    <n v="5.8617103119462791E-2"/>
    <n v="4738.3999999999996"/>
  </r>
  <r>
    <n v="9"/>
    <s v="ELAINE CRISTINA PANIZZA SILVA"/>
    <x v="1"/>
    <s v="GESTÃO DE GENTE"/>
    <s v="ANALISTA DE RECURSOS HUMANOS SENIOR"/>
    <x v="0"/>
    <x v="0"/>
    <x v="1"/>
    <n v="826.38888888888891"/>
    <n v="1564"/>
    <n v="521.87"/>
    <n v="4771.87"/>
    <n v="4771.87"/>
    <n v="4.3651713504499319E-2"/>
    <n v="4500"/>
  </r>
  <r>
    <n v="10"/>
    <s v="GIOVANE PORTO"/>
    <x v="0"/>
    <s v="PILARES"/>
    <s v="CONSULTOR"/>
    <x v="0"/>
    <x v="0"/>
    <x v="0"/>
    <n v="500"/>
    <n v="0"/>
    <n v="0"/>
    <n v="6000"/>
    <n v="6000"/>
    <n v="5.4886298458884236E-2"/>
    <n v="6000"/>
  </r>
  <r>
    <n v="11"/>
    <s v="DANIELA SANTOS MORAES"/>
    <x v="1"/>
    <s v="ADMINISTRATIVO"/>
    <s v="ANALISTA CONTABIL SENIOR"/>
    <x v="0"/>
    <x v="0"/>
    <x v="1"/>
    <n v="723.09027777777771"/>
    <n v="1368.49"/>
    <n v="621.87"/>
    <n v="4340.62"/>
    <n v="4340.62"/>
    <n v="3.9706760802767013E-2"/>
    <n v="4037.5"/>
  </r>
  <r>
    <n v="12"/>
    <s v="MARIA EDUARDA FREITAS MESSIAS"/>
    <x v="1"/>
    <s v="ADMINISTRATIVO"/>
    <s v="ANALISTA FINANCEIRO SENIOR II"/>
    <x v="0"/>
    <x v="0"/>
    <x v="1"/>
    <n v="748.61111111111109"/>
    <n v="1416.8"/>
    <n v="521.87"/>
    <n v="4371.87"/>
    <n v="4371.87"/>
    <n v="3.9992626940573699E-2"/>
    <n v="4079.22"/>
  </r>
  <r>
    <n v="13"/>
    <s v="FERNANDA OLIVEIRA SILVA CARDOSO"/>
    <x v="1"/>
    <s v="ADMINISTRATIVO"/>
    <s v="ANALISTA FISCAL SENIOR I"/>
    <x v="0"/>
    <x v="0"/>
    <x v="1"/>
    <n v="680.55555555555566"/>
    <n v="1288"/>
    <n v="521.87"/>
    <n v="4021.87"/>
    <n v="4021.87"/>
    <n v="3.6790926197138786E-2"/>
    <n v="3625"/>
  </r>
  <r>
    <n v="14"/>
    <s v="AMANDA DE OLIVEIRA VINCO"/>
    <x v="1"/>
    <s v="ADMINISTRATIVO"/>
    <s v="ANALISTA CONTABIL JUNIOR"/>
    <x v="0"/>
    <x v="0"/>
    <x v="1"/>
    <n v="516.49305555555554"/>
    <n v="977.49"/>
    <n v="521.87"/>
    <n v="3178.12"/>
    <n v="3178.12"/>
    <n v="2.9072540476358193E-2"/>
    <n v="2822.92"/>
  </r>
  <r>
    <n v="15"/>
    <s v="WILGNER DAVALO DA SILVA"/>
    <x v="1"/>
    <s v="ADMINISTRATIVO"/>
    <s v="ANALISTA FINANCEIRO JUNIOR"/>
    <x v="0"/>
    <x v="0"/>
    <x v="1"/>
    <n v="516.49305555555554"/>
    <n v="977.49"/>
    <n v="521.87"/>
    <n v="3178.12"/>
    <n v="3178.12"/>
    <n v="2.9072540476358193E-2"/>
    <n v="2820.05"/>
  </r>
  <r>
    <n v="16"/>
    <s v="GABRIEL SATOSHI DA SILVA SAKATA"/>
    <x v="2"/>
    <s v="ADMINISTRATIVO"/>
    <s v="AUXILIAR ADMINISTRATIVO - ESTAGIARIO(A)"/>
    <x v="0"/>
    <x v="0"/>
    <x v="1"/>
    <n v="0"/>
    <n v="0"/>
    <n v="1521.87"/>
    <n v="1521.87"/>
    <n v="1521.87"/>
    <n v="1.392163517260369E-2"/>
    <n v="1000"/>
  </r>
  <r>
    <n v="17"/>
    <s v="JOAO PAULO MARTINS OZORES"/>
    <x v="2"/>
    <s v="ADMINISTRATIVO"/>
    <s v="AUXILIAR ADMINISTRATIVO - ESTAGIARIO(A)"/>
    <x v="0"/>
    <x v="0"/>
    <x v="1"/>
    <n v="0"/>
    <n v="0"/>
    <n v="1521.87"/>
    <n v="1521.87"/>
    <n v="1521.87"/>
    <n v="1.392163517260369E-2"/>
    <n v="1000"/>
  </r>
  <r>
    <n v="18"/>
    <s v="JOAO EMANUEL SANTOS SILVA"/>
    <x v="2"/>
    <s v="ADMINISTRATIVO"/>
    <s v="AUXILIAR FINANCEIRO - ESTAGIARIO"/>
    <x v="0"/>
    <x v="0"/>
    <x v="1"/>
    <n v="0"/>
    <n v="0"/>
    <n v="1521.87"/>
    <n v="1521.87"/>
    <n v="1521.87"/>
    <n v="1.392163517260369E-2"/>
    <n v="1000"/>
  </r>
  <r>
    <n v="19"/>
    <s v="BRUNA RIBEIRO SANCHEZ"/>
    <x v="2"/>
    <s v="GESTÃO DE GENTE"/>
    <s v="AUXILIAR ADMINISTRATIVO - ESTAGIARIO(A)"/>
    <x v="0"/>
    <x v="0"/>
    <x v="1"/>
    <n v="0"/>
    <n v="0"/>
    <n v="1521.87"/>
    <n v="1521.87"/>
    <n v="1521.87"/>
    <n v="1.392163517260369E-2"/>
    <n v="900"/>
  </r>
  <r>
    <n v="20"/>
    <s v="LUCAS VICTOR MENDONÇA RUBIO"/>
    <x v="2"/>
    <s v="ADMINISTRATIVO"/>
    <s v="AUXILIAR CONTABIL - ESTAGIARIO"/>
    <x v="0"/>
    <x v="0"/>
    <x v="1"/>
    <n v="0"/>
    <n v="0"/>
    <n v="1500"/>
    <n v="1500"/>
    <n v="1500"/>
    <n v="1.3721574614721059E-2"/>
    <n v="0"/>
  </r>
  <r>
    <n v="21"/>
    <s v="JULIO OLIVEIRA SANTANA"/>
    <x v="2"/>
    <s v="ADMINISTRATIVO"/>
    <s v="AUXILIAR DE QUALIDADE - ESTAGIARIO"/>
    <x v="0"/>
    <x v="0"/>
    <x v="1"/>
    <n v="0"/>
    <n v="0"/>
    <n v="650"/>
    <n v="650"/>
    <n v="650"/>
    <n v="5.9460156663791253E-3"/>
    <n v="0"/>
  </r>
  <r>
    <n v="22"/>
    <s v="ISADORA THAYNA VIOTTO DIAS"/>
    <x v="2"/>
    <s v="ADMINISTRATIVO"/>
    <s v="AUXILIAR ADMINISTRATIVO - ESTAGIARIO(A)"/>
    <x v="0"/>
    <x v="0"/>
    <x v="1"/>
    <n v="0"/>
    <n v="0"/>
    <n v="1521.87"/>
    <n v="1521.87"/>
    <n v="1521.87"/>
    <n v="1.392163517260369E-2"/>
    <n v="1000"/>
  </r>
  <r>
    <n v="1"/>
    <s v="PEDRO MARQUES GUARNIERI"/>
    <x v="2"/>
    <s v="GESTÃO DE GENTE"/>
    <s v="AUXILIAR ADMINISTRATIVO - ESTAGIARIO(A)"/>
    <x v="0"/>
    <x v="0"/>
    <x v="1"/>
    <n v="0"/>
    <n v="0"/>
    <n v="1188.54"/>
    <n v="1188.54"/>
    <n v="900"/>
    <n v="8.2329447688326354E-3"/>
    <n v="100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ANDRESSA FRANCINI CRUZ DE SOUZA"/>
    <x v="0"/>
    <s v="TRANSMOVE"/>
    <s v="SUPERVISOR(A) DE LOGISTICA"/>
    <x v="0"/>
    <x v="0"/>
    <x v="0"/>
    <n v="952.77777777777771"/>
    <n v="1729.7"/>
    <n v="100"/>
    <n v="5000"/>
    <n v="9238.33"/>
  </r>
  <r>
    <s v="MONIQUE ISABELE DE LIMA"/>
    <x v="0"/>
    <s v="TRANSMOVE"/>
    <s v="ANALISTA ADMINISTRATIVO SENIOR"/>
    <x v="0"/>
    <x v="1"/>
    <x v="1"/>
    <n v="736.20361111111106"/>
    <n v="1335.7599999999998"/>
    <n v="1479.87"/>
    <n v="5266.0599999999995"/>
    <n v="5266.0599999999995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s v="FERNANDO DA COSTA FERREIRA"/>
    <x v="0"/>
    <s v="SELETIVA APOIO"/>
    <s v="GERENTE"/>
    <x v="0"/>
    <x v="0"/>
    <x v="0"/>
    <n v="1853.5466666666669"/>
    <n v="0"/>
    <n v="512.87"/>
    <n v="22755.43"/>
    <n v="22755.43"/>
  </r>
  <r>
    <s v="MARCONDES VALENTIM VICTORINO"/>
    <x v="0"/>
    <s v="SELETIVA APOIO"/>
    <s v="DIRETOR COMERCIAL COMPRA SUCATA"/>
    <x v="0"/>
    <x v="0"/>
    <x v="0"/>
    <n v="1250"/>
    <n v="0"/>
    <n v="0"/>
    <n v="15000"/>
    <n v="15000"/>
  </r>
  <r>
    <s v="OSWALDO JONATAN PEREIRA DE CASTRO"/>
    <x v="0"/>
    <s v="SELETIVA APOIO"/>
    <s v="GERENTE"/>
    <x v="0"/>
    <x v="0"/>
    <x v="0"/>
    <n v="1125"/>
    <n v="0"/>
    <n v="21.87"/>
    <n v="13521.87"/>
    <n v="13521.87"/>
  </r>
  <r>
    <s v="WAGNER APARECIDO DO NASCIMENTO"/>
    <x v="1"/>
    <s v="LOGISTICA"/>
    <s v="MOTORISTA CARRETEIRO MANTENEDOR SENIOR II"/>
    <x v="0"/>
    <x v="1"/>
    <x v="1"/>
    <n v="871.30944444444447"/>
    <n v="1581.7800000000002"/>
    <n v="5697.87"/>
    <n v="10178.89"/>
    <n v="10178.89"/>
  </r>
  <r>
    <s v="JULIO VIEIRA DE SANTANA"/>
    <x v="2"/>
    <s v="OPERACIONAL"/>
    <s v="MOTORISTA CARRETEIRO MANTENEDOR SENIOR III"/>
    <x v="0"/>
    <x v="1"/>
    <x v="1"/>
    <n v="0"/>
    <n v="0"/>
    <n v="5935.07"/>
    <n v="9879.83"/>
    <n v="9879.83"/>
  </r>
  <r>
    <s v="GISELE APARECIDA TONETTO SANTOS"/>
    <x v="0"/>
    <s v="SELETIVA APOIO"/>
    <s v="GERENTE ADMINISTRATIVO"/>
    <x v="0"/>
    <x v="0"/>
    <x v="0"/>
    <n v="927.41666666666663"/>
    <n v="0"/>
    <n v="21.87"/>
    <n v="11150.87"/>
    <n v="11150.87"/>
  </r>
  <r>
    <s v="EDMILSON DA COSTA LEITAO"/>
    <x v="0"/>
    <s v="OPERACIONAL"/>
    <s v="ENCARREGADO MANUT MAQ E EQUIPAMENTOS"/>
    <x v="0"/>
    <x v="2"/>
    <x v="0"/>
    <n v="708.33333333333337"/>
    <n v="0"/>
    <n v="0"/>
    <n v="8500"/>
    <n v="8500"/>
  </r>
  <r>
    <s v="ALESSANDRA ARAUJO MOURA"/>
    <x v="1"/>
    <s v="ADMINISTRATIVO"/>
    <s v="SUPERVISOR(A) ADMINISTRATIVO(A)"/>
    <x v="0"/>
    <x v="0"/>
    <x v="2"/>
    <n v="923.37777777777785"/>
    <n v="1676.3200000000002"/>
    <n v="1426.21"/>
    <n v="6175.01"/>
    <n v="6175.01"/>
  </r>
  <r>
    <s v="GIOVANNA SILVA DE OLIVEIRA"/>
    <x v="1"/>
    <s v="COMERCIAL"/>
    <s v="ANALISTA COMERCIAL SENIOR"/>
    <x v="0"/>
    <x v="3"/>
    <x v="3"/>
    <n v="694.16666666666663"/>
    <n v="1313.7600000000002"/>
    <n v="1442.3400000000001"/>
    <n v="5012.34"/>
    <n v="5012.34"/>
  </r>
  <r>
    <s v="ANDRESSA MEIRIELLE DE OLIVEIRA TOKAWA"/>
    <x v="1"/>
    <s v="ADMINISTRATIVO"/>
    <s v="AUX ADMINISTRATIVO SENIOR"/>
    <x v="0"/>
    <x v="0"/>
    <x v="2"/>
    <n v="573.61111111111109"/>
    <n v="1041.3499999999999"/>
    <n v="1417.21"/>
    <n v="4367.21"/>
    <n v="4367.21"/>
  </r>
  <r>
    <s v="ADRIANA APARECIDA GUABERTO PALANCIO"/>
    <x v="1"/>
    <s v="ADMINISTRATIVO"/>
    <s v="ANALISTA FINANCEIRO SENIOR I"/>
    <x v="0"/>
    <x v="4"/>
    <x v="4"/>
    <n v="680.55555555555566"/>
    <n v="1235.5"/>
    <n v="521.87"/>
    <n v="4021.87"/>
    <n v="4021.87"/>
  </r>
  <r>
    <s v="BEATRIZ FERREIRA DE SOUZA"/>
    <x v="1"/>
    <s v="COMERCIAL"/>
    <s v="ASSISTENTE COMERCIAL"/>
    <x v="0"/>
    <x v="3"/>
    <x v="3"/>
    <n v="407.94444444444446"/>
    <n v="772.06000000000006"/>
    <n v="1451.3400000000001"/>
    <n v="3549.34"/>
    <n v="3549.34"/>
  </r>
  <r>
    <s v="LAYZA PINHEIRO FRANCESQUETTE"/>
    <x v="1"/>
    <s v="COMERCIAL"/>
    <s v="ASSISTENTE COMERCIAL"/>
    <x v="0"/>
    <x v="3"/>
    <x v="3"/>
    <n v="407.94444444444446"/>
    <n v="772.06000000000006"/>
    <n v="1451.3400000000001"/>
    <n v="3549.34"/>
    <n v="3549.34"/>
  </r>
  <r>
    <s v="MARIANA SIQUEIRA"/>
    <x v="1"/>
    <s v="COMERCIAL"/>
    <s v="ASSISTENTE COMERCIAL"/>
    <x v="0"/>
    <x v="3"/>
    <x v="3"/>
    <n v="407.94444444444446"/>
    <n v="772.06000000000006"/>
    <n v="1451.3400000000001"/>
    <n v="3549.34"/>
    <n v="3549.34"/>
  </r>
  <r>
    <s v="ESTER TAVARES FERREIRA"/>
    <x v="3"/>
    <s v="COMERCIAL"/>
    <s v="AUXILIAR COMERCIAL - ESTAGIARIO"/>
    <x v="0"/>
    <x v="3"/>
    <x v="3"/>
    <n v="0"/>
    <n v="0"/>
    <n v="1521.88"/>
    <n v="1521.88"/>
    <n v="1521.88"/>
  </r>
  <r>
    <s v="MELISSA DE FREITAS ORRIGO"/>
    <x v="3"/>
    <s v="COMERCIAL"/>
    <s v="AUXILIAR COMERCIAL - ESTAGIARIO"/>
    <x v="0"/>
    <x v="3"/>
    <x v="3"/>
    <n v="0"/>
    <n v="0"/>
    <n v="1521.87"/>
    <n v="1521.87"/>
    <n v="1521.87"/>
  </r>
  <r>
    <s v="CAIO MURILO SPINDOLA DOS SANTOS"/>
    <x v="3"/>
    <s v="COMERCIAL"/>
    <s v="AUXILIAR COMERCIAL - ESTAGIARIO"/>
    <x v="0"/>
    <x v="3"/>
    <x v="3"/>
    <n v="0"/>
    <n v="0"/>
    <n v="1512.87"/>
    <n v="1512.87"/>
    <n v="1512.87"/>
  </r>
  <r>
    <s v="MURILO SCHISBELGS DIAS"/>
    <x v="3"/>
    <s v="COMERCIAL"/>
    <s v="AUXILIAR COMERCIAL - ESTAGIARIO"/>
    <x v="0"/>
    <x v="3"/>
    <x v="3"/>
    <n v="0"/>
    <n v="0"/>
    <n v="1500"/>
    <n v="1500"/>
    <n v="1500"/>
  </r>
  <r>
    <s v="EDUARDO YUICHI CHINMEI"/>
    <x v="1"/>
    <s v="COMERCIAL"/>
    <s v="ASSISTENTE COMERCIAL"/>
    <x v="1"/>
    <x v="3"/>
    <x v="3"/>
    <n v="1.6391666666666667"/>
    <n v="2.42"/>
    <n v="1346.14"/>
    <n v="1354.5700000000002"/>
    <n v="6934.39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s v="FERNANDO DA COSTA FERREIRA"/>
    <x v="0"/>
    <s v="SELETIVA APOIO"/>
    <s v="GERENTE"/>
    <x v="0"/>
    <x v="0"/>
    <x v="0"/>
    <n v="1853.5466666666669"/>
    <n v="0"/>
    <n v="512.87"/>
    <n v="22755.43"/>
    <n v="22755.43"/>
    <n v="2.9859947224672397E-2"/>
  </r>
  <r>
    <s v="VINICIUS LIMA SALDANHA"/>
    <x v="1"/>
    <s v="OPERACIONAL"/>
    <s v="GERENTE DE PATIO SENIOR"/>
    <x v="0"/>
    <x v="1"/>
    <x v="1"/>
    <n v="1933.9444444444446"/>
    <n v="4345.63"/>
    <n v="7684.4"/>
    <n v="17630.400000000001"/>
    <n v="17630.400000000001"/>
    <n v="2.3134821603013622E-2"/>
  </r>
  <r>
    <s v="MARCONDES VALENTIM VICTORINO"/>
    <x v="0"/>
    <s v="SELETIVA APOIO"/>
    <s v="DIRETOR COMERCIAL COMPRA SUCATA"/>
    <x v="0"/>
    <x v="0"/>
    <x v="0"/>
    <n v="1250"/>
    <n v="0"/>
    <n v="0"/>
    <n v="15000"/>
    <n v="15000"/>
    <n v="1.9683179283805488E-2"/>
  </r>
  <r>
    <s v="OSWALDO JONATAN PEREIRA DE CASTRO"/>
    <x v="0"/>
    <s v="SELETIVA APOIO"/>
    <s v="GERENTE"/>
    <x v="0"/>
    <x v="0"/>
    <x v="0"/>
    <n v="1125"/>
    <n v="0"/>
    <n v="21.87"/>
    <n v="13521.87"/>
    <n v="13521.87"/>
    <n v="1.7743559430820729E-2"/>
  </r>
  <r>
    <s v="CELIO MATEUS"/>
    <x v="1"/>
    <s v="OPERACIONAL"/>
    <s v="OPERADOR MANTENEDOR JR"/>
    <x v="0"/>
    <x v="2"/>
    <x v="2"/>
    <n v="968.5044444444444"/>
    <n v="2274.84"/>
    <n v="7679.53"/>
    <n v="12660.41"/>
    <n v="12660.41"/>
    <n v="1.6613141322432256E-2"/>
  </r>
  <r>
    <s v="ADRIANA REGINA NOGUEIRA DOS SANTOS"/>
    <x v="0"/>
    <s v="PILARES"/>
    <s v="SUPERVISOR(A) FINANCEIRO"/>
    <x v="0"/>
    <x v="3"/>
    <x v="0"/>
    <n v="1000"/>
    <n v="0"/>
    <n v="21.87"/>
    <n v="12021.87"/>
    <n v="12021.87"/>
    <n v="1.5775241502440179E-2"/>
  </r>
  <r>
    <s v="ANDERSON ZANUTO"/>
    <x v="0"/>
    <s v="BRACOFER"/>
    <s v="GERENTE COMERCIAL"/>
    <x v="0"/>
    <x v="4"/>
    <x v="0"/>
    <n v="1000"/>
    <n v="0"/>
    <n v="12.87"/>
    <n v="12012.87"/>
    <n v="12012.87"/>
    <n v="1.5763431594869898E-2"/>
  </r>
  <r>
    <s v="HUGO BIANCHI BOSSOLANI"/>
    <x v="0"/>
    <s v="PILARES"/>
    <s v="CONSULTOR"/>
    <x v="0"/>
    <x v="3"/>
    <x v="0"/>
    <n v="957.55000000000007"/>
    <n v="0"/>
    <n v="21.87"/>
    <n v="11512.470000000001"/>
    <n v="11512.470000000001"/>
    <n v="1.5106800733962146E-2"/>
  </r>
  <r>
    <s v="GISELE APARECIDA TONETTO SANTOS"/>
    <x v="0"/>
    <s v="SELETIVA APOIO"/>
    <s v="GERENTE ADMINISTRATIVO"/>
    <x v="0"/>
    <x v="0"/>
    <x v="0"/>
    <n v="927.41666666666663"/>
    <n v="0"/>
    <n v="21.87"/>
    <n v="11150.87"/>
    <n v="11150.87"/>
    <n v="1.4632304892027208E-2"/>
  </r>
  <r>
    <s v="PAULO VITOR TOOKUNI DE LIMA"/>
    <x v="1"/>
    <s v="OPERACIONAL"/>
    <s v="GERENTE DE PATIO SENIOR"/>
    <x v="0"/>
    <x v="5"/>
    <x v="3"/>
    <n v="1426.6661111111109"/>
    <n v="3764.5800000000008"/>
    <n v="3799.96"/>
    <n v="11137.099999999999"/>
    <n v="11137.099999999999"/>
    <n v="1.4614235733444671E-2"/>
  </r>
  <r>
    <s v="CRISTINA SUGUI"/>
    <x v="0"/>
    <s v="PILARES"/>
    <s v="CONSULTOR"/>
    <x v="0"/>
    <x v="3"/>
    <x v="0"/>
    <n v="915.55583333333334"/>
    <n v="0"/>
    <n v="12.87"/>
    <n v="10999.54"/>
    <n v="10999.54"/>
    <n v="1.4433727857292656E-2"/>
  </r>
  <r>
    <s v="WAGNER APARECIDO DO NASCIMENTO"/>
    <x v="1"/>
    <s v="LOGISTICA"/>
    <s v="MOTORISTA CARRETEIRO MANTENEDOR SENIOR II"/>
    <x v="0"/>
    <x v="6"/>
    <x v="4"/>
    <n v="871.30944444444447"/>
    <n v="1581.7800000000002"/>
    <n v="5697.87"/>
    <n v="10178.89"/>
    <n v="10178.89"/>
    <n v="1.3356861118675655E-2"/>
  </r>
  <r>
    <s v="WAGNER CALDEIRA DA SILVA JUNIOR"/>
    <x v="0"/>
    <s v="OPERACIONAL"/>
    <s v="ENCARREGADO MANUT MAQ E EQUIPAMENTOS"/>
    <x v="0"/>
    <x v="6"/>
    <x v="0"/>
    <n v="833.33333333333337"/>
    <n v="0"/>
    <n v="12.87"/>
    <n v="10012.870000000001"/>
    <n v="10012.870000000001"/>
    <n v="1.3139007690362499E-2"/>
  </r>
  <r>
    <s v="JULIO VIEIRA DE SANTANA"/>
    <x v="2"/>
    <s v="OPERACIONAL"/>
    <s v="MOTORISTA CARRETEIRO MANTENEDOR SENIOR III"/>
    <x v="0"/>
    <x v="6"/>
    <x v="4"/>
    <n v="0"/>
    <n v="0"/>
    <n v="5935.07"/>
    <n v="9879.83"/>
    <n v="9879.83"/>
    <n v="1.2964431012234665E-2"/>
  </r>
  <r>
    <s v="MARCELO VITOR"/>
    <x v="1"/>
    <s v="OPERACIONAL"/>
    <s v="OPERADOR MANTENEDOR SENIOR"/>
    <x v="0"/>
    <x v="2"/>
    <x v="2"/>
    <n v="1233.7344444444445"/>
    <n v="2239.7400000000002"/>
    <n v="3532.42"/>
    <n v="9877.34"/>
    <n v="9877.34"/>
    <n v="1.2961163604473554E-2"/>
  </r>
  <r>
    <s v="MARCOS ANTONIO CLAUDIO"/>
    <x v="1"/>
    <s v="OPERACIONAL"/>
    <s v="OPERADOR MANTENEDOR PLENO"/>
    <x v="0"/>
    <x v="6"/>
    <x v="4"/>
    <n v="1014.813333333333"/>
    <n v="1842.31"/>
    <n v="4432.37"/>
    <n v="9651.41"/>
    <n v="9651.41"/>
    <n v="1.2664695558100875E-2"/>
  </r>
  <r>
    <s v="NIVALDO MATEUS"/>
    <x v="1"/>
    <s v="OPERACIONAL"/>
    <s v="GERENTE DE PATIO SENIOR PP"/>
    <x v="0"/>
    <x v="0"/>
    <x v="5"/>
    <n v="1114.2347222222222"/>
    <n v="2022.8000000000002"/>
    <n v="3558.21"/>
    <n v="9288.5600000000013"/>
    <n v="9288.5600000000013"/>
    <n v="1.2188559451225623E-2"/>
  </r>
  <r>
    <s v="ANDRESSA FRANCINI CRUZ DE SOUZA"/>
    <x v="1"/>
    <s v="TRANSMOVE"/>
    <s v="SUPERVISOR(A) DE LOGISTICA"/>
    <x v="0"/>
    <x v="4"/>
    <x v="6"/>
    <n v="952.77777777777771"/>
    <n v="1729.7"/>
    <n v="100"/>
    <n v="5000"/>
    <n v="9238.33"/>
    <n v="1.2122647044863917E-2"/>
  </r>
  <r>
    <s v="LUCIANO ROGERIO FARIA"/>
    <x v="0"/>
    <s v="PILARES"/>
    <s v="COORDENADOR DE QUALIDADE"/>
    <x v="0"/>
    <x v="3"/>
    <x v="0"/>
    <n v="762.5"/>
    <n v="0"/>
    <n v="21.87"/>
    <n v="9171.8700000000008"/>
    <n v="9171.8700000000008"/>
    <n v="1.2035437438517137E-2"/>
  </r>
  <r>
    <s v="FRANCISCO CARLOS DA SILVA"/>
    <x v="0"/>
    <s v="SELETIVA APOIO"/>
    <s v="GERENTE DE COMPRAS"/>
    <x v="0"/>
    <x v="0"/>
    <x v="0"/>
    <n v="738.75"/>
    <n v="0"/>
    <n v="12.87"/>
    <n v="8877.8700000000008"/>
    <n v="8877.8700000000008"/>
    <n v="1.164964712455455E-2"/>
  </r>
  <r>
    <s v="MARCIO AFONSO"/>
    <x v="1"/>
    <s v="LOGISTICA"/>
    <s v="MOTORISTA CARRETEIRO MANTENEDOR SENIOR III"/>
    <x v="0"/>
    <x v="2"/>
    <x v="2"/>
    <n v="992.56888888888898"/>
    <n v="1801.92"/>
    <n v="3451.13"/>
    <n v="8555.77"/>
    <n v="8555.77"/>
    <n v="1.1226983654733633E-2"/>
  </r>
  <r>
    <s v="EDMILSON DA COSTA LEITAO"/>
    <x v="0"/>
    <s v="OPERACIONAL"/>
    <s v="ENCARREGADO MANUT MAQ E EQUIPAMENTOS"/>
    <x v="0"/>
    <x v="7"/>
    <x v="0"/>
    <n v="708.33333333333337"/>
    <n v="0"/>
    <n v="0"/>
    <n v="8500"/>
    <n v="8500"/>
    <n v="1.1153801594156444E-2"/>
  </r>
  <r>
    <s v="JULIANO VIEIRA DE SANTANA"/>
    <x v="1"/>
    <s v="LOGISTICA"/>
    <s v="MOTORISTA CARRETEIRO MANTENEDOR SENIOR III"/>
    <x v="0"/>
    <x v="2"/>
    <x v="2"/>
    <n v="987.37333333333345"/>
    <n v="1792.48"/>
    <n v="3297.21"/>
    <n v="8375.130000000001"/>
    <n v="8375.130000000001"/>
    <n v="1.0989945687678526E-2"/>
  </r>
  <r>
    <s v="DANIEL JUNIOR SANTOS"/>
    <x v="1"/>
    <s v="OPERACIONAL"/>
    <s v="MOTORISTA CARRETEIRO MANTENEDOR SENIOR III"/>
    <x v="0"/>
    <x v="6"/>
    <x v="4"/>
    <n v="844.76583333333338"/>
    <n v="1533.6"/>
    <n v="3935.51"/>
    <n v="8280.02"/>
    <n v="8280.02"/>
    <n v="1.0865141208899675E-2"/>
  </r>
  <r>
    <s v="JOAO BATISTA RIBEIRO SILVA"/>
    <x v="1"/>
    <s v="OPERACIONAL"/>
    <s v="OPERADOR MANTENEDOR PLENO"/>
    <x v="0"/>
    <x v="6"/>
    <x v="4"/>
    <n v="1020.7749999999999"/>
    <n v="1853.13"/>
    <n v="3013.3199999999997"/>
    <n v="8263.02"/>
    <n v="8263.02"/>
    <n v="1.0842833605711363E-2"/>
  </r>
  <r>
    <s v="RODRIGO DA SILVA NORCIA"/>
    <x v="0"/>
    <s v="SELETIVA MARINGA"/>
    <s v="COMPRADOR"/>
    <x v="0"/>
    <x v="8"/>
    <x v="0"/>
    <n v="666.66666666666663"/>
    <n v="0"/>
    <n v="21.87"/>
    <n v="8021.87"/>
    <n v="8021.87"/>
    <n v="1.0526393693425382E-2"/>
  </r>
  <r>
    <s v="PATRICIO SANTANA DA SILVA THEODORO"/>
    <x v="1"/>
    <s v="OPERACIONAL"/>
    <s v="OPERADOR MANTENEDOR SENIOR"/>
    <x v="0"/>
    <x v="9"/>
    <x v="7"/>
    <n v="1211.4394444444447"/>
    <n v="2292.7200000000003"/>
    <n v="1573.0800000000002"/>
    <n v="7803.34"/>
    <n v="7803.34"/>
    <n v="1.0239636015499381E-2"/>
  </r>
  <r>
    <s v="WILLIAM CRISTIAN LUPION"/>
    <x v="1"/>
    <s v="LOGISTICA"/>
    <s v="MOTORISTA CARRETEIRO MANTENEDOR SENIOR I"/>
    <x v="0"/>
    <x v="9"/>
    <x v="7"/>
    <n v="1067.5252777777775"/>
    <n v="2020.3600000000001"/>
    <n v="2228.23"/>
    <n v="7718.3599999999988"/>
    <n v="7718.3599999999988"/>
    <n v="1.012812424379686E-2"/>
  </r>
  <r>
    <s v="SILVANO VIEIRA DE SANTANA"/>
    <x v="1"/>
    <s v="LOGISTICA"/>
    <s v="MOTORISTA CARRETEIRO MANTENEDOR SENIOR III"/>
    <x v="0"/>
    <x v="6"/>
    <x v="4"/>
    <n v="839.79194444444454"/>
    <n v="1524.57"/>
    <n v="3134.87"/>
    <n v="7453.8"/>
    <n v="7453.8"/>
    <n v="9.7809654497086236E-3"/>
  </r>
  <r>
    <s v="ROBERTO DOS SANTOS"/>
    <x v="1"/>
    <s v="COMERCIAL"/>
    <s v="VENDEDOR(A)"/>
    <x v="0"/>
    <x v="4"/>
    <x v="6"/>
    <n v="1314.3530555555556"/>
    <n v="2386.11"/>
    <n v="512.87"/>
    <n v="7272.4"/>
    <n v="7272.4"/>
    <n v="9.5429302015698023E-3"/>
  </r>
  <r>
    <s v="ANTONIO APARECIDO FAQUIANO SOBRINHO"/>
    <x v="1"/>
    <s v="LOGISTICA"/>
    <s v="MOTORISTA CARRETEIRO MANTENEDOR SENIOR I"/>
    <x v="0"/>
    <x v="10"/>
    <x v="8"/>
    <n v="797.43416666666667"/>
    <n v="1509.19"/>
    <n v="3055.3599999999997"/>
    <n v="7156.45"/>
    <n v="7156.45"/>
    <n v="9.3907792257059853E-3"/>
  </r>
  <r>
    <s v="VALTER LEITE VIEIRA"/>
    <x v="1"/>
    <s v="OPERACIONAL"/>
    <s v="GERENTE DE PATIO SENIOR"/>
    <x v="0"/>
    <x v="8"/>
    <x v="9"/>
    <n v="1119.1930555555557"/>
    <n v="2031.79"/>
    <n v="1294.8"/>
    <n v="7050.6500000000005"/>
    <n v="7050.6500000000005"/>
    <n v="9.2519472011575454E-3"/>
  </r>
  <r>
    <s v="VINICIUS AUGUSTO ALVES VILELA"/>
    <x v="0"/>
    <s v="ADMINISTRATIVO"/>
    <s v="ANALISTA DE COMPRAS"/>
    <x v="0"/>
    <x v="11"/>
    <x v="0"/>
    <n v="541.66666666666663"/>
    <n v="0"/>
    <n v="521.87"/>
    <n v="7021.87"/>
    <n v="7021.87"/>
    <n v="9.2141817411716832E-3"/>
  </r>
  <r>
    <s v="FERNANDO FERRAREZI DOS SANTOS"/>
    <x v="1"/>
    <s v="LOGISTICA"/>
    <s v="MOTORISTA CARRETEIRO MANTENEDOR SENIOR I"/>
    <x v="0"/>
    <x v="9"/>
    <x v="7"/>
    <n v="1085.7622222222221"/>
    <n v="2054.86"/>
    <n v="1433.19"/>
    <n v="7017.1100000000006"/>
    <n v="7017.1100000000006"/>
    <n v="9.2079356122789554E-3"/>
  </r>
  <r>
    <s v="LUIZ GUILHERME BRAGHINI"/>
    <x v="1"/>
    <s v="OPERACIONAL"/>
    <s v="GERENTE DE PATIO SENIOR"/>
    <x v="0"/>
    <x v="12"/>
    <x v="10"/>
    <n v="1073.2847222222222"/>
    <n v="2118.19"/>
    <n v="1205.9099999999999"/>
    <n v="6725.66"/>
    <n v="6725.66"/>
    <n v="8.8254914387946148E-3"/>
  </r>
  <r>
    <s v="ERNESTO EUGENIO DA SILVA"/>
    <x v="1"/>
    <s v="LOGISTICA"/>
    <s v="MOTORISTA CARRETEIRO MANTENEDOR SENIOR I"/>
    <x v="0"/>
    <x v="10"/>
    <x v="8"/>
    <n v="848.98333333333323"/>
    <n v="1606.74"/>
    <n v="2289.4699999999998"/>
    <n v="6655.67"/>
    <n v="6655.67"/>
    <n v="8.7336497242563784E-3"/>
  </r>
  <r>
    <s v="MURILO PRADO"/>
    <x v="0"/>
    <s v="PILARES"/>
    <s v="CONSULTOR"/>
    <x v="0"/>
    <x v="3"/>
    <x v="0"/>
    <n v="0"/>
    <n v="0"/>
    <n v="0"/>
    <n v="6578"/>
    <n v="6578"/>
    <n v="8.6317302219248333E-3"/>
  </r>
  <r>
    <s v="MARIANE APARECIDA MOREIRA DE CRISTOFANO"/>
    <x v="1"/>
    <s v="GESTÃO DE GENTE"/>
    <s v="ANALISTA DE SESMT"/>
    <x v="0"/>
    <x v="3"/>
    <x v="11"/>
    <n v="826.38888888888891"/>
    <n v="1847.65"/>
    <n v="2157.84"/>
    <n v="6407.84"/>
    <n v="6407.84"/>
    <n v="8.4084442361293445E-3"/>
  </r>
  <r>
    <s v="MAURICIO ANTONIO SALETE"/>
    <x v="1"/>
    <s v="OPERACIONAL"/>
    <s v="GERENTE DE PATIO SENIOR"/>
    <x v="0"/>
    <x v="0"/>
    <x v="5"/>
    <n v="997.53111111111104"/>
    <n v="1810.93"/>
    <n v="1092.21"/>
    <n v="6222.37"/>
    <n v="6222.37"/>
    <n v="8.1650682853448495E-3"/>
  </r>
  <r>
    <s v="ALESSANDRA ARAUJO MOURA"/>
    <x v="1"/>
    <s v="ADMINISTRATIVO"/>
    <s v="SUPERVISOR(A) ADMINISTRATIVO(A)"/>
    <x v="0"/>
    <x v="0"/>
    <x v="5"/>
    <n v="923.37777777777785"/>
    <n v="1676.3200000000002"/>
    <n v="1426.21"/>
    <n v="6175.01"/>
    <n v="6175.01"/>
    <n v="8.102921927286115E-3"/>
  </r>
  <r>
    <s v="RAMON FELIPE DE OLIVEIRA FREITAS"/>
    <x v="1"/>
    <s v="LOGISTICA"/>
    <s v="MOTORISTA CARRETEIRO MANTENEDOR PLENO II"/>
    <x v="0"/>
    <x v="13"/>
    <x v="12"/>
    <n v="780.19861111111118"/>
    <n v="1476.57"/>
    <n v="2090.31"/>
    <n v="6102.76"/>
    <n v="6102.76"/>
    <n v="8.0081146137357864E-3"/>
  </r>
  <r>
    <s v="MARCIO APARECIDO DA COSTA"/>
    <x v="1"/>
    <s v="LOGISTICA"/>
    <s v="MOTORISTA CARRETEIRO MANTENEDOR SENIOR I"/>
    <x v="0"/>
    <x v="14"/>
    <x v="13"/>
    <n v="875.69611111111112"/>
    <n v="1656.13"/>
    <n v="1498.89"/>
    <n v="6002.47"/>
    <n v="6002.47"/>
    <n v="7.8765128770442623E-3"/>
  </r>
  <r>
    <s v="GIOVANE PORTO"/>
    <x v="0"/>
    <s v="PILARES"/>
    <s v="CONSULTOR"/>
    <x v="0"/>
    <x v="3"/>
    <x v="0"/>
    <n v="500"/>
    <n v="0"/>
    <n v="0"/>
    <n v="6000"/>
    <n v="6000"/>
    <n v="7.8732717135221956E-3"/>
  </r>
  <r>
    <s v="PAULO DIAS CORREA"/>
    <x v="1"/>
    <s v="LOGISTICA"/>
    <s v="MOTORISTA TRUCK MANTENEDOR SENIOR"/>
    <x v="0"/>
    <x v="4"/>
    <x v="6"/>
    <n v="671.2786111111111"/>
    <n v="1218.6500000000001"/>
    <n v="2447.87"/>
    <n v="5900.16"/>
    <n v="5900.16"/>
    <n v="7.7422604722091858E-3"/>
  </r>
  <r>
    <s v="ANTONIO BATISTA DA SILVA"/>
    <x v="1"/>
    <s v="LOGISTICA"/>
    <s v="MOTORISTA CARRETEIRO MANTENEDOR PLENO"/>
    <x v="0"/>
    <x v="13"/>
    <x v="12"/>
    <n v="695.84472222222234"/>
    <n v="1316.14"/>
    <n v="2082.6299999999997"/>
    <n v="5661.26"/>
    <n v="5661.26"/>
    <n v="7.4287730368157775E-3"/>
  </r>
  <r>
    <s v="JOSE MANOEL DOS SANTOS"/>
    <x v="1"/>
    <s v="OPERACIONAL"/>
    <s v="OPERADOR MANTENEDOR JR"/>
    <x v="0"/>
    <x v="10"/>
    <x v="8"/>
    <n v="951.9708333333333"/>
    <n v="1799.12"/>
    <n v="709.58"/>
    <n v="5605.43"/>
    <n v="5605.43"/>
    <n v="7.3555122435214537E-3"/>
  </r>
  <r>
    <s v="RIVAEL BARRETO DA SILVA"/>
    <x v="1"/>
    <s v="OPERACIONAL"/>
    <s v="OPERADOR MANTENEDOR SENIOR"/>
    <x v="0"/>
    <x v="6"/>
    <x v="4"/>
    <n v="801.72944444444454"/>
    <n v="1455.4699999999998"/>
    <n v="1445"/>
    <n v="5568.18"/>
    <n v="5568.18"/>
    <n v="7.306632348300003E-3"/>
  </r>
  <r>
    <s v="CRISTIANO LUCAS BACHIO"/>
    <x v="1"/>
    <s v="OPERACIONAL"/>
    <s v="OPERADOR MANTENEDOR PLENO"/>
    <x v="0"/>
    <x v="6"/>
    <x v="4"/>
    <n v="751.87777777777774"/>
    <n v="1364.97"/>
    <n v="1487.87"/>
    <n v="5354.67"/>
    <n v="5354.67"/>
    <n v="7.0264619743743159E-3"/>
  </r>
  <r>
    <s v="MONIQUE ISABELE DE LIMA"/>
    <x v="1"/>
    <s v="TRANSMOVE"/>
    <s v="ANALISTA ADMINISTRATIVO SENIOR"/>
    <x v="0"/>
    <x v="2"/>
    <x v="2"/>
    <n v="736.20361111111106"/>
    <n v="1335.7599999999998"/>
    <n v="1479.87"/>
    <n v="5266.0599999999995"/>
    <n v="5266.0599999999995"/>
    <n v="6.9101868732851148E-3"/>
  </r>
  <r>
    <s v="SERGIO LUIZ RIBEIRO"/>
    <x v="1"/>
    <s v="OPERACIONAL"/>
    <s v="OPERADOR MANTENEDOR SENIOR"/>
    <x v="0"/>
    <x v="6"/>
    <x v="4"/>
    <n v="749.47055555555551"/>
    <n v="1360.5900000000001"/>
    <n v="1325.8400000000001"/>
    <n v="5180.26"/>
    <n v="5180.26"/>
    <n v="6.7975990877817485E-3"/>
  </r>
  <r>
    <s v="LUIS AUGUSTO DUARTE SILVA"/>
    <x v="1"/>
    <s v="COMERCIAL"/>
    <s v="VENDEDOR(A)"/>
    <x v="0"/>
    <x v="4"/>
    <x v="6"/>
    <n v="899.01583333333338"/>
    <n v="1632.0900000000001"/>
    <n v="521.87"/>
    <n v="5145.38"/>
    <n v="5145.38"/>
    <n v="6.7518291348871388E-3"/>
  </r>
  <r>
    <s v="EDILEUSA PEREIRA LISBOA"/>
    <x v="1"/>
    <s v="OPERACIONAL"/>
    <s v="OPERADOR MANTENEDOR JR"/>
    <x v="0"/>
    <x v="2"/>
    <x v="2"/>
    <n v="783.02"/>
    <n v="1421.5"/>
    <n v="1092.21"/>
    <n v="5119.17"/>
    <n v="5119.17"/>
    <n v="6.7174360596185699E-3"/>
  </r>
  <r>
    <s v="ADRIANA CANDIDO FIGUEIREDO"/>
    <x v="1"/>
    <s v="GESTÃO DE GENTE"/>
    <s v="ANALISTA DE DEPTO PESSOAL"/>
    <x v="0"/>
    <x v="3"/>
    <x v="11"/>
    <n v="888.36805555555566"/>
    <n v="1681.29"/>
    <n v="512.87"/>
    <n v="5081.62"/>
    <n v="5081.62"/>
    <n v="6.6681625008114427E-3"/>
  </r>
  <r>
    <s v="BRUNO JUSTINIANO MATOS"/>
    <x v="0"/>
    <s v="COMERCIAL"/>
    <s v="COMPRADOR"/>
    <x v="0"/>
    <x v="13"/>
    <x v="0"/>
    <n v="416.66666666666669"/>
    <n v="0"/>
    <n v="12.87"/>
    <n v="5012.87"/>
    <n v="5012.87"/>
    <n v="6.5779479290940012E-3"/>
  </r>
  <r>
    <s v="GIOVANNA SILVA DE OLIVEIRA"/>
    <x v="1"/>
    <s v="COMERCIAL"/>
    <s v="ANALISTA COMERCIAL SENIOR"/>
    <x v="0"/>
    <x v="3"/>
    <x v="11"/>
    <n v="694.16666666666663"/>
    <n v="1313.7600000000002"/>
    <n v="1442.3400000000001"/>
    <n v="5012.34"/>
    <n v="5012.34"/>
    <n v="6.577252456759307E-3"/>
  </r>
  <r>
    <s v="LUIZ CARLOS DE SOUZA"/>
    <x v="1"/>
    <s v="OPERACIONAL"/>
    <s v="AUXILIAR DE PATIO SENIOR"/>
    <x v="0"/>
    <x v="4"/>
    <x v="6"/>
    <n v="522.06777777777768"/>
    <n v="947.76"/>
    <n v="2231.87"/>
    <n v="4916.7899999999991"/>
    <n v="4916.7899999999991"/>
    <n v="6.4518706047214649E-3"/>
  </r>
  <r>
    <s v="MARCOS MEDEIROS"/>
    <x v="1"/>
    <s v="OPERACIONAL"/>
    <s v="SOLDADOR MAÇARIQUEIRO"/>
    <x v="0"/>
    <x v="0"/>
    <x v="5"/>
    <n v="643.08416666666676"/>
    <n v="1167.46"/>
    <n v="1607.21"/>
    <n v="4914.5"/>
    <n v="4914.5"/>
    <n v="6.4488656393508047E-3"/>
  </r>
  <r>
    <s v="TIAGO LUIS DE SOUZA"/>
    <x v="1"/>
    <s v="OPERACIONAL"/>
    <s v="OPERADOR MANTENEDOR JR"/>
    <x v="0"/>
    <x v="14"/>
    <x v="13"/>
    <n v="751.38583333333327"/>
    <n v="1422.0299999999997"/>
    <n v="1042.3499999999999"/>
    <n v="4906.62"/>
    <n v="4906.62"/>
    <n v="6.4385254091670454E-3"/>
  </r>
  <r>
    <s v="EDUARDO DE OLIVEIRA ALMEIDA"/>
    <x v="1"/>
    <s v="OPERACIONAL"/>
    <s v="OPERADOR MANTENEDOR SENIOR"/>
    <x v="0"/>
    <x v="13"/>
    <x v="12"/>
    <n v="0"/>
    <n v="1418.72"/>
    <n v="1041.04"/>
    <n v="4896.2999999999993"/>
    <n v="4896.2999999999993"/>
    <n v="6.4249833818197863E-3"/>
  </r>
  <r>
    <s v="REGINALDO DELA COSTA"/>
    <x v="1"/>
    <s v="LOGISTICA"/>
    <s v="MOTORISTA TRUCK MANTENEDOR SENIOR"/>
    <x v="0"/>
    <x v="4"/>
    <x v="6"/>
    <n v="850.70611111111123"/>
    <n v="1544.38"/>
    <n v="512.87"/>
    <n v="4887.93"/>
    <n v="4887.93"/>
    <n v="6.4140001677794245E-3"/>
  </r>
  <r>
    <s v="THIAGO OLIVEIRA DOS SANTOS"/>
    <x v="1"/>
    <s v="OPERACIONAL"/>
    <s v="GERENTE DE PATIO JUNIOR"/>
    <x v="0"/>
    <x v="4"/>
    <x v="6"/>
    <n v="837.26222222222214"/>
    <n v="1519.97"/>
    <n v="521.87"/>
    <n v="4827.79"/>
    <n v="4827.79"/>
    <n v="6.3350837409708862E-3"/>
  </r>
  <r>
    <s v="WALLANCE ALIEL FURTADO"/>
    <x v="1"/>
    <s v="OPERACIONAL"/>
    <s v="OPERADOR MANTENEDOR SENIOR"/>
    <x v="0"/>
    <x v="6"/>
    <x v="4"/>
    <n v="745.5"/>
    <n v="1353.3999999999999"/>
    <n v="992.5"/>
    <n v="4826.5"/>
    <n v="4826.5"/>
    <n v="6.3333909875524794E-3"/>
  </r>
  <r>
    <s v="LUCAS DA SILVA CONCEICAO"/>
    <x v="1"/>
    <s v="OPERACIONAL"/>
    <s v="OPERADOR MANTENEDOR JR"/>
    <x v="0"/>
    <x v="14"/>
    <x v="13"/>
    <n v="726.24611111111108"/>
    <n v="1371.08"/>
    <n v="1042.3499999999999"/>
    <n v="4777.33"/>
    <n v="4777.33"/>
    <n v="6.2688695258601651E-3"/>
  </r>
  <r>
    <s v="ELAINE CRISTINA PANIZZA SILVA"/>
    <x v="1"/>
    <s v="GESTÃO DE GENTE"/>
    <s v="ANALISTA DE RECURSOS HUMANOS SENIOR"/>
    <x v="0"/>
    <x v="3"/>
    <x v="11"/>
    <n v="826.38888888888891"/>
    <n v="1564"/>
    <n v="521.87"/>
    <n v="4771.87"/>
    <n v="4771.87"/>
    <n v="6.2617048486008596E-3"/>
  </r>
  <r>
    <s v="ANTONIO ANACLETO DE OLIVEIRA"/>
    <x v="1"/>
    <s v="OPERACIONAL"/>
    <s v="AUXILIAR DE PATIO SENIOR"/>
    <x v="0"/>
    <x v="0"/>
    <x v="5"/>
    <n v="505.55555555555554"/>
    <n v="933.8"/>
    <n v="2109.34"/>
    <n v="4709.34"/>
    <n v="4709.34"/>
    <n v="6.1796522352264363E-3"/>
  </r>
  <r>
    <s v="SANDRILEI MOREIRA JUNIOR"/>
    <x v="1"/>
    <s v="OPERACIONAL"/>
    <s v="OPERADOR MANTENEDOR PLENO"/>
    <x v="0"/>
    <x v="6"/>
    <x v="4"/>
    <n v="719.09249999999986"/>
    <n v="1305.45"/>
    <n v="1000.6"/>
    <n v="4698.79"/>
    <n v="4698.79"/>
    <n v="6.1658083991301595E-3"/>
  </r>
  <r>
    <s v="KAMYLA FERNANDA FORIM"/>
    <x v="1"/>
    <s v="ADMINISTRATIVO"/>
    <s v="AUX ADMINISTRATIVO SENIOR"/>
    <x v="0"/>
    <x v="5"/>
    <x v="3"/>
    <n v="703.10333333333324"/>
    <n v="1428.5"/>
    <n v="1051.3499999999999"/>
    <n v="4667.3099999999995"/>
    <n v="4667.3099999999995"/>
    <n v="6.124499966873212E-3"/>
  </r>
  <r>
    <s v="ROBERTT FERNANDO SIQUEIRA"/>
    <x v="1"/>
    <s v="OPERACIONAL"/>
    <s v="OPERADOR MANTENEDOR PLENO"/>
    <x v="0"/>
    <x v="6"/>
    <x v="4"/>
    <n v="666.99111111111097"/>
    <n v="1210.8600000000001"/>
    <n v="1143.2"/>
    <n v="4573.4399999999996"/>
    <n v="4573.4399999999996"/>
    <n v="6.0013226309151577E-3"/>
  </r>
  <r>
    <s v="MARIA EDUARDA FREITAS MESSIAS"/>
    <x v="1"/>
    <s v="ADMINISTRATIVO"/>
    <s v="ANALISTA FINANCEIRO SENIOR II"/>
    <x v="0"/>
    <x v="3"/>
    <x v="11"/>
    <n v="748.61111111111109"/>
    <n v="1416.8"/>
    <n v="521.87"/>
    <n v="4371.87"/>
    <n v="4371.87"/>
    <n v="5.7368200676993801E-3"/>
  </r>
  <r>
    <s v="ANDRESSA MEIRIELLE DE OLIVEIRA TOKAWA"/>
    <x v="1"/>
    <s v="ADMINISTRATIVO"/>
    <s v="AUX ADMINISTRATIVO SENIOR"/>
    <x v="0"/>
    <x v="0"/>
    <x v="5"/>
    <n v="573.61111111111109"/>
    <n v="1041.3499999999999"/>
    <n v="1417.21"/>
    <n v="4367.21"/>
    <n v="4367.21"/>
    <n v="5.7307051600018781E-3"/>
  </r>
  <r>
    <s v="DANIELA SANTOS MORAES"/>
    <x v="1"/>
    <s v="ADMINISTRATIVO"/>
    <s v="ANALISTA CONTABIL SENIOR"/>
    <x v="0"/>
    <x v="3"/>
    <x v="11"/>
    <n v="723.09027777777771"/>
    <n v="1368.49"/>
    <n v="621.87"/>
    <n v="4340.62"/>
    <n v="4340.62"/>
    <n v="5.6958134441914519E-3"/>
  </r>
  <r>
    <s v="JOSE ANTONIO CAETANO"/>
    <x v="1"/>
    <s v="OPERACIONAL"/>
    <s v="CLASSIFICADOR SENIOR"/>
    <x v="0"/>
    <x v="0"/>
    <x v="5"/>
    <n v="577.05083333333334"/>
    <n v="1047.58"/>
    <n v="1292.21"/>
    <n v="4259.8999999999996"/>
    <n v="4259.8999999999996"/>
    <n v="5.5898916954055331E-3"/>
  </r>
  <r>
    <s v="JOHNNIS GUANDALINI SCHIAVON"/>
    <x v="1"/>
    <s v="OPERACIONAL"/>
    <s v="OPERADOR MANTENEDOR JR"/>
    <x v="0"/>
    <x v="9"/>
    <x v="7"/>
    <n v="636.04916666666668"/>
    <n v="1203.75"/>
    <n v="969.47"/>
    <n v="4240.58"/>
    <n v="4240.58"/>
    <n v="5.5645397604879914E-3"/>
  </r>
  <r>
    <s v="PATRICIA CECILIA GUIDOTTI DE FREITAS"/>
    <x v="1"/>
    <s v="ADMINISTRATIVO"/>
    <s v="AUX ADMINISTRATIVO PLENO"/>
    <x v="0"/>
    <x v="8"/>
    <x v="9"/>
    <n v="655.50527777777779"/>
    <n v="1190"/>
    <n v="765.31999999999994"/>
    <n v="4136.49"/>
    <n v="4136.49"/>
    <n v="5.4279516183779039E-3"/>
  </r>
  <r>
    <s v="FERNANDA OLIVEIRA SILVA CARDOSO"/>
    <x v="1"/>
    <s v="ADMINISTRATIVO"/>
    <s v="ANALISTA FISCAL SENIOR I"/>
    <x v="0"/>
    <x v="3"/>
    <x v="11"/>
    <n v="680.55555555555566"/>
    <n v="1288"/>
    <n v="521.87"/>
    <n v="4021.87"/>
    <n v="4021.87"/>
    <n v="5.2775458844105854E-3"/>
  </r>
  <r>
    <s v="ADRIANA APARECIDA GUABERTO PALANCIO"/>
    <x v="1"/>
    <s v="ADMINISTRATIVO"/>
    <s v="ANALISTA FINANCEIRO SENIOR I"/>
    <x v="0"/>
    <x v="4"/>
    <x v="6"/>
    <n v="680.55555555555566"/>
    <n v="1235.5"/>
    <n v="521.87"/>
    <n v="4021.87"/>
    <n v="4021.87"/>
    <n v="5.2775458844105854E-3"/>
  </r>
  <r>
    <s v="PATRICIA DANIELLE SILVA"/>
    <x v="1"/>
    <s v="ADMINISTRATIVO"/>
    <s v="AUX ADMINISTRATIVO PLENO"/>
    <x v="0"/>
    <x v="12"/>
    <x v="10"/>
    <n v="574.89833333333331"/>
    <n v="1134.5800000000002"/>
    <n v="1054.9099999999999"/>
    <n v="4011.5299999999997"/>
    <n v="4011.5299999999997"/>
    <n v="5.2639776128242813E-3"/>
  </r>
  <r>
    <s v="LARISSA APARECIDA LIMA QUEIROZ"/>
    <x v="1"/>
    <s v="ADMINISTRATIVO"/>
    <s v="ANALISTA FINANCEIRO PLENO"/>
    <x v="0"/>
    <x v="4"/>
    <x v="6"/>
    <n v="666.48555555555549"/>
    <n v="1209.95"/>
    <n v="521.87"/>
    <n v="3949.5099999999998"/>
    <n v="3949.5099999999998"/>
    <n v="5.1825942275455072E-3"/>
  </r>
  <r>
    <s v="POLIANA CORREA DA SILVA"/>
    <x v="1"/>
    <s v="ADMINISTRATIVO"/>
    <s v="AUX ADMINISTRATIVO JUNIOR"/>
    <x v="0"/>
    <x v="1"/>
    <x v="1"/>
    <n v="618.80388888888888"/>
    <n v="1123.3800000000001"/>
    <n v="718.58"/>
    <n v="3901"/>
    <n v="3901"/>
    <n v="5.1189388257416807E-3"/>
  </r>
  <r>
    <s v="THAIS BARBOSA DA SILVA ROSA"/>
    <x v="1"/>
    <s v="ADMINISTRATIVO"/>
    <s v="AUX ADMINISTRATIVO JUNIOR"/>
    <x v="0"/>
    <x v="3"/>
    <x v="11"/>
    <n v="527.23611111111109"/>
    <n v="997.81999999999994"/>
    <n v="1101.21"/>
    <n v="3812.71"/>
    <n v="3812.71"/>
    <n v="5.0030836324772019E-3"/>
  </r>
  <r>
    <s v="DIEGO LEANDRO DE OLIVEIRA"/>
    <x v="1"/>
    <s v="OPERACIONAL"/>
    <s v="AUXILIAR DE PATIO PLENO"/>
    <x v="0"/>
    <x v="4"/>
    <x v="6"/>
    <n v="546.36166666666668"/>
    <n v="991.86"/>
    <n v="871.87"/>
    <n v="3681.73"/>
    <n v="3681.73"/>
    <n v="4.8312101109710117E-3"/>
  </r>
  <r>
    <s v="ANDERSON RODRIGO FERREIRA DE LIMA"/>
    <x v="1"/>
    <s v="OPERACIONAL"/>
    <s v="MACARIQUEIRO PLENO"/>
    <x v="0"/>
    <x v="0"/>
    <x v="5"/>
    <n v="503.125"/>
    <n v="913.37999999999988"/>
    <n v="1092.21"/>
    <n v="3679.71"/>
    <n v="3679.71"/>
    <n v="4.8285594428274592E-3"/>
  </r>
  <r>
    <s v="LAIS VERON TEIXEIRA RIQUELME"/>
    <x v="1"/>
    <s v="ADMINISTRATIVO"/>
    <s v="AUX ADMINISTRATIVO JUNIOR"/>
    <x v="0"/>
    <x v="1"/>
    <x v="1"/>
    <n v="575.52250000000004"/>
    <n v="1044.81"/>
    <n v="718.58"/>
    <n v="3678.41"/>
    <n v="3678.41"/>
    <n v="4.8268535672895295E-3"/>
  </r>
  <r>
    <s v="ADEMIR DOS SANTOS"/>
    <x v="1"/>
    <s v="OPERACIONAL"/>
    <s v="AUXILIAR DE PATIO SENIOR"/>
    <x v="0"/>
    <x v="15"/>
    <x v="14"/>
    <n v="524.09194444444438"/>
    <n v="991.86"/>
    <n v="969.47"/>
    <n v="3664.8"/>
    <n v="3664.8"/>
    <n v="4.8089943626193569E-3"/>
  </r>
  <r>
    <s v="BEATRIZ FERREIRA DE SOUZA"/>
    <x v="1"/>
    <s v="COMERCIAL"/>
    <s v="ASSISTENTE COMERCIAL"/>
    <x v="0"/>
    <x v="3"/>
    <x v="11"/>
    <n v="407.94444444444446"/>
    <n v="772.06000000000006"/>
    <n v="1451.3400000000001"/>
    <n v="3549.34"/>
    <n v="3549.34"/>
    <n v="4.6574863706121449E-3"/>
  </r>
  <r>
    <s v="LAYZA PINHEIRO FRANCESQUETTE"/>
    <x v="1"/>
    <s v="COMERCIAL"/>
    <s v="ASSISTENTE COMERCIAL"/>
    <x v="0"/>
    <x v="3"/>
    <x v="11"/>
    <n v="407.94444444444446"/>
    <n v="772.06000000000006"/>
    <n v="1451.3400000000001"/>
    <n v="3549.34"/>
    <n v="3549.34"/>
    <n v="4.6574863706121449E-3"/>
  </r>
  <r>
    <s v="MARIANA SIQUEIRA"/>
    <x v="1"/>
    <s v="COMERCIAL"/>
    <s v="ASSISTENTE COMERCIAL"/>
    <x v="0"/>
    <x v="3"/>
    <x v="11"/>
    <n v="407.94444444444446"/>
    <n v="772.06000000000006"/>
    <n v="1451.3400000000001"/>
    <n v="3549.34"/>
    <n v="3549.34"/>
    <n v="4.6574863706121449E-3"/>
  </r>
  <r>
    <s v="EDUARDO SOARES E SILVA"/>
    <x v="1"/>
    <s v="OPERACIONAL"/>
    <s v="AUXILIAR DE PATIO JUNIOR"/>
    <x v="0"/>
    <x v="4"/>
    <x v="6"/>
    <n v="497.75444444444452"/>
    <n v="903.63"/>
    <n v="871.87"/>
    <n v="3431.75"/>
    <n v="3431.75"/>
    <n v="4.5031833671466326E-3"/>
  </r>
  <r>
    <s v="BRUNO RUANI SCARFONI"/>
    <x v="1"/>
    <s v="COMERCIAL"/>
    <s v="VENDEDOR (A)"/>
    <x v="0"/>
    <x v="16"/>
    <x v="15"/>
    <n v="486.11111111111114"/>
    <n v="882.5"/>
    <n v="921.87"/>
    <n v="3421.87"/>
    <n v="3421.87"/>
    <n v="4.4902187130583656E-3"/>
  </r>
  <r>
    <s v="RODOLFO SALU DE OLIVEIRA"/>
    <x v="1"/>
    <s v="OPERACIONAL"/>
    <s v="MACARIQUEIRO PLENO"/>
    <x v="0"/>
    <x v="1"/>
    <x v="1"/>
    <n v="503.52361111111117"/>
    <n v="914.1"/>
    <n v="709.58"/>
    <n v="3299.13"/>
    <n v="3299.13"/>
    <n v="4.3291578180387471E-3"/>
  </r>
  <r>
    <s v="ELISMAR FERREIRA MEDEIROS"/>
    <x v="1"/>
    <s v="OPERACIONAL"/>
    <s v="AUXILIAR DE PATIO PLENO"/>
    <x v="0"/>
    <x v="4"/>
    <x v="6"/>
    <n v="472.99194444444441"/>
    <n v="858.67000000000007"/>
    <n v="862.87"/>
    <n v="3295.3999999999996"/>
    <n v="3295.3999999999996"/>
    <n v="4.3242632674568397E-3"/>
  </r>
  <r>
    <s v="LUIS HENRIQUE SEMENSATO"/>
    <x v="1"/>
    <s v="OPERACIONAL"/>
    <s v="AUXILIAR DE PATIO JUNIOR"/>
    <x v="0"/>
    <x v="4"/>
    <x v="6"/>
    <n v="470.74416666666673"/>
    <n v="854.57999999999993"/>
    <n v="862.87"/>
    <n v="3283.84"/>
    <n v="3283.84"/>
    <n v="4.3090940972887876E-3"/>
  </r>
  <r>
    <s v="LUIS DOUGLAS SANTOS BRAS"/>
    <x v="1"/>
    <s v="OPERACIONAL"/>
    <s v="AUXILIAR DE PATIO JUNIOR"/>
    <x v="0"/>
    <x v="4"/>
    <x v="6"/>
    <n v="459.30111111111114"/>
    <n v="833.81000000000006"/>
    <n v="871.87"/>
    <n v="3233.99"/>
    <n v="3233.99"/>
    <n v="4.2436803314689405E-3"/>
  </r>
  <r>
    <s v="RAFAEL RAMIRES DE ARAUJO"/>
    <x v="1"/>
    <s v="OPERACIONAL"/>
    <s v="AUXILIAR DE PATIO JUNIOR"/>
    <x v="0"/>
    <x v="12"/>
    <x v="10"/>
    <n v="419.02777777777783"/>
    <n v="826.98"/>
    <n v="1045.9099999999999"/>
    <n v="3200.91"/>
    <n v="3200.91"/>
    <n v="4.2002723600883885E-3"/>
  </r>
  <r>
    <s v="PABLO HENRYQUE BARBOSA DE CASTRO"/>
    <x v="1"/>
    <s v="OPERACIONAL"/>
    <s v="CLASSIFICADOR PLENO"/>
    <x v="0"/>
    <x v="8"/>
    <x v="9"/>
    <n v="471.03194444444438"/>
    <n v="855.11"/>
    <n v="774.31999999999994"/>
    <n v="3196.7699999999995"/>
    <n v="3196.7699999999995"/>
    <n v="4.1948398026060577E-3"/>
  </r>
  <r>
    <s v="AMANDA DE OLIVEIRA VINCO"/>
    <x v="1"/>
    <s v="ADMINISTRATIVO"/>
    <s v="ANALISTA CONTABIL JUNIOR"/>
    <x v="0"/>
    <x v="3"/>
    <x v="11"/>
    <n v="516.49305555555554"/>
    <n v="977.49"/>
    <n v="521.87"/>
    <n v="3178.12"/>
    <n v="3178.12"/>
    <n v="4.1703670496965268E-3"/>
  </r>
  <r>
    <s v="WILGNER DAVALO DA SILVA"/>
    <x v="1"/>
    <s v="ADMINISTRATIVO"/>
    <s v="ANALISTA FINANCEIRO JUNIOR"/>
    <x v="0"/>
    <x v="3"/>
    <x v="11"/>
    <n v="516.49305555555554"/>
    <n v="977.49"/>
    <n v="521.87"/>
    <n v="3178.12"/>
    <n v="3178.12"/>
    <n v="4.1703670496965268E-3"/>
  </r>
  <r>
    <s v="JOAO PAULO BENEVENTO NETO"/>
    <x v="1"/>
    <s v="OPERACIONAL"/>
    <s v="AUXILIAR DE PATIO JUNIOR"/>
    <x v="0"/>
    <x v="4"/>
    <x v="6"/>
    <n v="442.4038888888889"/>
    <n v="803.13"/>
    <n v="862.87"/>
    <n v="3138.0899999999997"/>
    <n v="3138.0899999999997"/>
    <n v="4.1178392052478108E-3"/>
  </r>
  <r>
    <s v="ALIFER BRENO PEREIRA ALMEIDA DE JESUS"/>
    <x v="1"/>
    <s v="ADMINISTRATIVO"/>
    <s v="AUX ADMINISTRATIVO JUNIOR"/>
    <x v="0"/>
    <x v="8"/>
    <x v="9"/>
    <n v="510.05888888888887"/>
    <n v="934.51"/>
    <n v="456.6"/>
    <n v="3079.7599999999998"/>
    <n v="3079.7599999999998"/>
    <n v="4.0412978820728524E-3"/>
  </r>
  <r>
    <s v="DYESSILA MARY ALVES"/>
    <x v="1"/>
    <s v="ADMINISTRATIVO"/>
    <s v="AUX ADMINISTRATIVO JUNIOR"/>
    <x v="0"/>
    <x v="15"/>
    <x v="14"/>
    <n v="506.24194444444447"/>
    <n v="958.09"/>
    <n v="456.6"/>
    <n v="3060.13"/>
    <n v="3060.13"/>
    <n v="4.0155391614501131E-3"/>
  </r>
  <r>
    <s v="THAIS SILVA ROCHA"/>
    <x v="1"/>
    <s v="INTRA-LOGISTICA"/>
    <s v="ANALISTA ADMINISTRATIVO OPERACIONAL JUNIOR"/>
    <x v="0"/>
    <x v="2"/>
    <x v="2"/>
    <n v="486.11111111111114"/>
    <n v="882.5"/>
    <n v="521.87"/>
    <n v="3021.87"/>
    <n v="3021.87"/>
    <n v="3.9653339321568861E-3"/>
  </r>
  <r>
    <s v="GABRIELA BARBOSA FONTE BASSO"/>
    <x v="1"/>
    <s v="COMERCIAL"/>
    <s v="VENDEDOR INTERNO PLENO"/>
    <x v="0"/>
    <x v="4"/>
    <x v="6"/>
    <n v="486.11111111111114"/>
    <n v="882.5"/>
    <n v="512.87"/>
    <n v="3012.87"/>
    <n v="3012.87"/>
    <n v="3.9535240245866026E-3"/>
  </r>
  <r>
    <s v="ANDREW GABRYEL ARCANJO DE SOUZA"/>
    <x v="1"/>
    <s v="OPERACIONAL"/>
    <s v="AUXILIAR DE PATIO JUNIOR"/>
    <x v="0"/>
    <x v="8"/>
    <x v="9"/>
    <n v="0"/>
    <n v="760.70999999999992"/>
    <n v="770.45"/>
    <n v="2925.45"/>
    <n v="2925.45"/>
    <n v="3.8388104557205843E-3"/>
  </r>
  <r>
    <s v="GEOVANI RODRIGUES DUTRA"/>
    <x v="1"/>
    <s v="OPERACIONAL"/>
    <s v="MACARIQUEIRO PLENO"/>
    <x v="0"/>
    <x v="1"/>
    <x v="1"/>
    <n v="503.125"/>
    <n v="870.52999999999986"/>
    <n v="196.71"/>
    <n v="2784.21"/>
    <n v="2784.21"/>
    <n v="3.6534736395842718E-3"/>
  </r>
  <r>
    <s v="MURILO LIMA DE CARVALHO SILVA"/>
    <x v="1"/>
    <s v="ADMINISTRATIVO"/>
    <s v="AUXILIAR FINANCEIRO"/>
    <x v="0"/>
    <x v="4"/>
    <x v="6"/>
    <n v="438.42555555555555"/>
    <n v="795.6099999999999"/>
    <n v="521.87"/>
    <n v="2776.63"/>
    <n v="2776.63"/>
    <n v="3.6435270729861888E-3"/>
  </r>
  <r>
    <s v="NATALIA BAROSSI TREVISAN"/>
    <x v="1"/>
    <s v="ADMINISTRATIVO"/>
    <s v="AUXILIAR CONTABIL"/>
    <x v="0"/>
    <x v="4"/>
    <x v="6"/>
    <n v="0"/>
    <n v="740.59"/>
    <n v="528.87"/>
    <n v="2626.87"/>
    <n v="2626.87"/>
    <n v="3.4470102110166745E-3"/>
  </r>
  <r>
    <s v="LAERME MUNIZ"/>
    <x v="1"/>
    <s v="OPERACIONAL"/>
    <s v="OPERADOR MANTENEDOR SENIOR"/>
    <x v="0"/>
    <x v="6"/>
    <x v="4"/>
    <n v="0"/>
    <n v="713.59"/>
    <n v="573.03"/>
    <n v="2594.5699999999997"/>
    <n v="2594.5699999999997"/>
    <n v="3.4046257649588802E-3"/>
  </r>
  <r>
    <s v="LUCIMARA PAIZ DE OLIVEIRA"/>
    <x v="1"/>
    <s v="ADMINISTRATIVO"/>
    <s v="FAXINEIRO (EMPRESA)"/>
    <x v="0"/>
    <x v="0"/>
    <x v="5"/>
    <n v="359.68333333333334"/>
    <n v="652.96"/>
    <n v="512.87"/>
    <n v="2362.67"/>
    <n v="2362.67"/>
    <n v="3.1003238132312478E-3"/>
  </r>
  <r>
    <s v="ESTER TAVARES FERREIRA"/>
    <x v="3"/>
    <s v="COMERCIAL"/>
    <s v="AUXILIAR COMERCIAL - ESTAGIARIO"/>
    <x v="0"/>
    <x v="3"/>
    <x v="11"/>
    <n v="0"/>
    <n v="0"/>
    <n v="1521.88"/>
    <n v="1521.88"/>
    <n v="1521.88"/>
    <n v="1.9970291258958601E-3"/>
  </r>
  <r>
    <s v="HELENA SOARES GOES DA SILVA"/>
    <x v="3"/>
    <s v="COMERCIAL"/>
    <s v="AUXILIAR COMERCIAL - ESTAGIARIO"/>
    <x v="0"/>
    <x v="4"/>
    <x v="6"/>
    <n v="0"/>
    <n v="0"/>
    <n v="1521.87"/>
    <n v="1521.87"/>
    <n v="1521.87"/>
    <n v="1.9970160037763372E-3"/>
  </r>
  <r>
    <s v="ISADORA THAYNA VIOTTO DIAS"/>
    <x v="3"/>
    <s v="ADMINISTRATIVO"/>
    <s v="AUXILIAR ADMINISTRATIVO - ESTAGIARIO(A)"/>
    <x v="0"/>
    <x v="3"/>
    <x v="11"/>
    <n v="0"/>
    <n v="0"/>
    <n v="1521.87"/>
    <n v="1521.87"/>
    <n v="1521.87"/>
    <n v="1.9970160037763372E-3"/>
  </r>
  <r>
    <s v="JOAO EMANUEL SANTOS SILVA"/>
    <x v="3"/>
    <s v="ADMINISTRATIVO"/>
    <s v="AUXILIAR FINANCEIRO - ESTAGIARIO"/>
    <x v="0"/>
    <x v="3"/>
    <x v="11"/>
    <n v="0"/>
    <n v="0"/>
    <n v="1521.87"/>
    <n v="1521.87"/>
    <n v="1521.87"/>
    <n v="1.9970160037763372E-3"/>
  </r>
  <r>
    <s v="GABRIEL SATOSHI DA SILVA SAKATA"/>
    <x v="3"/>
    <s v="ADMINISTRATIVO"/>
    <s v="AUXILIAR ADMINISTRATIVO - ESTAGIARIO(A)"/>
    <x v="0"/>
    <x v="3"/>
    <x v="11"/>
    <n v="0"/>
    <n v="0"/>
    <n v="1521.87"/>
    <n v="1521.87"/>
    <n v="1521.87"/>
    <n v="1.9970160037763372E-3"/>
  </r>
  <r>
    <s v="MELISSA DE FREITAS ORRIGO"/>
    <x v="3"/>
    <s v="COMERCIAL"/>
    <s v="AUXILIAR COMERCIAL - ESTAGIARIO"/>
    <x v="0"/>
    <x v="3"/>
    <x v="11"/>
    <n v="0"/>
    <n v="0"/>
    <n v="1521.87"/>
    <n v="1521.87"/>
    <n v="1521.87"/>
    <n v="1.9970160037763372E-3"/>
  </r>
  <r>
    <s v="JOAO PAULO MARTINS OZORES"/>
    <x v="3"/>
    <s v="ADMINISTRATIVO"/>
    <s v="AUXILIAR ADMINISTRATIVO - ESTAGIARIO(A)"/>
    <x v="0"/>
    <x v="3"/>
    <x v="11"/>
    <n v="0"/>
    <n v="0"/>
    <n v="1521.87"/>
    <n v="1521.87"/>
    <n v="1521.87"/>
    <n v="1.9970160037763372E-3"/>
  </r>
  <r>
    <s v="BRUNA RIBEIRO SANCHEZ"/>
    <x v="3"/>
    <s v="GESTÃO DE GENTE"/>
    <s v="AUXILIAR ADMINISTRATIVO - ESTAGIARIO(A)"/>
    <x v="0"/>
    <x v="3"/>
    <x v="11"/>
    <n v="0"/>
    <n v="0"/>
    <n v="1521.87"/>
    <n v="1521.87"/>
    <n v="1521.87"/>
    <n v="1.9970160037763372E-3"/>
  </r>
  <r>
    <s v="EDUARDO PEDRETTI ARRUDA RONCHESEL"/>
    <x v="3"/>
    <s v="ADMINISTRATIVO"/>
    <s v="AUXILIAR FINANCEIRO - ESTAGIARIO"/>
    <x v="0"/>
    <x v="4"/>
    <x v="6"/>
    <n v="0"/>
    <n v="0"/>
    <n v="1521.87"/>
    <n v="1521.87"/>
    <n v="1521.87"/>
    <n v="1.9970160037763372E-3"/>
  </r>
  <r>
    <s v="CAIO MURILO SPINDOLA DOS SANTOS"/>
    <x v="3"/>
    <s v="COMERCIAL"/>
    <s v="AUXILIAR COMERCIAL - ESTAGIARIO"/>
    <x v="0"/>
    <x v="3"/>
    <x v="11"/>
    <n v="0"/>
    <n v="0"/>
    <n v="1512.87"/>
    <n v="1512.87"/>
    <n v="1512.87"/>
    <n v="1.9852060962060538E-3"/>
  </r>
  <r>
    <s v="LUCAS VICTOR MENDONÇA RUBIO"/>
    <x v="3"/>
    <s v="ADMINISTRATIVO"/>
    <s v="AUXILIAR CONTABIL - ESTAGIARIO"/>
    <x v="0"/>
    <x v="3"/>
    <x v="11"/>
    <n v="0"/>
    <n v="0"/>
    <n v="1500"/>
    <n v="1500"/>
    <n v="1500"/>
    <n v="1.9683179283805489E-3"/>
  </r>
  <r>
    <s v="MURILO SCHISBELGS DIAS"/>
    <x v="3"/>
    <s v="COMERCIAL"/>
    <s v="AUXILIAR COMERCIAL - ESTAGIARIO"/>
    <x v="0"/>
    <x v="3"/>
    <x v="11"/>
    <n v="0"/>
    <n v="0"/>
    <n v="1500"/>
    <n v="1500"/>
    <n v="1500"/>
    <n v="1.9683179283805489E-3"/>
  </r>
  <r>
    <s v="FERNANDO THALLES SOUZA OLIVEIRA"/>
    <x v="3"/>
    <s v="INTRA-LOGISTICA"/>
    <s v="AUXILIAR DE ENGENHARIA - ESTAGIARIO"/>
    <x v="0"/>
    <x v="2"/>
    <x v="2"/>
    <n v="0"/>
    <n v="0"/>
    <n v="1500"/>
    <n v="1500"/>
    <n v="1500"/>
    <n v="1.9683179283805489E-3"/>
  </r>
  <r>
    <s v="MURILO BONI CANDIDO"/>
    <x v="3"/>
    <s v="INTRA-LOGISTICA"/>
    <s v="AUXILIAR DE MARKETING - ESTAGIARIO"/>
    <x v="0"/>
    <x v="2"/>
    <x v="2"/>
    <n v="0"/>
    <n v="0"/>
    <n v="1500"/>
    <n v="1500"/>
    <n v="1500"/>
    <n v="1.9683179283805489E-3"/>
  </r>
  <r>
    <s v="JULIO OLIVEIRA SANTANA"/>
    <x v="3"/>
    <s v="ADMINISTRATIVO"/>
    <s v="AUXILIAR DE QUALIDADE - ESTAGIARIO"/>
    <x v="0"/>
    <x v="3"/>
    <x v="11"/>
    <n v="0"/>
    <n v="0"/>
    <n v="650"/>
    <n v="650"/>
    <n v="650"/>
    <n v="8.5293776896490446E-4"/>
  </r>
  <r>
    <s v="EVALDO JANES DE CANDIDO OLIVIERA"/>
    <x v="0"/>
    <s v="COMERCIAL"/>
    <s v="GERENTE"/>
    <x v="0"/>
    <x v="6"/>
    <x v="0"/>
    <n v="0"/>
    <n v="0"/>
    <n v="0"/>
    <n v="0"/>
    <n v="0"/>
    <n v="0"/>
  </r>
  <r>
    <s v="LEONARDO SOARES CAVALHEIRO"/>
    <x v="0"/>
    <s v="SELETIVA DOURADOS"/>
    <s v="COMPRADOR"/>
    <x v="1"/>
    <x v="1"/>
    <x v="0"/>
    <n v="833.33333333333337"/>
    <n v="0"/>
    <n v="0"/>
    <n v="10000"/>
    <n v="10000"/>
    <m/>
  </r>
  <r>
    <s v="RUBENS DE ARAUJO MOTA"/>
    <x v="1"/>
    <s v="LOGISTICA"/>
    <s v="MOTORISTA CARRETEIRO MANTENEDOR SENIOR I"/>
    <x v="1"/>
    <x v="9"/>
    <x v="7"/>
    <n v="595.97027777777771"/>
    <n v="882.7"/>
    <n v="2223.0700000000002"/>
    <n v="5288.0599999999995"/>
    <n v="21959.25"/>
    <m/>
  </r>
  <r>
    <s v="EVERTON BENITES SOBRINHO"/>
    <x v="1"/>
    <s v="LOGISTICA"/>
    <s v="MOTORISTA CARRETEIRO MANTENEDOR SENIOR I"/>
    <x v="1"/>
    <x v="10"/>
    <x v="8"/>
    <n v="77.945000000000007"/>
    <n v="115.42999999999999"/>
    <n v="774.40000000000009"/>
    <n v="1175.2600000000002"/>
    <n v="10721.78"/>
    <m/>
  </r>
  <r>
    <s v="EDUARDO YUICHI CHINMEI"/>
    <x v="1"/>
    <s v="COMERCIAL"/>
    <s v="ASSISTENTE COMERCIAL"/>
    <x v="1"/>
    <x v="3"/>
    <x v="11"/>
    <n v="1.6391666666666667"/>
    <n v="2.42"/>
    <n v="1346.14"/>
    <n v="1354.5700000000002"/>
    <n v="6934.39"/>
    <m/>
  </r>
  <r>
    <s v="PEDRO MARQUES GUARNIERI"/>
    <x v="3"/>
    <s v="ADMINISTRATIVO"/>
    <s v="AUXILIAR ADMINISTRATIVO - ESTAGIARIO(A)"/>
    <x v="1"/>
    <x v="3"/>
    <x v="11"/>
    <n v="0"/>
    <n v="0"/>
    <n v="1188.54"/>
    <n v="1188.54"/>
    <n v="900"/>
    <m/>
  </r>
  <r>
    <s v="ALEKSANDER APARECIDO GONÇALVES DA SILVA"/>
    <x v="1"/>
    <s v="OPERACIONAL"/>
    <s v="GERENTE DE PATIO SENIOR"/>
    <x v="1"/>
    <x v="15"/>
    <x v="14"/>
    <n v="200.095"/>
    <n v="552.25"/>
    <n v="295.59000000000003"/>
    <n v="1324.65"/>
    <n v="4483.47"/>
    <m/>
  </r>
  <r>
    <s v="GUSTAVO LINO DUARTE"/>
    <x v="1"/>
    <s v="OPERACIONAL"/>
    <s v="AUXILIAR DE PATIO JUNIOR"/>
    <x v="1"/>
    <x v="12"/>
    <x v="10"/>
    <n v="0"/>
    <n v="0"/>
    <n v="610.84"/>
    <n v="610.84"/>
    <n v="6569.72"/>
    <m/>
  </r>
  <r>
    <s v="PEDRO FELIPE PINA DO NASCIMENTO"/>
    <x v="1"/>
    <s v="OPERACIONAL"/>
    <s v="AUXILIAR DE PATIO JUNIOR"/>
    <x v="1"/>
    <x v="12"/>
    <x v="10"/>
    <n v="0"/>
    <n v="0"/>
    <n v="260.84000000000003"/>
    <n v="260.84000000000003"/>
    <n v="1845.49"/>
    <m/>
  </r>
  <r>
    <s v="MARCOS ROBERTO DA SILVA MARTINS"/>
    <x v="1"/>
    <s v="LOGISTICA"/>
    <s v="MOTORISTA TRUCK MANTENEDOR JUNIOR"/>
    <x v="1"/>
    <x v="4"/>
    <x v="6"/>
    <n v="52.021666666666668"/>
    <n v="73.03"/>
    <n v="554.03"/>
    <n v="821.56999999999994"/>
    <n v="7959.66"/>
    <m/>
  </r>
  <r>
    <s v="JUNIOR CESAR SOARES"/>
    <x v="1"/>
    <s v="COMERCIAL"/>
    <s v="VENDEDOR INTERNO SENIOR"/>
    <x v="1"/>
    <x v="4"/>
    <x v="6"/>
    <n v="0"/>
    <n v="88"/>
    <n v="183.33"/>
    <n v="183.33"/>
    <n v="1726.41"/>
    <m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VINICIUS LIMA SALDANHA"/>
    <x v="0"/>
    <s v="OPERACIONAL"/>
    <s v="GERENTE DE PATIO SENIOR"/>
    <x v="0"/>
    <x v="0"/>
    <x v="0"/>
    <n v="1933.9444444444446"/>
    <n v="4345.63"/>
    <n v="7684.4"/>
    <n v="17630.400000000001"/>
    <n v="17630.400000000001"/>
  </r>
  <r>
    <s v="ANTONIO APARECIDO FAQUIANO SOBRINHO"/>
    <x v="0"/>
    <s v="LOGISTICA"/>
    <s v="MOTORISTA CARRETEIRO MANTENEDOR SENIOR I"/>
    <x v="0"/>
    <x v="1"/>
    <x v="1"/>
    <n v="797.43416666666667"/>
    <n v="1509.19"/>
    <n v="3055.3599999999997"/>
    <n v="7156.45"/>
    <n v="7156.45"/>
  </r>
  <r>
    <s v="ERNESTO EUGENIO DA SILVA"/>
    <x v="0"/>
    <s v="LOGISTICA"/>
    <s v="MOTORISTA CARRETEIRO MANTENEDOR SENIOR I"/>
    <x v="0"/>
    <x v="1"/>
    <x v="1"/>
    <n v="848.98333333333323"/>
    <n v="1606.74"/>
    <n v="2289.4699999999998"/>
    <n v="6655.67"/>
    <n v="6655.67"/>
  </r>
  <r>
    <s v="JOSE MANOEL DOS SANTOS"/>
    <x v="0"/>
    <s v="OPERACIONAL"/>
    <s v="OPERADOR MANTENEDOR JR"/>
    <x v="0"/>
    <x v="1"/>
    <x v="1"/>
    <n v="951.9708333333333"/>
    <n v="1799.12"/>
    <n v="709.58"/>
    <n v="5605.43"/>
    <n v="5605.43"/>
  </r>
  <r>
    <s v="POLIANA CORREA DA SILVA"/>
    <x v="0"/>
    <s v="ADMINISTRATIVO"/>
    <s v="AUX ADMINISTRATIVO JUNIOR"/>
    <x v="0"/>
    <x v="0"/>
    <x v="0"/>
    <n v="618.80388888888888"/>
    <n v="1123.3800000000001"/>
    <n v="718.58"/>
    <n v="3901"/>
    <n v="3901"/>
  </r>
  <r>
    <s v="LAIS VERON TEIXEIRA RIQUELME"/>
    <x v="0"/>
    <s v="ADMINISTRATIVO"/>
    <s v="AUX ADMINISTRATIVO JUNIOR"/>
    <x v="0"/>
    <x v="0"/>
    <x v="0"/>
    <n v="575.52250000000004"/>
    <n v="1044.81"/>
    <n v="718.58"/>
    <n v="3678.41"/>
    <n v="3678.41"/>
  </r>
  <r>
    <s v="RODOLFO SALU DE OLIVEIRA"/>
    <x v="0"/>
    <s v="OPERACIONAL"/>
    <s v="MACARIQUEIRO PLENO"/>
    <x v="0"/>
    <x v="0"/>
    <x v="0"/>
    <n v="503.52361111111117"/>
    <n v="914.1"/>
    <n v="709.58"/>
    <n v="3299.13"/>
    <n v="3299.13"/>
  </r>
  <r>
    <s v="GEOVANI RODRIGUES DUTRA"/>
    <x v="0"/>
    <s v="OPERACIONAL"/>
    <s v="MACARIQUEIRO PLENO"/>
    <x v="0"/>
    <x v="0"/>
    <x v="0"/>
    <n v="503.125"/>
    <n v="870.52999999999986"/>
    <n v="196.71"/>
    <n v="2784.21"/>
    <n v="2784.21"/>
  </r>
  <r>
    <s v="LEONARDO SOARES CAVALHEIRO"/>
    <x v="1"/>
    <s v="SELETIVA DOURADOS"/>
    <s v="COMPRADOR"/>
    <x v="1"/>
    <x v="0"/>
    <x v="2"/>
    <n v="833.33333333333337"/>
    <n v="0"/>
    <n v="0"/>
    <n v="10000"/>
    <n v="10000"/>
  </r>
  <r>
    <s v="EVERTON BENITES SOBRINHO"/>
    <x v="0"/>
    <s v="LOGISTICA"/>
    <s v="MOTORISTA CARRETEIRO MANTENEDOR SENIOR I"/>
    <x v="1"/>
    <x v="1"/>
    <x v="1"/>
    <n v="77.945000000000007"/>
    <n v="115.42999999999999"/>
    <n v="774.40000000000009"/>
    <n v="1175.2600000000002"/>
    <n v="10721.78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s v="JOAO BATISTA RIBEIRO SILVA"/>
    <x v="0"/>
    <s v="OPERACIONAL"/>
    <s v="OPERADOR MANTENEDOR PLENO"/>
    <x v="0"/>
    <x v="0"/>
    <x v="0"/>
    <n v="1020.7749999999999"/>
    <n v="1853.13"/>
    <n v="3013.3199999999997"/>
    <n v="8263.02"/>
    <n v="8263.02"/>
  </r>
  <r>
    <s v="PATRICIO SANTANA DA SILVA THEODORO"/>
    <x v="0"/>
    <s v="OPERACIONAL"/>
    <s v="OPERADOR MANTENEDOR SENIOR"/>
    <x v="0"/>
    <x v="1"/>
    <x v="1"/>
    <n v="1211.4394444444447"/>
    <n v="2292.7200000000003"/>
    <n v="1573.0800000000002"/>
    <n v="7803.34"/>
    <n v="7803.34"/>
  </r>
  <r>
    <s v="WILLIAM CRISTIAN LUPION"/>
    <x v="0"/>
    <s v="LOGISTICA"/>
    <s v="MOTORISTA CARRETEIRO MANTENEDOR SENIOR I"/>
    <x v="0"/>
    <x v="1"/>
    <x v="1"/>
    <n v="1067.5252777777775"/>
    <n v="2020.3600000000001"/>
    <n v="2228.23"/>
    <n v="7718.3599999999988"/>
    <n v="7718.3599999999988"/>
  </r>
  <r>
    <s v="RODRIGO DA SILVA NORCIA"/>
    <x v="1"/>
    <s v="SELETIVA MARINGA"/>
    <s v="COMPRADOR"/>
    <x v="0"/>
    <x v="2"/>
    <x v="2"/>
    <n v="666.66666666666663"/>
    <n v="0"/>
    <n v="21.87"/>
    <n v="8021.87"/>
    <n v="8021.87"/>
  </r>
  <r>
    <s v="VALTER LEITE VIEIRA"/>
    <x v="0"/>
    <s v="OPERACIONAL"/>
    <s v="GERENTE DE PATIO SENIOR"/>
    <x v="0"/>
    <x v="2"/>
    <x v="3"/>
    <n v="1119.1930555555557"/>
    <n v="2031.79"/>
    <n v="1294.8"/>
    <n v="7050.6500000000005"/>
    <n v="7050.6500000000005"/>
  </r>
  <r>
    <s v="FERNANDO FERRAREZI DOS SANTOS"/>
    <x v="0"/>
    <s v="LOGISTICA"/>
    <s v="MOTORISTA CARRETEIRO MANTENEDOR SENIOR I"/>
    <x v="0"/>
    <x v="1"/>
    <x v="1"/>
    <n v="1085.7622222222221"/>
    <n v="2054.86"/>
    <n v="1433.19"/>
    <n v="7017.1100000000006"/>
    <n v="7017.1100000000006"/>
  </r>
  <r>
    <s v="PATRICIA CECILIA GUIDOTTI DE FREITAS"/>
    <x v="0"/>
    <s v="ADMINISTRATIVO"/>
    <s v="AUX ADMINISTRATIVO PLENO"/>
    <x v="0"/>
    <x v="2"/>
    <x v="3"/>
    <n v="655.50527777777779"/>
    <n v="1190"/>
    <n v="765.31999999999994"/>
    <n v="4136.49"/>
    <n v="4136.49"/>
  </r>
  <r>
    <s v="PABLO HENRYQUE BARBOSA DE CASTRO"/>
    <x v="0"/>
    <s v="OPERACIONAL"/>
    <s v="CLASSIFICADOR PLENO"/>
    <x v="0"/>
    <x v="2"/>
    <x v="3"/>
    <n v="471.03194444444438"/>
    <n v="855.11"/>
    <n v="774.31999999999994"/>
    <n v="3196.7699999999995"/>
    <n v="3196.7699999999995"/>
  </r>
  <r>
    <s v="ALIFER BRENO PEREIRA ALMEIDA DE JESUS"/>
    <x v="0"/>
    <s v="ADMINISTRATIVO"/>
    <s v="AUX ADMINISTRATIVO JUNIOR"/>
    <x v="0"/>
    <x v="2"/>
    <x v="3"/>
    <n v="510.05888888888887"/>
    <n v="934.51"/>
    <n v="456.6"/>
    <n v="3079.7599999999998"/>
    <n v="3079.7599999999998"/>
  </r>
  <r>
    <s v="ANDREW GABRYEL ARCANJO DE SOUZA"/>
    <x v="0"/>
    <s v="OPERACIONAL"/>
    <s v="AUXILIAR DE PATIO JUNIOR"/>
    <x v="0"/>
    <x v="2"/>
    <x v="3"/>
    <n v="0"/>
    <n v="760.70999999999992"/>
    <n v="770.45"/>
    <n v="2925.45"/>
    <n v="2925.45"/>
  </r>
  <r>
    <s v="RUBENS DE ARAUJO MOTA"/>
    <x v="0"/>
    <s v="LOGISTICA"/>
    <s v="MOTORISTA CARRETEIRO MANTENEDOR SENIOR I"/>
    <x v="1"/>
    <x v="1"/>
    <x v="1"/>
    <n v="595.97027777777771"/>
    <n v="882.7"/>
    <n v="2223.0700000000002"/>
    <n v="5288.0599999999995"/>
    <n v="21959.25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s v="JOHNNIS GUANDALINI SCHIAVON"/>
    <x v="0"/>
    <s v="OPERACIONAL"/>
    <s v="OPERADOR MANTENEDOR JR"/>
    <x v="0"/>
    <s v="G S FL 04 - MARINGA"/>
    <s v="20.504.237/0004-60"/>
    <n v="636.04916666666668"/>
    <n v="1203.75"/>
    <n v="969.47"/>
    <n v="4240.58"/>
    <n v="4240.58"/>
  </r>
  <r>
    <s v="ADEMIR DOS SANTOS"/>
    <x v="0"/>
    <s v="OPERACIONAL"/>
    <s v="AUXILIAR DE PATIO SENIOR"/>
    <x v="0"/>
    <s v="G3S FL 11 - MARINGA"/>
    <s v="20.947.332/0011-67"/>
    <n v="524.09194444444438"/>
    <n v="991.86"/>
    <n v="969.47"/>
    <n v="3664.8"/>
    <n v="3664.8"/>
  </r>
  <r>
    <s v="DYESSILA MARY ALVES"/>
    <x v="0"/>
    <s v="ADMINISTRATIVO"/>
    <s v="AUX ADMINISTRATIVO JUNIOR"/>
    <x v="0"/>
    <s v="G3S FL 11 - MARINGA"/>
    <s v="20.947.332/0011-67"/>
    <n v="506.24194444444447"/>
    <n v="958.09"/>
    <n v="456.6"/>
    <n v="3060.13"/>
    <n v="3060.13"/>
  </r>
  <r>
    <s v="ALEKSANDER APARECIDO GONÇALVES DA SILVA"/>
    <x v="0"/>
    <s v="OPERACIONAL"/>
    <s v="GERENTE DE PATIO SENIOR"/>
    <x v="1"/>
    <s v="G3S FL 11 - MARINGA"/>
    <s v="20.947.332/0011-67"/>
    <n v="200.095"/>
    <n v="552.25"/>
    <n v="295.59000000000003"/>
    <n v="1324.65"/>
    <n v="1324.65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PAULO VITOR TOOKUNI DE LIMA"/>
    <x v="0"/>
    <s v="OPERACIONAL"/>
    <s v="GERENTE DE PATIO SENIOR"/>
    <x v="0"/>
    <x v="0"/>
    <x v="0"/>
    <n v="1426.6661111111109"/>
    <n v="3764.5800000000008"/>
    <n v="3799.96"/>
    <n v="11137.099999999999"/>
    <n v="11137.099999999999"/>
  </r>
  <r>
    <s v="MARCIO APARECIDO DA COSTA"/>
    <x v="0"/>
    <s v="LOGISTICA"/>
    <s v="MOTORISTA CARRETEIRO MANTENEDOR SENIOR I"/>
    <x v="0"/>
    <x v="1"/>
    <x v="1"/>
    <n v="875.69611111111112"/>
    <n v="1656.13"/>
    <n v="1498.89"/>
    <n v="6002.47"/>
    <n v="6002.47"/>
  </r>
  <r>
    <s v="TIAGO LUIS DE SOUZA"/>
    <x v="0"/>
    <s v="OPERACIONAL"/>
    <s v="OPERADOR MANTENEDOR JR"/>
    <x v="0"/>
    <x v="1"/>
    <x v="1"/>
    <n v="751.38583333333327"/>
    <n v="1422.0299999999997"/>
    <n v="1042.3499999999999"/>
    <n v="4906.62"/>
    <n v="4906.62"/>
  </r>
  <r>
    <s v="LUCAS DA SILVA CONCEICAO"/>
    <x v="0"/>
    <s v="OPERACIONAL"/>
    <s v="OPERADOR MANTENEDOR JR"/>
    <x v="0"/>
    <x v="1"/>
    <x v="1"/>
    <n v="726.24611111111108"/>
    <n v="1371.08"/>
    <n v="1042.3499999999999"/>
    <n v="4777.33"/>
    <n v="4777.33"/>
  </r>
  <r>
    <s v="KAMYLA FERNANDA FORIM"/>
    <x v="0"/>
    <s v="ADMINISTRATIVO"/>
    <s v="AUX ADMINISTRATIVO SENIOR"/>
    <x v="0"/>
    <x v="0"/>
    <x v="0"/>
    <n v="703.10333333333324"/>
    <n v="1428.5"/>
    <n v="1051.3499999999999"/>
    <n v="4667.3099999999995"/>
    <n v="4667.3099999999995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s v="ADEMIR DOS SANTOS"/>
    <d v="2026-03-01T00:00:00"/>
    <x v="0"/>
    <s v="G3S FL 11 - MARINGA"/>
    <m/>
    <m/>
    <s v="20.947.332/0011-67"/>
    <s v="OPERACIONAL"/>
    <s v="PATIO"/>
    <x v="0"/>
    <d v="2025-09-15T00:00:00"/>
    <m/>
    <m/>
    <s v="1.2.8.3. OPERACIONAL"/>
    <s v="AUXILIAR DE PATIO SENIOR"/>
    <n v="2600"/>
    <n v="2600"/>
    <n v="0"/>
    <n v="0"/>
    <n v="0"/>
    <n v="0"/>
    <n v="0"/>
    <n v="0"/>
    <n v="0"/>
    <n v="0"/>
    <n v="0"/>
    <n v="79.95"/>
    <n v="15.38"/>
    <n v="0"/>
    <n v="0"/>
    <n v="0"/>
    <n v="0"/>
    <n v="2695.33"/>
    <n v="0"/>
    <n v="512.87"/>
    <n v="0"/>
    <n v="0"/>
    <n v="0"/>
    <n v="0"/>
    <n v="0"/>
    <n v="0"/>
    <n v="0"/>
    <n v="0"/>
    <n v="456.6"/>
    <n v="0"/>
    <n v="0"/>
    <n v="0"/>
    <n v="0"/>
    <n v="0"/>
    <n v="0"/>
    <n v="0"/>
    <n v="0"/>
    <n v="0"/>
    <n v="0"/>
    <n v="969.47"/>
    <n v="3664.8"/>
    <m/>
    <n v="3664.8"/>
  </r>
  <r>
    <s v="ADRIANA APARECIDA GUABERTO PALANCIO"/>
    <d v="2026-03-01T00:00:00"/>
    <x v="0"/>
    <s v="G3S FL 05 - PRES PRUD"/>
    <m/>
    <m/>
    <s v="20.947.332/0005-19"/>
    <s v="ADMINISTRATIVO"/>
    <s v="FINANCEIRO"/>
    <x v="1"/>
    <d v="2020-02-05T00:00:00"/>
    <m/>
    <m/>
    <s v="1.2.1.1 APOIO"/>
    <s v="ANALISTA FINANCEIRO SENIOR I"/>
    <n v="3500"/>
    <n v="3500"/>
    <n v="0"/>
    <n v="0"/>
    <n v="0"/>
    <n v="0"/>
    <n v="0"/>
    <n v="0"/>
    <n v="0"/>
    <n v="0"/>
    <n v="0"/>
    <n v="0"/>
    <n v="0"/>
    <n v="0"/>
    <n v="0"/>
    <n v="0"/>
    <n v="0"/>
    <n v="3500"/>
    <n v="0"/>
    <n v="521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1.87"/>
    <n v="4021.87"/>
    <m/>
    <n v="4021.87"/>
  </r>
  <r>
    <s v="ADRIANA CANDIDO FIGUEIREDO"/>
    <d v="2026-03-01T00:00:00"/>
    <x v="0"/>
    <s v="G3S FL 10 - PRES PRUD"/>
    <m/>
    <m/>
    <s v="20.947.332/0010-86"/>
    <s v="GESTÃO DE GENTE"/>
    <s v="DEPTO PESSOAL"/>
    <x v="2"/>
    <d v="2019-08-15T00:00:00"/>
    <m/>
    <m/>
    <s v="1.1.10 PESSOAS"/>
    <s v="ANALISTA DE DEPTO PESSOAL"/>
    <n v="4568.75"/>
    <n v="4568.75"/>
    <n v="0"/>
    <n v="0"/>
    <n v="0"/>
    <n v="0"/>
    <n v="0"/>
    <n v="0"/>
    <n v="0"/>
    <n v="0"/>
    <n v="0"/>
    <n v="0"/>
    <n v="0"/>
    <n v="0"/>
    <n v="0"/>
    <n v="0"/>
    <n v="0"/>
    <n v="4568.75"/>
    <n v="0"/>
    <n v="512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2.87"/>
    <n v="5081.62"/>
    <m/>
    <n v="5081.62"/>
  </r>
  <r>
    <s v="ALEKSANDER APARECIDO GONÇALVES DA SILVA"/>
    <d v="2026-03-01T00:00:00"/>
    <x v="0"/>
    <s v="G3S FL 11 - MARINGA"/>
    <m/>
    <m/>
    <s v="20.947.332/0011-67"/>
    <s v="OPERACIONAL"/>
    <s v="PATIO"/>
    <x v="0"/>
    <d v="2026-01-28T00:00:00"/>
    <d v="2026-03-16T00:00:00"/>
    <m/>
    <s v="1.2.8.3. OPERACIONAL"/>
    <s v="GERENTE DE PATIO SENIOR"/>
    <n v="3679.83"/>
    <n v="0"/>
    <n v="0"/>
    <n v="0"/>
    <n v="392.52"/>
    <n v="0"/>
    <n v="588.77"/>
    <n v="0"/>
    <n v="0"/>
    <n v="0"/>
    <n v="0"/>
    <n v="0"/>
    <n v="47.77"/>
    <n v="0"/>
    <n v="0"/>
    <n v="0"/>
    <n v="0"/>
    <n v="1029.06"/>
    <n v="0"/>
    <n v="266.67"/>
    <n v="0"/>
    <n v="0"/>
    <n v="0"/>
    <n v="0"/>
    <n v="0"/>
    <n v="0"/>
    <n v="0"/>
    <n v="0"/>
    <n v="28.92"/>
    <n v="0"/>
    <n v="0"/>
    <n v="0"/>
    <n v="0"/>
    <n v="0"/>
    <n v="0"/>
    <n v="0"/>
    <n v="0"/>
    <n v="0"/>
    <n v="0"/>
    <n v="295.59000000000003"/>
    <n v="1324.65"/>
    <m/>
    <n v="1324.65"/>
  </r>
  <r>
    <s v="ALESSANDRA ARAUJO MOURA"/>
    <d v="2026-03-01T00:00:00"/>
    <x v="0"/>
    <s v="G3S  FL 04 - PRES PRUD"/>
    <m/>
    <m/>
    <s v="20.947.332/0004-38"/>
    <s v="ADMINISTRATIVO"/>
    <s v="ATENDIMENTO"/>
    <x v="1"/>
    <d v="2022-08-10T00:00:00"/>
    <m/>
    <m/>
    <s v="1.2.1.1 APOIO"/>
    <s v="SUPERVISOR(A) ADMINISTRATIVO(A)"/>
    <n v="3392"/>
    <n v="3392"/>
    <n v="0"/>
    <n v="0"/>
    <n v="0"/>
    <n v="0"/>
    <n v="0"/>
    <n v="1356.8"/>
    <n v="0"/>
    <n v="0"/>
    <n v="0"/>
    <n v="0"/>
    <n v="0"/>
    <n v="0"/>
    <n v="0"/>
    <n v="0"/>
    <n v="0"/>
    <n v="4748.8"/>
    <n v="0"/>
    <n v="521.87"/>
    <n v="0"/>
    <n v="0"/>
    <n v="0"/>
    <n v="0"/>
    <n v="0"/>
    <n v="0"/>
    <n v="0"/>
    <n v="0"/>
    <n v="904.34"/>
    <n v="0"/>
    <n v="0"/>
    <n v="0"/>
    <n v="0"/>
    <n v="0"/>
    <n v="0"/>
    <n v="0"/>
    <n v="0"/>
    <n v="0"/>
    <n v="0"/>
    <n v="1426.21"/>
    <n v="6175.01"/>
    <m/>
    <n v="6175.01"/>
  </r>
  <r>
    <s v="ALIFER BRENO PEREIRA ALMEIDA DE JESUS"/>
    <d v="2026-03-01T00:00:00"/>
    <x v="0"/>
    <s v="G3S FL 06 - MARINGA"/>
    <m/>
    <m/>
    <s v="20.947.332/0006-08"/>
    <s v="ADMINISTRATIVO"/>
    <s v="ATENDIMENTO"/>
    <x v="3"/>
    <d v="2026-01-12T00:00:00"/>
    <m/>
    <m/>
    <s v="1.2.4.1 ADMINISTRATIVO"/>
    <s v="AUX ADMINISTRATIVO JUNIOR"/>
    <n v="2320"/>
    <n v="2320"/>
    <n v="0"/>
    <n v="0"/>
    <n v="0"/>
    <n v="0"/>
    <n v="0"/>
    <n v="0"/>
    <n v="0"/>
    <n v="0"/>
    <n v="0"/>
    <n v="236.35"/>
    <n v="66.81"/>
    <n v="0"/>
    <n v="0"/>
    <n v="0"/>
    <n v="0"/>
    <n v="2623.16"/>
    <n v="0"/>
    <n v="0"/>
    <n v="0"/>
    <n v="0"/>
    <n v="0"/>
    <n v="0"/>
    <n v="0"/>
    <n v="0"/>
    <n v="0"/>
    <n v="0"/>
    <n v="456.6"/>
    <n v="0"/>
    <n v="0"/>
    <n v="0"/>
    <n v="0"/>
    <n v="0"/>
    <n v="0"/>
    <n v="0"/>
    <n v="0"/>
    <n v="0"/>
    <n v="0"/>
    <n v="456.6"/>
    <n v="3079.7599999999998"/>
    <m/>
    <n v="3079.7599999999998"/>
  </r>
  <r>
    <s v="AMANDA DE OLIVEIRA VINCO"/>
    <d v="2026-03-01T00:00:00"/>
    <x v="0"/>
    <s v="G3S FL 10 - PRES PRUD"/>
    <m/>
    <m/>
    <s v="20.947.332/0010-86"/>
    <s v="ADMINISTRATIVO"/>
    <s v="CONTABILIDADE"/>
    <x v="2"/>
    <d v="2024-09-17T00:00:00"/>
    <m/>
    <m/>
    <s v="1.1.4 CONTABILIDADE/FISCAL"/>
    <s v="ANALISTA CONTABIL JUNIOR"/>
    <n v="2656.25"/>
    <n v="2656.25"/>
    <n v="0"/>
    <n v="0"/>
    <n v="0"/>
    <n v="0"/>
    <n v="0"/>
    <n v="0"/>
    <n v="0"/>
    <n v="0"/>
    <n v="0"/>
    <n v="0"/>
    <n v="0"/>
    <n v="0"/>
    <n v="0"/>
    <n v="0"/>
    <n v="0"/>
    <n v="2656.25"/>
    <n v="0"/>
    <n v="521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1.87"/>
    <n v="3178.12"/>
    <m/>
    <n v="3178.12"/>
  </r>
  <r>
    <s v="ANDERSON RODRIGO FERREIRA DE LIMA"/>
    <d v="2026-03-01T00:00:00"/>
    <x v="0"/>
    <s v="G3S  FL 04 - PRES PRUD"/>
    <m/>
    <m/>
    <s v="20.947.332/0004-38"/>
    <s v="OPERACIONAL"/>
    <s v="PATIO"/>
    <x v="4"/>
    <d v="2026-02-11T00:00:00"/>
    <m/>
    <m/>
    <s v="1.2.5.3 OPERACIONAL"/>
    <s v="MACARIQUEIRO PLENO"/>
    <n v="2587.5"/>
    <n v="2587.5"/>
    <n v="0"/>
    <n v="0"/>
    <n v="0"/>
    <n v="0"/>
    <n v="0"/>
    <n v="0"/>
    <n v="0"/>
    <n v="0"/>
    <n v="0"/>
    <n v="0"/>
    <n v="0"/>
    <n v="0"/>
    <n v="0"/>
    <n v="0"/>
    <n v="0"/>
    <n v="2587.5"/>
    <n v="0"/>
    <n v="512.87"/>
    <n v="0"/>
    <n v="0"/>
    <n v="0"/>
    <n v="0"/>
    <n v="0"/>
    <n v="0"/>
    <n v="0"/>
    <n v="0"/>
    <n v="579.34"/>
    <n v="0"/>
    <n v="0"/>
    <n v="0"/>
    <n v="0"/>
    <n v="0"/>
    <n v="0"/>
    <n v="0"/>
    <n v="0"/>
    <n v="0"/>
    <n v="0"/>
    <n v="1092.21"/>
    <n v="3679.71"/>
    <m/>
    <n v="3679.71"/>
  </r>
  <r>
    <s v="ANDRESSA FRANCINI CRUZ DE SOUZA"/>
    <d v="2026-03-01T00:00:00"/>
    <x v="0"/>
    <s v="G3S FL 05 - PRES PRUD"/>
    <m/>
    <m/>
    <s v="20.947.332/0005-19"/>
    <s v="TRANSMOVE"/>
    <s v="ADMINISTRATIVO"/>
    <x v="5"/>
    <d v="2025-09-25T00:00:00"/>
    <m/>
    <m/>
    <s v="1.4.1.2 ADMINISTRATIVO"/>
    <s v="SUPERVISOR(A) DE LOGISTICA"/>
    <n v="3500"/>
    <n v="3500"/>
    <n v="0"/>
    <n v="0"/>
    <n v="0"/>
    <n v="0"/>
    <n v="0"/>
    <n v="1400"/>
    <n v="0"/>
    <n v="0"/>
    <n v="0"/>
    <n v="0"/>
    <n v="0"/>
    <n v="0"/>
    <n v="0"/>
    <n v="0"/>
    <n v="0"/>
    <n v="490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100"/>
    <n v="5000"/>
    <n v="4238.33"/>
    <n v="9238.33"/>
  </r>
  <r>
    <s v="ANDRESSA MEIRIELLE DE OLIVEIRA TOKAWA"/>
    <d v="2026-03-01T00:00:00"/>
    <x v="0"/>
    <s v="G3S  FL 04 - PRES PRUD"/>
    <m/>
    <m/>
    <s v="20.947.332/0004-38"/>
    <s v="ADMINISTRATIVO"/>
    <s v="ATENDIMENTO"/>
    <x v="4"/>
    <d v="2022-03-15T00:00:00"/>
    <m/>
    <m/>
    <s v="1.2.5.1 ADMINISTRATIVO"/>
    <s v="AUX ADMINISTRATIVO SENIOR"/>
    <n v="2950"/>
    <n v="2950"/>
    <n v="0"/>
    <n v="0"/>
    <n v="0"/>
    <n v="0"/>
    <n v="0"/>
    <n v="0"/>
    <n v="0"/>
    <n v="0"/>
    <n v="0"/>
    <n v="0"/>
    <n v="0"/>
    <n v="0"/>
    <n v="0"/>
    <n v="0"/>
    <n v="0"/>
    <n v="2950"/>
    <n v="0"/>
    <n v="512.87"/>
    <n v="0"/>
    <n v="0"/>
    <n v="0"/>
    <n v="0"/>
    <n v="0"/>
    <n v="0"/>
    <n v="0"/>
    <n v="0"/>
    <n v="904.34"/>
    <n v="0"/>
    <n v="0"/>
    <n v="0"/>
    <n v="0"/>
    <n v="0"/>
    <n v="0"/>
    <n v="0"/>
    <n v="0"/>
    <n v="0"/>
    <n v="0"/>
    <n v="1417.21"/>
    <n v="4367.21"/>
    <m/>
    <n v="4367.21"/>
  </r>
  <r>
    <s v="ANTONIO ANACLETO DE OLIVEIRA"/>
    <d v="2026-03-01T00:00:00"/>
    <x v="0"/>
    <s v="G3S  FL 04 - PRES PRUD"/>
    <m/>
    <m/>
    <s v="20.947.332/0004-38"/>
    <s v="OPERACIONAL"/>
    <s v="PATIO"/>
    <x v="4"/>
    <d v="2009-11-01T00:00:00"/>
    <m/>
    <m/>
    <s v="1.2.5.3 OPERACIONAL"/>
    <s v="AUXILIAR DE PATIO SENIOR"/>
    <n v="2600"/>
    <n v="2600"/>
    <n v="0"/>
    <n v="0"/>
    <n v="0"/>
    <n v="0"/>
    <n v="0"/>
    <n v="0"/>
    <n v="0"/>
    <n v="0"/>
    <n v="0"/>
    <n v="0"/>
    <n v="0"/>
    <n v="0"/>
    <n v="0"/>
    <n v="0"/>
    <n v="0"/>
    <n v="2600"/>
    <n v="0"/>
    <n v="450"/>
    <n v="0"/>
    <n v="0"/>
    <n v="0"/>
    <n v="0"/>
    <n v="0"/>
    <n v="0"/>
    <n v="1080"/>
    <n v="0"/>
    <n v="579.34"/>
    <n v="0"/>
    <n v="0"/>
    <n v="0"/>
    <n v="0"/>
    <n v="0"/>
    <n v="0"/>
    <n v="0"/>
    <n v="0"/>
    <n v="0"/>
    <n v="0"/>
    <n v="2109.34"/>
    <n v="4709.34"/>
    <m/>
    <n v="4709.34"/>
  </r>
  <r>
    <s v="ANTONIO APARECIDO FAQUIANO SOBRINHO"/>
    <d v="2026-03-01T00:00:00"/>
    <x v="0"/>
    <s v="G S FL 03 - DOURADOS"/>
    <m/>
    <m/>
    <s v="20.504.237/0003-89"/>
    <s v="LOGISTICA"/>
    <s v="TRANSPORTE"/>
    <x v="6"/>
    <d v="2019-02-25T00:00:00"/>
    <m/>
    <m/>
    <s v="1.7.5.4 LOGISTICA"/>
    <s v="MOTORISTA CARRETEIRO MANTENEDOR SENIOR I"/>
    <n v="2690.66"/>
    <n v="2690.66"/>
    <n v="0"/>
    <n v="0"/>
    <n v="538.13"/>
    <n v="0"/>
    <n v="0"/>
    <n v="0"/>
    <n v="0"/>
    <n v="0"/>
    <n v="0"/>
    <n v="731.61"/>
    <n v="140.69"/>
    <n v="0"/>
    <n v="0"/>
    <n v="0"/>
    <n v="0"/>
    <n v="4101.09"/>
    <n v="0"/>
    <n v="512.87"/>
    <n v="0"/>
    <n v="0"/>
    <n v="0"/>
    <n v="445.29"/>
    <n v="0"/>
    <n v="0"/>
    <n v="0"/>
    <n v="0"/>
    <n v="600"/>
    <n v="0"/>
    <n v="0"/>
    <n v="1401"/>
    <n v="0"/>
    <n v="0"/>
    <n v="0"/>
    <n v="96.2"/>
    <n v="0"/>
    <n v="0"/>
    <n v="0"/>
    <n v="3055.3599999999997"/>
    <n v="7156.45"/>
    <m/>
    <n v="7156.45"/>
  </r>
  <r>
    <s v="ANTONIO BATISTA DA SILVA"/>
    <d v="2026-03-01T00:00:00"/>
    <x v="0"/>
    <s v="G S FL 06 - CAMPO GRANDE"/>
    <m/>
    <m/>
    <s v="20.504.237/0006-21"/>
    <s v="LOGISTICA"/>
    <s v="TRANSPORTE"/>
    <x v="7"/>
    <d v="2024-11-01T00:00:00"/>
    <m/>
    <m/>
    <s v="1.7.4.4 LOGISTICA"/>
    <s v="MOTORISTA CARRETEIRO MANTENEDOR PLENO"/>
    <n v="2591"/>
    <n v="2591"/>
    <n v="0"/>
    <n v="0"/>
    <n v="516.24"/>
    <n v="0"/>
    <n v="0"/>
    <n v="0"/>
    <n v="0"/>
    <n v="0"/>
    <n v="0"/>
    <n v="395.36"/>
    <n v="76.03"/>
    <n v="0"/>
    <n v="0"/>
    <n v="0"/>
    <n v="0"/>
    <n v="3578.63"/>
    <n v="0"/>
    <n v="512.87"/>
    <n v="0"/>
    <n v="0"/>
    <n v="0"/>
    <n v="290.52"/>
    <n v="0"/>
    <n v="0"/>
    <n v="0"/>
    <n v="0"/>
    <n v="533.04"/>
    <n v="0"/>
    <n v="0"/>
    <n v="650"/>
    <n v="0"/>
    <n v="0"/>
    <n v="0"/>
    <n v="96.2"/>
    <n v="0"/>
    <n v="0"/>
    <n v="0"/>
    <n v="2082.6299999999997"/>
    <n v="5661.26"/>
    <m/>
    <n v="5661.26"/>
  </r>
  <r>
    <s v="BEATRIZ FERREIRA DE SOUZA"/>
    <d v="2026-03-01T00:00:00"/>
    <x v="0"/>
    <s v="G3S FL 10 - PRES PRUD"/>
    <m/>
    <m/>
    <s v="20.947.332/0010-86"/>
    <s v="COMERCIAL"/>
    <s v="COMERCIAL"/>
    <x v="1"/>
    <d v="2024-12-02T00:00:00"/>
    <m/>
    <m/>
    <s v="1.2.1.1 APOIO"/>
    <s v="ASSISTENTE COMERCIAL"/>
    <n v="2098"/>
    <n v="2098"/>
    <n v="0"/>
    <n v="0"/>
    <n v="0"/>
    <n v="0"/>
    <n v="0"/>
    <n v="0"/>
    <n v="0"/>
    <n v="0"/>
    <n v="0"/>
    <n v="0"/>
    <n v="0"/>
    <n v="0"/>
    <n v="0"/>
    <n v="0"/>
    <n v="0"/>
    <n v="2098"/>
    <n v="0"/>
    <n v="521.87"/>
    <n v="0"/>
    <n v="0"/>
    <n v="0"/>
    <n v="0"/>
    <n v="0"/>
    <n v="0"/>
    <n v="0"/>
    <n v="0"/>
    <n v="0"/>
    <n v="929.47"/>
    <n v="0"/>
    <n v="0"/>
    <n v="0"/>
    <n v="0"/>
    <n v="0"/>
    <n v="0"/>
    <n v="0"/>
    <n v="0"/>
    <n v="0"/>
    <n v="1451.3400000000001"/>
    <n v="3549.34"/>
    <m/>
    <n v="3549.34"/>
  </r>
  <r>
    <s v="BRUNO RUANI SCARFONI"/>
    <d v="2026-03-01T00:00:00"/>
    <x v="0"/>
    <s v="RSE COM DE FERRO,ACO E LOCA"/>
    <m/>
    <m/>
    <s v="6.916.551/0001-86"/>
    <s v="COMERCIAL"/>
    <s v="ADMINISTRATIVO"/>
    <x v="8"/>
    <d v="2026-02-02T00:00:00"/>
    <m/>
    <m/>
    <s v="1.5.1.2 COMERCIAL"/>
    <s v="VENDEDOR (A)"/>
    <n v="2500"/>
    <n v="2500"/>
    <n v="0"/>
    <n v="0"/>
    <n v="0"/>
    <n v="0"/>
    <n v="0"/>
    <n v="0"/>
    <n v="0"/>
    <n v="0"/>
    <n v="0"/>
    <n v="0"/>
    <n v="0"/>
    <n v="0"/>
    <n v="0"/>
    <n v="0"/>
    <n v="0"/>
    <n v="2500"/>
    <n v="0"/>
    <n v="521.87"/>
    <n v="0"/>
    <n v="0"/>
    <n v="0"/>
    <n v="0"/>
    <n v="0"/>
    <n v="400"/>
    <n v="0"/>
    <n v="0"/>
    <n v="0"/>
    <n v="0"/>
    <n v="0"/>
    <n v="0"/>
    <n v="0"/>
    <n v="0"/>
    <n v="0"/>
    <n v="0"/>
    <n v="0"/>
    <n v="0"/>
    <n v="0"/>
    <n v="921.87"/>
    <n v="3421.87"/>
    <m/>
    <n v="3421.87"/>
  </r>
  <r>
    <s v="CELIO MATEUS"/>
    <d v="2026-03-01T00:00:00"/>
    <x v="0"/>
    <s v="G S MATRIZ - PRES PRUD"/>
    <m/>
    <m/>
    <s v="20.504.237/0001-17"/>
    <s v="OPERACIONAL"/>
    <s v="PATIO"/>
    <x v="4"/>
    <d v="2010-04-01T00:00:00"/>
    <m/>
    <m/>
    <s v="1.2.5.3 OPERACIONAL"/>
    <s v="OPERADOR MANTENEDOR JR"/>
    <n v="2610"/>
    <n v="870"/>
    <n v="0"/>
    <n v="3784.63"/>
    <n v="174"/>
    <n v="0"/>
    <n v="0"/>
    <n v="0"/>
    <n v="0"/>
    <n v="43.5"/>
    <n v="0"/>
    <n v="88.98"/>
    <n v="19.77"/>
    <n v="0"/>
    <n v="0"/>
    <n v="0"/>
    <n v="0"/>
    <n v="4980.88"/>
    <n v="0"/>
    <n v="512.87"/>
    <n v="0"/>
    <n v="0"/>
    <n v="0"/>
    <n v="0"/>
    <n v="0"/>
    <n v="0"/>
    <n v="0"/>
    <n v="0"/>
    <n v="579.34"/>
    <n v="0"/>
    <n v="0"/>
    <n v="2520"/>
    <n v="0"/>
    <n v="1892.32"/>
    <n v="0"/>
    <n v="0"/>
    <n v="0"/>
    <n v="0"/>
    <n v="2175"/>
    <n v="7679.53"/>
    <n v="12660.41"/>
    <m/>
    <n v="12660.41"/>
  </r>
  <r>
    <s v="CRISTIANO LUCAS BACHIO"/>
    <d v="2026-03-01T00:00:00"/>
    <x v="0"/>
    <s v="G S FL 05 - BARUERI"/>
    <m/>
    <m/>
    <s v="20.504.237/0005-40"/>
    <s v="OPERACIONAL"/>
    <s v="TUPY/JOINVILLE - SC"/>
    <x v="8"/>
    <d v="2023-04-10T00:00:00"/>
    <m/>
    <m/>
    <s v="1.7.8.1.1 TUPY - JOINVILLE/S"/>
    <s v="OPERADOR MANTENEDOR PLENO"/>
    <n v="2816.11"/>
    <n v="2816.11"/>
    <n v="0"/>
    <n v="0"/>
    <n v="563.22"/>
    <n v="0"/>
    <n v="0"/>
    <n v="0"/>
    <n v="0"/>
    <n v="0"/>
    <n v="20.45"/>
    <n v="391.69"/>
    <n v="75.33"/>
    <n v="0"/>
    <n v="0"/>
    <n v="0"/>
    <n v="0"/>
    <n v="3866.7999999999997"/>
    <n v="0"/>
    <n v="512.87"/>
    <n v="0"/>
    <n v="0"/>
    <n v="0"/>
    <n v="0"/>
    <n v="0"/>
    <n v="0"/>
    <n v="0"/>
    <n v="975"/>
    <n v="0"/>
    <n v="0"/>
    <n v="0"/>
    <n v="0"/>
    <n v="0"/>
    <n v="0"/>
    <n v="0"/>
    <n v="0"/>
    <n v="0"/>
    <n v="0"/>
    <n v="0"/>
    <n v="1487.87"/>
    <n v="5354.67"/>
    <m/>
    <n v="5354.67"/>
  </r>
  <r>
    <s v="DANIEL JUNIOR SANTOS"/>
    <d v="2026-03-01T00:00:00"/>
    <x v="0"/>
    <s v="G S FL 05 - BARUERI"/>
    <m/>
    <m/>
    <s v="20.504.237/0005-40"/>
    <s v="OPERACIONAL"/>
    <s v="RESENDE - RJ"/>
    <x v="8"/>
    <d v="2022-02-25T00:00:00"/>
    <m/>
    <m/>
    <s v="1.7.1.2.1 ARCELOR/ RESENDE/R"/>
    <s v="MOTORISTA CARRETEIRO MANTENEDOR SENIOR III"/>
    <n v="3287.33"/>
    <n v="3287.33"/>
    <n v="0"/>
    <n v="0"/>
    <n v="657.47"/>
    <n v="0"/>
    <n v="0"/>
    <n v="0"/>
    <n v="0"/>
    <n v="0"/>
    <n v="106.82"/>
    <n v="245.65"/>
    <n v="47.24"/>
    <n v="0"/>
    <n v="0"/>
    <n v="0"/>
    <n v="0"/>
    <n v="4344.51"/>
    <n v="0"/>
    <n v="512.87"/>
    <n v="0"/>
    <n v="0"/>
    <n v="0"/>
    <n v="0"/>
    <n v="692.64"/>
    <n v="0"/>
    <n v="0"/>
    <n v="0"/>
    <n v="0"/>
    <n v="0"/>
    <n v="0"/>
    <n v="2730"/>
    <n v="0"/>
    <n v="0"/>
    <n v="0"/>
    <n v="0"/>
    <n v="0"/>
    <n v="0"/>
    <n v="0"/>
    <n v="3935.51"/>
    <n v="8280.02"/>
    <m/>
    <n v="8280.02"/>
  </r>
  <r>
    <s v="DANIELA SANTOS MORAES"/>
    <d v="2026-03-01T00:00:00"/>
    <x v="0"/>
    <s v="G3S FL 10 - PRES PRUD"/>
    <m/>
    <m/>
    <s v="20.947.332/0010-86"/>
    <s v="ADMINISTRATIVO"/>
    <s v="CONTABILIDADE"/>
    <x v="2"/>
    <d v="2019-08-01T00:00:00"/>
    <m/>
    <m/>
    <s v="1.1.4 CONTABILIDADE/FISCAL"/>
    <s v="ANALISTA CONTABIL SENIOR"/>
    <n v="3718.75"/>
    <n v="3718.75"/>
    <n v="0"/>
    <n v="0"/>
    <n v="0"/>
    <n v="0"/>
    <n v="0"/>
    <n v="0"/>
    <n v="0"/>
    <n v="0"/>
    <n v="0"/>
    <n v="0"/>
    <n v="0"/>
    <n v="0"/>
    <n v="0"/>
    <n v="0"/>
    <n v="0"/>
    <n v="3718.75"/>
    <n v="0"/>
    <n v="521.87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621.87"/>
    <n v="4340.62"/>
    <m/>
    <n v="4340.62"/>
  </r>
  <r>
    <s v="DIEGO LEANDRO DE OLIVEIRA"/>
    <d v="2026-03-01T00:00:00"/>
    <x v="0"/>
    <s v="G3S FL 05 - PRES PRUD"/>
    <m/>
    <m/>
    <s v="20.947.332/0005-19"/>
    <s v="OPERACIONAL"/>
    <s v="CORTE E DOBRA"/>
    <x v="9"/>
    <d v="2023-04-05T00:00:00"/>
    <m/>
    <m/>
    <s v="1.3.1.5 CORTE E DOBRA"/>
    <s v="AUXILIAR DE PATIO PLENO"/>
    <n v="2350"/>
    <n v="2350"/>
    <n v="0"/>
    <n v="0"/>
    <n v="0"/>
    <n v="0"/>
    <n v="0"/>
    <n v="0"/>
    <n v="0"/>
    <n v="0"/>
    <n v="0"/>
    <n v="385.69"/>
    <n v="74.17"/>
    <n v="0"/>
    <n v="0"/>
    <n v="0"/>
    <n v="0"/>
    <n v="2809.86"/>
    <n v="0"/>
    <n v="521.87"/>
    <n v="0"/>
    <n v="0"/>
    <n v="0"/>
    <n v="0"/>
    <n v="0"/>
    <n v="0"/>
    <n v="350"/>
    <n v="0"/>
    <n v="0"/>
    <n v="0"/>
    <n v="0"/>
    <n v="0"/>
    <n v="0"/>
    <n v="0"/>
    <n v="0"/>
    <n v="0"/>
    <n v="0"/>
    <n v="0"/>
    <n v="0"/>
    <n v="871.87"/>
    <n v="3681.73"/>
    <m/>
    <n v="3681.73"/>
  </r>
  <r>
    <s v="DYESSILA MARY ALVES"/>
    <d v="2026-03-01T00:00:00"/>
    <x v="0"/>
    <s v="G3S FL 11 - MARINGA"/>
    <m/>
    <m/>
    <s v="20.947.332/0011-67"/>
    <s v="ADMINISTRATIVO"/>
    <s v="ATENDIMENTO"/>
    <x v="0"/>
    <d v="2024-02-01T00:00:00"/>
    <m/>
    <m/>
    <s v="1.2.4.1 ADMINISTRATIVO"/>
    <s v="AUX ADMINISTRATIVO JUNIOR"/>
    <n v="2320"/>
    <n v="2320"/>
    <n v="0"/>
    <n v="0"/>
    <n v="0"/>
    <n v="0"/>
    <n v="0"/>
    <n v="0"/>
    <n v="0"/>
    <n v="0"/>
    <n v="0"/>
    <n v="237.8"/>
    <n v="45.73"/>
    <n v="0"/>
    <n v="0"/>
    <n v="0"/>
    <n v="0"/>
    <n v="2603.5300000000002"/>
    <n v="0"/>
    <n v="0"/>
    <n v="0"/>
    <n v="0"/>
    <n v="0"/>
    <n v="0"/>
    <n v="0"/>
    <n v="0"/>
    <n v="0"/>
    <n v="0"/>
    <n v="456.6"/>
    <n v="0"/>
    <n v="0"/>
    <n v="0"/>
    <n v="0"/>
    <n v="0"/>
    <n v="0"/>
    <n v="0"/>
    <n v="0"/>
    <n v="0"/>
    <n v="0"/>
    <n v="456.6"/>
    <n v="3060.13"/>
    <m/>
    <n v="3060.13"/>
  </r>
  <r>
    <s v="EDILEUSA PEREIRA LISBOA"/>
    <d v="2026-03-01T00:00:00"/>
    <x v="0"/>
    <s v="G S MATRIZ - PRES PRUD"/>
    <m/>
    <m/>
    <s v="20.504.237/0001-17"/>
    <s v="OPERACIONAL"/>
    <s v="PATIO"/>
    <x v="4"/>
    <d v="2026-01-21T00:00:00"/>
    <m/>
    <m/>
    <s v="1.2.5.3 OPERACIONAL"/>
    <s v="OPERADOR MANTENEDOR JR"/>
    <n v="2610"/>
    <n v="2610"/>
    <n v="0"/>
    <n v="0"/>
    <n v="522"/>
    <n v="0"/>
    <n v="0"/>
    <n v="0"/>
    <n v="0"/>
    <n v="0"/>
    <n v="0"/>
    <n v="750.61"/>
    <n v="144.35"/>
    <n v="0"/>
    <n v="0"/>
    <n v="0"/>
    <n v="0"/>
    <n v="4026.96"/>
    <n v="0"/>
    <n v="512.87"/>
    <n v="0"/>
    <n v="0"/>
    <n v="0"/>
    <n v="0"/>
    <n v="0"/>
    <n v="0"/>
    <n v="0"/>
    <n v="0"/>
    <n v="579.34"/>
    <n v="0"/>
    <n v="0"/>
    <n v="0"/>
    <n v="0"/>
    <n v="0"/>
    <n v="0"/>
    <n v="0"/>
    <n v="0"/>
    <n v="0"/>
    <n v="0"/>
    <n v="1092.21"/>
    <n v="5119.17"/>
    <m/>
    <n v="5119.17"/>
  </r>
  <r>
    <s v="EDUARDO SOARES E SILVA"/>
    <d v="2026-03-01T00:00:00"/>
    <x v="0"/>
    <s v="G3S FL 05 - PRES PRUD"/>
    <m/>
    <m/>
    <s v="20.947.332/0005-19"/>
    <s v="OPERACIONAL"/>
    <s v="CORTE E DOBRA"/>
    <x v="9"/>
    <d v="2025-11-18T00:00:00"/>
    <m/>
    <m/>
    <s v="1.3.1.5 CORTE E DOBRA"/>
    <s v="AUXILIAR DE PATIO JUNIOR"/>
    <n v="2155"/>
    <n v="2155"/>
    <n v="0"/>
    <n v="0"/>
    <n v="0"/>
    <n v="0"/>
    <n v="0"/>
    <n v="0"/>
    <n v="0"/>
    <n v="0"/>
    <n v="0"/>
    <n v="339.58"/>
    <n v="65.3"/>
    <n v="0"/>
    <n v="0"/>
    <n v="0"/>
    <n v="0"/>
    <n v="2559.88"/>
    <n v="0"/>
    <n v="521.87"/>
    <n v="0"/>
    <n v="0"/>
    <n v="0"/>
    <n v="0"/>
    <n v="0"/>
    <n v="0"/>
    <n v="350"/>
    <n v="0"/>
    <n v="0"/>
    <n v="0"/>
    <n v="0"/>
    <n v="0"/>
    <n v="0"/>
    <n v="0"/>
    <n v="0"/>
    <n v="0"/>
    <n v="0"/>
    <n v="0"/>
    <n v="0"/>
    <n v="871.87"/>
    <n v="3431.75"/>
    <m/>
    <n v="3431.75"/>
  </r>
  <r>
    <s v="EDUARDO YUICHI CHINMEI"/>
    <d v="2026-03-01T00:00:00"/>
    <x v="0"/>
    <s v="G3S FL 10 - PRES PRUD"/>
    <n v="4"/>
    <m/>
    <s v="20.947.332/0010-86"/>
    <s v="COMERCIAL"/>
    <s v="COMERCIAL"/>
    <x v="1"/>
    <d v="2025-04-01T00:00:00"/>
    <d v="2026-03-23T00:00:00"/>
    <s v="MARCONDES"/>
    <s v="1.2.1.1 APOIO"/>
    <s v="ASSISTENTE COMERCIAL"/>
    <n v="2098"/>
    <n v="0"/>
    <n v="0"/>
    <n v="0"/>
    <n v="0"/>
    <n v="0"/>
    <n v="0"/>
    <n v="0"/>
    <n v="0"/>
    <n v="0"/>
    <n v="0"/>
    <n v="0"/>
    <n v="8.43"/>
    <n v="0"/>
    <n v="0"/>
    <n v="0"/>
    <n v="0"/>
    <n v="8.43"/>
    <n v="0"/>
    <n v="416.67"/>
    <n v="0"/>
    <n v="0"/>
    <n v="0"/>
    <n v="0"/>
    <n v="0"/>
    <n v="0"/>
    <n v="0"/>
    <n v="0"/>
    <n v="0"/>
    <n v="929.47"/>
    <n v="0"/>
    <n v="0"/>
    <n v="0"/>
    <n v="0"/>
    <n v="0"/>
    <n v="0"/>
    <n v="0"/>
    <n v="0"/>
    <n v="0"/>
    <n v="1346.14"/>
    <n v="1354.5700000000002"/>
    <m/>
    <n v="1354.5700000000002"/>
  </r>
  <r>
    <s v="ELAINE CRISTINA PANIZZA SILVA"/>
    <d v="2026-03-01T00:00:00"/>
    <x v="0"/>
    <s v="G3S FL 10 - PRES PRUD"/>
    <m/>
    <m/>
    <s v="20.947.332/0010-86"/>
    <s v="GESTÃO DE GENTE"/>
    <s v="RECURSOS HUMANOS"/>
    <x v="2"/>
    <d v="2025-06-17T00:00:00"/>
    <m/>
    <m/>
    <s v="1.1.9 RECURSOS HUMANOS"/>
    <s v="ANALISTA DE RECURSOS HUMANOS SENIOR"/>
    <n v="4250"/>
    <n v="4250"/>
    <n v="0"/>
    <n v="0"/>
    <n v="0"/>
    <n v="0"/>
    <n v="0"/>
    <n v="0"/>
    <n v="0"/>
    <n v="0"/>
    <n v="0"/>
    <n v="0"/>
    <n v="0"/>
    <n v="0"/>
    <n v="0"/>
    <n v="0"/>
    <n v="0"/>
    <n v="4250"/>
    <n v="0"/>
    <n v="521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1.87"/>
    <n v="4771.87"/>
    <m/>
    <n v="4771.87"/>
  </r>
  <r>
    <s v="ELISMAR FERREIRA MEDEIROS"/>
    <d v="2026-03-01T00:00:00"/>
    <x v="0"/>
    <s v="G3S FL 05 - PRES PRUD"/>
    <m/>
    <m/>
    <s v="20.947.332/0005-19"/>
    <s v="OPERACIONAL"/>
    <s v="PATIO"/>
    <x v="9"/>
    <d v="2023-11-08T00:00:00"/>
    <m/>
    <m/>
    <s v="1.3.1.3 OPERACIONAL"/>
    <s v="AUXILIAR DE PATIO PLENO"/>
    <n v="2350"/>
    <n v="2350"/>
    <n v="0"/>
    <n v="0"/>
    <n v="0"/>
    <n v="0"/>
    <n v="0"/>
    <n v="0"/>
    <n v="0"/>
    <n v="0"/>
    <n v="0"/>
    <n v="69.22"/>
    <n v="13.31"/>
    <n v="0"/>
    <n v="0"/>
    <n v="0"/>
    <n v="0"/>
    <n v="2432.5299999999997"/>
    <n v="0"/>
    <n v="512.87"/>
    <n v="0"/>
    <n v="0"/>
    <n v="0"/>
    <n v="0"/>
    <n v="0"/>
    <n v="0"/>
    <n v="350"/>
    <n v="0"/>
    <n v="0"/>
    <n v="0"/>
    <n v="0"/>
    <n v="0"/>
    <n v="0"/>
    <n v="0"/>
    <n v="0"/>
    <n v="0"/>
    <n v="0"/>
    <n v="0"/>
    <n v="0"/>
    <n v="862.87"/>
    <n v="3295.3999999999996"/>
    <m/>
    <n v="3295.3999999999996"/>
  </r>
  <r>
    <s v="ERNESTO EUGENIO DA SILVA"/>
    <d v="2026-03-01T00:00:00"/>
    <x v="0"/>
    <s v="G S FL 03 - DOURADOS"/>
    <m/>
    <m/>
    <s v="20.504.237/0003-89"/>
    <s v="LOGISTICA"/>
    <s v="TRANSPORTE"/>
    <x v="6"/>
    <d v="2023-06-26T00:00:00"/>
    <m/>
    <m/>
    <s v="1.7.5.4 LOGISTICA"/>
    <s v="MOTORISTA CARRETEIRO MANTENEDOR SENIOR I"/>
    <n v="2690.66"/>
    <n v="2690.66"/>
    <n v="0"/>
    <n v="0"/>
    <n v="538.13"/>
    <n v="0"/>
    <n v="0"/>
    <n v="0"/>
    <n v="0"/>
    <n v="0"/>
    <n v="0"/>
    <n v="953.96"/>
    <n v="183.45"/>
    <n v="0"/>
    <n v="0"/>
    <n v="0"/>
    <n v="0"/>
    <n v="4366.2"/>
    <n v="0"/>
    <n v="521.87"/>
    <n v="0"/>
    <n v="0"/>
    <n v="0"/>
    <n v="366.4"/>
    <n v="0"/>
    <n v="0"/>
    <n v="0"/>
    <n v="0"/>
    <n v="600"/>
    <n v="0"/>
    <n v="0"/>
    <n v="705"/>
    <n v="0"/>
    <n v="0"/>
    <n v="0"/>
    <n v="96.2"/>
    <n v="0"/>
    <n v="0"/>
    <n v="0"/>
    <n v="2289.4699999999998"/>
    <n v="6655.67"/>
    <m/>
    <n v="6655.67"/>
  </r>
  <r>
    <s v="EVERTON BENITES SOBRINHO"/>
    <d v="2026-03-01T00:00:00"/>
    <x v="0"/>
    <s v="G S FL 03 - DOURADOS"/>
    <m/>
    <m/>
    <s v="20.504.237/0003-89"/>
    <s v="LOGISTICA"/>
    <s v="TRANSPORTE"/>
    <x v="6"/>
    <d v="2024-05-28T00:00:00"/>
    <d v="2026-03-06T00:00:00"/>
    <m/>
    <s v="1.7.5.4 LOGISTICA"/>
    <s v="MOTORISTA CARRETEIRO MANTENEDOR SENIOR I"/>
    <n v="2690.66"/>
    <n v="0"/>
    <n v="0"/>
    <n v="0"/>
    <n v="107.63"/>
    <n v="0"/>
    <n v="0"/>
    <n v="0"/>
    <n v="0"/>
    <n v="0"/>
    <n v="0"/>
    <n v="244.36"/>
    <n v="48.87"/>
    <n v="0"/>
    <n v="0"/>
    <n v="0"/>
    <n v="0"/>
    <n v="400.86"/>
    <n v="0"/>
    <n v="500"/>
    <n v="0"/>
    <n v="0"/>
    <n v="0"/>
    <n v="44.69"/>
    <n v="0"/>
    <n v="0"/>
    <n v="0"/>
    <n v="0"/>
    <n v="120"/>
    <n v="0"/>
    <n v="0"/>
    <n v="0"/>
    <n v="0"/>
    <n v="0"/>
    <n v="13.51"/>
    <n v="96.2"/>
    <n v="0"/>
    <n v="0"/>
    <n v="0"/>
    <n v="774.40000000000009"/>
    <n v="1175.2600000000002"/>
    <m/>
    <n v="1175.2600000000002"/>
  </r>
  <r>
    <s v="FERNANDA OLIVEIRA SILVA CARDOSO"/>
    <d v="2026-03-01T00:00:00"/>
    <x v="0"/>
    <s v="G3S FL 10 - PRES PRUD"/>
    <m/>
    <m/>
    <s v="20.947.332/0010-86"/>
    <s v="ADMINISTRATIVO"/>
    <s v="FISCAL"/>
    <x v="2"/>
    <d v="2025-06-04T00:00:00"/>
    <m/>
    <m/>
    <s v="1.1.4 CONTABILIDADE/FISCAL"/>
    <s v="ANALISTA FISCAL SENIOR I"/>
    <n v="3500"/>
    <n v="3500"/>
    <n v="0"/>
    <n v="0"/>
    <n v="0"/>
    <n v="0"/>
    <n v="0"/>
    <n v="0"/>
    <n v="0"/>
    <n v="0"/>
    <n v="0"/>
    <n v="0"/>
    <n v="0"/>
    <n v="0"/>
    <n v="0"/>
    <n v="0"/>
    <n v="0"/>
    <n v="3500"/>
    <n v="0"/>
    <n v="521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1.87"/>
    <n v="4021.87"/>
    <m/>
    <n v="4021.87"/>
  </r>
  <r>
    <s v="FERNANDO FERRAREZI DOS SANTOS"/>
    <d v="2026-03-01T00:00:00"/>
    <x v="0"/>
    <s v="G S FL 04 - MARINGA"/>
    <m/>
    <m/>
    <s v="20.504.237/0004-60"/>
    <s v="LOGISTICA"/>
    <s v="TRANSPORTE"/>
    <x v="3"/>
    <d v="2026-01-05T00:00:00"/>
    <m/>
    <m/>
    <s v="1.7.7.4 LOGISTICA"/>
    <s v="MOTORISTA CARRETEIRO MANTENEDOR SENIOR I"/>
    <n v="3345"/>
    <n v="3345"/>
    <n v="0"/>
    <n v="0"/>
    <n v="669"/>
    <n v="0"/>
    <n v="0"/>
    <n v="0"/>
    <n v="0"/>
    <n v="0"/>
    <n v="0"/>
    <n v="1316.71"/>
    <n v="253.21"/>
    <n v="0"/>
    <n v="0"/>
    <n v="0"/>
    <n v="0"/>
    <n v="5583.92"/>
    <n v="0"/>
    <n v="512.87"/>
    <n v="0"/>
    <n v="0"/>
    <n v="0"/>
    <n v="486.37"/>
    <n v="0"/>
    <n v="0"/>
    <n v="0"/>
    <n v="0"/>
    <n v="252.45"/>
    <n v="0"/>
    <n v="0"/>
    <n v="181.5"/>
    <n v="0"/>
    <n v="0"/>
    <n v="0"/>
    <n v="0"/>
    <n v="0"/>
    <n v="0"/>
    <n v="0"/>
    <n v="1433.19"/>
    <n v="7017.1100000000006"/>
    <m/>
    <n v="7017.1100000000006"/>
  </r>
  <r>
    <s v="GABRIELA BARBOSA FONTE BASSO"/>
    <d v="2026-03-01T00:00:00"/>
    <x v="0"/>
    <s v="G3S FL 05 - PRES PRUD"/>
    <m/>
    <m/>
    <s v="20.947.332/0005-19"/>
    <s v="COMERCIAL"/>
    <s v="VENDAS"/>
    <x v="9"/>
    <d v="2026-01-28T00:00:00"/>
    <m/>
    <m/>
    <s v="1.3.1.2 COMERCIAL"/>
    <s v="VENDEDOR INTERNO PLENO"/>
    <n v="2500"/>
    <n v="2500"/>
    <n v="0"/>
    <n v="0"/>
    <n v="0"/>
    <n v="0"/>
    <n v="0"/>
    <n v="0"/>
    <n v="0"/>
    <n v="0"/>
    <n v="0"/>
    <n v="0"/>
    <n v="0"/>
    <n v="0"/>
    <n v="0"/>
    <n v="0"/>
    <n v="0"/>
    <n v="2500"/>
    <n v="0"/>
    <n v="512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2.87"/>
    <n v="3012.87"/>
    <m/>
    <n v="3012.87"/>
  </r>
  <r>
    <s v="GEOVANI RODRIGUES DUTRA"/>
    <d v="2026-03-01T00:00:00"/>
    <x v="0"/>
    <s v="G3S  FL 03 - DOURADOS"/>
    <m/>
    <m/>
    <s v="20.947.332/0003-57"/>
    <s v="OPERACIONAL"/>
    <s v="PATIO"/>
    <x v="6"/>
    <d v="2026-01-26T00:00:00"/>
    <m/>
    <m/>
    <s v="1.2.2.3 OPERACIONAL"/>
    <s v="MACARIQUEIRO PLENO"/>
    <n v="2587.5"/>
    <n v="2587.5"/>
    <n v="0"/>
    <n v="0"/>
    <n v="0"/>
    <n v="0"/>
    <n v="0"/>
    <n v="0"/>
    <n v="0"/>
    <n v="0"/>
    <n v="0"/>
    <n v="0"/>
    <n v="0"/>
    <n v="0"/>
    <n v="0"/>
    <n v="0"/>
    <n v="0"/>
    <n v="2587.5"/>
    <n v="0"/>
    <n v="0"/>
    <n v="0"/>
    <n v="0"/>
    <n v="0"/>
    <n v="0"/>
    <n v="0"/>
    <n v="0"/>
    <n v="0"/>
    <n v="0"/>
    <n v="196.71"/>
    <n v="0"/>
    <n v="0"/>
    <n v="0"/>
    <n v="0"/>
    <n v="0"/>
    <n v="0"/>
    <n v="0"/>
    <n v="0"/>
    <n v="0"/>
    <n v="0"/>
    <n v="196.71"/>
    <n v="2784.21"/>
    <m/>
    <n v="2784.21"/>
  </r>
  <r>
    <s v="GIOVANNA SILVA DE OLIVEIRA"/>
    <d v="2026-03-01T00:00:00"/>
    <x v="0"/>
    <s v="G3S FL 10 - PRES PRUD"/>
    <m/>
    <m/>
    <s v="20.947.332/0010-86"/>
    <s v="COMERCIAL"/>
    <s v="COMERCIAL"/>
    <x v="1"/>
    <d v="2021-07-20T00:00:00"/>
    <m/>
    <m/>
    <s v="1.2.1.1 APOIO"/>
    <s v="ANALISTA COMERCIAL SENIOR"/>
    <n v="3570"/>
    <n v="3570"/>
    <n v="0"/>
    <n v="0"/>
    <n v="0"/>
    <n v="0"/>
    <n v="0"/>
    <n v="0"/>
    <n v="0"/>
    <n v="0"/>
    <n v="0"/>
    <n v="0"/>
    <n v="0"/>
    <n v="0"/>
    <n v="0"/>
    <n v="0"/>
    <n v="0"/>
    <n v="3570"/>
    <n v="0"/>
    <n v="512.87"/>
    <n v="0"/>
    <n v="0"/>
    <n v="0"/>
    <n v="0"/>
    <n v="0"/>
    <n v="0"/>
    <n v="0"/>
    <n v="0"/>
    <n v="0"/>
    <n v="929.47"/>
    <n v="0"/>
    <n v="0"/>
    <n v="0"/>
    <n v="0"/>
    <n v="0"/>
    <n v="0"/>
    <n v="0"/>
    <n v="0"/>
    <n v="0"/>
    <n v="1442.3400000000001"/>
    <n v="5012.34"/>
    <m/>
    <n v="5012.34"/>
  </r>
  <r>
    <s v="GUSTAVO LINO DUARTE"/>
    <d v="2026-03-01T00:00:00"/>
    <x v="0"/>
    <s v="G3S CMATRIZ - CAMPO GRANDE"/>
    <m/>
    <m/>
    <s v="20.947.332/0001-95"/>
    <s v="OPERACIONAL"/>
    <s v="PATIO"/>
    <x v="7"/>
    <d v="2023-11-07T00:00:00"/>
    <d v="2026-03-09T00:00:00"/>
    <m/>
    <s v="1.2.7.3 OPERACIONAL"/>
    <s v="AUXILIAR DE PATIO JUNIOR"/>
    <n v="230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0"/>
    <n v="0"/>
    <n v="0"/>
    <n v="0"/>
    <n v="0"/>
    <n v="110.84"/>
    <n v="0"/>
    <n v="0"/>
    <n v="0"/>
    <n v="0"/>
    <n v="0"/>
    <n v="0"/>
    <n v="0"/>
    <n v="0"/>
    <n v="0"/>
    <n v="0"/>
    <n v="610.84"/>
    <n v="610.84"/>
    <m/>
    <n v="610.84"/>
  </r>
  <r>
    <s v="JOAO BATISTA RIBEIRO SILVA"/>
    <d v="2026-03-01T00:00:00"/>
    <x v="0"/>
    <s v="G S FL 05 - BARUERI"/>
    <m/>
    <m/>
    <s v="20.504.237/0005-40"/>
    <s v="OPERACIONAL"/>
    <s v="PATIO"/>
    <x v="3"/>
    <d v="2017-04-01T00:00:00"/>
    <m/>
    <m/>
    <s v="1.2.4.3 OPERACIONAL"/>
    <s v="OPERADOR MANTENEDOR PLENO"/>
    <n v="2816.11"/>
    <n v="2816.11"/>
    <n v="0"/>
    <n v="0"/>
    <n v="563.22"/>
    <n v="0"/>
    <n v="0"/>
    <n v="0"/>
    <n v="0"/>
    <n v="0"/>
    <n v="0"/>
    <n v="1568.7"/>
    <n v="301.67"/>
    <n v="0"/>
    <n v="0"/>
    <n v="0"/>
    <n v="0"/>
    <n v="5249.7"/>
    <n v="0"/>
    <n v="512.87"/>
    <n v="0"/>
    <n v="0"/>
    <n v="0"/>
    <n v="0"/>
    <n v="0"/>
    <n v="0"/>
    <n v="0"/>
    <n v="0"/>
    <n v="252.45"/>
    <n v="0"/>
    <n v="0"/>
    <n v="2248"/>
    <n v="0"/>
    <n v="0"/>
    <n v="0"/>
    <n v="0"/>
    <n v="0"/>
    <n v="0"/>
    <n v="0"/>
    <n v="3013.3199999999997"/>
    <n v="8263.02"/>
    <m/>
    <n v="8263.02"/>
  </r>
  <r>
    <s v="JOAO PAULO BENEVENTO NETO"/>
    <d v="2026-03-01T00:00:00"/>
    <x v="0"/>
    <s v="G3S FL 05 - PRES PRUD"/>
    <m/>
    <m/>
    <s v="20.947.332/0005-19"/>
    <s v="OPERACIONAL"/>
    <s v="CORTE E DOBRA"/>
    <x v="9"/>
    <d v="2026-02-02T00:00:00"/>
    <m/>
    <m/>
    <s v="1.3.1.5 CORTE E DOBRA"/>
    <s v="AUXILIAR DE PATIO JUNIOR"/>
    <n v="2155"/>
    <n v="2155"/>
    <n v="0"/>
    <n v="0"/>
    <n v="0"/>
    <n v="0"/>
    <n v="0"/>
    <n v="0"/>
    <n v="0"/>
    <n v="0"/>
    <n v="0"/>
    <n v="100.83"/>
    <n v="19.39"/>
    <n v="0"/>
    <n v="0"/>
    <n v="0"/>
    <n v="0"/>
    <n v="2275.2199999999998"/>
    <n v="0"/>
    <n v="512.87"/>
    <n v="0"/>
    <n v="0"/>
    <n v="0"/>
    <n v="0"/>
    <n v="0"/>
    <n v="0"/>
    <n v="350"/>
    <n v="0"/>
    <n v="0"/>
    <n v="0"/>
    <n v="0"/>
    <n v="0"/>
    <n v="0"/>
    <n v="0"/>
    <n v="0"/>
    <n v="0"/>
    <n v="0"/>
    <n v="0"/>
    <n v="0"/>
    <n v="862.87"/>
    <n v="3138.0899999999997"/>
    <m/>
    <n v="3138.0899999999997"/>
  </r>
  <r>
    <s v="JOHNNIS GUANDALINI SCHIAVON"/>
    <d v="2026-03-01T00:00:00"/>
    <x v="0"/>
    <s v="G S FL 04 - MARINGA"/>
    <m/>
    <m/>
    <s v="20.504.237/0004-60"/>
    <s v="OPERACIONAL"/>
    <s v="PATIO"/>
    <x v="3"/>
    <d v="2025-05-13T00:00:00"/>
    <m/>
    <m/>
    <s v="1.2.4.3 OPERACIONAL"/>
    <s v="OPERADOR MANTENEDOR JR"/>
    <n v="2610"/>
    <n v="2610"/>
    <n v="0"/>
    <n v="0"/>
    <n v="522"/>
    <n v="0"/>
    <n v="0"/>
    <n v="0"/>
    <n v="0"/>
    <n v="0"/>
    <n v="0"/>
    <n v="116.67"/>
    <n v="22.44"/>
    <n v="0"/>
    <n v="0"/>
    <n v="0"/>
    <n v="0"/>
    <n v="3271.11"/>
    <n v="0"/>
    <n v="512.87"/>
    <n v="0"/>
    <n v="0"/>
    <n v="0"/>
    <n v="0"/>
    <n v="0"/>
    <n v="0"/>
    <n v="0"/>
    <n v="0"/>
    <n v="456.6"/>
    <n v="0"/>
    <n v="0"/>
    <n v="0"/>
    <n v="0"/>
    <n v="0"/>
    <n v="0"/>
    <n v="0"/>
    <n v="0"/>
    <n v="0"/>
    <n v="0"/>
    <n v="969.47"/>
    <n v="4240.58"/>
    <m/>
    <n v="4240.58"/>
  </r>
  <r>
    <s v="JOSE ANTONIO CAETANO"/>
    <d v="2026-03-01T00:00:00"/>
    <x v="0"/>
    <s v="G3S  FL 04 - PRES PRUD"/>
    <m/>
    <m/>
    <s v="20.947.332/0004-38"/>
    <s v="OPERACIONAL"/>
    <s v="PATIO"/>
    <x v="4"/>
    <d v="2020-03-16T00:00:00"/>
    <m/>
    <m/>
    <s v="1.2.5.3 OPERACIONAL"/>
    <s v="CLASSIFICADOR SENIOR"/>
    <n v="2967.69"/>
    <n v="2967.69"/>
    <n v="0"/>
    <n v="0"/>
    <n v="0"/>
    <n v="0"/>
    <n v="0"/>
    <n v="0"/>
    <n v="0"/>
    <n v="0"/>
    <n v="0"/>
    <n v="0"/>
    <n v="0"/>
    <n v="0"/>
    <n v="0"/>
    <n v="0"/>
    <n v="0"/>
    <n v="2967.69"/>
    <n v="0"/>
    <n v="512.87"/>
    <n v="0"/>
    <n v="0"/>
    <n v="0"/>
    <n v="0"/>
    <n v="0"/>
    <n v="0"/>
    <n v="200"/>
    <n v="0"/>
    <n v="579.34"/>
    <n v="0"/>
    <n v="0"/>
    <n v="0"/>
    <n v="0"/>
    <n v="0"/>
    <n v="0"/>
    <n v="0"/>
    <n v="0"/>
    <n v="0"/>
    <n v="0"/>
    <n v="1292.21"/>
    <n v="4259.8999999999996"/>
    <m/>
    <n v="4259.8999999999996"/>
  </r>
  <r>
    <s v="JOSE MANOEL DOS SANTOS"/>
    <d v="2026-03-01T00:00:00"/>
    <x v="0"/>
    <s v="G S FL 03 - DOURADOS"/>
    <n v="3"/>
    <m/>
    <s v="20.504.237/0003-89"/>
    <s v="OPERACIONAL"/>
    <s v="PATIO"/>
    <x v="6"/>
    <d v="2023-02-07T00:00:00"/>
    <m/>
    <m/>
    <s v="1.2.2.3 OPERACIONAL"/>
    <s v="OPERADOR MANTENEDOR JR"/>
    <n v="2610"/>
    <n v="2610"/>
    <n v="0"/>
    <n v="0"/>
    <n v="515.66999999999996"/>
    <n v="0"/>
    <n v="0"/>
    <n v="0"/>
    <n v="0"/>
    <n v="0"/>
    <n v="0"/>
    <n v="1484.67"/>
    <n v="285.51"/>
    <n v="0"/>
    <n v="0"/>
    <n v="0"/>
    <n v="0"/>
    <n v="4895.8500000000004"/>
    <n v="0"/>
    <n v="512.87"/>
    <n v="0"/>
    <n v="0"/>
    <n v="0"/>
    <n v="0"/>
    <n v="0"/>
    <n v="0"/>
    <n v="0"/>
    <n v="0"/>
    <n v="196.71"/>
    <n v="0"/>
    <n v="0"/>
    <n v="0"/>
    <n v="0"/>
    <n v="0"/>
    <n v="0"/>
    <n v="0"/>
    <n v="0"/>
    <n v="0"/>
    <n v="0"/>
    <n v="709.58"/>
    <n v="5605.43"/>
    <m/>
    <n v="5605.43"/>
  </r>
  <r>
    <s v="JULIANO VIEIRA DE SANTANA"/>
    <d v="2026-03-01T00:00:00"/>
    <x v="0"/>
    <s v="G S MATRIZ - PRES PRUD"/>
    <m/>
    <m/>
    <s v="20.504.237/0001-17"/>
    <s v="LOGISTICA"/>
    <s v="TRANSPORTE"/>
    <x v="1"/>
    <d v="2015-08-01T00:00:00"/>
    <m/>
    <m/>
    <s v="1.7.8.4 LOGISTICA"/>
    <s v="MOTORISTA CARRETEIRO MANTENEDOR SENIOR III"/>
    <n v="3287.33"/>
    <n v="3287.33"/>
    <n v="0"/>
    <n v="0"/>
    <n v="657.47"/>
    <n v="0"/>
    <n v="0"/>
    <n v="0"/>
    <n v="0"/>
    <n v="164.37"/>
    <n v="0"/>
    <n v="812.5"/>
    <n v="156.25"/>
    <n v="0"/>
    <n v="0"/>
    <n v="0"/>
    <n v="0"/>
    <n v="5077.92"/>
    <n v="0"/>
    <n v="512.87"/>
    <n v="0"/>
    <n v="0"/>
    <n v="0"/>
    <n v="0"/>
    <n v="0"/>
    <n v="0"/>
    <n v="0"/>
    <n v="0"/>
    <n v="579.34"/>
    <n v="0"/>
    <n v="0"/>
    <n v="2205"/>
    <n v="0"/>
    <n v="0"/>
    <n v="0"/>
    <n v="0"/>
    <n v="0"/>
    <n v="0"/>
    <n v="0"/>
    <n v="3297.21"/>
    <n v="8375.130000000001"/>
    <m/>
    <n v="8375.130000000001"/>
  </r>
  <r>
    <s v="JULIO VIEIRA DE SANTANA"/>
    <d v="2026-03-01T00:00:00"/>
    <x v="1"/>
    <s v="G S FL 05 - BARUERI"/>
    <m/>
    <m/>
    <s v="20.504.237/0005-40"/>
    <s v="OPERACIONAL"/>
    <s v="MANUTENCAO"/>
    <x v="1"/>
    <d v="2014-09-01T00:00:00"/>
    <m/>
    <m/>
    <s v="1.2.1.1 APOIO"/>
    <s v="MOTORISTA CARRETEIRO MANTENEDOR SENIOR III"/>
    <n v="3287.3"/>
    <n v="3287.3"/>
    <n v="0"/>
    <n v="0"/>
    <n v="657.46"/>
    <n v="0"/>
    <n v="0"/>
    <n v="0"/>
    <n v="0"/>
    <n v="0"/>
    <n v="0"/>
    <n v="0"/>
    <n v="0"/>
    <n v="0"/>
    <n v="0"/>
    <n v="0"/>
    <n v="0"/>
    <n v="3944.76"/>
    <n v="0"/>
    <n v="512.87"/>
    <n v="500"/>
    <n v="0"/>
    <n v="1817.2"/>
    <n v="0"/>
    <n v="0"/>
    <n v="0"/>
    <n v="0"/>
    <n v="0"/>
    <n v="0"/>
    <n v="0"/>
    <n v="0"/>
    <n v="2205"/>
    <n v="900"/>
    <n v="0"/>
    <n v="0"/>
    <n v="0"/>
    <n v="0"/>
    <n v="0"/>
    <n v="0"/>
    <n v="5935.07"/>
    <n v="9879.83"/>
    <m/>
    <n v="9879.83"/>
  </r>
  <r>
    <s v="JUNIOR CESAR SOARES"/>
    <d v="2026-03-01T00:00:00"/>
    <x v="0"/>
    <s v="G3S FL 05 - PRES PRUD"/>
    <m/>
    <m/>
    <s v="20.947.332/0005-19"/>
    <s v="COMERCIAL"/>
    <s v="VENDAS"/>
    <x v="9"/>
    <d v="2026-01-26T00:00:00"/>
    <d v="2026-03-11T00:00:00"/>
    <m/>
    <s v="1.3.1.2 COMERCIAL"/>
    <s v="VENDEDOR INTERNO SENIOR"/>
    <n v="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3.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3.33"/>
    <n v="183.33"/>
    <m/>
    <n v="183.33"/>
  </r>
  <r>
    <s v="KAMYLA FERNANDA FORIM"/>
    <d v="2026-03-01T00:00:00"/>
    <x v="0"/>
    <s v="G3S  FL 08 - LONDRINA"/>
    <m/>
    <m/>
    <s v="20.947.332/0008-61"/>
    <s v="ADMINISTRATIVO"/>
    <s v="ATENDIMENTO"/>
    <x v="10"/>
    <d v="2020-03-13T00:00:00"/>
    <m/>
    <m/>
    <s v="1.2.3.1 ADMINISTRATIVO"/>
    <s v="AUX ADMINISTRATIVO SENIOR"/>
    <n v="2950"/>
    <n v="2950"/>
    <n v="0"/>
    <n v="0"/>
    <n v="0"/>
    <n v="0"/>
    <n v="0"/>
    <n v="0"/>
    <n v="0"/>
    <n v="0"/>
    <n v="0"/>
    <n v="311.13"/>
    <n v="59.83"/>
    <n v="0"/>
    <n v="0"/>
    <n v="0"/>
    <n v="295"/>
    <n v="3615.96"/>
    <n v="0"/>
    <n v="521.87"/>
    <n v="0"/>
    <n v="0"/>
    <n v="0"/>
    <n v="0"/>
    <n v="0"/>
    <n v="0"/>
    <n v="0"/>
    <n v="0"/>
    <n v="529.48"/>
    <n v="0"/>
    <n v="0"/>
    <n v="0"/>
    <n v="0"/>
    <n v="0"/>
    <n v="0"/>
    <n v="0"/>
    <n v="0"/>
    <n v="0"/>
    <n v="0"/>
    <n v="1051.3499999999999"/>
    <n v="4667.3099999999995"/>
    <m/>
    <n v="4667.3099999999995"/>
  </r>
  <r>
    <s v="LAIS VERON TEIXEIRA RIQUELME"/>
    <d v="2026-03-01T00:00:00"/>
    <x v="0"/>
    <s v="G3S  FL 03 - DOURADOS"/>
    <m/>
    <m/>
    <s v="20.947.332/0003-57"/>
    <s v="ADMINISTRATIVO"/>
    <s v="ATENDIMENTO"/>
    <x v="6"/>
    <d v="2022-07-27T00:00:00"/>
    <m/>
    <m/>
    <s v="1.2.2.1 ADMINISTRATIVO"/>
    <s v="AUX ADMINISTRATIVO JUNIOR"/>
    <n v="2482.4"/>
    <n v="2482.4"/>
    <n v="0"/>
    <n v="0"/>
    <n v="0"/>
    <n v="0"/>
    <n v="0"/>
    <n v="0"/>
    <n v="0"/>
    <n v="0"/>
    <n v="0"/>
    <n v="192.22"/>
    <n v="36.97"/>
    <n v="0"/>
    <n v="0"/>
    <n v="0"/>
    <n v="248.24"/>
    <n v="2959.83"/>
    <n v="0"/>
    <n v="521.87"/>
    <n v="0"/>
    <n v="0"/>
    <n v="0"/>
    <n v="0"/>
    <n v="0"/>
    <n v="0"/>
    <n v="0"/>
    <n v="0"/>
    <n v="196.71"/>
    <n v="0"/>
    <n v="0"/>
    <n v="0"/>
    <n v="0"/>
    <n v="0"/>
    <n v="0"/>
    <n v="0"/>
    <n v="0"/>
    <n v="0"/>
    <n v="0"/>
    <n v="718.58"/>
    <n v="3678.41"/>
    <m/>
    <n v="3678.41"/>
  </r>
  <r>
    <s v="LARISSA APARECIDA LIMA QUEIROZ"/>
    <d v="2026-03-01T00:00:00"/>
    <x v="0"/>
    <s v="G3S FL 05 - PRES PRUD"/>
    <m/>
    <m/>
    <s v="20.947.332/0005-19"/>
    <s v="ADMINISTRATIVO"/>
    <s v="FINANCEIRO"/>
    <x v="9"/>
    <d v="2021-03-12T00:00:00"/>
    <m/>
    <m/>
    <s v="1.3.1.1 ADMINISTRATIVO"/>
    <s v="ANALISTA FINANCEIRO PLENO"/>
    <n v="3180"/>
    <n v="0"/>
    <n v="3427.64"/>
    <n v="0"/>
    <n v="0"/>
    <n v="0"/>
    <n v="0"/>
    <n v="0"/>
    <n v="0"/>
    <n v="0"/>
    <n v="0"/>
    <n v="0"/>
    <n v="0"/>
    <n v="0"/>
    <n v="0"/>
    <n v="0"/>
    <n v="0"/>
    <n v="3427.64"/>
    <n v="0"/>
    <n v="521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1.87"/>
    <n v="3949.5099999999998"/>
    <m/>
    <n v="3949.5099999999998"/>
  </r>
  <r>
    <s v="LAYZA PINHEIRO FRANCESQUETTE"/>
    <d v="2026-03-01T00:00:00"/>
    <x v="0"/>
    <s v="G3S FL 10 - PRES PRUD"/>
    <m/>
    <m/>
    <s v="20.947.332/0010-86"/>
    <s v="COMERCIAL"/>
    <s v="COMERCIAL"/>
    <x v="1"/>
    <d v="2025-07-07T00:00:00"/>
    <m/>
    <m/>
    <s v="1.2.1.1 APOIO"/>
    <s v="ASSISTENTE COMERCIAL"/>
    <n v="2098"/>
    <n v="2098"/>
    <n v="0"/>
    <n v="0"/>
    <n v="0"/>
    <n v="0"/>
    <n v="0"/>
    <n v="0"/>
    <n v="0"/>
    <n v="0"/>
    <n v="0"/>
    <n v="0"/>
    <n v="0"/>
    <n v="0"/>
    <n v="0"/>
    <n v="0"/>
    <n v="0"/>
    <n v="2098"/>
    <n v="0"/>
    <n v="521.87"/>
    <n v="0"/>
    <n v="0"/>
    <n v="0"/>
    <n v="0"/>
    <n v="0"/>
    <n v="0"/>
    <n v="0"/>
    <n v="0"/>
    <n v="0"/>
    <n v="929.47"/>
    <n v="0"/>
    <n v="0"/>
    <n v="0"/>
    <n v="0"/>
    <n v="0"/>
    <n v="0"/>
    <n v="0"/>
    <n v="0"/>
    <n v="0"/>
    <n v="1451.3400000000001"/>
    <n v="3549.34"/>
    <m/>
    <n v="3549.34"/>
  </r>
  <r>
    <s v="LUCAS DA SILVA CONCEICAO"/>
    <d v="2026-03-01T00:00:00"/>
    <x v="0"/>
    <s v="G S FL 07 - LONDRINA"/>
    <m/>
    <m/>
    <s v="20.504.237/0007-02"/>
    <s v="OPERACIONAL"/>
    <s v="PATIO"/>
    <x v="10"/>
    <d v="2024-08-28T00:00:00"/>
    <m/>
    <m/>
    <s v="1.2.3.3 OPERACIONAL"/>
    <s v="OPERADOR MANTENEDOR JR"/>
    <n v="2610"/>
    <n v="2610"/>
    <n v="0"/>
    <n v="0"/>
    <n v="513.58000000000004"/>
    <n v="0"/>
    <n v="0"/>
    <n v="0"/>
    <n v="0"/>
    <n v="0"/>
    <n v="0"/>
    <n v="512.79"/>
    <n v="98.61"/>
    <n v="0"/>
    <n v="0"/>
    <n v="0"/>
    <n v="0"/>
    <n v="3734.98"/>
    <n v="0"/>
    <n v="512.87"/>
    <n v="0"/>
    <n v="0"/>
    <n v="0"/>
    <n v="0"/>
    <n v="0"/>
    <n v="0"/>
    <n v="0"/>
    <n v="0"/>
    <n v="529.48"/>
    <n v="0"/>
    <n v="0"/>
    <n v="0"/>
    <n v="0"/>
    <n v="0"/>
    <n v="0"/>
    <n v="0"/>
    <n v="0"/>
    <n v="0"/>
    <n v="0"/>
    <n v="1042.3499999999999"/>
    <n v="4777.33"/>
    <m/>
    <n v="4777.33"/>
  </r>
  <r>
    <s v="LUCIMARA PAIZ DE OLIVEIRA"/>
    <d v="2026-03-01T00:00:00"/>
    <x v="0"/>
    <s v="G3S  FL 04 - PRES PRUD"/>
    <m/>
    <m/>
    <s v="20.947.332/0004-38"/>
    <s v="ADMINISTRATIVO"/>
    <s v="ADMINISTRATIVO"/>
    <x v="4"/>
    <d v="2024-11-04T00:00:00"/>
    <m/>
    <m/>
    <s v="1.2.5.1 ADMINISTRATIVO"/>
    <s v="FAXINEIRO (EMPRESA)"/>
    <n v="1849.8"/>
    <n v="1849.8"/>
    <n v="0"/>
    <n v="0"/>
    <n v="0"/>
    <n v="0"/>
    <n v="0"/>
    <n v="0"/>
    <n v="0"/>
    <n v="0"/>
    <n v="0"/>
    <n v="0"/>
    <n v="0"/>
    <n v="0"/>
    <n v="0"/>
    <n v="0"/>
    <n v="0"/>
    <n v="1849.8"/>
    <n v="0"/>
    <n v="512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2.87"/>
    <n v="2362.67"/>
    <m/>
    <n v="2362.67"/>
  </r>
  <r>
    <s v="LUIS AUGUSTO DUARTE SILVA"/>
    <d v="2026-03-01T00:00:00"/>
    <x v="0"/>
    <s v="G3S FL 05 - PRES PRUD"/>
    <m/>
    <m/>
    <s v="20.947.332/0005-19"/>
    <s v="COMERCIAL"/>
    <s v="VENDAS"/>
    <x v="9"/>
    <d v="2025-01-14T00:00:00"/>
    <m/>
    <m/>
    <s v="1.3.1.2 COMERCIAL"/>
    <s v="VENDEDOR(A)"/>
    <n v="0"/>
    <n v="0"/>
    <n v="0"/>
    <n v="0"/>
    <n v="0"/>
    <n v="0"/>
    <n v="0"/>
    <n v="0"/>
    <n v="0"/>
    <n v="0"/>
    <n v="0"/>
    <n v="0"/>
    <n v="0"/>
    <n v="3877.78"/>
    <n v="745.73"/>
    <n v="0"/>
    <n v="0"/>
    <n v="4623.51"/>
    <n v="0"/>
    <n v="521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1.87"/>
    <n v="5145.38"/>
    <m/>
    <n v="5145.38"/>
  </r>
  <r>
    <s v="LUIS DOUGLAS SANTOS BRAS"/>
    <d v="2026-03-01T00:00:00"/>
    <x v="0"/>
    <s v="G3S FL 05 - PRES PRUD"/>
    <m/>
    <m/>
    <s v="20.947.332/0005-19"/>
    <s v="OPERACIONAL"/>
    <s v="CORTE E DOBRA"/>
    <x v="9"/>
    <d v="2025-11-05T00:00:00"/>
    <m/>
    <m/>
    <s v="1.3.1.5 CORTE E DOBRA"/>
    <s v="AUXILIAR DE PATIO JUNIOR"/>
    <n v="2155"/>
    <n v="2155"/>
    <n v="0"/>
    <n v="0"/>
    <n v="0"/>
    <n v="0"/>
    <n v="0"/>
    <n v="0"/>
    <n v="0"/>
    <n v="0"/>
    <n v="0"/>
    <n v="173.71"/>
    <n v="33.409999999999997"/>
    <n v="0"/>
    <n v="0"/>
    <n v="0"/>
    <n v="0"/>
    <n v="2362.12"/>
    <n v="0"/>
    <n v="521.87"/>
    <n v="0"/>
    <n v="0"/>
    <n v="0"/>
    <n v="0"/>
    <n v="0"/>
    <n v="0"/>
    <n v="350"/>
    <n v="0"/>
    <n v="0"/>
    <n v="0"/>
    <n v="0"/>
    <n v="0"/>
    <n v="0"/>
    <n v="0"/>
    <n v="0"/>
    <n v="0"/>
    <n v="0"/>
    <n v="0"/>
    <n v="0"/>
    <n v="871.87"/>
    <n v="3233.99"/>
    <m/>
    <n v="3233.99"/>
  </r>
  <r>
    <s v="LUIS HENRIQUE SEMENSATO"/>
    <d v="2026-03-01T00:00:00"/>
    <x v="0"/>
    <s v="G3S FL 05 - PRES PRUD"/>
    <m/>
    <m/>
    <s v="20.947.332/0005-19"/>
    <s v="OPERACIONAL"/>
    <s v="CORTE E DOBRA"/>
    <x v="9"/>
    <d v="2025-07-07T00:00:00"/>
    <m/>
    <m/>
    <s v="1.3.1.5 CORTE E DOBRA"/>
    <s v="AUXILIAR DE PATIO JUNIOR"/>
    <n v="2155"/>
    <n v="2155"/>
    <n v="0"/>
    <n v="0"/>
    <n v="0"/>
    <n v="0"/>
    <n v="0"/>
    <n v="0"/>
    <n v="0"/>
    <n v="0"/>
    <n v="0"/>
    <n v="223.07"/>
    <n v="42.9"/>
    <n v="0"/>
    <n v="0"/>
    <n v="0"/>
    <n v="0"/>
    <n v="2420.9700000000003"/>
    <n v="0"/>
    <n v="512.87"/>
    <n v="0"/>
    <n v="0"/>
    <n v="0"/>
    <n v="0"/>
    <n v="0"/>
    <n v="0"/>
    <n v="350"/>
    <n v="0"/>
    <n v="0"/>
    <n v="0"/>
    <n v="0"/>
    <n v="0"/>
    <n v="0"/>
    <n v="0"/>
    <n v="0"/>
    <n v="0"/>
    <n v="0"/>
    <n v="0"/>
    <n v="0"/>
    <n v="862.87"/>
    <n v="3283.84"/>
    <m/>
    <n v="3283.84"/>
  </r>
  <r>
    <s v="LUIZ CARLOS DE SOUZA"/>
    <d v="2026-03-01T00:00:00"/>
    <x v="0"/>
    <s v="G3S FL 05 - PRES PRUD"/>
    <m/>
    <m/>
    <s v="20.947.332/0005-19"/>
    <s v="OPERACIONAL"/>
    <s v="PATIO"/>
    <x v="9"/>
    <d v="2021-07-01T00:00:00"/>
    <m/>
    <m/>
    <s v="1.3.1.3 OPERACIONAL"/>
    <s v="AUXILIAR DE PATIO SENIOR"/>
    <n v="2600"/>
    <n v="2600"/>
    <n v="0"/>
    <n v="0"/>
    <n v="0"/>
    <n v="0"/>
    <n v="0"/>
    <n v="0"/>
    <n v="0"/>
    <n v="0"/>
    <n v="0"/>
    <n v="71.22"/>
    <n v="13.7"/>
    <n v="0"/>
    <n v="0"/>
    <n v="0"/>
    <n v="0"/>
    <n v="2684.9199999999996"/>
    <n v="0"/>
    <n v="521.87"/>
    <n v="0"/>
    <n v="0"/>
    <n v="0"/>
    <n v="0"/>
    <n v="0"/>
    <n v="0"/>
    <n v="1710"/>
    <n v="0"/>
    <n v="0"/>
    <n v="0"/>
    <n v="0"/>
    <n v="0"/>
    <n v="0"/>
    <n v="0"/>
    <n v="0"/>
    <n v="0"/>
    <n v="0"/>
    <n v="0"/>
    <n v="0"/>
    <n v="2231.87"/>
    <n v="4916.7899999999991"/>
    <m/>
    <n v="4916.7899999999991"/>
  </r>
  <r>
    <s v="LUIZ GUILHERME BRAGHINI"/>
    <d v="2026-03-01T00:00:00"/>
    <x v="0"/>
    <s v="G3S CMATRIZ - CAMPO GRANDE"/>
    <m/>
    <m/>
    <s v="20.947.332/0001-95"/>
    <s v="OPERACIONAL"/>
    <s v="PATIO"/>
    <x v="7"/>
    <d v="2022-03-10T00:00:00"/>
    <m/>
    <m/>
    <s v="1.2.7.3 OPERACIONAL"/>
    <s v="GERENTE DE PATIO SENIOR"/>
    <n v="3679.83"/>
    <n v="3679.83"/>
    <n v="0"/>
    <n v="0"/>
    <n v="735.97"/>
    <n v="0"/>
    <n v="1103.95"/>
    <n v="0"/>
    <n v="0"/>
    <n v="0"/>
    <n v="0"/>
    <n v="0"/>
    <n v="0"/>
    <n v="0"/>
    <n v="0"/>
    <n v="0"/>
    <n v="0"/>
    <n v="5519.75"/>
    <n v="0"/>
    <n v="512.87"/>
    <n v="0"/>
    <n v="0"/>
    <n v="0"/>
    <n v="0"/>
    <n v="0"/>
    <n v="0"/>
    <n v="0"/>
    <n v="0"/>
    <n v="533.04"/>
    <n v="0"/>
    <n v="0"/>
    <n v="160"/>
    <n v="0"/>
    <n v="0"/>
    <n v="0"/>
    <n v="0"/>
    <n v="0"/>
    <n v="0"/>
    <n v="0"/>
    <n v="1205.9099999999999"/>
    <n v="6725.66"/>
    <m/>
    <n v="6725.66"/>
  </r>
  <r>
    <s v="MARCELO VITOR"/>
    <d v="2026-03-01T00:00:00"/>
    <x v="0"/>
    <s v="G S MATRIZ - PRES PRUD"/>
    <m/>
    <m/>
    <s v="20.504.237/0001-17"/>
    <s v="OPERACIONAL"/>
    <s v="PATIO"/>
    <x v="4"/>
    <d v="2019-11-21T00:00:00"/>
    <m/>
    <m/>
    <s v="1.2.5.5 PRENSA FIXA JCG800"/>
    <s v="OPERADOR MANTENEDOR SENIOR"/>
    <n v="3158.66"/>
    <n v="3158.66"/>
    <n v="0"/>
    <n v="0"/>
    <n v="631.73"/>
    <n v="0"/>
    <n v="0"/>
    <n v="0"/>
    <n v="0"/>
    <n v="157.93"/>
    <n v="0"/>
    <n v="2010.05"/>
    <n v="386.55"/>
    <n v="0"/>
    <n v="0"/>
    <n v="0"/>
    <n v="0"/>
    <n v="6344.92"/>
    <n v="0"/>
    <n v="512.87"/>
    <n v="0"/>
    <n v="0"/>
    <n v="424.21"/>
    <n v="0"/>
    <n v="0"/>
    <n v="0"/>
    <n v="0"/>
    <n v="0"/>
    <n v="579.34"/>
    <n v="0"/>
    <n v="0"/>
    <n v="2016"/>
    <n v="0"/>
    <n v="0"/>
    <n v="0"/>
    <n v="0"/>
    <n v="0"/>
    <n v="0"/>
    <n v="0"/>
    <n v="3532.42"/>
    <n v="9877.34"/>
    <m/>
    <n v="9877.34"/>
  </r>
  <r>
    <s v="MARCIO AFONSO"/>
    <d v="2026-03-01T00:00:00"/>
    <x v="0"/>
    <s v="G S MATRIZ - PRES PRUD"/>
    <m/>
    <m/>
    <s v="20.504.237/0001-17"/>
    <s v="LOGISTICA"/>
    <s v="TRANSPORTE"/>
    <x v="4"/>
    <d v="2020-11-18T00:00:00"/>
    <m/>
    <m/>
    <s v="1.7.8.4 LOGISTICA"/>
    <s v="MOTORISTA CARRETEIRO MANTENEDOR SENIOR III"/>
    <n v="3287.33"/>
    <n v="3287.33"/>
    <n v="0"/>
    <n v="0"/>
    <n v="657.47"/>
    <n v="0"/>
    <n v="0"/>
    <n v="0"/>
    <n v="0"/>
    <n v="164.37"/>
    <n v="0"/>
    <n v="834.91"/>
    <n v="160.56"/>
    <n v="0"/>
    <n v="0"/>
    <n v="0"/>
    <n v="0"/>
    <n v="5104.6400000000003"/>
    <n v="0"/>
    <n v="512.87"/>
    <n v="0"/>
    <n v="0"/>
    <n v="0"/>
    <n v="906.92"/>
    <n v="0"/>
    <n v="0"/>
    <n v="0"/>
    <n v="0"/>
    <n v="579.34"/>
    <n v="0"/>
    <n v="0"/>
    <n v="1452"/>
    <n v="0"/>
    <n v="0"/>
    <n v="0"/>
    <n v="0"/>
    <n v="0"/>
    <n v="0"/>
    <n v="0"/>
    <n v="3451.13"/>
    <n v="8555.77"/>
    <m/>
    <n v="8555.77"/>
  </r>
  <r>
    <s v="MARCIO APARECIDO DA COSTA"/>
    <d v="2026-03-01T00:00:00"/>
    <x v="0"/>
    <s v="G S FL 07 - LONDRINA"/>
    <m/>
    <m/>
    <s v="20.504.237/0007-02"/>
    <s v="LOGISTICA"/>
    <s v="TRANSPORTE"/>
    <x v="10"/>
    <d v="2023-12-01T00:00:00"/>
    <m/>
    <m/>
    <s v="1.7.6.4 LOGISTICA"/>
    <s v="MOTORISTA CARRETEIRO MANTENEDOR SENIOR I"/>
    <n v="3345"/>
    <n v="3345"/>
    <n v="0"/>
    <n v="0"/>
    <n v="666.06"/>
    <n v="0"/>
    <n v="0"/>
    <n v="0"/>
    <n v="0"/>
    <n v="0"/>
    <n v="0"/>
    <n v="413.08"/>
    <n v="79.44"/>
    <n v="0"/>
    <n v="0"/>
    <n v="0"/>
    <n v="0"/>
    <n v="4503.58"/>
    <n v="0"/>
    <n v="512.87"/>
    <n v="0"/>
    <n v="0"/>
    <n v="0"/>
    <n v="341.04"/>
    <n v="0"/>
    <n v="0"/>
    <n v="0"/>
    <n v="0"/>
    <n v="529.48"/>
    <n v="0"/>
    <n v="0"/>
    <n v="115.5"/>
    <n v="0"/>
    <n v="0"/>
    <n v="0"/>
    <n v="0"/>
    <n v="0"/>
    <n v="0"/>
    <n v="0"/>
    <n v="1498.89"/>
    <n v="6002.47"/>
    <m/>
    <n v="6002.47"/>
  </r>
  <r>
    <s v="MARCOS ANTONIO CLAUDIO"/>
    <d v="2026-03-01T00:00:00"/>
    <x v="0"/>
    <s v="G S FL 05 - BARUERI"/>
    <m/>
    <m/>
    <s v="20.504.237/0005-40"/>
    <s v="OPERACIONAL"/>
    <s v="ARCELOR/PIRACICABA - SP"/>
    <x v="8"/>
    <d v="2025-03-26T00:00:00"/>
    <m/>
    <m/>
    <s v="1.7.1.4.1 ARCELOR/PIRACICABA"/>
    <s v="OPERADOR MANTENEDOR PLENO"/>
    <n v="2816.11"/>
    <n v="2816.11"/>
    <n v="0"/>
    <n v="0"/>
    <n v="563.22"/>
    <n v="0"/>
    <n v="0"/>
    <n v="0"/>
    <n v="0"/>
    <n v="0"/>
    <n v="0"/>
    <n v="1542.98"/>
    <n v="296.73"/>
    <n v="0"/>
    <n v="0"/>
    <n v="0"/>
    <n v="0"/>
    <n v="5219.0399999999991"/>
    <n v="0"/>
    <n v="512.87"/>
    <n v="0"/>
    <n v="0"/>
    <n v="0"/>
    <n v="0"/>
    <n v="1903.5"/>
    <n v="0"/>
    <n v="0"/>
    <n v="0"/>
    <n v="0"/>
    <n v="0"/>
    <n v="0"/>
    <n v="2016"/>
    <n v="0"/>
    <n v="0"/>
    <n v="0"/>
    <n v="0"/>
    <n v="0"/>
    <n v="0"/>
    <n v="0"/>
    <n v="4432.37"/>
    <n v="9651.41"/>
    <m/>
    <n v="9651.41"/>
  </r>
  <r>
    <s v="MARCOS MEDEIROS"/>
    <d v="2026-03-01T00:00:00"/>
    <x v="0"/>
    <s v="G3S  FL 04 - PRES PRUD"/>
    <m/>
    <m/>
    <s v="20.947.332/0004-38"/>
    <s v="OPERACIONAL"/>
    <s v="PATIO"/>
    <x v="4"/>
    <d v="2021-02-01T00:00:00"/>
    <m/>
    <m/>
    <s v="1.2.5.3 OPERACIONAL"/>
    <s v="SOLDADOR MAÇARIQUEIRO"/>
    <n v="2893.8"/>
    <n v="2893.8"/>
    <n v="0"/>
    <n v="0"/>
    <n v="0"/>
    <n v="324.2"/>
    <n v="0"/>
    <n v="0"/>
    <n v="0"/>
    <n v="0"/>
    <n v="0"/>
    <n v="74.89"/>
    <n v="14.4"/>
    <n v="0"/>
    <n v="0"/>
    <n v="0"/>
    <n v="0"/>
    <n v="3307.29"/>
    <n v="0"/>
    <n v="512.87"/>
    <n v="0"/>
    <n v="0"/>
    <n v="0"/>
    <n v="0"/>
    <n v="0"/>
    <n v="0"/>
    <n v="515"/>
    <n v="0"/>
    <n v="579.34"/>
    <n v="0"/>
    <n v="0"/>
    <n v="0"/>
    <n v="0"/>
    <n v="0"/>
    <n v="0"/>
    <n v="0"/>
    <n v="0"/>
    <n v="0"/>
    <n v="0"/>
    <n v="1607.21"/>
    <n v="4914.5"/>
    <m/>
    <n v="4914.5"/>
  </r>
  <r>
    <s v="MARCOS ROBERTO DA SILVA MARTINS"/>
    <d v="2026-03-01T00:00:00"/>
    <x v="0"/>
    <s v="G3S FL 05 - PRES PRUD"/>
    <m/>
    <m/>
    <s v="20.947.332/0005-19"/>
    <s v="LOGISTICA"/>
    <s v="TRANSPORTE"/>
    <x v="9"/>
    <d v="2025-02-13T00:00:00"/>
    <d v="2026-03-12T00:00:00"/>
    <m/>
    <s v="1.3.1.4 LOGISTICA"/>
    <s v="MOTORISTA TRUCK MANTENEDOR JUNIOR"/>
    <n v="2308.81"/>
    <n v="0"/>
    <n v="0"/>
    <n v="0"/>
    <n v="182.92"/>
    <n v="0"/>
    <n v="0"/>
    <n v="0"/>
    <n v="0"/>
    <n v="0"/>
    <n v="0"/>
    <n v="70.52"/>
    <n v="14.1"/>
    <n v="0"/>
    <n v="0"/>
    <n v="0"/>
    <n v="0"/>
    <n v="267.54000000000002"/>
    <n v="0"/>
    <n v="500"/>
    <n v="0"/>
    <n v="0"/>
    <n v="0"/>
    <n v="0"/>
    <n v="0"/>
    <n v="0"/>
    <n v="0"/>
    <n v="0"/>
    <n v="0"/>
    <n v="0"/>
    <n v="0"/>
    <n v="0"/>
    <n v="0"/>
    <n v="0"/>
    <n v="54.03"/>
    <n v="0"/>
    <n v="0"/>
    <n v="0"/>
    <n v="0"/>
    <n v="554.03"/>
    <n v="821.56999999999994"/>
    <m/>
    <n v="821.56999999999994"/>
  </r>
  <r>
    <s v="MARIA EDUARDA FREITAS MESSIAS"/>
    <d v="2026-03-01T00:00:00"/>
    <x v="0"/>
    <s v="G3S FL 10 - PRES PRUD"/>
    <m/>
    <m/>
    <s v="20.947.332/0010-86"/>
    <s v="ADMINISTRATIVO"/>
    <s v="FINANCEIRO"/>
    <x v="1"/>
    <d v="2021-08-02T00:00:00"/>
    <m/>
    <m/>
    <s v="1.1.3 FINANCEIRO"/>
    <s v="ANALISTA FINANCEIRO SENIOR II"/>
    <n v="3850"/>
    <n v="3850"/>
    <n v="0"/>
    <n v="0"/>
    <n v="0"/>
    <n v="0"/>
    <n v="0"/>
    <n v="0"/>
    <n v="0"/>
    <n v="0"/>
    <n v="0"/>
    <n v="0"/>
    <n v="0"/>
    <n v="0"/>
    <n v="0"/>
    <n v="0"/>
    <n v="0"/>
    <n v="3850"/>
    <n v="0"/>
    <n v="521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1.87"/>
    <n v="4371.87"/>
    <m/>
    <n v="4371.87"/>
  </r>
  <r>
    <s v="MARIANA SIQUEIRA"/>
    <d v="2026-03-01T00:00:00"/>
    <x v="0"/>
    <s v="G3S FL 10 - PRES PRUD"/>
    <m/>
    <m/>
    <s v="20.947.332/0010-86"/>
    <s v="COMERCIAL"/>
    <s v="COMERCIAL"/>
    <x v="1"/>
    <d v="2026-02-02T00:00:00"/>
    <m/>
    <m/>
    <s v="1.2.1.1 APOIO"/>
    <s v="ASSISTENTE COMERCIAL"/>
    <n v="2098"/>
    <n v="2098"/>
    <n v="0"/>
    <n v="0"/>
    <n v="0"/>
    <n v="0"/>
    <n v="0"/>
    <n v="0"/>
    <n v="0"/>
    <n v="0"/>
    <n v="0"/>
    <n v="0"/>
    <n v="0"/>
    <n v="0"/>
    <n v="0"/>
    <n v="0"/>
    <n v="0"/>
    <n v="2098"/>
    <n v="0"/>
    <n v="521.87"/>
    <n v="0"/>
    <n v="0"/>
    <n v="0"/>
    <n v="0"/>
    <n v="0"/>
    <n v="0"/>
    <n v="0"/>
    <n v="0"/>
    <n v="0"/>
    <n v="929.47"/>
    <n v="0"/>
    <n v="0"/>
    <n v="0"/>
    <n v="0"/>
    <n v="0"/>
    <n v="0"/>
    <n v="0"/>
    <n v="0"/>
    <n v="0"/>
    <n v="1451.3400000000001"/>
    <n v="3549.34"/>
    <m/>
    <n v="3549.34"/>
  </r>
  <r>
    <s v="MARIANE APARECIDA MOREIRA DE CRISTOFANO"/>
    <d v="2026-03-01T00:00:00"/>
    <x v="0"/>
    <s v="G3S FL 10 - PRES PRUD"/>
    <m/>
    <m/>
    <s v="20.947.332/0010-86"/>
    <s v="GESTÃO DE GENTE"/>
    <s v="SEGURANCA DO TRABALHO"/>
    <x v="1"/>
    <d v="2021-03-16T00:00:00"/>
    <m/>
    <m/>
    <s v="1.1.10 PESSOAS"/>
    <s v="ANALISTA DE SESMT"/>
    <n v="4250"/>
    <n v="4250"/>
    <n v="0"/>
    <n v="0"/>
    <n v="0"/>
    <n v="0"/>
    <n v="0"/>
    <n v="0"/>
    <n v="0"/>
    <n v="0"/>
    <n v="0"/>
    <n v="0"/>
    <n v="0"/>
    <n v="0"/>
    <n v="0"/>
    <n v="0"/>
    <n v="0"/>
    <n v="4250"/>
    <n v="0"/>
    <n v="521.87"/>
    <n v="0"/>
    <n v="0"/>
    <n v="0"/>
    <n v="0"/>
    <n v="0"/>
    <n v="0"/>
    <n v="0"/>
    <n v="0"/>
    <n v="651"/>
    <n v="0"/>
    <n v="0"/>
    <n v="0"/>
    <n v="0"/>
    <n v="984.97"/>
    <n v="0"/>
    <n v="0"/>
    <n v="0"/>
    <n v="0"/>
    <n v="0"/>
    <n v="2157.84"/>
    <n v="6407.84"/>
    <m/>
    <n v="6407.84"/>
  </r>
  <r>
    <s v="MAURICIO ANTONIO SALETE"/>
    <d v="2026-03-01T00:00:00"/>
    <x v="0"/>
    <s v="G3S  FL 04 - PRES PRUD"/>
    <m/>
    <m/>
    <s v="20.947.332/0004-38"/>
    <s v="OPERACIONAL"/>
    <s v="PATIO"/>
    <x v="4"/>
    <d v="2023-01-16T00:00:00"/>
    <m/>
    <m/>
    <s v="1.2.5.3 OPERACIONAL"/>
    <s v="GERENTE DE PATIO SENIOR"/>
    <n v="3679.83"/>
    <n v="3679.83"/>
    <n v="0"/>
    <n v="0"/>
    <n v="0"/>
    <n v="0"/>
    <n v="1103.95"/>
    <n v="0"/>
    <n v="0"/>
    <n v="0"/>
    <n v="0"/>
    <n v="290.51"/>
    <n v="55.87"/>
    <n v="0"/>
    <n v="0"/>
    <n v="0"/>
    <n v="0"/>
    <n v="5130.16"/>
    <n v="0"/>
    <n v="512.87"/>
    <n v="0"/>
    <n v="0"/>
    <n v="0"/>
    <n v="0"/>
    <n v="0"/>
    <n v="0"/>
    <n v="0"/>
    <n v="0"/>
    <n v="579.34"/>
    <n v="0"/>
    <n v="0"/>
    <n v="0"/>
    <n v="0"/>
    <n v="0"/>
    <n v="0"/>
    <n v="0"/>
    <n v="0"/>
    <n v="0"/>
    <n v="0"/>
    <n v="1092.21"/>
    <n v="6222.37"/>
    <m/>
    <n v="6222.37"/>
  </r>
  <r>
    <s v="MONIQUE ISABELE DE LIMA"/>
    <d v="2026-03-01T00:00:00"/>
    <x v="0"/>
    <s v="G S MATRIZ - PRES PRUD"/>
    <m/>
    <m/>
    <s v="20.504.237/0001-17"/>
    <s v="TRANSMOVE"/>
    <s v="ADMINISTRATIVO"/>
    <x v="5"/>
    <d v="2021-03-19T00:00:00"/>
    <m/>
    <m/>
    <s v="1.4.1.2 ADMINISTRATIVO"/>
    <s v="ANALISTA ADMINISTRATIVO SENIOR"/>
    <n v="2950"/>
    <n v="2950"/>
    <n v="0"/>
    <n v="0"/>
    <n v="0"/>
    <n v="0"/>
    <n v="0"/>
    <n v="0"/>
    <n v="0"/>
    <n v="147.5"/>
    <n v="0"/>
    <n v="577.61"/>
    <n v="111.08"/>
    <n v="0"/>
    <n v="0"/>
    <n v="0"/>
    <n v="0"/>
    <n v="3786.19"/>
    <n v="0"/>
    <n v="521.87"/>
    <n v="0"/>
    <n v="0"/>
    <n v="808"/>
    <n v="0"/>
    <n v="0"/>
    <n v="0"/>
    <n v="150"/>
    <n v="0"/>
    <n v="0"/>
    <n v="0"/>
    <n v="0"/>
    <n v="0"/>
    <n v="0"/>
    <n v="0"/>
    <n v="0"/>
    <n v="0"/>
    <n v="0"/>
    <n v="0"/>
    <n v="0"/>
    <n v="1479.87"/>
    <n v="5266.0599999999995"/>
    <m/>
    <n v="5266.0599999999995"/>
  </r>
  <r>
    <s v="MURILO LIMA DE CARVALHO SILVA"/>
    <d v="2026-03-01T00:00:00"/>
    <x v="0"/>
    <s v="G3S FL 05 - PRES PRUD"/>
    <m/>
    <m/>
    <s v="20.947.332/0005-19"/>
    <s v="ADMINISTRATIVO"/>
    <s v="FINANCEIRO"/>
    <x v="9"/>
    <d v="2025-11-01T00:00:00"/>
    <m/>
    <m/>
    <s v="1.3.1.1 ADMINISTRATIVO"/>
    <s v="AUXILIAR FINANCEIRO"/>
    <n v="2098"/>
    <n v="2098"/>
    <n v="0"/>
    <n v="0"/>
    <n v="0"/>
    <n v="0"/>
    <n v="0"/>
    <n v="0"/>
    <n v="0"/>
    <n v="0"/>
    <n v="0"/>
    <n v="131.47999999999999"/>
    <n v="25.28"/>
    <n v="0"/>
    <n v="0"/>
    <n v="0"/>
    <n v="0"/>
    <n v="2254.7600000000002"/>
    <n v="0"/>
    <n v="521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1.87"/>
    <n v="2776.63"/>
    <m/>
    <n v="2776.63"/>
  </r>
  <r>
    <s v="NIVALDO MATEUS"/>
    <d v="2026-03-01T00:00:00"/>
    <x v="0"/>
    <s v="G3S  FL 04 - PRES PRUD"/>
    <m/>
    <m/>
    <s v="20.947.332/0004-38"/>
    <s v="OPERACIONAL"/>
    <s v="PATIO"/>
    <x v="4"/>
    <d v="2020-12-01T00:00:00"/>
    <m/>
    <m/>
    <s v="1.2.5.3 OPERACIONAL"/>
    <s v="GERENTE DE PATIO SENIOR PP"/>
    <n v="3679.83"/>
    <n v="3679.83"/>
    <n v="0"/>
    <n v="0"/>
    <n v="735.97"/>
    <n v="0"/>
    <n v="1103.95"/>
    <n v="0"/>
    <n v="0"/>
    <n v="0"/>
    <n v="0"/>
    <n v="176.63"/>
    <n v="33.97"/>
    <n v="0"/>
    <n v="0"/>
    <n v="0"/>
    <n v="0"/>
    <n v="5730.35"/>
    <n v="0"/>
    <n v="512.87"/>
    <n v="0"/>
    <n v="0"/>
    <n v="0"/>
    <n v="0"/>
    <n v="0"/>
    <n v="0"/>
    <n v="450"/>
    <n v="0"/>
    <n v="579.34"/>
    <n v="0"/>
    <n v="0"/>
    <n v="2016"/>
    <n v="0"/>
    <n v="0"/>
    <n v="0"/>
    <n v="0"/>
    <n v="0"/>
    <n v="0"/>
    <n v="0"/>
    <n v="3558.21"/>
    <n v="9288.5600000000013"/>
    <m/>
    <n v="9288.5600000000013"/>
  </r>
  <r>
    <s v="PABLO HENRYQUE BARBOSA DE CASTRO"/>
    <d v="2026-03-01T00:00:00"/>
    <x v="0"/>
    <s v="G3S FL 06 - MARINGA"/>
    <m/>
    <m/>
    <s v="20.947.332/0006-08"/>
    <s v="OPERACIONAL"/>
    <s v="PATIO"/>
    <x v="3"/>
    <d v="2026-02-23T00:00:00"/>
    <m/>
    <m/>
    <s v="1.2.4.3 OPERACIONAL"/>
    <s v="CLASSIFICADOR PLENO"/>
    <n v="2333.09"/>
    <n v="2333.09"/>
    <n v="0"/>
    <n v="0"/>
    <n v="0"/>
    <n v="0"/>
    <n v="0"/>
    <n v="0"/>
    <n v="0"/>
    <n v="0"/>
    <n v="0"/>
    <n v="74.95"/>
    <n v="14.41"/>
    <n v="0"/>
    <n v="0"/>
    <n v="0"/>
    <n v="0"/>
    <n v="2422.4499999999998"/>
    <n v="0"/>
    <n v="521.87"/>
    <n v="0"/>
    <n v="0"/>
    <n v="0"/>
    <n v="0"/>
    <n v="0"/>
    <n v="0"/>
    <n v="0"/>
    <n v="0"/>
    <n v="252.45"/>
    <n v="0"/>
    <n v="0"/>
    <n v="0"/>
    <n v="0"/>
    <n v="0"/>
    <n v="0"/>
    <n v="0"/>
    <n v="0"/>
    <n v="0"/>
    <n v="0"/>
    <n v="774.31999999999994"/>
    <n v="3196.7699999999995"/>
    <m/>
    <n v="3196.7699999999995"/>
  </r>
  <r>
    <s v="PATRICIA CECILIA GUIDOTTI DE FREITAS"/>
    <d v="2026-03-01T00:00:00"/>
    <x v="0"/>
    <s v="G3S FL 06 - MARINGA"/>
    <m/>
    <m/>
    <s v="20.947.332/0006-08"/>
    <s v="ADMINISTRATIVO"/>
    <s v="ATENDIMENTO"/>
    <x v="3"/>
    <d v="2025-08-11T00:00:00"/>
    <m/>
    <m/>
    <s v="1.2.4.1 ADMINISTRATIVO"/>
    <s v="AUX ADMINISTRATIVO PLENO"/>
    <n v="2650"/>
    <n v="2650"/>
    <n v="0"/>
    <n v="0"/>
    <n v="0"/>
    <n v="0"/>
    <n v="0"/>
    <n v="0"/>
    <n v="0"/>
    <n v="0"/>
    <n v="0"/>
    <n v="382.59"/>
    <n v="73.58"/>
    <n v="0"/>
    <n v="0"/>
    <n v="0"/>
    <n v="265"/>
    <n v="3371.17"/>
    <n v="0"/>
    <n v="512.87"/>
    <n v="0"/>
    <n v="0"/>
    <n v="0"/>
    <n v="0"/>
    <n v="0"/>
    <n v="0"/>
    <n v="0"/>
    <n v="0"/>
    <n v="252.45"/>
    <n v="0"/>
    <n v="0"/>
    <n v="0"/>
    <n v="0"/>
    <n v="0"/>
    <n v="0"/>
    <n v="0"/>
    <n v="0"/>
    <n v="0"/>
    <n v="0"/>
    <n v="765.31999999999994"/>
    <n v="4136.49"/>
    <m/>
    <n v="4136.49"/>
  </r>
  <r>
    <s v="PATRICIA DANIELLE SILVA"/>
    <d v="2026-03-01T00:00:00"/>
    <x v="0"/>
    <s v="G3S CMATRIZ - CAMPO GRANDE"/>
    <m/>
    <m/>
    <s v="20.947.332/0001-95"/>
    <s v="ADMINISTRATIVO"/>
    <s v="ATENDIMENTO"/>
    <x v="7"/>
    <d v="2025-03-17T00:00:00"/>
    <m/>
    <m/>
    <s v="1.2.7.1 ADMINISTRATIVO"/>
    <s v="AUX ADMINISTRATIVO PLENO"/>
    <n v="2650"/>
    <n v="2650"/>
    <n v="0"/>
    <n v="0"/>
    <n v="0"/>
    <n v="0"/>
    <n v="0"/>
    <n v="0"/>
    <n v="0"/>
    <n v="0"/>
    <n v="0"/>
    <n v="34.909999999999997"/>
    <n v="6.71"/>
    <n v="0"/>
    <n v="0"/>
    <n v="0"/>
    <n v="265"/>
    <n v="2956.62"/>
    <n v="0"/>
    <n v="521.87"/>
    <n v="0"/>
    <n v="0"/>
    <n v="0"/>
    <n v="0"/>
    <n v="0"/>
    <n v="0"/>
    <n v="0"/>
    <n v="0"/>
    <n v="533.04"/>
    <n v="0"/>
    <n v="0"/>
    <n v="0"/>
    <n v="0"/>
    <n v="0"/>
    <n v="0"/>
    <n v="0"/>
    <n v="0"/>
    <n v="0"/>
    <n v="0"/>
    <n v="1054.9099999999999"/>
    <n v="4011.5299999999997"/>
    <m/>
    <n v="4011.5299999999997"/>
  </r>
  <r>
    <s v="PATRICIO SANTANA DA SILVA THEODORO"/>
    <d v="2026-03-01T00:00:00"/>
    <x v="0"/>
    <s v="G S FL 04 - MARINGA"/>
    <m/>
    <m/>
    <s v="20.504.237/0004-60"/>
    <s v="OPERACIONAL"/>
    <s v="PATIO"/>
    <x v="3"/>
    <d v="2013-01-02T00:00:00"/>
    <m/>
    <m/>
    <s v="1.2.4.3 OPERACIONAL"/>
    <s v="OPERADOR MANTENEDOR SENIOR"/>
    <n v="3354.5"/>
    <n v="3354.5"/>
    <n v="0"/>
    <n v="0"/>
    <n v="670.9"/>
    <n v="0"/>
    <n v="0"/>
    <n v="0"/>
    <n v="0"/>
    <n v="0"/>
    <n v="0"/>
    <n v="1849.24"/>
    <n v="355.62"/>
    <n v="0"/>
    <n v="0"/>
    <n v="0"/>
    <n v="0"/>
    <n v="6230.26"/>
    <n v="0"/>
    <n v="512.87"/>
    <n v="0"/>
    <n v="0"/>
    <n v="807.76"/>
    <n v="0"/>
    <n v="0"/>
    <n v="0"/>
    <n v="0"/>
    <n v="0"/>
    <n v="252.45"/>
    <n v="0"/>
    <n v="0"/>
    <n v="0"/>
    <n v="0"/>
    <n v="0"/>
    <n v="0"/>
    <n v="0"/>
    <n v="0"/>
    <n v="0"/>
    <n v="0"/>
    <n v="1573.0800000000002"/>
    <n v="7803.34"/>
    <m/>
    <n v="7803.34"/>
  </r>
  <r>
    <s v="PAULO DIAS CORREA"/>
    <d v="2026-03-01T00:00:00"/>
    <x v="0"/>
    <s v="G3S FL 05 - PRES PRUD"/>
    <m/>
    <m/>
    <s v="20.947.332/0005-19"/>
    <s v="LOGISTICA"/>
    <s v="TRANSPORTE"/>
    <x v="9"/>
    <d v="2020-02-27T00:00:00"/>
    <m/>
    <m/>
    <s v="1.3.1.4 LOGISTICA"/>
    <s v="MOTORISTA TRUCK MANTENEDOR SENIOR"/>
    <n v="2700"/>
    <n v="2700"/>
    <n v="0"/>
    <n v="0"/>
    <n v="540"/>
    <n v="0"/>
    <n v="0"/>
    <n v="0"/>
    <n v="0"/>
    <n v="135"/>
    <n v="0"/>
    <n v="64.819999999999993"/>
    <n v="12.47"/>
    <n v="0"/>
    <n v="0"/>
    <n v="0"/>
    <n v="0"/>
    <n v="3452.29"/>
    <n v="0"/>
    <n v="512.87"/>
    <n v="0"/>
    <n v="0"/>
    <n v="0"/>
    <n v="0"/>
    <n v="0"/>
    <n v="0"/>
    <n v="612"/>
    <n v="0"/>
    <n v="0"/>
    <n v="0"/>
    <n v="0"/>
    <n v="1323"/>
    <n v="0"/>
    <n v="0"/>
    <n v="0"/>
    <n v="0"/>
    <n v="0"/>
    <n v="0"/>
    <n v="0"/>
    <n v="2447.87"/>
    <n v="5900.16"/>
    <m/>
    <n v="5900.16"/>
  </r>
  <r>
    <s v="PAULO VITOR TOOKUNI DE LIMA"/>
    <d v="2026-03-01T00:00:00"/>
    <x v="0"/>
    <s v="G3S  FL 08 - LONDRINA"/>
    <m/>
    <m/>
    <s v="20.947.332/0008-61"/>
    <s v="OPERACIONAL"/>
    <s v="PATIO"/>
    <x v="10"/>
    <d v="2023-04-11T00:00:00"/>
    <m/>
    <m/>
    <s v="1.2.3.3 OPERACIONAL"/>
    <s v="GERENTE DE PATIO SENIOR"/>
    <n v="3679.83"/>
    <n v="1226.6099999999999"/>
    <n v="0"/>
    <n v="5497.23"/>
    <n v="245.32"/>
    <n v="0"/>
    <n v="367.98"/>
    <n v="0"/>
    <n v="0"/>
    <n v="0"/>
    <n v="0"/>
    <n v="0"/>
    <n v="0"/>
    <n v="0"/>
    <n v="0"/>
    <n v="0"/>
    <n v="0"/>
    <n v="7337.1399999999994"/>
    <n v="0"/>
    <n v="521.87"/>
    <n v="0"/>
    <n v="0"/>
    <n v="0"/>
    <n v="0"/>
    <n v="0"/>
    <n v="0"/>
    <n v="0"/>
    <n v="0"/>
    <n v="529.48"/>
    <n v="0"/>
    <n v="0"/>
    <n v="0"/>
    <n v="0"/>
    <n v="2748.61"/>
    <n v="0"/>
    <n v="0"/>
    <n v="0"/>
    <n v="0"/>
    <n v="0"/>
    <n v="3799.96"/>
    <n v="11137.099999999999"/>
    <m/>
    <n v="11137.099999999999"/>
  </r>
  <r>
    <s v="PEDRO FELIPE PINA DO NASCIMENTO"/>
    <d v="2026-03-01T00:00:00"/>
    <x v="0"/>
    <s v="G3S CMATRIZ - CAMPO GRANDE"/>
    <m/>
    <m/>
    <s v="20.947.332/0001-95"/>
    <s v="OPERACIONAL"/>
    <s v="PATIO"/>
    <x v="7"/>
    <d v="2025-12-10T00:00:00"/>
    <d v="2026-03-09T00:00:00"/>
    <m/>
    <s v="1.2.7.3 OPERACIONAL"/>
    <s v="AUXILIAR DE PATIO JUNIOR"/>
    <n v="21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n v="0"/>
    <n v="0"/>
    <n v="0"/>
    <n v="0"/>
    <n v="0"/>
    <n v="0"/>
    <n v="0"/>
    <n v="0"/>
    <n v="110.84"/>
    <n v="0"/>
    <n v="0"/>
    <n v="0"/>
    <n v="0"/>
    <n v="0"/>
    <n v="0"/>
    <n v="0"/>
    <n v="0"/>
    <n v="0"/>
    <n v="0"/>
    <n v="260.84000000000003"/>
    <n v="260.84000000000003"/>
    <m/>
    <n v="260.84000000000003"/>
  </r>
  <r>
    <s v="POLIANA CORREA DA SILVA"/>
    <d v="2026-03-01T00:00:00"/>
    <x v="0"/>
    <s v="G3S  FL 03 - DOURADOS"/>
    <m/>
    <m/>
    <s v="20.947.332/0003-57"/>
    <s v="ADMINISTRATIVO"/>
    <s v="ATENDIMENTO"/>
    <x v="6"/>
    <d v="2024-03-25T00:00:00"/>
    <m/>
    <m/>
    <s v="1.2.2.1 ADMINISTRATIVO"/>
    <s v="AUX ADMINISTRATIVO JUNIOR"/>
    <n v="2482.4"/>
    <n v="2482.4"/>
    <n v="0"/>
    <n v="0"/>
    <n v="0"/>
    <n v="0"/>
    <n v="0"/>
    <n v="0"/>
    <n v="0"/>
    <n v="0"/>
    <n v="1.88"/>
    <n v="585.54"/>
    <n v="112.6"/>
    <n v="0"/>
    <n v="0"/>
    <n v="0"/>
    <n v="0"/>
    <n v="3182.42"/>
    <n v="0"/>
    <n v="521.87"/>
    <n v="0"/>
    <n v="0"/>
    <n v="0"/>
    <n v="0"/>
    <n v="0"/>
    <n v="0"/>
    <n v="0"/>
    <n v="0"/>
    <n v="196.71"/>
    <n v="0"/>
    <n v="0"/>
    <n v="0"/>
    <n v="0"/>
    <n v="0"/>
    <n v="0"/>
    <n v="0"/>
    <n v="0"/>
    <n v="0"/>
    <n v="0"/>
    <n v="718.58"/>
    <n v="3901"/>
    <m/>
    <n v="3901"/>
  </r>
  <r>
    <s v="RAFAEL RAMIRES DE ARAUJO"/>
    <d v="2026-03-01T00:00:00"/>
    <x v="0"/>
    <s v="G3S CMATRIZ - CAMPO GRANDE"/>
    <m/>
    <m/>
    <s v="20.947.332/0001-95"/>
    <s v="OPERACIONAL"/>
    <s v="PATIO"/>
    <x v="7"/>
    <d v="2026-02-18T00:00:00"/>
    <m/>
    <m/>
    <s v="1.2.7.3 OPERACIONAL"/>
    <s v="AUXILIAR DE PATIO JUNIOR"/>
    <n v="2155"/>
    <n v="2155"/>
    <n v="0"/>
    <n v="0"/>
    <n v="0"/>
    <n v="0"/>
    <n v="0"/>
    <n v="0"/>
    <n v="0"/>
    <n v="0"/>
    <n v="0"/>
    <n v="0"/>
    <n v="0"/>
    <n v="0"/>
    <n v="0"/>
    <n v="0"/>
    <n v="0"/>
    <n v="2155"/>
    <n v="0"/>
    <n v="512.87"/>
    <n v="0"/>
    <n v="0"/>
    <n v="0"/>
    <n v="0"/>
    <n v="0"/>
    <n v="0"/>
    <n v="0"/>
    <n v="0"/>
    <n v="533.04"/>
    <n v="0"/>
    <n v="0"/>
    <n v="0"/>
    <n v="0"/>
    <n v="0"/>
    <n v="0"/>
    <n v="0"/>
    <n v="0"/>
    <n v="0"/>
    <n v="0"/>
    <n v="1045.9099999999999"/>
    <n v="3200.91"/>
    <m/>
    <n v="3200.91"/>
  </r>
  <r>
    <s v="RAMON FELIPE DE OLIVEIRA FREITAS"/>
    <d v="2026-03-01T00:00:00"/>
    <x v="0"/>
    <s v="G S FL 06 - CAMPO GRANDE"/>
    <m/>
    <m/>
    <s v="20.504.237/0006-21"/>
    <s v="LOGISTICA"/>
    <s v="TRANSPORTE"/>
    <x v="1"/>
    <d v="2022-05-17T00:00:00"/>
    <m/>
    <m/>
    <s v="1.7.4.4 LOGISTICA"/>
    <s v="MOTORISTA CARRETEIRO MANTENEDOR PLENO II"/>
    <n v="2746.46"/>
    <n v="2746.46"/>
    <n v="0"/>
    <n v="0"/>
    <n v="549.29"/>
    <n v="0"/>
    <n v="0"/>
    <n v="0"/>
    <n v="0"/>
    <n v="0"/>
    <n v="0"/>
    <n v="601.1"/>
    <n v="115.6"/>
    <n v="0"/>
    <n v="0"/>
    <n v="0"/>
    <n v="0"/>
    <n v="4012.45"/>
    <n v="0"/>
    <n v="521.87"/>
    <n v="0"/>
    <n v="0"/>
    <n v="0"/>
    <n v="385.2"/>
    <n v="0"/>
    <n v="0"/>
    <n v="0"/>
    <n v="0"/>
    <n v="533.04"/>
    <n v="0"/>
    <n v="0"/>
    <n v="554"/>
    <n v="0"/>
    <n v="0"/>
    <n v="0"/>
    <n v="96.2"/>
    <n v="0"/>
    <n v="0"/>
    <n v="0"/>
    <n v="2090.31"/>
    <n v="6102.76"/>
    <m/>
    <n v="6102.76"/>
  </r>
  <r>
    <s v="REGINALDO DELA COSTA"/>
    <d v="2026-03-01T00:00:00"/>
    <x v="0"/>
    <s v="G3S FL 05 - PRES PRUD"/>
    <m/>
    <m/>
    <s v="20.947.332/0005-19"/>
    <s v="LOGISTICA"/>
    <s v="TRANSPORTE"/>
    <x v="9"/>
    <d v="2018-05-14T00:00:00"/>
    <m/>
    <m/>
    <s v="1.3.1.4 LOGISTICA"/>
    <s v="MOTORISTA TRUCK MANTENEDOR SENIOR"/>
    <n v="2700"/>
    <n v="2700"/>
    <n v="0"/>
    <n v="0"/>
    <n v="540"/>
    <n v="0"/>
    <n v="0"/>
    <n v="0"/>
    <n v="0"/>
    <n v="135"/>
    <n v="0"/>
    <n v="838.76"/>
    <n v="161.30000000000001"/>
    <n v="0"/>
    <n v="0"/>
    <n v="0"/>
    <n v="0"/>
    <n v="4375.0600000000004"/>
    <n v="0"/>
    <n v="512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2.87"/>
    <n v="4887.93"/>
    <m/>
    <n v="4887.93"/>
  </r>
  <r>
    <s v="RIVAEL BARRETO DA SILVA"/>
    <d v="2026-03-01T00:00:00"/>
    <x v="0"/>
    <s v="G S FL 05 - BARUERI"/>
    <m/>
    <m/>
    <s v="20.504.237/0005-40"/>
    <s v="OPERACIONAL"/>
    <s v="TUPY/JOINVILLE - SC"/>
    <x v="8"/>
    <d v="2020-12-02T00:00:00"/>
    <m/>
    <m/>
    <s v="1.7.8.1.1 TUPY - JOINVILLE/S"/>
    <s v="OPERADOR MANTENEDOR SENIOR"/>
    <n v="3158.66"/>
    <n v="3158.66"/>
    <n v="0"/>
    <n v="0"/>
    <n v="631.73"/>
    <n v="0"/>
    <n v="0"/>
    <n v="0"/>
    <n v="0"/>
    <n v="0"/>
    <n v="0"/>
    <n v="279.11"/>
    <n v="53.68"/>
    <n v="0"/>
    <n v="0"/>
    <n v="0"/>
    <n v="0"/>
    <n v="4123.18"/>
    <n v="0"/>
    <n v="50"/>
    <n v="0"/>
    <n v="0"/>
    <n v="750"/>
    <n v="0"/>
    <n v="0"/>
    <n v="0"/>
    <n v="645"/>
    <n v="0"/>
    <n v="0"/>
    <n v="0"/>
    <n v="0"/>
    <n v="0"/>
    <n v="0"/>
    <n v="0"/>
    <n v="0"/>
    <n v="0"/>
    <n v="0"/>
    <n v="0"/>
    <n v="0"/>
    <n v="1445"/>
    <n v="5568.18"/>
    <m/>
    <n v="5568.18"/>
  </r>
  <r>
    <s v="ROBERTO DOS SANTOS"/>
    <d v="2026-03-01T00:00:00"/>
    <x v="0"/>
    <s v="G3S FL 05 - PRES PRUD"/>
    <m/>
    <m/>
    <s v="20.947.332/0005-19"/>
    <s v="COMERCIAL"/>
    <s v="VENDAS"/>
    <x v="9"/>
    <d v="2019-10-23T00:00:00"/>
    <m/>
    <m/>
    <s v="1.3.1.2 COMERCIAL"/>
    <s v="VENDEDOR(A)"/>
    <n v="0"/>
    <n v="0"/>
    <n v="0"/>
    <n v="0"/>
    <n v="0"/>
    <n v="0"/>
    <n v="0"/>
    <n v="0"/>
    <n v="0"/>
    <n v="0"/>
    <n v="0"/>
    <n v="0"/>
    <n v="0"/>
    <n v="5669.28"/>
    <n v="1090.25"/>
    <n v="0"/>
    <n v="0"/>
    <n v="6759.53"/>
    <n v="0"/>
    <n v="512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2.87"/>
    <n v="7272.4"/>
    <m/>
    <n v="7272.4"/>
  </r>
  <r>
    <s v="ROBERTT FERNANDO SIQUEIRA"/>
    <d v="2026-03-01T00:00:00"/>
    <x v="0"/>
    <s v="G S FL 05 - BARUERI"/>
    <m/>
    <m/>
    <s v="20.504.237/0005-40"/>
    <s v="OPERACIONAL"/>
    <s v="ARCELOR/BARRA MANSA - RJ"/>
    <x v="8"/>
    <d v="2024-08-16T00:00:00"/>
    <m/>
    <m/>
    <s v="1.7.1.3.1 ARCELOR/BARRA MANS"/>
    <s v="OPERADOR MANTENEDOR PLENO"/>
    <n v="2816.11"/>
    <n v="2816.11"/>
    <n v="0"/>
    <n v="0"/>
    <n v="563.22"/>
    <n v="0"/>
    <n v="0"/>
    <n v="0"/>
    <n v="0"/>
    <n v="0"/>
    <n v="50.91"/>
    <n v="0"/>
    <n v="0"/>
    <n v="0"/>
    <n v="0"/>
    <n v="0"/>
    <n v="0"/>
    <n v="3430.24"/>
    <n v="0"/>
    <n v="250"/>
    <n v="0"/>
    <n v="0"/>
    <n v="0"/>
    <n v="0"/>
    <n v="0"/>
    <n v="0"/>
    <n v="0"/>
    <n v="893.2"/>
    <n v="0"/>
    <n v="0"/>
    <n v="0"/>
    <n v="0"/>
    <n v="0"/>
    <n v="0"/>
    <n v="0"/>
    <n v="0"/>
    <n v="0"/>
    <n v="0"/>
    <n v="0"/>
    <n v="1143.2"/>
    <n v="4573.4399999999996"/>
    <m/>
    <n v="4573.4399999999996"/>
  </r>
  <r>
    <s v="RODOLFO SALU DE OLIVEIRA"/>
    <d v="2026-03-01T00:00:00"/>
    <x v="0"/>
    <s v="G3S  FL 03 - DOURADOS"/>
    <m/>
    <m/>
    <s v="20.947.332/0003-57"/>
    <s v="OPERACIONAL"/>
    <s v="PATIO"/>
    <x v="6"/>
    <d v="2025-03-17T00:00:00"/>
    <m/>
    <m/>
    <s v="1.2.2.3 OPERACIONAL"/>
    <s v="MACARIQUEIRO PLENO"/>
    <n v="2587.5"/>
    <n v="2587.5"/>
    <n v="0"/>
    <n v="0"/>
    <n v="0"/>
    <n v="0"/>
    <n v="0"/>
    <n v="0"/>
    <n v="0"/>
    <n v="0"/>
    <n v="2.0499999999999998"/>
    <n v="0"/>
    <n v="0"/>
    <n v="0"/>
    <n v="0"/>
    <n v="0"/>
    <n v="0"/>
    <n v="2589.5500000000002"/>
    <n v="0"/>
    <n v="512.87"/>
    <n v="0"/>
    <n v="0"/>
    <n v="0"/>
    <n v="0"/>
    <n v="0"/>
    <n v="0"/>
    <n v="0"/>
    <n v="0"/>
    <n v="196.71"/>
    <n v="0"/>
    <n v="0"/>
    <n v="0"/>
    <n v="0"/>
    <n v="0"/>
    <n v="0"/>
    <n v="0"/>
    <n v="0"/>
    <n v="0"/>
    <n v="0"/>
    <n v="709.58"/>
    <n v="3299.13"/>
    <m/>
    <n v="3299.13"/>
  </r>
  <r>
    <s v="RUBENS DE ARAUJO MOTA"/>
    <d v="2026-03-01T00:00:00"/>
    <x v="0"/>
    <s v="G S FL 04 - MARINGA"/>
    <m/>
    <m/>
    <s v="20.504.237/0004-60"/>
    <s v="LOGISTICA"/>
    <s v="TRANSPORTE"/>
    <x v="3"/>
    <d v="2025-01-07T00:00:00"/>
    <d v="2026-03-30T00:00:00"/>
    <m/>
    <s v="1.7.7.4 LOGISTICA"/>
    <s v="MOTORISTA CARRETEIRO MANTENEDOR SENIOR I"/>
    <n v="3345"/>
    <n v="0"/>
    <n v="0"/>
    <n v="0"/>
    <n v="669"/>
    <n v="0"/>
    <n v="0"/>
    <n v="0"/>
    <n v="0"/>
    <n v="0"/>
    <n v="0"/>
    <n v="1996.66"/>
    <n v="399.33"/>
    <n v="0"/>
    <n v="0"/>
    <n v="0"/>
    <n v="0"/>
    <n v="3064.99"/>
    <n v="0"/>
    <n v="500"/>
    <n v="0"/>
    <n v="0"/>
    <n v="0"/>
    <n v="914.98"/>
    <n v="0"/>
    <n v="0"/>
    <n v="0"/>
    <n v="0"/>
    <n v="252.45"/>
    <n v="0"/>
    <n v="0"/>
    <n v="555.64"/>
    <n v="0"/>
    <n v="0"/>
    <n v="0"/>
    <n v="0"/>
    <n v="0"/>
    <n v="0"/>
    <n v="0"/>
    <n v="2223.0700000000002"/>
    <n v="5288.0599999999995"/>
    <m/>
    <n v="5288.0599999999995"/>
  </r>
  <r>
    <s v="SANDRILEI MOREIRA JUNIOR"/>
    <d v="2026-03-01T00:00:00"/>
    <x v="0"/>
    <s v="G S FL 05 - BARUERI"/>
    <m/>
    <m/>
    <s v="20.504.237/0005-40"/>
    <s v="OPERACIONAL"/>
    <s v="ARCELOR/BARRA MANSA - RJ"/>
    <x v="8"/>
    <d v="2025-03-12T00:00:00"/>
    <m/>
    <m/>
    <s v="1.7.1.3.1 ARCELOR/BARRA MANS"/>
    <s v="OPERADOR MANTENEDOR PLENO"/>
    <n v="2816.11"/>
    <n v="2816.11"/>
    <n v="0"/>
    <n v="0"/>
    <n v="563.22"/>
    <n v="0"/>
    <n v="0"/>
    <n v="0"/>
    <n v="0"/>
    <n v="0"/>
    <n v="85.35"/>
    <n v="195.85"/>
    <n v="37.659999999999997"/>
    <n v="0"/>
    <n v="0"/>
    <n v="0"/>
    <n v="0"/>
    <n v="3698.1899999999996"/>
    <n v="0"/>
    <n v="250"/>
    <n v="0"/>
    <n v="0"/>
    <n v="0"/>
    <n v="0"/>
    <n v="0"/>
    <n v="0"/>
    <n v="0"/>
    <n v="750.6"/>
    <n v="0"/>
    <n v="0"/>
    <n v="0"/>
    <n v="0"/>
    <n v="0"/>
    <n v="0"/>
    <n v="0"/>
    <n v="0"/>
    <n v="0"/>
    <n v="0"/>
    <n v="0"/>
    <n v="1000.6"/>
    <n v="4698.79"/>
    <m/>
    <n v="4698.79"/>
  </r>
  <r>
    <s v="SERGIO LUIZ RIBEIRO"/>
    <d v="2026-03-01T00:00:00"/>
    <x v="0"/>
    <s v="G S FL 05 - BARUERI"/>
    <m/>
    <m/>
    <s v="20.504.237/0005-40"/>
    <s v="OPERACIONAL"/>
    <s v="RESENDE - RJ"/>
    <x v="8"/>
    <d v="2025-11-05T00:00:00"/>
    <m/>
    <m/>
    <s v="1.7.1.2.1 ARCELOR/ RESENDE/R"/>
    <s v="OPERADOR MANTENEDOR SENIOR"/>
    <n v="3158.66"/>
    <n v="3158.66"/>
    <n v="0"/>
    <n v="0"/>
    <n v="631.73"/>
    <n v="0"/>
    <n v="0"/>
    <n v="0"/>
    <n v="0"/>
    <n v="0"/>
    <n v="64.03"/>
    <n v="0"/>
    <n v="0"/>
    <n v="0"/>
    <n v="0"/>
    <n v="0"/>
    <n v="0"/>
    <n v="3854.42"/>
    <n v="0"/>
    <n v="512.87"/>
    <n v="0"/>
    <n v="0"/>
    <n v="0"/>
    <n v="0"/>
    <n v="812.97"/>
    <n v="0"/>
    <n v="0"/>
    <n v="0"/>
    <n v="0"/>
    <n v="0"/>
    <n v="0"/>
    <n v="0"/>
    <n v="0"/>
    <n v="0"/>
    <n v="0"/>
    <n v="0"/>
    <n v="0"/>
    <n v="0"/>
    <n v="0"/>
    <n v="1325.8400000000001"/>
    <n v="5180.26"/>
    <m/>
    <n v="5180.26"/>
  </r>
  <r>
    <s v="SILVANO VIEIRA DE SANTANA"/>
    <d v="2026-03-01T00:00:00"/>
    <x v="0"/>
    <s v="G S FL 05 - BARUERI"/>
    <m/>
    <m/>
    <s v="20.504.237/0005-40"/>
    <s v="LOGISTICA"/>
    <s v="TRANSPORTE"/>
    <x v="1"/>
    <d v="2021-02-11T00:00:00"/>
    <m/>
    <m/>
    <s v="1.7.3.3 OPERACIONAL"/>
    <s v="MOTORISTA CARRETEIRO MANTENEDOR SENIOR III"/>
    <n v="3287.33"/>
    <n v="3287.33"/>
    <n v="0"/>
    <n v="0"/>
    <n v="657.47"/>
    <n v="0"/>
    <n v="0"/>
    <n v="0"/>
    <n v="0"/>
    <n v="0"/>
    <n v="0"/>
    <n v="313.79000000000002"/>
    <n v="60.34"/>
    <n v="0"/>
    <n v="0"/>
    <n v="0"/>
    <n v="0"/>
    <n v="4318.93"/>
    <n v="0"/>
    <n v="512.87"/>
    <n v="0"/>
    <n v="0"/>
    <n v="0"/>
    <n v="0"/>
    <n v="1120"/>
    <n v="0"/>
    <n v="0"/>
    <n v="0"/>
    <n v="0"/>
    <n v="0"/>
    <n v="0"/>
    <n v="1502"/>
    <n v="0"/>
    <n v="0"/>
    <n v="0"/>
    <n v="0"/>
    <n v="0"/>
    <n v="0"/>
    <n v="0"/>
    <n v="3134.87"/>
    <n v="7453.8"/>
    <m/>
    <n v="7453.8"/>
  </r>
  <r>
    <s v="THAIS BARBOSA DA SILVA ROSA"/>
    <d v="2026-03-01T00:00:00"/>
    <x v="0"/>
    <s v="G3S FL 10 - PRES PRUD"/>
    <m/>
    <m/>
    <s v="20.947.332/0010-86"/>
    <s v="ADMINISTRATIVO"/>
    <s v="ATENDIMENTO"/>
    <x v="4"/>
    <d v="2024-01-10T00:00:00"/>
    <m/>
    <m/>
    <s v="1.2.5.1 ADMINISTRATIVO"/>
    <s v="AUX ADMINISTRATIVO JUNIOR"/>
    <n v="2465"/>
    <n v="2465"/>
    <n v="0"/>
    <n v="0"/>
    <n v="0"/>
    <n v="0"/>
    <n v="0"/>
    <n v="0"/>
    <n v="0"/>
    <n v="0"/>
    <n v="0"/>
    <n v="0"/>
    <n v="0"/>
    <n v="0"/>
    <n v="0"/>
    <n v="0"/>
    <n v="246.5"/>
    <n v="2711.5"/>
    <n v="0"/>
    <n v="521.87"/>
    <n v="0"/>
    <n v="0"/>
    <n v="0"/>
    <n v="0"/>
    <n v="0"/>
    <n v="0"/>
    <n v="0"/>
    <n v="0"/>
    <n v="579.34"/>
    <n v="0"/>
    <n v="0"/>
    <n v="0"/>
    <n v="0"/>
    <n v="0"/>
    <n v="0"/>
    <n v="0"/>
    <n v="0"/>
    <n v="0"/>
    <n v="0"/>
    <n v="1101.21"/>
    <n v="3812.71"/>
    <m/>
    <n v="3812.71"/>
  </r>
  <r>
    <s v="THAIS SILVA ROCHA"/>
    <d v="2026-03-01T00:00:00"/>
    <x v="0"/>
    <s v="G S MATRIZ - PRES PRUD"/>
    <m/>
    <m/>
    <s v="20.504.237/0001-17"/>
    <s v="INTRA-LOGISTICA"/>
    <s v="ADMINISTRATIVO"/>
    <x v="8"/>
    <d v="2025-10-01T00:00:00"/>
    <m/>
    <m/>
    <s v="1.7.1.1  APOIO"/>
    <s v="ANALISTA ADMINISTRATIVO OPERACIONAL JUNIOR"/>
    <n v="2500"/>
    <n v="2500"/>
    <n v="0"/>
    <n v="0"/>
    <n v="0"/>
    <n v="0"/>
    <n v="0"/>
    <n v="0"/>
    <n v="0"/>
    <n v="0"/>
    <n v="0"/>
    <n v="0"/>
    <n v="0"/>
    <n v="0"/>
    <n v="0"/>
    <n v="0"/>
    <n v="0"/>
    <n v="2500"/>
    <n v="0"/>
    <n v="521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1.87"/>
    <n v="3021.87"/>
    <m/>
    <n v="3021.87"/>
  </r>
  <r>
    <s v="THIAGO OLIVEIRA DOS SANTOS"/>
    <d v="2026-03-01T00:00:00"/>
    <x v="0"/>
    <s v="G3S FL 05 - PRES PRUD"/>
    <m/>
    <m/>
    <s v="20.947.332/0005-19"/>
    <s v="OPERACIONAL"/>
    <s v="CORTE E DOBRA"/>
    <x v="9"/>
    <d v="2014-05-27T00:00:00"/>
    <m/>
    <m/>
    <s v="1.3.1.5 CORTE E DOBRA"/>
    <s v="GERENTE DE PATIO JUNIOR"/>
    <n v="3056.81"/>
    <n v="3056.81"/>
    <n v="0"/>
    <n v="0"/>
    <n v="611.36"/>
    <n v="0"/>
    <n v="0"/>
    <n v="0"/>
    <n v="0"/>
    <n v="0"/>
    <n v="0"/>
    <n v="534.89"/>
    <n v="102.86"/>
    <n v="0"/>
    <n v="0"/>
    <n v="0"/>
    <n v="0"/>
    <n v="4305.92"/>
    <n v="0"/>
    <n v="521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1.87"/>
    <n v="4827.79"/>
    <m/>
    <n v="4827.79"/>
  </r>
  <r>
    <s v="TIAGO LUIS DE SOUZA"/>
    <d v="2026-03-01T00:00:00"/>
    <x v="0"/>
    <s v="G S FL 07 - LONDRINA"/>
    <m/>
    <m/>
    <s v="20.504.237/0007-02"/>
    <s v="OPERACIONAL"/>
    <s v="PATIO"/>
    <x v="10"/>
    <d v="2024-10-29T00:00:00"/>
    <m/>
    <m/>
    <s v="1.2.3.3 OPERACIONAL"/>
    <s v="OPERADOR MANTENEDOR JR"/>
    <n v="2610"/>
    <n v="2610"/>
    <n v="0"/>
    <n v="0"/>
    <n v="522"/>
    <n v="0"/>
    <n v="0"/>
    <n v="0"/>
    <n v="0"/>
    <n v="0"/>
    <n v="0"/>
    <n v="614.16"/>
    <n v="118.11"/>
    <n v="0"/>
    <n v="0"/>
    <n v="0"/>
    <n v="0"/>
    <n v="3864.27"/>
    <n v="0"/>
    <n v="512.87"/>
    <n v="0"/>
    <n v="0"/>
    <n v="0"/>
    <n v="0"/>
    <n v="0"/>
    <n v="0"/>
    <n v="0"/>
    <n v="0"/>
    <n v="529.48"/>
    <n v="0"/>
    <n v="0"/>
    <n v="0"/>
    <n v="0"/>
    <n v="0"/>
    <n v="0"/>
    <n v="0"/>
    <n v="0"/>
    <n v="0"/>
    <n v="0"/>
    <n v="1042.3499999999999"/>
    <n v="4906.62"/>
    <m/>
    <n v="4906.62"/>
  </r>
  <r>
    <s v="VALTER LEITE VIEIRA"/>
    <d v="2026-03-01T00:00:00"/>
    <x v="0"/>
    <s v="G3S FL 06 - MARINGA"/>
    <m/>
    <m/>
    <s v="20.947.332/0006-08"/>
    <s v="OPERACIONAL"/>
    <s v="PATIO"/>
    <x v="3"/>
    <d v="2020-08-24T00:00:00"/>
    <m/>
    <m/>
    <s v="1.2.4.3 OPERACIONAL"/>
    <s v="GERENTE DE PATIO SENIOR"/>
    <n v="3679.83"/>
    <n v="3679.83"/>
    <n v="0"/>
    <n v="0"/>
    <n v="735.97"/>
    <n v="0"/>
    <n v="1103.95"/>
    <n v="0"/>
    <n v="0"/>
    <n v="0"/>
    <n v="0"/>
    <n v="198.02"/>
    <n v="38.08"/>
    <n v="0"/>
    <n v="0"/>
    <n v="0"/>
    <n v="0"/>
    <n v="5755.85"/>
    <n v="0"/>
    <n v="512.87"/>
    <n v="0"/>
    <n v="0"/>
    <n v="0"/>
    <n v="0"/>
    <n v="0"/>
    <n v="0"/>
    <n v="0"/>
    <n v="0"/>
    <n v="781.93"/>
    <n v="0"/>
    <n v="0"/>
    <n v="0"/>
    <n v="0"/>
    <n v="0"/>
    <n v="0"/>
    <n v="0"/>
    <n v="0"/>
    <n v="0"/>
    <n v="0"/>
    <n v="1294.8"/>
    <n v="7050.6500000000005"/>
    <m/>
    <n v="7050.6500000000005"/>
  </r>
  <r>
    <s v="VINICIUS LIMA SALDANHA"/>
    <d v="2026-03-01T00:00:00"/>
    <x v="0"/>
    <s v="G3S  FL 03 - DOURADOS"/>
    <m/>
    <m/>
    <s v="20.947.332/0003-57"/>
    <s v="OPERACIONAL"/>
    <s v="PATIO"/>
    <x v="6"/>
    <d v="2022-05-19T00:00:00"/>
    <m/>
    <m/>
    <s v="1.2.2.3 OPERACIONAL"/>
    <s v="GERENTE DE PATIO SENIOR"/>
    <n v="3679.83"/>
    <n v="1226.6099999999999"/>
    <n v="0"/>
    <n v="6114.99"/>
    <n v="245.32"/>
    <n v="0"/>
    <n v="367.98"/>
    <n v="0"/>
    <n v="0"/>
    <n v="0"/>
    <n v="4.5"/>
    <n v="1625.4"/>
    <n v="361.2"/>
    <n v="0"/>
    <n v="0"/>
    <n v="0"/>
    <n v="0"/>
    <n v="9946"/>
    <n v="0"/>
    <n v="512.87"/>
    <n v="0"/>
    <n v="0"/>
    <n v="0"/>
    <n v="0"/>
    <n v="0"/>
    <n v="0"/>
    <n v="0"/>
    <n v="0"/>
    <n v="196.71"/>
    <n v="0"/>
    <n v="0"/>
    <n v="237.5"/>
    <n v="0"/>
    <n v="3057.49"/>
    <n v="0"/>
    <n v="0"/>
    <n v="0"/>
    <n v="0"/>
    <n v="3679.83"/>
    <n v="7684.4"/>
    <n v="17630.400000000001"/>
    <m/>
    <n v="17630.400000000001"/>
  </r>
  <r>
    <s v="WAGNER APARECIDO DO NASCIMENTO"/>
    <d v="2026-03-01T00:00:00"/>
    <x v="0"/>
    <s v="G S FL 05 - BARUERI"/>
    <m/>
    <m/>
    <s v="20.504.237/0005-40"/>
    <s v="LOGISTICA"/>
    <s v="PRENSA MOVEL"/>
    <x v="1"/>
    <d v="2020-01-28T00:00:00"/>
    <m/>
    <m/>
    <s v="1.7.3.3 OPERACIONAL"/>
    <s v="MOTORISTA CARRETEIRO MANTENEDOR SENIOR II"/>
    <n v="3091.39"/>
    <n v="3091.39"/>
    <n v="0"/>
    <n v="0"/>
    <n v="618.28"/>
    <n v="0"/>
    <n v="0"/>
    <n v="0"/>
    <n v="0"/>
    <n v="0"/>
    <n v="0"/>
    <n v="646.94000000000005"/>
    <n v="124.41"/>
    <n v="0"/>
    <n v="0"/>
    <n v="0"/>
    <n v="0"/>
    <n v="4481.0200000000004"/>
    <n v="0"/>
    <n v="512.87"/>
    <n v="0"/>
    <n v="0"/>
    <n v="2205"/>
    <n v="0"/>
    <n v="0"/>
    <n v="0"/>
    <n v="250"/>
    <n v="0"/>
    <n v="0"/>
    <n v="0"/>
    <n v="0"/>
    <n v="2730"/>
    <n v="0"/>
    <n v="0"/>
    <n v="0"/>
    <n v="0"/>
    <n v="0"/>
    <n v="0"/>
    <n v="0"/>
    <n v="5697.87"/>
    <n v="10178.89"/>
    <m/>
    <n v="10178.89"/>
  </r>
  <r>
    <s v="WALLANCE ALIEL FURTADO"/>
    <d v="2026-03-01T00:00:00"/>
    <x v="0"/>
    <s v="G S FL 05 - BARUERI"/>
    <m/>
    <m/>
    <s v="20.504.237/0005-40"/>
    <s v="OPERACIONAL"/>
    <s v="ARCELOR/BARRA MANSA - RJ"/>
    <x v="8"/>
    <d v="2022-11-11T00:00:00"/>
    <m/>
    <m/>
    <s v="1.7.1.3.1 ARCELOR/BARRA MANS"/>
    <s v="OPERADOR MANTENEDOR SENIOR"/>
    <n v="3158.66"/>
    <n v="3158.66"/>
    <n v="0"/>
    <n v="0"/>
    <n v="631.73"/>
    <n v="0"/>
    <n v="0"/>
    <n v="0"/>
    <n v="0"/>
    <n v="0"/>
    <n v="43.61"/>
    <n v="0"/>
    <n v="0"/>
    <n v="0"/>
    <n v="0"/>
    <n v="0"/>
    <n v="0"/>
    <n v="3834"/>
    <n v="0"/>
    <n v="250"/>
    <n v="0"/>
    <n v="0"/>
    <n v="0"/>
    <n v="0"/>
    <n v="0"/>
    <n v="0"/>
    <n v="0"/>
    <n v="742.5"/>
    <n v="0"/>
    <n v="0"/>
    <n v="0"/>
    <n v="0"/>
    <n v="0"/>
    <n v="0"/>
    <n v="0"/>
    <n v="0"/>
    <n v="0"/>
    <n v="0"/>
    <n v="0"/>
    <n v="992.5"/>
    <n v="4826.5"/>
    <m/>
    <n v="4826.5"/>
  </r>
  <r>
    <s v="WILGNER DAVALO DA SILVA"/>
    <d v="2026-03-01T00:00:00"/>
    <x v="0"/>
    <s v="G3S FL 10 - PRES PRUD"/>
    <m/>
    <m/>
    <s v="20.947.332/0010-86"/>
    <s v="ADMINISTRATIVO"/>
    <s v="FINANCEIRO"/>
    <x v="2"/>
    <d v="2024-09-27T00:00:00"/>
    <m/>
    <m/>
    <s v="1.1.3 FINANCEIRO"/>
    <s v="ANALISTA FINANCEIRO JUNIOR"/>
    <n v="2656.25"/>
    <n v="2656.25"/>
    <n v="0"/>
    <n v="0"/>
    <n v="0"/>
    <n v="0"/>
    <n v="0"/>
    <n v="0"/>
    <n v="0"/>
    <n v="0"/>
    <n v="0"/>
    <n v="0"/>
    <n v="0"/>
    <n v="0"/>
    <n v="0"/>
    <n v="0"/>
    <n v="0"/>
    <n v="2656.25"/>
    <n v="0"/>
    <n v="521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1.87"/>
    <n v="3178.12"/>
    <m/>
    <n v="3178.12"/>
  </r>
  <r>
    <s v="WILLIAM CRISTIAN LUPION"/>
    <d v="2026-03-01T00:00:00"/>
    <x v="0"/>
    <s v="G S FL 04 - MARINGA"/>
    <m/>
    <m/>
    <s v="20.504.237/0004-60"/>
    <s v="LOGISTICA"/>
    <s v="TRANSPORTE"/>
    <x v="3"/>
    <d v="2023-07-10T00:00:00"/>
    <m/>
    <m/>
    <s v="1.7.7.4 LOGISTICA"/>
    <s v="MOTORISTA CARRETEIRO MANTENEDOR SENIOR I"/>
    <n v="3345"/>
    <n v="3345"/>
    <n v="0"/>
    <n v="0"/>
    <n v="669"/>
    <n v="0"/>
    <n v="0"/>
    <n v="0"/>
    <n v="0"/>
    <n v="0"/>
    <n v="2.97"/>
    <n v="1235.55"/>
    <n v="237.61"/>
    <n v="0"/>
    <n v="0"/>
    <n v="0"/>
    <n v="0"/>
    <n v="5490.1299999999992"/>
    <n v="0"/>
    <n v="512.87"/>
    <n v="0"/>
    <n v="0"/>
    <n v="0"/>
    <n v="686.3"/>
    <n v="0"/>
    <n v="0"/>
    <n v="0"/>
    <n v="0"/>
    <n v="252.45"/>
    <n v="0"/>
    <n v="0"/>
    <n v="776.61"/>
    <n v="0"/>
    <n v="0"/>
    <n v="0"/>
    <n v="0"/>
    <n v="0"/>
    <n v="0"/>
    <n v="0"/>
    <n v="2228.23"/>
    <n v="7718.3599999999988"/>
    <m/>
    <n v="7718.3599999999988"/>
  </r>
  <r>
    <s v="BRUNA RIBEIRO SANCHEZ"/>
    <d v="2026-03-01T00:00:00"/>
    <x v="2"/>
    <s v="G3S FL 10 - PRES PRUD"/>
    <m/>
    <m/>
    <s v="20.947.332/0010-86"/>
    <s v="GESTÃO DE GENTE"/>
    <s v="DEPTO PESSOAL"/>
    <x v="2"/>
    <d v="2026-02-18T00:00:00"/>
    <m/>
    <m/>
    <s v="1.1.10 PESSOAS"/>
    <s v="AUXILIAR ADMINISTRATIVO - ESTAGIARIO(A)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521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1.87"/>
    <n v="1521.87"/>
    <m/>
    <n v="1521.87"/>
  </r>
  <r>
    <s v="CAIO MURILO SPINDOLA DOS SANTOS"/>
    <d v="2026-03-01T00:00:00"/>
    <x v="2"/>
    <s v="G3S FL 10 - PRES PRUD"/>
    <m/>
    <m/>
    <s v="20.947.332/0010-86"/>
    <s v="COMERCIAL"/>
    <s v="COMERCIAL"/>
    <x v="1"/>
    <d v="2025-10-20T00:00:00"/>
    <m/>
    <m/>
    <s v="1.2.1.1 APOIO"/>
    <s v="AUXILIAR COMERCIAL - ESTAGIARIO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512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12.87"/>
    <n v="1512.87"/>
    <m/>
    <n v="1512.87"/>
  </r>
  <r>
    <s v="EDUARDO PEDRETTI ARRUDA RONCHESEL"/>
    <d v="2026-03-01T00:00:00"/>
    <x v="2"/>
    <s v="G3S FL 05 - PRES PRUD"/>
    <m/>
    <m/>
    <s v="20.947.332/0005-19"/>
    <s v="ADMINISTRATIVO"/>
    <s v="COMERCIAL"/>
    <x v="9"/>
    <d v="2026-02-18T00:00:00"/>
    <m/>
    <m/>
    <s v="1.3.1.1 ADMINISTRATIVO"/>
    <s v="AUXILIAR FINANCEIRO - ESTAGIARIO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521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1.87"/>
    <n v="1521.87"/>
    <m/>
    <n v="1521.87"/>
  </r>
  <r>
    <s v="ESTER TAVARES FERREIRA"/>
    <d v="2026-03-01T00:00:00"/>
    <x v="2"/>
    <s v="G3S FL 10 - PRES PRUD"/>
    <m/>
    <m/>
    <s v="20.947.332/0010-86"/>
    <s v="COMERCIAL"/>
    <s v="COMERCIAL"/>
    <x v="1"/>
    <d v="2026-02-02T00:00:00"/>
    <m/>
    <m/>
    <s v="1.2.1.1 APOIO"/>
    <s v="AUXILIAR COMERCIAL - ESTAGIARIO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1500"/>
    <n v="21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1.88"/>
    <n v="1521.88"/>
    <m/>
    <n v="1521.88"/>
  </r>
  <r>
    <s v="GABRIEL SATOSHI DA SILVA SAKATA"/>
    <d v="2026-03-01T00:00:00"/>
    <x v="2"/>
    <s v="G3S FL 10 - PRES PRUD"/>
    <m/>
    <m/>
    <s v="20.947.332/0010-86"/>
    <s v="ADMINISTRATIVO"/>
    <s v="SUPRIMENTOS"/>
    <x v="2"/>
    <d v="2025-06-02T00:00:00"/>
    <m/>
    <m/>
    <s v="1.1.14 SUPRIMENTOS"/>
    <s v="AUXILIAR ADMINISTRATIVO - ESTAGIARIO(A)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521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1.87"/>
    <n v="1521.87"/>
    <m/>
    <n v="1521.87"/>
  </r>
  <r>
    <s v="HELENA SOARES GOES DA SILVA"/>
    <d v="2026-03-01T00:00:00"/>
    <x v="2"/>
    <s v="G3S FL 05 - PRES PRUD"/>
    <m/>
    <m/>
    <s v="20.947.332/0005-19"/>
    <s v="COMERCIAL"/>
    <s v="COMERCIAL"/>
    <x v="9"/>
    <d v="2025-01-06T00:00:00"/>
    <m/>
    <m/>
    <s v="1.3.1.2 COMERCIAL"/>
    <s v="AUXILIAR COMERCIAL - ESTAGIARIO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521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1.87"/>
    <n v="1521.87"/>
    <m/>
    <n v="1521.87"/>
  </r>
  <r>
    <s v="ISADORA THAYNA VIOTTO DIAS"/>
    <d v="2026-03-01T00:00:00"/>
    <x v="2"/>
    <s v="G3S FL 10 - PRES PRUD"/>
    <m/>
    <m/>
    <s v="20.947.332/0010-86"/>
    <s v="ADMINISTRATIVO"/>
    <s v="ADMINISTRATIVO"/>
    <x v="11"/>
    <d v="2025-11-12T00:00:00"/>
    <m/>
    <m/>
    <s v="1.8.1 ADMINISTRATIVO"/>
    <s v="AUXILIAR ADMINISTRATIVO - ESTAGIARIO(A)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521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1.87"/>
    <n v="1521.87"/>
    <m/>
    <n v="1521.87"/>
  </r>
  <r>
    <s v="JOAO EMANUEL SANTOS SILVA"/>
    <d v="2026-03-01T00:00:00"/>
    <x v="2"/>
    <s v="G3S FL 10 - PRES PRUD"/>
    <m/>
    <m/>
    <s v="20.947.332/0010-86"/>
    <s v="ADMINISTRATIVO"/>
    <s v="FINANCEIRO"/>
    <x v="2"/>
    <d v="2025-10-28T00:00:00"/>
    <m/>
    <m/>
    <s v="1.1.3 FINANCEIRO"/>
    <s v="AUXILIAR FINANCEIRO - ESTAGIARIO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521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1.87"/>
    <n v="1521.87"/>
    <m/>
    <n v="1521.87"/>
  </r>
  <r>
    <s v="JOAO PAULO MARTINS OZORES"/>
    <d v="2026-03-01T00:00:00"/>
    <x v="2"/>
    <s v="G3S FL 10 - PRES PRUD"/>
    <m/>
    <m/>
    <s v="20.947.332/0010-86"/>
    <s v="ADMINISTRATIVO"/>
    <s v="SUPRIMENTOS"/>
    <x v="2"/>
    <d v="2025-09-29T00:00:00"/>
    <m/>
    <m/>
    <s v="1.1.14 SUPRIMENTOS"/>
    <s v="AUXILIAR ADMINISTRATIVO - ESTAGIARIO(A)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521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1.87"/>
    <n v="1521.87"/>
    <m/>
    <n v="1521.87"/>
  </r>
  <r>
    <s v="MELISSA DE FREITAS ORRIGO"/>
    <d v="2026-03-01T00:00:00"/>
    <x v="2"/>
    <s v="G3S FL 10 - PRES PRUD"/>
    <m/>
    <m/>
    <s v="20.947.332/0010-86"/>
    <s v="COMERCIAL"/>
    <s v="COMERCIAL"/>
    <x v="1"/>
    <d v="2025-06-16T00:00:00"/>
    <m/>
    <m/>
    <s v="1.2.1.1 APOIO"/>
    <s v="AUXILIAR COMERCIAL - ESTAGIARIO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521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1.87"/>
    <n v="1521.87"/>
    <m/>
    <n v="1521.87"/>
  </r>
  <r>
    <s v="PEDRO MARQUES GUARNIERI"/>
    <d v="2026-03-01T00:00:00"/>
    <x v="2"/>
    <s v="G3S FL 10 - PRES PRUD"/>
    <m/>
    <m/>
    <s v="20.947.332/0010-86"/>
    <s v="ADMINISTRATIVO"/>
    <s v="QUALIDADE"/>
    <x v="2"/>
    <d v="2025-05-13T00:00:00"/>
    <d v="2026-03-20T00:00:00"/>
    <s v="HUGO"/>
    <s v="1.1.5 QUALIDADE"/>
    <s v="AUXILIAR ADMINISTRATIVO - ESTAGIARIO(A)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666.67"/>
    <n v="521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88.54"/>
    <n v="1188.54"/>
    <m/>
    <n v="1188.54"/>
  </r>
  <r>
    <s v="MURILO BONI CANDIDO"/>
    <d v="2026-03-01T00:00:00"/>
    <x v="2"/>
    <s v="G S MATRIZ - PRES PRUD"/>
    <m/>
    <m/>
    <s v="20.504.237/0001-17"/>
    <s v="INTRA-LOGISTICA"/>
    <s v="ADMINISTRATIVO"/>
    <x v="8"/>
    <d v="2026-03-02T00:00:00"/>
    <m/>
    <s v="HUGO"/>
    <s v="1.7.2.1  ADMINISTRATIVO"/>
    <s v="AUXILIAR DE MARKETING - ESTAGIARIO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0"/>
    <n v="1500"/>
    <m/>
    <n v="1500"/>
  </r>
  <r>
    <s v="FERNANDO THALLES SOUZA OLIVEIRA"/>
    <d v="2026-03-01T00:00:00"/>
    <x v="2"/>
    <s v="G S MATRIZ - PRES PRUD"/>
    <m/>
    <m/>
    <s v="20.504.237/0001-17"/>
    <s v="INTRA-LOGISTICA"/>
    <s v="ADMINISTRATIVO"/>
    <x v="8"/>
    <d v="2026-03-02T00:00:00"/>
    <m/>
    <s v="HUGO"/>
    <s v="1.7.2.1  ADMINISTRATIVO"/>
    <s v="AUXILIAR DE ENGENHARIA - ESTAGIARIO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0"/>
    <n v="1500"/>
    <m/>
    <n v="1500"/>
  </r>
  <r>
    <s v="LAERME MUNIZ"/>
    <d v="2026-03-01T00:00:00"/>
    <x v="0"/>
    <s v="G S FL 05 - BARUERI"/>
    <m/>
    <m/>
    <s v="20.504.237/0005-40"/>
    <s v="OPERACIONAL"/>
    <s v="ARCELOR/BARRA MANSA - RJ"/>
    <x v="8"/>
    <d v="2026-03-16T00:00:00"/>
    <m/>
    <s v="HUGO"/>
    <s v="1.7.1.3 ARCELOR - BARRA MANS"/>
    <s v="OPERADOR MANTENEDOR SENIOR"/>
    <n v="3158.66"/>
    <n v="1684.62"/>
    <n v="0"/>
    <n v="0"/>
    <n v="336.92"/>
    <n v="0"/>
    <n v="0"/>
    <n v="0"/>
    <n v="0"/>
    <n v="0"/>
    <n v="0"/>
    <n v="0"/>
    <n v="0"/>
    <n v="0"/>
    <n v="0"/>
    <n v="0"/>
    <n v="0"/>
    <n v="2021.54"/>
    <n v="0"/>
    <n v="379.03"/>
    <n v="0"/>
    <n v="3"/>
    <n v="0"/>
    <n v="0"/>
    <n v="0"/>
    <n v="0"/>
    <n v="0"/>
    <n v="0"/>
    <n v="0"/>
    <n v="0"/>
    <n v="0"/>
    <n v="188"/>
    <n v="0"/>
    <n v="0"/>
    <n v="0"/>
    <n v="0"/>
    <n v="3"/>
    <n v="0"/>
    <n v="0"/>
    <n v="573.03"/>
    <n v="2594.5699999999997"/>
    <m/>
    <n v="2594.5699999999997"/>
  </r>
  <r>
    <s v="EDUARDO DE OLIVEIRA ALMEIDA"/>
    <d v="2026-03-01T00:00:00"/>
    <x v="0"/>
    <s v="G S FL 06 - CAMPO GRANDE"/>
    <m/>
    <m/>
    <s v="20.504.237/0006-21"/>
    <s v="OPERACIONAL"/>
    <s v="PATIO"/>
    <x v="7"/>
    <d v="2026-03-02T00:00:00"/>
    <m/>
    <s v="HUGO"/>
    <s v="1.2.7.3 OPERACIONAL"/>
    <s v="OPERADOR MANTENEDOR SENIOR"/>
    <n v="3158.66"/>
    <n v="3158.66"/>
    <n v="0"/>
    <n v="0"/>
    <n v="611.35"/>
    <n v="0"/>
    <n v="0"/>
    <n v="0"/>
    <n v="0"/>
    <n v="0"/>
    <n v="0"/>
    <n v="73.88"/>
    <n v="11.37"/>
    <n v="0"/>
    <n v="0"/>
    <n v="0"/>
    <n v="0"/>
    <n v="3855.2599999999998"/>
    <n v="0"/>
    <n v="500"/>
    <n v="0"/>
    <n v="4"/>
    <n v="0"/>
    <n v="0"/>
    <n v="0"/>
    <n v="0"/>
    <n v="0"/>
    <n v="0"/>
    <n v="533.04"/>
    <n v="0"/>
    <n v="0"/>
    <n v="0"/>
    <n v="0"/>
    <n v="0"/>
    <n v="0"/>
    <n v="0"/>
    <n v="4"/>
    <n v="0"/>
    <n v="0"/>
    <n v="1041.04"/>
    <n v="4896.2999999999993"/>
    <m/>
    <n v="4896.2999999999993"/>
  </r>
  <r>
    <s v="MURILO SCHISBELGS DIAS"/>
    <d v="2026-03-01T00:00:00"/>
    <x v="2"/>
    <s v="G3S FL 10 - PRES PRUD"/>
    <m/>
    <m/>
    <s v="20.947.332/0010-86"/>
    <s v="COMERCIAL"/>
    <s v="COMERCIAL"/>
    <x v="1"/>
    <d v="2026-03-02T00:00:00"/>
    <m/>
    <s v="HUGO"/>
    <s v="1.2.1.1 APOIO"/>
    <s v="AUXILIAR COMERCIAL - ESTAGIARIO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0"/>
    <n v="1500"/>
    <m/>
    <n v="1500"/>
  </r>
  <r>
    <s v="LUCAS VICTOR MENDONÇA RUBIO"/>
    <d v="2026-03-01T00:00:00"/>
    <x v="2"/>
    <s v="G3S FL 10 - PRES PRUD"/>
    <m/>
    <m/>
    <s v="20.947.332/0010-86"/>
    <s v="ADMINISTRATIVO"/>
    <s v="FISCAL"/>
    <x v="2"/>
    <d v="2026-03-02T00:00:00"/>
    <m/>
    <s v="HUGO"/>
    <s v="1.1.4 CONTABILIDADE/FISCAL"/>
    <s v="AUXILIAR CONTABIL - ESTAGIARIO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0"/>
    <n v="1500"/>
    <m/>
    <n v="1500"/>
  </r>
  <r>
    <s v="JULIO OLIVEIRA SANTANA"/>
    <d v="2026-03-01T00:00:00"/>
    <x v="2"/>
    <s v="G3S FL 10 - PRES PRUD"/>
    <m/>
    <m/>
    <s v="20.947.332/0010-86"/>
    <s v="ADMINISTRATIVO"/>
    <s v="QUALIDADE"/>
    <x v="2"/>
    <d v="2026-03-19T00:00:00"/>
    <m/>
    <s v="HUGO"/>
    <s v="1.1.5 QUALIDADE"/>
    <s v="AUXILIAR DE QUALIDADE - ESTAGIARIO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6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0"/>
    <n v="650"/>
    <m/>
    <n v="650"/>
  </r>
  <r>
    <s v="NATALIA BAROSSI TREVISAN"/>
    <d v="2026-03-01T00:00:00"/>
    <x v="0"/>
    <s v="G3S FL 05 - PRES PRUD"/>
    <m/>
    <m/>
    <s v="20.947.332/0005-19"/>
    <s v="ADMINISTRATIVO"/>
    <s v="CONTABILIDADE"/>
    <x v="9"/>
    <d v="2026-03-02T00:00:00"/>
    <m/>
    <s v="HUGO"/>
    <s v="1.3.1.1 ADMINISTRATIVO"/>
    <s v="AUXILIAR CONTABIL"/>
    <n v="2098"/>
    <n v="2098"/>
    <n v="0"/>
    <n v="0"/>
    <n v="0"/>
    <n v="0"/>
    <n v="0"/>
    <n v="0"/>
    <n v="0"/>
    <n v="0"/>
    <n v="0"/>
    <n v="0"/>
    <n v="0"/>
    <n v="0"/>
    <n v="0"/>
    <n v="0"/>
    <n v="0"/>
    <n v="2098"/>
    <n v="0"/>
    <n v="512.87"/>
    <n v="0"/>
    <n v="8"/>
    <n v="0"/>
    <n v="0"/>
    <n v="0"/>
    <n v="0"/>
    <n v="0"/>
    <n v="0"/>
    <n v="0"/>
    <n v="0"/>
    <n v="0"/>
    <n v="0"/>
    <n v="0"/>
    <n v="0"/>
    <n v="0"/>
    <n v="0"/>
    <n v="8"/>
    <n v="0"/>
    <n v="0"/>
    <n v="528.87"/>
    <n v="2626.87"/>
    <m/>
    <n v="2626.87"/>
  </r>
  <r>
    <s v="ANDREW GABRYEL ARCANJO DE SOUZA"/>
    <d v="2026-03-01T00:00:00"/>
    <x v="0"/>
    <s v="G3S FL 06 - MARINGA"/>
    <m/>
    <m/>
    <s v="20.947.332/0006-08"/>
    <s v="OPERACIONAL"/>
    <s v="PATIO"/>
    <x v="3"/>
    <d v="2026-03-02T00:00:00"/>
    <m/>
    <s v="HUGO"/>
    <s v="1.2.4.3 OPERACIONAL"/>
    <s v="AUXILIAR DE PATIO JUNIOR"/>
    <n v="2155"/>
    <n v="2155"/>
    <n v="0"/>
    <n v="0"/>
    <n v="0"/>
    <n v="0"/>
    <n v="0"/>
    <n v="0"/>
    <n v="0"/>
    <n v="0"/>
    <n v="0"/>
    <n v="0"/>
    <n v="0"/>
    <n v="0"/>
    <n v="0"/>
    <n v="0"/>
    <n v="0"/>
    <n v="2155"/>
    <n v="0"/>
    <n v="500"/>
    <n v="0"/>
    <n v="9"/>
    <n v="0"/>
    <n v="0"/>
    <n v="0"/>
    <n v="0"/>
    <n v="0"/>
    <n v="0"/>
    <n v="252.45"/>
    <n v="0"/>
    <n v="0"/>
    <n v="0"/>
    <n v="0"/>
    <n v="0"/>
    <n v="0"/>
    <n v="0"/>
    <n v="9"/>
    <n v="0"/>
    <n v="0"/>
    <n v="770.45"/>
    <n v="2925.45"/>
    <m/>
    <n v="2925.45"/>
  </r>
  <r>
    <s v="ADRIANA REGINA NOGUEIRA DOS SANTOS"/>
    <d v="2026-03-01T00:00:00"/>
    <x v="3"/>
    <s v="G3S FL 10 - PRES PRUD"/>
    <n v="4"/>
    <m/>
    <s v="CONTRATO PJ"/>
    <s v="PILARES"/>
    <s v="FINANCEIRO"/>
    <x v="2"/>
    <m/>
    <m/>
    <s v="HUGO"/>
    <s v="1.1.3 FINANCEIRO"/>
    <s v="SUPERVISOR(A) FINANCEIRO"/>
    <n v="12000"/>
    <n v="12000"/>
    <n v="0"/>
    <n v="0"/>
    <n v="0"/>
    <n v="0"/>
    <n v="0"/>
    <n v="0"/>
    <n v="0"/>
    <n v="0"/>
    <n v="0"/>
    <n v="0"/>
    <n v="0"/>
    <n v="0"/>
    <n v="0"/>
    <n v="0"/>
    <n v="0"/>
    <n v="12000"/>
    <n v="0"/>
    <n v="21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87"/>
    <n v="12021.87"/>
    <m/>
    <n v="12021.87"/>
  </r>
  <r>
    <s v="ANDERSON ZANUTO"/>
    <d v="2026-03-01T00:00:00"/>
    <x v="3"/>
    <s v="G3S FL 05 - PRES PRUD"/>
    <n v="5"/>
    <m/>
    <s v="CONTRATO PJ"/>
    <s v="BRACOFER"/>
    <s v="GERENCIA"/>
    <x v="9"/>
    <m/>
    <m/>
    <s v="MARCONDES"/>
    <s v="1.3.1.1 ADMINISTRATIVO"/>
    <s v="GERENTE COMERCIAL"/>
    <n v="12000"/>
    <n v="12000"/>
    <n v="0"/>
    <n v="0"/>
    <n v="0"/>
    <n v="0"/>
    <n v="0"/>
    <n v="0"/>
    <n v="0"/>
    <n v="0"/>
    <n v="0"/>
    <n v="0"/>
    <n v="0"/>
    <n v="0"/>
    <n v="0"/>
    <n v="0"/>
    <n v="0"/>
    <n v="12000"/>
    <n v="0"/>
    <n v="12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87"/>
    <n v="12012.87"/>
    <m/>
    <n v="12012.87"/>
  </r>
  <r>
    <s v="BRUNO JUSTINIANO MATOS"/>
    <d v="2026-03-01T00:00:00"/>
    <x v="3"/>
    <s v="G S FL 06 - CAMPO GRANDE"/>
    <n v="6"/>
    <m/>
    <s v="CONTRATO PJ"/>
    <s v="COMERCIAL"/>
    <s v="COMERCIAL"/>
    <x v="7"/>
    <m/>
    <m/>
    <m/>
    <s v="1.2.7.2 COMERCIAL"/>
    <s v="COMPRADOR"/>
    <n v="5000"/>
    <n v="5000"/>
    <n v="0"/>
    <n v="0"/>
    <n v="0"/>
    <n v="0"/>
    <n v="0"/>
    <n v="0"/>
    <n v="0"/>
    <n v="0"/>
    <n v="0"/>
    <n v="0"/>
    <n v="0"/>
    <n v="0"/>
    <n v="0"/>
    <n v="0"/>
    <n v="0"/>
    <n v="5000"/>
    <n v="0"/>
    <n v="12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87"/>
    <n v="5012.87"/>
    <m/>
    <n v="5012.87"/>
  </r>
  <r>
    <s v="CRISTINA SUGUI"/>
    <d v="2026-03-01T00:00:00"/>
    <x v="3"/>
    <s v="G3S FL 10 - PRES PRUD"/>
    <n v="10"/>
    <m/>
    <s v="CONTRATO PJ"/>
    <s v="PILARES"/>
    <s v="ADMINISTRATIVO"/>
    <x v="2"/>
    <m/>
    <m/>
    <s v="RENATO"/>
    <s v="1.1.2 ADMINISTRATIVO"/>
    <s v="CONSULTOR"/>
    <n v="10986.67"/>
    <n v="10986.67"/>
    <n v="0"/>
    <n v="0"/>
    <n v="0"/>
    <n v="0"/>
    <n v="0"/>
    <n v="0"/>
    <n v="0"/>
    <n v="0"/>
    <n v="0"/>
    <n v="0"/>
    <n v="0"/>
    <n v="0"/>
    <n v="0"/>
    <n v="0"/>
    <n v="0"/>
    <n v="10986.67"/>
    <n v="0"/>
    <n v="12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87"/>
    <n v="10999.54"/>
    <m/>
    <n v="10999.54"/>
  </r>
  <r>
    <s v="EDMILSON DA COSTA LEITAO"/>
    <d v="2026-03-01T00:00:00"/>
    <x v="3"/>
    <s v="G S FL 01 - PRUDENTE"/>
    <n v="1"/>
    <m/>
    <s v="CONTRATO PJ"/>
    <s v="OPERACIONAL"/>
    <s v="MANUTENCAO"/>
    <x v="1"/>
    <m/>
    <m/>
    <s v="MARCONDES"/>
    <s v="1.2.1.1 APOIO"/>
    <s v="ENCARREGADO MANUT MAQ E EQUIPAMENTOS"/>
    <n v="8500"/>
    <n v="8500"/>
    <n v="0"/>
    <n v="0"/>
    <n v="0"/>
    <n v="0"/>
    <n v="0"/>
    <n v="0"/>
    <n v="0"/>
    <n v="0"/>
    <n v="0"/>
    <n v="0"/>
    <n v="0"/>
    <n v="0"/>
    <n v="0"/>
    <n v="0"/>
    <n v="0"/>
    <n v="8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00"/>
    <m/>
    <n v="8500"/>
  </r>
  <r>
    <s v="EVALDO JANES DE CANDIDO OLIVIERA"/>
    <d v="2026-03-01T00:00:00"/>
    <x v="3"/>
    <s v="G S FL 05 - BARUERI"/>
    <n v="5"/>
    <m/>
    <s v="CONTRATO PJ"/>
    <s v="COMERCIAL"/>
    <s v="VENDAS"/>
    <x v="8"/>
    <m/>
    <m/>
    <s v="RENATO"/>
    <s v="1.7.2.2 COMERCIAL"/>
    <s v="GERENT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</r>
  <r>
    <s v="FERNANDO DA COSTA FERREIRA"/>
    <d v="2026-03-01T00:00:00"/>
    <x v="3"/>
    <s v="G3S  FL 04 - PRES PRUD"/>
    <n v="4"/>
    <m/>
    <s v="CONTRATO PJ"/>
    <s v="SELETIVA APOIO"/>
    <s v="GERENCIA"/>
    <x v="1"/>
    <m/>
    <m/>
    <s v="MARCONDES"/>
    <s v="1.2.1.1 APOIO"/>
    <s v="GERENTE"/>
    <n v="22242.560000000001"/>
    <n v="22242.560000000001"/>
    <n v="0"/>
    <n v="0"/>
    <n v="0"/>
    <n v="0"/>
    <n v="0"/>
    <n v="0"/>
    <n v="0"/>
    <n v="0"/>
    <n v="0"/>
    <n v="0"/>
    <n v="0"/>
    <n v="0"/>
    <n v="0"/>
    <n v="0"/>
    <n v="0"/>
    <n v="22242.560000000001"/>
    <n v="0"/>
    <n v="512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2.87"/>
    <n v="22755.43"/>
    <m/>
    <n v="22755.43"/>
  </r>
  <r>
    <s v="FRANCISCO CARLOS DA SILVA"/>
    <d v="2026-03-01T00:00:00"/>
    <x v="3"/>
    <s v="G3S  FL 04 - PRES PRUD"/>
    <n v="4"/>
    <m/>
    <s v="CONTRATO PJ"/>
    <s v="SELETIVA APOIO"/>
    <s v="COORDENACAO SP"/>
    <x v="4"/>
    <m/>
    <m/>
    <s v="MARCONDES"/>
    <s v="1.2.5.2 COMERCIAL"/>
    <s v="GERENTE DE COMPRAS"/>
    <n v="8865"/>
    <n v="8865"/>
    <n v="0"/>
    <n v="0"/>
    <n v="0"/>
    <n v="0"/>
    <n v="0"/>
    <n v="0"/>
    <n v="0"/>
    <n v="0"/>
    <n v="0"/>
    <n v="0"/>
    <n v="0"/>
    <n v="0"/>
    <n v="0"/>
    <n v="0"/>
    <n v="0"/>
    <n v="8865"/>
    <n v="0"/>
    <n v="12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87"/>
    <n v="8877.8700000000008"/>
    <m/>
    <n v="8877.8700000000008"/>
  </r>
  <r>
    <s v="GIOVANE PORTO"/>
    <d v="2026-03-01T00:00:00"/>
    <x v="3"/>
    <s v="G3S FL 10 - PRES PRUD"/>
    <n v="4"/>
    <m/>
    <s v="CONTRATO PJ"/>
    <s v="PILARES"/>
    <s v="ADMINISTRATIVO"/>
    <x v="2"/>
    <m/>
    <m/>
    <s v="RENATO"/>
    <s v="1.1.2 ADMINISTRATIVO"/>
    <s v="CONSULTOR"/>
    <n v="6000"/>
    <n v="6000"/>
    <n v="0"/>
    <n v="0"/>
    <n v="0"/>
    <n v="0"/>
    <n v="0"/>
    <n v="0"/>
    <n v="0"/>
    <n v="0"/>
    <n v="0"/>
    <n v="0"/>
    <n v="0"/>
    <n v="0"/>
    <n v="0"/>
    <n v="0"/>
    <n v="0"/>
    <n v="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0"/>
    <m/>
    <n v="6000"/>
  </r>
  <r>
    <s v="GISELE APARECIDA TONETTO SANTOS"/>
    <d v="2026-03-01T00:00:00"/>
    <x v="3"/>
    <s v="G3S  FL 04 - PRES PRUD"/>
    <n v="4"/>
    <m/>
    <s v="CONTRATO PJ"/>
    <s v="SELETIVA APOIO"/>
    <s v="ADMINISTRATIVO"/>
    <x v="1"/>
    <m/>
    <m/>
    <s v="MARCONDES"/>
    <s v="1.2.1.1 APOIO"/>
    <s v="GERENTE ADMINISTRATIVO"/>
    <n v="11129"/>
    <n v="11129"/>
    <n v="0"/>
    <n v="0"/>
    <n v="0"/>
    <n v="0"/>
    <n v="0"/>
    <n v="0"/>
    <n v="0"/>
    <n v="0"/>
    <n v="0"/>
    <n v="0"/>
    <n v="0"/>
    <n v="0"/>
    <n v="0"/>
    <n v="0"/>
    <n v="0"/>
    <n v="11129"/>
    <n v="0"/>
    <n v="21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87"/>
    <n v="11150.87"/>
    <m/>
    <n v="11150.87"/>
  </r>
  <r>
    <s v="HUGO BIANCHI BOSSOLANI"/>
    <d v="2026-03-01T00:00:00"/>
    <x v="3"/>
    <s v="G3S FL 10 - PRES PRUD"/>
    <n v="4"/>
    <m/>
    <s v="CONTRATO PJ"/>
    <s v="PILARES"/>
    <s v="ADMINISTRATIVO"/>
    <x v="2"/>
    <m/>
    <m/>
    <s v="RENATO"/>
    <s v="1.1.2 ADMINISTRATIVO"/>
    <s v="CONSULTOR"/>
    <n v="11490.6"/>
    <n v="11490.6"/>
    <n v="0"/>
    <n v="0"/>
    <n v="0"/>
    <n v="0"/>
    <n v="0"/>
    <n v="0"/>
    <n v="0"/>
    <n v="0"/>
    <n v="0"/>
    <n v="0"/>
    <n v="0"/>
    <n v="0"/>
    <n v="0"/>
    <n v="0"/>
    <n v="0"/>
    <n v="11490.6"/>
    <n v="0"/>
    <n v="21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87"/>
    <n v="11512.470000000001"/>
    <m/>
    <n v="11512.470000000001"/>
  </r>
  <r>
    <s v="LEONARDO SOARES CAVALHEIRO"/>
    <d v="2026-03-01T00:00:00"/>
    <x v="3"/>
    <s v="G3S  FL 03 - DOURADOS"/>
    <n v="5"/>
    <m/>
    <s v="CONTRATO PJ"/>
    <s v="SELETIVA DOURADOS"/>
    <s v="COMERCIAL"/>
    <x v="6"/>
    <m/>
    <d v="2026-03-30T00:00:00"/>
    <s v="MARCONDES"/>
    <s v="1.2.2.2 COMERCIAL"/>
    <s v="COMPRADOR"/>
    <n v="10000"/>
    <n v="10000"/>
    <n v="0"/>
    <n v="0"/>
    <n v="0"/>
    <n v="0"/>
    <n v="0"/>
    <n v="0"/>
    <n v="0"/>
    <n v="0"/>
    <n v="0"/>
    <n v="0"/>
    <n v="0"/>
    <n v="0"/>
    <n v="0"/>
    <n v="0"/>
    <n v="0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m/>
    <n v="10000"/>
  </r>
  <r>
    <s v="LUCIANO ROGERIO FARIA"/>
    <d v="2026-03-01T00:00:00"/>
    <x v="3"/>
    <s v="G3S FL 10 - PRES PRUD"/>
    <n v="4"/>
    <m/>
    <s v="CONTRATO PJ"/>
    <s v="PILARES"/>
    <s v="QUALIDADE"/>
    <x v="2"/>
    <m/>
    <m/>
    <s v="HUGO"/>
    <s v="1.1.5 QUALIDADE"/>
    <s v="COORDENADOR DE QUALIDADE"/>
    <n v="9150"/>
    <n v="9150"/>
    <n v="0"/>
    <n v="0"/>
    <n v="0"/>
    <n v="0"/>
    <n v="0"/>
    <n v="0"/>
    <n v="0"/>
    <n v="0"/>
    <n v="0"/>
    <n v="0"/>
    <n v="0"/>
    <n v="0"/>
    <n v="0"/>
    <n v="0"/>
    <n v="0"/>
    <n v="9150"/>
    <n v="0"/>
    <n v="21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87"/>
    <n v="9171.8700000000008"/>
    <m/>
    <n v="9171.8700000000008"/>
  </r>
  <r>
    <s v="MARCONDES VALENTIM VICTORINO"/>
    <d v="2026-03-01T00:00:00"/>
    <x v="3"/>
    <s v="G3S  FL 04 - PRES PRUD"/>
    <n v="4"/>
    <m/>
    <s v="CONTRATO PJ"/>
    <s v="SELETIVA APOIO"/>
    <s v="DIRETORIA"/>
    <x v="1"/>
    <m/>
    <m/>
    <s v="RENATO"/>
    <s v="1.2.1.1 APOIO"/>
    <s v="DIRETOR COMERCIAL COMPRA SUCATA"/>
    <n v="15000"/>
    <n v="15000"/>
    <n v="0"/>
    <n v="0"/>
    <n v="0"/>
    <n v="0"/>
    <n v="0"/>
    <n v="0"/>
    <n v="0"/>
    <n v="0"/>
    <n v="0"/>
    <n v="0"/>
    <n v="0"/>
    <n v="0"/>
    <n v="0"/>
    <n v="0"/>
    <n v="0"/>
    <n v="1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00"/>
    <m/>
    <n v="15000"/>
  </r>
  <r>
    <s v="MURILO PRADO"/>
    <d v="2026-03-01T00:00:00"/>
    <x v="3"/>
    <s v="G3S FL 10 - PRES PRUD"/>
    <n v="10"/>
    <m/>
    <s v="CONTRATO PJ"/>
    <s v="PILARES"/>
    <s v="ADMINISTRATIVO"/>
    <x v="2"/>
    <m/>
    <m/>
    <s v="RENATO"/>
    <s v="1.1.2 ADMINISTRATIVO"/>
    <s v="CONSULTOR"/>
    <n v="6578"/>
    <n v="6578"/>
    <n v="0"/>
    <n v="0"/>
    <n v="0"/>
    <n v="0"/>
    <n v="0"/>
    <n v="0"/>
    <n v="0"/>
    <n v="0"/>
    <n v="0"/>
    <n v="0"/>
    <n v="0"/>
    <n v="0"/>
    <n v="0"/>
    <n v="0"/>
    <n v="0"/>
    <n v="65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78"/>
    <m/>
    <n v="6578"/>
  </r>
  <r>
    <s v="OSWALDO JONATAN PEREIRA DE CASTRO"/>
    <d v="2026-03-01T00:00:00"/>
    <x v="3"/>
    <s v="G3S  FL 04 - PRES PRUD"/>
    <n v="4"/>
    <m/>
    <s v="CONTRATO PJ"/>
    <s v="SELETIVA APOIO"/>
    <s v="GERENCIA"/>
    <x v="1"/>
    <m/>
    <m/>
    <s v="MARCONDES"/>
    <s v="1.2.1.1 APOIO"/>
    <s v="GERENTE"/>
    <n v="13500"/>
    <n v="13500"/>
    <n v="0"/>
    <n v="0"/>
    <n v="0"/>
    <n v="0"/>
    <n v="0"/>
    <n v="0"/>
    <n v="0"/>
    <n v="0"/>
    <n v="0"/>
    <n v="0"/>
    <n v="0"/>
    <n v="0"/>
    <n v="0"/>
    <n v="0"/>
    <n v="0"/>
    <n v="13500"/>
    <n v="0"/>
    <n v="21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87"/>
    <n v="13521.87"/>
    <m/>
    <n v="13521.87"/>
  </r>
  <r>
    <s v="RODRIGO DA SILVA NORCIA"/>
    <d v="2026-03-01T00:00:00"/>
    <x v="3"/>
    <s v="G3S FL 06 - MARINGA"/>
    <n v="6"/>
    <m/>
    <s v="CONTRATO PJ"/>
    <s v="SELETIVA MARINGA"/>
    <s v="COMERCIAL"/>
    <x v="12"/>
    <m/>
    <m/>
    <s v="MARCONDES"/>
    <s v="1.2.4.2 COMERCIAL"/>
    <s v="COMPRADOR"/>
    <n v="8000"/>
    <n v="8000"/>
    <n v="0"/>
    <n v="0"/>
    <n v="0"/>
    <n v="0"/>
    <n v="0"/>
    <n v="0"/>
    <n v="0"/>
    <n v="0"/>
    <n v="0"/>
    <n v="0"/>
    <n v="0"/>
    <n v="0"/>
    <n v="0"/>
    <n v="0"/>
    <n v="0"/>
    <n v="8000"/>
    <n v="0"/>
    <n v="21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87"/>
    <n v="8021.87"/>
    <m/>
    <n v="8021.87"/>
  </r>
  <r>
    <s v="VINICIUS AUGUSTO ALVES VILELA"/>
    <d v="2026-03-01T00:00:00"/>
    <x v="3"/>
    <s v="G3S  FL 10 - PRES PRUD"/>
    <n v="10"/>
    <m/>
    <s v="CONTRATO PJ"/>
    <s v="ADMINISTRATIVO"/>
    <s v="SUPRIMENTOS"/>
    <x v="2"/>
    <d v="2025-07-01T00:00:00"/>
    <m/>
    <m/>
    <s v="1.1.14 SUPRIMENTOS"/>
    <s v="ANALISTA DE COMPRAS"/>
    <n v="6500"/>
    <n v="6500"/>
    <n v="0"/>
    <n v="0"/>
    <n v="0"/>
    <n v="0"/>
    <n v="0"/>
    <n v="0"/>
    <n v="0"/>
    <n v="0"/>
    <n v="0"/>
    <n v="0"/>
    <n v="0"/>
    <n v="0"/>
    <n v="0"/>
    <n v="0"/>
    <n v="0"/>
    <n v="6500"/>
    <n v="0"/>
    <n v="521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1.87"/>
    <n v="7021.87"/>
    <m/>
    <n v="7021.87"/>
  </r>
  <r>
    <s v="WAGNER CALDEIRA DA SILVA JUNIOR"/>
    <d v="2026-03-01T00:00:00"/>
    <x v="3"/>
    <s v="G S FL 05 - BARUERI"/>
    <n v="5"/>
    <m/>
    <s v="CONTRATO PJ"/>
    <s v="OPERACIONAL"/>
    <s v="MANUTENCAO"/>
    <x v="8"/>
    <d v="2017-04-01T00:00:00"/>
    <m/>
    <m/>
    <s v="1.1.15 MANUTENCAO DE MAQUINA"/>
    <s v="ENCARREGADO MANUT MAQ E EQUIPAMENTOS"/>
    <n v="10000"/>
    <n v="10000"/>
    <n v="0"/>
    <n v="0"/>
    <n v="0"/>
    <n v="0"/>
    <n v="0"/>
    <n v="0"/>
    <n v="0"/>
    <n v="0"/>
    <n v="0"/>
    <n v="0"/>
    <n v="0"/>
    <n v="0"/>
    <n v="0"/>
    <n v="0"/>
    <n v="0"/>
    <n v="10000"/>
    <n v="0"/>
    <n v="12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87"/>
    <n v="10012.870000000001"/>
    <m/>
    <n v="10012.870000000001"/>
  </r>
  <r>
    <m/>
    <m/>
    <x v="4"/>
    <m/>
    <m/>
    <m/>
    <m/>
    <m/>
    <m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64B7BD-281F-42D7-9457-EAE063555588}" name="Tabela dinâmica2" cacheId="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8" firstHeaderRow="0" firstDataRow="1" firstDataCol="1" rowPageCount="1" colPageCount="1"/>
  <pivotFields count="58">
    <pivotField dataField="1" compact="0" outline="0" showAll="0"/>
    <pivotField compact="0" numFmtId="17" outline="0" showAll="0"/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15">
        <item h="1" x="9"/>
        <item h="1" x="8"/>
        <item h="1" x="2"/>
        <item h="1" x="11"/>
        <item x="7"/>
        <item x="1"/>
        <item x="6"/>
        <item x="10"/>
        <item x="12"/>
        <item x="0"/>
        <item x="3"/>
        <item x="4"/>
        <item h="1" x="5"/>
        <item h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Contagem de FUNCIONÁRIO" fld="0" subtotal="count" baseField="0" baseItem="0"/>
    <dataField name="Soma de TOTAL BRUTO + PF" fld="57" baseField="0" baseItem="0" numFmtId="43"/>
  </dataFields>
  <formats count="1">
    <format dxfId="684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A3ECAF-B835-4CBB-9C43-4EEA95177DBF}" name="Tabela dinâmica1" cacheId="28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MODALIDADE">
  <location ref="B138:D148" firstHeaderRow="0" firstDataRow="1" firstDataCol="1"/>
  <pivotFields count="13">
    <pivotField dataField="1"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axis="axisRow" multipleItemSelectionAllowed="1" showAll="0">
      <items count="3">
        <item x="0"/>
        <item x="1"/>
        <item t="default"/>
      </items>
    </pivotField>
    <pivotField showAll="0"/>
    <pivotField showAll="0"/>
    <pivotField showAll="0"/>
    <pivotField numFmtId="42" showAll="0"/>
    <pivotField numFmtId="42" showAll="0"/>
    <pivotField numFmtId="42" showAll="0"/>
    <pivotField dataField="1" numFmtId="42" showAll="0"/>
    <pivotField numFmtId="10" showAll="0"/>
  </pivotFields>
  <rowFields count="2">
    <field x="4"/>
    <field x="1"/>
  </rowFields>
  <rowItems count="1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FUNCIONÁRIOS" fld="0" subtotal="count" baseField="1" baseItem="0"/>
    <dataField name="TT BRUTO" fld="11" baseField="4" baseItem="0" numFmtId="42"/>
  </dataFields>
  <formats count="33">
    <format dxfId="717">
      <pivotArea type="all" dataOnly="0" outline="0" fieldPosition="0"/>
    </format>
    <format dxfId="716">
      <pivotArea outline="0" collapsedLevelsAreSubtotals="1" fieldPosition="0"/>
    </format>
    <format dxfId="715">
      <pivotArea field="1" type="button" dataOnly="0" labelOnly="1" outline="0" axis="axisRow" fieldPosition="1"/>
    </format>
    <format dxfId="714">
      <pivotArea dataOnly="0" labelOnly="1" fieldPosition="0">
        <references count="1">
          <reference field="1" count="0"/>
        </references>
      </pivotArea>
    </format>
    <format dxfId="713">
      <pivotArea dataOnly="0" labelOnly="1" grandRow="1" outline="0" fieldPosition="0"/>
    </format>
    <format dxfId="712">
      <pivotArea dataOnly="0" labelOnly="1" outline="0" axis="axisValues" fieldPosition="0"/>
    </format>
    <format dxfId="711">
      <pivotArea type="all" dataOnly="0" outline="0" fieldPosition="0"/>
    </format>
    <format dxfId="710">
      <pivotArea dataOnly="0" labelOnly="1" grandRow="1" outline="0" fieldPosition="0"/>
    </format>
    <format dxfId="709">
      <pivotArea dataOnly="0" labelOnly="1" fieldPosition="0">
        <references count="1">
          <reference field="1" count="0"/>
        </references>
      </pivotArea>
    </format>
    <format dxfId="708">
      <pivotArea dataOnly="0" labelOnly="1" outline="0" axis="axisValues" fieldPosition="0"/>
    </format>
    <format dxfId="707">
      <pivotArea outline="0" collapsedLevelsAreSubtotals="1" fieldPosition="0"/>
    </format>
    <format dxfId="706">
      <pivotArea field="1" type="button" dataOnly="0" labelOnly="1" outline="0" axis="axisRow" fieldPosition="1"/>
    </format>
    <format dxfId="70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0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0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0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0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00">
      <pivotArea dataOnly="0" labelOnly="1" fieldPosition="0">
        <references count="1">
          <reference field="4" count="0"/>
        </references>
      </pivotArea>
    </format>
    <format dxfId="699">
      <pivotArea dataOnly="0" labelOnly="1" fieldPosition="0">
        <references count="2">
          <reference field="1" count="0"/>
          <reference field="4" count="1" selected="0">
            <x v="0"/>
          </reference>
        </references>
      </pivotArea>
    </format>
    <format dxfId="698">
      <pivotArea dataOnly="0" labelOnly="1" fieldPosition="0">
        <references count="2">
          <reference field="1" count="2">
            <x v="0"/>
            <x v="2"/>
          </reference>
          <reference field="4" count="1" selected="0">
            <x v="1"/>
          </reference>
        </references>
      </pivotArea>
    </format>
    <format dxfId="697">
      <pivotArea dataOnly="0" labelOnly="1" fieldPosition="0">
        <references count="2">
          <reference field="1" count="2">
            <x v="0"/>
            <x v="2"/>
          </reference>
          <reference field="4" count="1" selected="0">
            <x v="1"/>
          </reference>
        </references>
      </pivotArea>
    </format>
    <format dxfId="696">
      <pivotArea type="all" dataOnly="0" outline="0" fieldPosition="0"/>
    </format>
    <format dxfId="695">
      <pivotArea outline="0" collapsedLevelsAreSubtotals="1" fieldPosition="0"/>
    </format>
    <format dxfId="694">
      <pivotArea field="4" type="button" dataOnly="0" labelOnly="1" outline="0" axis="axisRow" fieldPosition="0"/>
    </format>
    <format dxfId="693">
      <pivotArea dataOnly="0" labelOnly="1" fieldPosition="0">
        <references count="1">
          <reference field="4" count="0"/>
        </references>
      </pivotArea>
    </format>
    <format dxfId="692">
      <pivotArea dataOnly="0" labelOnly="1" grandRow="1" outline="0" fieldPosition="0"/>
    </format>
    <format dxfId="691">
      <pivotArea dataOnly="0" labelOnly="1" fieldPosition="0">
        <references count="2">
          <reference field="1" count="0"/>
          <reference field="4" count="1" selected="0">
            <x v="0"/>
          </reference>
        </references>
      </pivotArea>
    </format>
    <format dxfId="690">
      <pivotArea dataOnly="0" labelOnly="1" fieldPosition="0">
        <references count="2">
          <reference field="1" count="2">
            <x v="0"/>
            <x v="2"/>
          </reference>
          <reference field="4" count="1" selected="0">
            <x v="1"/>
          </reference>
        </references>
      </pivotArea>
    </format>
    <format dxfId="68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88">
      <pivotArea dataOnly="0" fieldPosition="0">
        <references count="1">
          <reference field="1" count="2">
            <x v="0"/>
            <x v="1"/>
          </reference>
        </references>
      </pivotArea>
    </format>
    <format dxfId="687">
      <pivotArea collapsedLevelsAreSubtotals="1" fieldPosition="0">
        <references count="3">
          <reference field="4294967294" count="1" selected="0">
            <x v="0"/>
          </reference>
          <reference field="1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686">
      <pivotArea collapsedLevelsAreSubtotals="1" fieldPosition="0">
        <references count="3">
          <reference field="4294967294" count="1" selected="0">
            <x v="0"/>
          </reference>
          <reference field="1" count="0"/>
          <reference field="4" count="1" selected="0">
            <x v="0"/>
          </reference>
        </references>
      </pivotArea>
    </format>
    <format dxfId="685">
      <pivotArea collapsedLevelsAreSubtotals="1" fieldPosition="0">
        <references count="2">
          <reference field="4294967294" count="1" selected="0">
            <x v="0"/>
          </reference>
          <reference field="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B14BB-AD87-4341-89D5-E51034E23EB6}" name="Tabela dinâmica2" cacheId="28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compact="0" compactData="0" multipleFieldFilters="0">
  <location ref="B158:E183" firstHeaderRow="0" firstDataRow="1" firstDataCol="2"/>
  <pivotFields count="13">
    <pivotField dataField="1" compact="0" outline="0" subtotalTop="0" showAll="0" defaultSubtotal="0"/>
    <pivotField compact="0" outline="0" subtotalTop="0" showAll="0" sortType="descending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name="EMPRESA" axis="axisRow" compact="0" outline="0" subtotalTop="0" showAll="0" defaultSubtotal="0">
      <items count="17">
        <item x="16"/>
        <item x="0"/>
        <item x="11"/>
        <item x="6"/>
        <item x="4"/>
        <item x="9"/>
        <item x="1"/>
        <item x="8"/>
        <item x="13"/>
        <item x="2"/>
        <item x="5"/>
        <item x="10"/>
        <item x="12"/>
        <item x="14"/>
        <item x="3"/>
        <item x="15"/>
        <item x="7"/>
      </items>
    </pivotField>
    <pivotField axis="axisRow" compact="0" outline="0" subtotalTop="0" showAll="0" defaultSubtotal="0">
      <items count="16">
        <item x="2"/>
        <item x="10"/>
        <item x="1"/>
        <item x="5"/>
        <item x="6"/>
        <item x="9"/>
        <item x="3"/>
        <item x="4"/>
        <item x="15"/>
        <item x="7"/>
        <item x="12"/>
        <item x="8"/>
        <item x="13"/>
        <item x="11"/>
        <item x="0"/>
        <item x="14"/>
      </items>
    </pivotField>
    <pivotField compact="0" numFmtId="42" outline="0" subtotalTop="0" showAll="0" defaultSubtotal="0"/>
    <pivotField compact="0" numFmtId="42" outline="0" subtotalTop="0" showAll="0" defaultSubtotal="0"/>
    <pivotField compact="0" numFmtId="42" outline="0" subtotalTop="0" showAll="0" defaultSubtotal="0"/>
    <pivotField compact="0" numFmtId="42" outline="0" subtotalTop="0" showAll="0" defaultSubtotal="0"/>
    <pivotField dataField="1" compact="0" numFmtId="42" outline="0" subtotalTop="0" showAll="0" defaultSubtotal="0"/>
    <pivotField compact="0" numFmtId="10" outline="0" subtotalTop="0" showAll="0" defaultSubtotal="0"/>
  </pivotFields>
  <rowFields count="2">
    <field x="5"/>
    <field x="6"/>
  </rowFields>
  <rowItems count="25">
    <i>
      <x/>
      <x v="8"/>
    </i>
    <i>
      <x v="1"/>
      <x v="3"/>
    </i>
    <i r="1">
      <x v="14"/>
    </i>
    <i>
      <x v="2"/>
      <x v="14"/>
    </i>
    <i>
      <x v="3"/>
      <x v="7"/>
    </i>
    <i r="1">
      <x v="14"/>
    </i>
    <i>
      <x v="4"/>
      <x v="4"/>
    </i>
    <i r="1">
      <x v="14"/>
    </i>
    <i>
      <x v="5"/>
      <x v="9"/>
    </i>
    <i>
      <x v="6"/>
      <x v="2"/>
    </i>
    <i r="1">
      <x v="14"/>
    </i>
    <i>
      <x v="7"/>
      <x v="5"/>
    </i>
    <i r="1">
      <x v="14"/>
    </i>
    <i>
      <x v="8"/>
      <x v="10"/>
    </i>
    <i r="1">
      <x v="14"/>
    </i>
    <i>
      <x v="9"/>
      <x/>
    </i>
    <i>
      <x v="10"/>
      <x v="6"/>
    </i>
    <i>
      <x v="11"/>
      <x v="11"/>
    </i>
    <i>
      <x v="12"/>
      <x v="1"/>
    </i>
    <i>
      <x v="13"/>
      <x v="12"/>
    </i>
    <i>
      <x v="14"/>
      <x v="13"/>
    </i>
    <i r="1">
      <x v="14"/>
    </i>
    <i>
      <x v="15"/>
      <x v="15"/>
    </i>
    <i>
      <x v="16"/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FUNCIONÁRIOS" fld="0" subtotal="count" baseField="1" baseItem="0"/>
    <dataField name="TT BRUTO" fld="11" baseField="0" baseItem="0" numFmtId="42"/>
  </dataFields>
  <formats count="81">
    <format dxfId="798">
      <pivotArea type="all" dataOnly="0" outline="0" fieldPosition="0"/>
    </format>
    <format dxfId="797">
      <pivotArea outline="0" collapsedLevelsAreSubtotals="1" fieldPosition="0"/>
    </format>
    <format dxfId="796">
      <pivotArea field="5" type="button" dataOnly="0" labelOnly="1" outline="0" axis="axisRow" fieldPosition="0"/>
    </format>
    <format dxfId="795">
      <pivotArea dataOnly="0" labelOnly="1" outline="0" fieldPosition="0">
        <references count="1">
          <reference field="5" count="0"/>
        </references>
      </pivotArea>
    </format>
    <format dxfId="794">
      <pivotArea dataOnly="0" labelOnly="1" outline="0" axis="axisValues" fieldPosition="0"/>
    </format>
    <format dxfId="793">
      <pivotArea type="all" dataOnly="0" outline="0" fieldPosition="0"/>
    </format>
    <format dxfId="792">
      <pivotArea dataOnly="0" labelOnly="1" outline="0" axis="axisValues" fieldPosition="0"/>
    </format>
    <format dxfId="791">
      <pivotArea outline="0" collapsedLevelsAreSubtotals="1" fieldPosition="0"/>
    </format>
    <format dxfId="790">
      <pivotArea grandRow="1" outline="0" collapsedLevelsAreSubtotals="1" fieldPosition="0"/>
    </format>
    <format dxfId="789">
      <pivotArea dataOnly="0" labelOnly="1" outline="0" fieldPosition="0">
        <references count="1">
          <reference field="5" count="0"/>
        </references>
      </pivotArea>
    </format>
    <format dxfId="788">
      <pivotArea field="5" type="button" dataOnly="0" labelOnly="1" outline="0" axis="axisRow" fieldPosition="0"/>
    </format>
    <format dxfId="787">
      <pivotArea dataOnly="0" labelOnly="1" outline="0" fieldPosition="0">
        <references count="1">
          <reference field="5" count="1" defaultSubtotal="1">
            <x v="0"/>
          </reference>
        </references>
      </pivotArea>
    </format>
    <format dxfId="786">
      <pivotArea dataOnly="0" labelOnly="1" outline="0" fieldPosition="0">
        <references count="1">
          <reference field="5" count="10"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785">
      <pivotArea field="6" type="button" dataOnly="0" labelOnly="1" outline="0" axis="axisRow" fieldPosition="1"/>
    </format>
    <format dxfId="784">
      <pivotArea dataOnly="0" labelOnly="1" grandRow="1" outline="0" fieldPosition="0"/>
    </format>
    <format dxfId="783">
      <pivotArea dataOnly="0" labelOnly="1" outline="0" fieldPosition="0">
        <references count="2">
          <reference field="5" count="1" selected="0">
            <x v="0"/>
          </reference>
          <reference field="6" count="1">
            <x v="8"/>
          </reference>
        </references>
      </pivotArea>
    </format>
    <format dxfId="782">
      <pivotArea dataOnly="0" labelOnly="1" outline="0" fieldPosition="0">
        <references count="2">
          <reference field="5" count="1" selected="0">
            <x v="5"/>
          </reference>
          <reference field="6" count="1">
            <x v="9"/>
          </reference>
        </references>
      </pivotArea>
    </format>
    <format dxfId="781">
      <pivotArea dataOnly="0" labelOnly="1" outline="0" fieldPosition="0">
        <references count="2">
          <reference field="5" count="1" selected="0">
            <x v="6"/>
          </reference>
          <reference field="6" count="2">
            <x v="2"/>
            <x v="14"/>
          </reference>
        </references>
      </pivotArea>
    </format>
    <format dxfId="780">
      <pivotArea dataOnly="0" labelOnly="1" outline="0" fieldPosition="0">
        <references count="2">
          <reference field="5" count="1" selected="0">
            <x v="7"/>
          </reference>
          <reference field="6" count="1">
            <x v="5"/>
          </reference>
        </references>
      </pivotArea>
    </format>
    <format dxfId="779">
      <pivotArea dataOnly="0" labelOnly="1" outline="0" fieldPosition="0">
        <references count="2">
          <reference field="5" count="1" selected="0">
            <x v="8"/>
          </reference>
          <reference field="6" count="1">
            <x v="10"/>
          </reference>
        </references>
      </pivotArea>
    </format>
    <format dxfId="778">
      <pivotArea dataOnly="0" labelOnly="1" outline="0" fieldPosition="0">
        <references count="2">
          <reference field="5" count="1" selected="0">
            <x v="9"/>
          </reference>
          <reference field="6" count="1">
            <x v="0"/>
          </reference>
        </references>
      </pivotArea>
    </format>
    <format dxfId="777">
      <pivotArea dataOnly="0" labelOnly="1" outline="0" fieldPosition="0">
        <references count="2">
          <reference field="5" count="1" selected="0">
            <x v="10"/>
          </reference>
          <reference field="6" count="1">
            <x v="6"/>
          </reference>
        </references>
      </pivotArea>
    </format>
    <format dxfId="776">
      <pivotArea dataOnly="0" labelOnly="1" outline="0" fieldPosition="0">
        <references count="2">
          <reference field="5" count="1" selected="0">
            <x v="11"/>
          </reference>
          <reference field="6" count="1">
            <x v="11"/>
          </reference>
        </references>
      </pivotArea>
    </format>
    <format dxfId="775">
      <pivotArea dataOnly="0" labelOnly="1" outline="0" fieldPosition="0">
        <references count="2">
          <reference field="5" count="1" selected="0">
            <x v="12"/>
          </reference>
          <reference field="6" count="1">
            <x v="1"/>
          </reference>
        </references>
      </pivotArea>
    </format>
    <format dxfId="774">
      <pivotArea dataOnly="0" labelOnly="1" outline="0" fieldPosition="0">
        <references count="2">
          <reference field="5" count="1" selected="0">
            <x v="13"/>
          </reference>
          <reference field="6" count="1">
            <x v="12"/>
          </reference>
        </references>
      </pivotArea>
    </format>
    <format dxfId="773">
      <pivotArea dataOnly="0" labelOnly="1" outline="0" fieldPosition="0">
        <references count="2">
          <reference field="5" count="1" selected="0">
            <x v="14"/>
          </reference>
          <reference field="6" count="1">
            <x v="13"/>
          </reference>
        </references>
      </pivotArea>
    </format>
    <format dxfId="772">
      <pivotArea field="6" type="button" dataOnly="0" labelOnly="1" outline="0" axis="axisRow" fieldPosition="1"/>
    </format>
    <format dxfId="771">
      <pivotArea dataOnly="0" labelOnly="1" grandRow="1" outline="0" fieldPosition="0"/>
    </format>
    <format dxfId="770">
      <pivotArea dataOnly="0" labelOnly="1" outline="0" fieldPosition="0">
        <references count="2">
          <reference field="5" count="1" selected="0">
            <x v="0"/>
          </reference>
          <reference field="6" count="1">
            <x v="8"/>
          </reference>
        </references>
      </pivotArea>
    </format>
    <format dxfId="769">
      <pivotArea dataOnly="0" labelOnly="1" outline="0" fieldPosition="0">
        <references count="2">
          <reference field="5" count="1" selected="0">
            <x v="5"/>
          </reference>
          <reference field="6" count="1">
            <x v="9"/>
          </reference>
        </references>
      </pivotArea>
    </format>
    <format dxfId="768">
      <pivotArea dataOnly="0" labelOnly="1" outline="0" fieldPosition="0">
        <references count="2">
          <reference field="5" count="1" selected="0">
            <x v="6"/>
          </reference>
          <reference field="6" count="2">
            <x v="2"/>
            <x v="14"/>
          </reference>
        </references>
      </pivotArea>
    </format>
    <format dxfId="767">
      <pivotArea dataOnly="0" labelOnly="1" outline="0" fieldPosition="0">
        <references count="2">
          <reference field="5" count="1" selected="0">
            <x v="7"/>
          </reference>
          <reference field="6" count="1">
            <x v="5"/>
          </reference>
        </references>
      </pivotArea>
    </format>
    <format dxfId="766">
      <pivotArea dataOnly="0" labelOnly="1" outline="0" fieldPosition="0">
        <references count="2">
          <reference field="5" count="1" selected="0">
            <x v="8"/>
          </reference>
          <reference field="6" count="1">
            <x v="10"/>
          </reference>
        </references>
      </pivotArea>
    </format>
    <format dxfId="765">
      <pivotArea dataOnly="0" labelOnly="1" outline="0" fieldPosition="0">
        <references count="2">
          <reference field="5" count="1" selected="0">
            <x v="9"/>
          </reference>
          <reference field="6" count="1">
            <x v="0"/>
          </reference>
        </references>
      </pivotArea>
    </format>
    <format dxfId="764">
      <pivotArea dataOnly="0" labelOnly="1" outline="0" fieldPosition="0">
        <references count="2">
          <reference field="5" count="1" selected="0">
            <x v="10"/>
          </reference>
          <reference field="6" count="1">
            <x v="6"/>
          </reference>
        </references>
      </pivotArea>
    </format>
    <format dxfId="763">
      <pivotArea dataOnly="0" labelOnly="1" outline="0" fieldPosition="0">
        <references count="2">
          <reference field="5" count="1" selected="0">
            <x v="11"/>
          </reference>
          <reference field="6" count="1">
            <x v="11"/>
          </reference>
        </references>
      </pivotArea>
    </format>
    <format dxfId="762">
      <pivotArea dataOnly="0" labelOnly="1" outline="0" fieldPosition="0">
        <references count="2">
          <reference field="5" count="1" selected="0">
            <x v="12"/>
          </reference>
          <reference field="6" count="1">
            <x v="1"/>
          </reference>
        </references>
      </pivotArea>
    </format>
    <format dxfId="761">
      <pivotArea dataOnly="0" labelOnly="1" outline="0" fieldPosition="0">
        <references count="2">
          <reference field="5" count="1" selected="0">
            <x v="13"/>
          </reference>
          <reference field="6" count="1">
            <x v="12"/>
          </reference>
        </references>
      </pivotArea>
    </format>
    <format dxfId="760">
      <pivotArea dataOnly="0" labelOnly="1" outline="0" fieldPosition="0">
        <references count="2">
          <reference field="5" count="1" selected="0">
            <x v="14"/>
          </reference>
          <reference field="6" count="1">
            <x v="13"/>
          </reference>
        </references>
      </pivotArea>
    </format>
    <format dxfId="759">
      <pivotArea dataOnly="0" labelOnly="1" outline="0" fieldPosition="0">
        <references count="1">
          <reference field="5" count="1">
            <x v="0"/>
          </reference>
        </references>
      </pivotArea>
    </format>
    <format dxfId="758">
      <pivotArea dataOnly="0" labelOnly="1" outline="0" fieldPosition="0">
        <references count="1">
          <reference field="5" count="1">
            <x v="1"/>
          </reference>
        </references>
      </pivotArea>
    </format>
    <format dxfId="757">
      <pivotArea dataOnly="0" labelOnly="1" outline="0" fieldPosition="0">
        <references count="1">
          <reference field="5" count="1">
            <x v="2"/>
          </reference>
        </references>
      </pivotArea>
    </format>
    <format dxfId="756">
      <pivotArea dataOnly="0" labelOnly="1" outline="0" fieldPosition="0">
        <references count="1">
          <reference field="5" count="1">
            <x v="3"/>
          </reference>
        </references>
      </pivotArea>
    </format>
    <format dxfId="755">
      <pivotArea dataOnly="0" labelOnly="1" outline="0" fieldPosition="0">
        <references count="1">
          <reference field="5" count="1">
            <x v="4"/>
          </reference>
        </references>
      </pivotArea>
    </format>
    <format dxfId="754">
      <pivotArea dataOnly="0" labelOnly="1" outline="0" fieldPosition="0">
        <references count="1">
          <reference field="5" count="10"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753">
      <pivotArea dataOnly="0" labelOnly="1" outline="0" fieldPosition="0">
        <references count="1">
          <reference field="5" count="1">
            <x v="0"/>
          </reference>
        </references>
      </pivotArea>
    </format>
    <format dxfId="752">
      <pivotArea dataOnly="0" labelOnly="1" outline="0" fieldPosition="0">
        <references count="1">
          <reference field="5" count="1">
            <x v="1"/>
          </reference>
        </references>
      </pivotArea>
    </format>
    <format dxfId="751">
      <pivotArea dataOnly="0" labelOnly="1" outline="0" fieldPosition="0">
        <references count="1">
          <reference field="5" count="1">
            <x v="2"/>
          </reference>
        </references>
      </pivotArea>
    </format>
    <format dxfId="750">
      <pivotArea dataOnly="0" labelOnly="1" outline="0" fieldPosition="0">
        <references count="1">
          <reference field="5" count="1">
            <x v="3"/>
          </reference>
        </references>
      </pivotArea>
    </format>
    <format dxfId="749">
      <pivotArea dataOnly="0" labelOnly="1" outline="0" fieldPosition="0">
        <references count="1">
          <reference field="5" count="1">
            <x v="4"/>
          </reference>
        </references>
      </pivotArea>
    </format>
    <format dxfId="748">
      <pivotArea dataOnly="0" labelOnly="1" outline="0" fieldPosition="0">
        <references count="1">
          <reference field="5" count="10"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747">
      <pivotArea dataOnly="0" labelOnly="1" outline="0" fieldPosition="0">
        <references count="2">
          <reference field="5" count="1" selected="0">
            <x v="8"/>
          </reference>
          <reference field="6" count="2">
            <x v="10"/>
            <x v="14"/>
          </reference>
        </references>
      </pivotArea>
    </format>
    <format dxfId="746">
      <pivotArea dataOnly="0" labelOnly="1" outline="0" fieldPosition="0">
        <references count="1">
          <reference field="6" count="0"/>
        </references>
      </pivotArea>
    </format>
    <format dxfId="74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44">
      <pivotArea outline="0" fieldPosition="0">
        <references count="1">
          <reference field="4294967294" count="1" selected="0">
            <x v="0"/>
          </reference>
        </references>
      </pivotArea>
    </format>
    <format dxfId="74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42">
      <pivotArea type="all" dataOnly="0" outline="0" fieldPosition="0"/>
    </format>
    <format dxfId="741">
      <pivotArea outline="0" collapsedLevelsAreSubtotals="1" fieldPosition="0"/>
    </format>
    <format dxfId="740">
      <pivotArea field="5" type="button" dataOnly="0" labelOnly="1" outline="0" axis="axisRow" fieldPosition="0"/>
    </format>
    <format dxfId="739">
      <pivotArea field="6" type="button" dataOnly="0" labelOnly="1" outline="0" axis="axisRow" fieldPosition="1"/>
    </format>
    <format dxfId="738">
      <pivotArea dataOnly="0" labelOnly="1" outline="0" fieldPosition="0">
        <references count="1">
          <reference field="5" count="0"/>
        </references>
      </pivotArea>
    </format>
    <format dxfId="737">
      <pivotArea dataOnly="0" labelOnly="1" grandRow="1" outline="0" fieldPosition="0"/>
    </format>
    <format dxfId="736">
      <pivotArea dataOnly="0" labelOnly="1" outline="0" fieldPosition="0">
        <references count="2">
          <reference field="5" count="1" selected="0">
            <x v="0"/>
          </reference>
          <reference field="6" count="1">
            <x v="8"/>
          </reference>
        </references>
      </pivotArea>
    </format>
    <format dxfId="735">
      <pivotArea dataOnly="0" labelOnly="1" outline="0" fieldPosition="0">
        <references count="2">
          <reference field="5" count="1" selected="0">
            <x v="1"/>
          </reference>
          <reference field="6" count="2">
            <x v="3"/>
            <x v="14"/>
          </reference>
        </references>
      </pivotArea>
    </format>
    <format dxfId="734">
      <pivotArea dataOnly="0" labelOnly="1" outline="0" fieldPosition="0">
        <references count="2">
          <reference field="5" count="1" selected="0">
            <x v="2"/>
          </reference>
          <reference field="6" count="1">
            <x v="14"/>
          </reference>
        </references>
      </pivotArea>
    </format>
    <format dxfId="733">
      <pivotArea dataOnly="0" labelOnly="1" outline="0" fieldPosition="0">
        <references count="2">
          <reference field="5" count="1" selected="0">
            <x v="3"/>
          </reference>
          <reference field="6" count="2">
            <x v="7"/>
            <x v="14"/>
          </reference>
        </references>
      </pivotArea>
    </format>
    <format dxfId="732">
      <pivotArea dataOnly="0" labelOnly="1" outline="0" fieldPosition="0">
        <references count="2">
          <reference field="5" count="1" selected="0">
            <x v="4"/>
          </reference>
          <reference field="6" count="2">
            <x v="4"/>
            <x v="14"/>
          </reference>
        </references>
      </pivotArea>
    </format>
    <format dxfId="731">
      <pivotArea dataOnly="0" labelOnly="1" outline="0" fieldPosition="0">
        <references count="2">
          <reference field="5" count="1" selected="0">
            <x v="5"/>
          </reference>
          <reference field="6" count="1">
            <x v="9"/>
          </reference>
        </references>
      </pivotArea>
    </format>
    <format dxfId="730">
      <pivotArea dataOnly="0" labelOnly="1" outline="0" fieldPosition="0">
        <references count="2">
          <reference field="5" count="1" selected="0">
            <x v="6"/>
          </reference>
          <reference field="6" count="2">
            <x v="2"/>
            <x v="14"/>
          </reference>
        </references>
      </pivotArea>
    </format>
    <format dxfId="729">
      <pivotArea dataOnly="0" labelOnly="1" outline="0" fieldPosition="0">
        <references count="2">
          <reference field="5" count="1" selected="0">
            <x v="7"/>
          </reference>
          <reference field="6" count="2">
            <x v="5"/>
            <x v="14"/>
          </reference>
        </references>
      </pivotArea>
    </format>
    <format dxfId="728">
      <pivotArea dataOnly="0" labelOnly="1" outline="0" fieldPosition="0">
        <references count="2">
          <reference field="5" count="1" selected="0">
            <x v="8"/>
          </reference>
          <reference field="6" count="2">
            <x v="10"/>
            <x v="14"/>
          </reference>
        </references>
      </pivotArea>
    </format>
    <format dxfId="727">
      <pivotArea dataOnly="0" labelOnly="1" outline="0" fieldPosition="0">
        <references count="2">
          <reference field="5" count="1" selected="0">
            <x v="9"/>
          </reference>
          <reference field="6" count="1">
            <x v="0"/>
          </reference>
        </references>
      </pivotArea>
    </format>
    <format dxfId="726">
      <pivotArea dataOnly="0" labelOnly="1" outline="0" fieldPosition="0">
        <references count="2">
          <reference field="5" count="1" selected="0">
            <x v="10"/>
          </reference>
          <reference field="6" count="1">
            <x v="6"/>
          </reference>
        </references>
      </pivotArea>
    </format>
    <format dxfId="725">
      <pivotArea dataOnly="0" labelOnly="1" outline="0" fieldPosition="0">
        <references count="2">
          <reference field="5" count="1" selected="0">
            <x v="11"/>
          </reference>
          <reference field="6" count="1">
            <x v="11"/>
          </reference>
        </references>
      </pivotArea>
    </format>
    <format dxfId="724">
      <pivotArea dataOnly="0" labelOnly="1" outline="0" fieldPosition="0">
        <references count="2">
          <reference field="5" count="1" selected="0">
            <x v="12"/>
          </reference>
          <reference field="6" count="1">
            <x v="1"/>
          </reference>
        </references>
      </pivotArea>
    </format>
    <format dxfId="723">
      <pivotArea dataOnly="0" labelOnly="1" outline="0" fieldPosition="0">
        <references count="2">
          <reference field="5" count="1" selected="0">
            <x v="13"/>
          </reference>
          <reference field="6" count="1">
            <x v="12"/>
          </reference>
        </references>
      </pivotArea>
    </format>
    <format dxfId="722">
      <pivotArea dataOnly="0" labelOnly="1" outline="0" fieldPosition="0">
        <references count="2">
          <reference field="5" count="1" selected="0">
            <x v="14"/>
          </reference>
          <reference field="6" count="2">
            <x v="13"/>
            <x v="14"/>
          </reference>
        </references>
      </pivotArea>
    </format>
    <format dxfId="721">
      <pivotArea dataOnly="0" labelOnly="1" outline="0" fieldPosition="0">
        <references count="2">
          <reference field="5" count="1" selected="0">
            <x v="15"/>
          </reference>
          <reference field="6" count="1">
            <x v="15"/>
          </reference>
        </references>
      </pivotArea>
    </format>
    <format dxfId="7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19">
      <pivotArea outline="0" fieldPosition="0">
        <references count="1">
          <reference field="4294967294" count="1" selected="0">
            <x v="0"/>
          </reference>
        </references>
      </pivotArea>
    </format>
    <format dxfId="718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D15A81-3187-4604-AD3E-63010A2BCD06}" name="Tabela dinâmica1" cacheId="25" applyNumberFormats="0" applyBorderFormats="0" applyFontFormats="0" applyPatternFormats="0" applyAlignmentFormats="0" applyWidthHeightFormats="1" dataCaption="Valores" grandTotalCaption="TOTAL" updatedVersion="8" minRefreshableVersion="3" itemPrintTitles="1" createdVersion="8" indent="0" outline="1" outlineData="1" multipleFieldFilters="0" rowHeaderCaption="MODALIDADE">
  <location ref="B27:D32" firstHeaderRow="0" firstDataRow="1" firstDataCol="1"/>
  <pivotFields count="15"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axis="axisRow" multipleItemSelectionAllowed="1" showAll="0">
      <items count="3">
        <item x="0"/>
        <item m="1" x="1"/>
        <item t="default"/>
      </items>
    </pivotField>
    <pivotField showAll="0"/>
    <pivotField showAll="0"/>
    <pivotField showAll="0"/>
    <pivotField numFmtId="42" showAll="0"/>
    <pivotField numFmtId="42" showAll="0"/>
    <pivotField numFmtId="42" showAll="0"/>
    <pivotField dataField="1" numFmtId="42" showAll="0"/>
    <pivotField numFmtId="10" showAll="0"/>
    <pivotField numFmtId="42" showAll="0"/>
  </pivotFields>
  <rowFields count="2">
    <field x="5"/>
    <field x="2"/>
  </rowFields>
  <rowItems count="5">
    <i>
      <x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FUNCIONÁRIOS" fld="1" subtotal="count" baseField="1" baseItem="0"/>
    <dataField name="TT BRUTO" fld="12" baseField="5" baseItem="0" numFmtId="42"/>
  </dataFields>
  <formats count="28">
    <format dxfId="640">
      <pivotArea type="all" dataOnly="0" outline="0" fieldPosition="0"/>
    </format>
    <format dxfId="639">
      <pivotArea outline="0" collapsedLevelsAreSubtotals="1" fieldPosition="0"/>
    </format>
    <format dxfId="638">
      <pivotArea field="2" type="button" dataOnly="0" labelOnly="1" outline="0" axis="axisRow" fieldPosition="1"/>
    </format>
    <format dxfId="637">
      <pivotArea dataOnly="0" labelOnly="1" fieldPosition="0">
        <references count="1">
          <reference field="2" count="0"/>
        </references>
      </pivotArea>
    </format>
    <format dxfId="636">
      <pivotArea dataOnly="0" labelOnly="1" grandRow="1" outline="0" fieldPosition="0"/>
    </format>
    <format dxfId="635">
      <pivotArea dataOnly="0" labelOnly="1" outline="0" axis="axisValues" fieldPosition="0"/>
    </format>
    <format dxfId="634">
      <pivotArea type="all" dataOnly="0" outline="0" fieldPosition="0"/>
    </format>
    <format dxfId="633">
      <pivotArea dataOnly="0" labelOnly="1" grandRow="1" outline="0" fieldPosition="0"/>
    </format>
    <format dxfId="632">
      <pivotArea dataOnly="0" labelOnly="1" fieldPosition="0">
        <references count="1">
          <reference field="2" count="0"/>
        </references>
      </pivotArea>
    </format>
    <format dxfId="631">
      <pivotArea dataOnly="0" labelOnly="1" outline="0" axis="axisValues" fieldPosition="0"/>
    </format>
    <format dxfId="630">
      <pivotArea outline="0" collapsedLevelsAreSubtotals="1" fieldPosition="0"/>
    </format>
    <format dxfId="629">
      <pivotArea field="2" type="button" dataOnly="0" labelOnly="1" outline="0" axis="axisRow" fieldPosition="1"/>
    </format>
    <format dxfId="62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2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25">
      <pivotArea dataOnly="0" labelOnly="1" fieldPosition="0">
        <references count="1">
          <reference field="5" count="0"/>
        </references>
      </pivotArea>
    </format>
    <format dxfId="624">
      <pivotArea dataOnly="0" labelOnly="1" fieldPosition="0">
        <references count="2">
          <reference field="2" count="0"/>
          <reference field="5" count="1" selected="0">
            <x v="0"/>
          </reference>
        </references>
      </pivotArea>
    </format>
    <format dxfId="623">
      <pivotArea type="all" dataOnly="0" outline="0" fieldPosition="0"/>
    </format>
    <format dxfId="622">
      <pivotArea outline="0" collapsedLevelsAreSubtotals="1" fieldPosition="0"/>
    </format>
    <format dxfId="621">
      <pivotArea field="5" type="button" dataOnly="0" labelOnly="1" outline="0" axis="axisRow" fieldPosition="0"/>
    </format>
    <format dxfId="620">
      <pivotArea dataOnly="0" labelOnly="1" fieldPosition="0">
        <references count="1">
          <reference field="5" count="0"/>
        </references>
      </pivotArea>
    </format>
    <format dxfId="619">
      <pivotArea dataOnly="0" labelOnly="1" grandRow="1" outline="0" fieldPosition="0"/>
    </format>
    <format dxfId="618">
      <pivotArea dataOnly="0" labelOnly="1" fieldPosition="0">
        <references count="2">
          <reference field="2" count="0"/>
          <reference field="5" count="0" selected="0"/>
        </references>
      </pivotArea>
    </format>
    <format dxfId="61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1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13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A325E-7EF0-4F91-9120-29C0033F5166}" name="Tabela dinâmica2" cacheId="25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compact="0" compactData="0" multipleFieldFilters="0">
  <location ref="B34:E38" firstHeaderRow="0" firstDataRow="1" firstDataCol="2"/>
  <pivotFields count="15">
    <pivotField compact="0" outline="0" subtotalTop="0" showAll="0" defaultSubtotal="0"/>
    <pivotField dataField="1" compact="0" outline="0" subtotalTop="0" showAll="0" defaultSubtotal="0"/>
    <pivotField compact="0" outline="0" subtotalTop="0" showAll="0" sortType="descending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name="EMPRESA" axis="axisRow" compact="0" outline="0" subtotalTop="0" showAll="0" defaultSubtotal="0">
      <items count="2">
        <item x="1"/>
        <item x="0"/>
      </items>
    </pivotField>
    <pivotField axis="axisRow" compact="0" outline="0" subtotalTop="0" showAll="0" defaultSubtotal="0">
      <items count="2">
        <item x="1"/>
        <item x="0"/>
      </items>
    </pivotField>
    <pivotField compact="0" numFmtId="42" outline="0" subtotalTop="0" showAll="0" defaultSubtotal="0"/>
    <pivotField compact="0" numFmtId="42" outline="0" subtotalTop="0" showAll="0" defaultSubtotal="0"/>
    <pivotField compact="0" numFmtId="42" outline="0" subtotalTop="0" showAll="0" defaultSubtotal="0"/>
    <pivotField compact="0" numFmtId="42" outline="0" subtotalTop="0" showAll="0" defaultSubtotal="0"/>
    <pivotField dataField="1" compact="0" numFmtId="42" outline="0" subtotalTop="0" showAll="0" defaultSubtotal="0"/>
    <pivotField compact="0" numFmtId="10" outline="0" subtotalTop="0" showAll="0" defaultSubtotal="0"/>
    <pivotField compact="0" numFmtId="42" outline="0" subtotalTop="0" showAll="0" defaultSubtotal="0"/>
  </pivotFields>
  <rowFields count="2">
    <field x="6"/>
    <field x="7"/>
  </rowFields>
  <rowItems count="4">
    <i>
      <x/>
      <x v="1"/>
    </i>
    <i>
      <x v="1"/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FUNCIONÁRIOS" fld="1" subtotal="count" baseField="1" baseItem="0"/>
    <dataField name="TT BRUTO" fld="12" baseField="7" baseItem="1" numFmtId="42"/>
  </dataFields>
  <formats count="41">
    <format dxfId="681">
      <pivotArea type="all" dataOnly="0" outline="0" fieldPosition="0"/>
    </format>
    <format dxfId="680">
      <pivotArea outline="0" collapsedLevelsAreSubtotals="1" fieldPosition="0"/>
    </format>
    <format dxfId="679">
      <pivotArea field="6" type="button" dataOnly="0" labelOnly="1" outline="0" axis="axisRow" fieldPosition="0"/>
    </format>
    <format dxfId="678">
      <pivotArea dataOnly="0" labelOnly="1" outline="0" fieldPosition="0">
        <references count="1">
          <reference field="6" count="0"/>
        </references>
      </pivotArea>
    </format>
    <format dxfId="677">
      <pivotArea dataOnly="0" labelOnly="1" outline="0" axis="axisValues" fieldPosition="0"/>
    </format>
    <format dxfId="676">
      <pivotArea type="all" dataOnly="0" outline="0" fieldPosition="0"/>
    </format>
    <format dxfId="675">
      <pivotArea dataOnly="0" labelOnly="1" outline="0" axis="axisValues" fieldPosition="0"/>
    </format>
    <format dxfId="674">
      <pivotArea outline="0" collapsedLevelsAreSubtotals="1" fieldPosition="0"/>
    </format>
    <format dxfId="673">
      <pivotArea grandRow="1" outline="0" collapsedLevelsAreSubtotals="1" fieldPosition="0"/>
    </format>
    <format dxfId="67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71">
      <pivotArea dataOnly="0" labelOnly="1" outline="0" fieldPosition="0">
        <references count="1">
          <reference field="6" count="0"/>
        </references>
      </pivotArea>
    </format>
    <format dxfId="670">
      <pivotArea field="6" type="button" dataOnly="0" labelOnly="1" outline="0" axis="axisRow" fieldPosition="0"/>
    </format>
    <format dxfId="669">
      <pivotArea dataOnly="0" labelOnly="1" outline="0" fieldPosition="0">
        <references count="1">
          <reference field="6" count="1">
            <x v="1"/>
          </reference>
        </references>
      </pivotArea>
    </format>
    <format dxfId="668">
      <pivotArea field="7" type="button" dataOnly="0" labelOnly="1" outline="0" axis="axisRow" fieldPosition="1"/>
    </format>
    <format dxfId="667">
      <pivotArea dataOnly="0" labelOnly="1" grandRow="1" outline="0" fieldPosition="0"/>
    </format>
    <format dxfId="666">
      <pivotArea dataOnly="0" labelOnly="1" outline="0" fieldPosition="0">
        <references count="2">
          <reference field="6" count="1" selected="0">
            <x v="1"/>
          </reference>
          <reference field="7" count="1">
            <x v="0"/>
          </reference>
        </references>
      </pivotArea>
    </format>
    <format dxfId="665">
      <pivotArea field="7" type="button" dataOnly="0" labelOnly="1" outline="0" axis="axisRow" fieldPosition="1"/>
    </format>
    <format dxfId="664">
      <pivotArea dataOnly="0" labelOnly="1" grandRow="1" outline="0" fieldPosition="0"/>
    </format>
    <format dxfId="663">
      <pivotArea dataOnly="0" labelOnly="1" outline="0" fieldPosition="0">
        <references count="1">
          <reference field="6" count="1">
            <x v="0"/>
          </reference>
        </references>
      </pivotArea>
    </format>
    <format dxfId="662">
      <pivotArea dataOnly="0" labelOnly="1" outline="0" fieldPosition="0">
        <references count="1">
          <reference field="6" count="1">
            <x v="1"/>
          </reference>
        </references>
      </pivotArea>
    </format>
    <format dxfId="661">
      <pivotArea dataOnly="0" labelOnly="1" outline="0" fieldPosition="0">
        <references count="1">
          <reference field="6" count="1">
            <x v="0"/>
          </reference>
        </references>
      </pivotArea>
    </format>
    <format dxfId="660">
      <pivotArea dataOnly="0" labelOnly="1" outline="0" fieldPosition="0">
        <references count="1">
          <reference field="6" count="1">
            <x v="1"/>
          </reference>
        </references>
      </pivotArea>
    </format>
    <format dxfId="659">
      <pivotArea dataOnly="0" labelOnly="1" outline="0" fieldPosition="0">
        <references count="2">
          <reference field="6" count="1" selected="0">
            <x v="0"/>
          </reference>
          <reference field="7" count="1">
            <x v="1"/>
          </reference>
        </references>
      </pivotArea>
    </format>
    <format dxfId="658">
      <pivotArea dataOnly="0" labelOnly="1" outline="0" fieldPosition="0">
        <references count="2">
          <reference field="6" count="1" selected="0">
            <x v="1"/>
          </reference>
          <reference field="7" count="0"/>
        </references>
      </pivotArea>
    </format>
    <format dxfId="657">
      <pivotArea type="all" dataOnly="0" outline="0" fieldPosition="0"/>
    </format>
    <format dxfId="656">
      <pivotArea outline="0" collapsedLevelsAreSubtotals="1" fieldPosition="0"/>
    </format>
    <format dxfId="655">
      <pivotArea field="6" type="button" dataOnly="0" labelOnly="1" outline="0" axis="axisRow" fieldPosition="0"/>
    </format>
    <format dxfId="654">
      <pivotArea field="7" type="button" dataOnly="0" labelOnly="1" outline="0" axis="axisRow" fieldPosition="1"/>
    </format>
    <format dxfId="653">
      <pivotArea dataOnly="0" labelOnly="1" outline="0" fieldPosition="0">
        <references count="1">
          <reference field="6" count="0"/>
        </references>
      </pivotArea>
    </format>
    <format dxfId="652">
      <pivotArea dataOnly="0" labelOnly="1" grandRow="1" outline="0" fieldPosition="0"/>
    </format>
    <format dxfId="651">
      <pivotArea dataOnly="0" labelOnly="1" outline="0" fieldPosition="0">
        <references count="2">
          <reference field="6" count="1" selected="0">
            <x v="0"/>
          </reference>
          <reference field="7" count="1">
            <x v="1"/>
          </reference>
        </references>
      </pivotArea>
    </format>
    <format dxfId="650">
      <pivotArea dataOnly="0" labelOnly="1" outline="0" fieldPosition="0">
        <references count="2">
          <reference field="6" count="1" selected="0">
            <x v="1"/>
          </reference>
          <reference field="7" count="0"/>
        </references>
      </pivotArea>
    </format>
    <format dxfId="64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48">
      <pivotArea field="7" type="button" dataOnly="0" labelOnly="1" outline="0" axis="axisRow" fieldPosition="1"/>
    </format>
    <format dxfId="647">
      <pivotArea dataOnly="0" labelOnly="1" grandRow="1" outline="0" fieldPosition="0"/>
    </format>
    <format dxfId="646">
      <pivotArea dataOnly="0" labelOnly="1" outline="0" fieldPosition="0">
        <references count="2">
          <reference field="6" count="1" selected="0">
            <x v="0"/>
          </reference>
          <reference field="7" count="1">
            <x v="1"/>
          </reference>
        </references>
      </pivotArea>
    </format>
    <format dxfId="645">
      <pivotArea dataOnly="0" labelOnly="1" outline="0" fieldPosition="0">
        <references count="2">
          <reference field="6" count="1" selected="0">
            <x v="1"/>
          </reference>
          <reference field="7" count="0"/>
        </references>
      </pivotArea>
    </format>
    <format dxfId="644">
      <pivotArea field="7" type="button" dataOnly="0" labelOnly="1" outline="0" axis="axisRow" fieldPosition="1"/>
    </format>
    <format dxfId="643">
      <pivotArea dataOnly="0" labelOnly="1" grandRow="1" outline="0" fieldPosition="0"/>
    </format>
    <format dxfId="642">
      <pivotArea dataOnly="0" labelOnly="1" outline="0" fieldPosition="0">
        <references count="2">
          <reference field="6" count="1" selected="0">
            <x v="0"/>
          </reference>
          <reference field="7" count="1">
            <x v="1"/>
          </reference>
        </references>
      </pivotArea>
    </format>
    <format dxfId="641">
      <pivotArea dataOnly="0" labelOnly="1" outline="0" fieldPosition="0">
        <references count="2">
          <reference field="6" count="1" selected="0">
            <x v="1"/>
          </reference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9FC13B-01E1-4EAD-AB02-1BBA5FDF7C3B}" name="Tabela dinâmica2" cacheId="20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compact="0" compactData="0" multipleFieldFilters="0">
  <location ref="B34:E37" firstHeaderRow="0" firstDataRow="1" firstDataCol="2"/>
  <pivotFields count="12">
    <pivotField dataField="1" compact="0" outline="0" subtotalTop="0" showAll="0" defaultSubtotal="0"/>
    <pivotField compact="0" outline="0" subtotalTop="0" showAll="0" sortType="descending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name="EMPRESA" axis="axisRow" compact="0" outline="0" subtotalTop="0" showAll="0" defaultSubtotal="0">
      <items count="2">
        <item x="0"/>
        <item m="1" x="1"/>
      </items>
    </pivotField>
    <pivotField axis="axisRow" compact="0" outline="0" subtotalTop="0" showAll="0" defaultSubtotal="0">
      <items count="3">
        <item x="1"/>
        <item x="0"/>
        <item m="1" x="2"/>
      </items>
    </pivotField>
    <pivotField compact="0" numFmtId="42" outline="0" subtotalTop="0" showAll="0" defaultSubtotal="0"/>
    <pivotField compact="0" numFmtId="42" outline="0" subtotalTop="0" showAll="0" defaultSubtotal="0"/>
    <pivotField compact="0" numFmtId="42" outline="0" subtotalTop="0" showAll="0" defaultSubtotal="0"/>
    <pivotField compact="0" numFmtId="42" outline="0" subtotalTop="0" showAll="0" defaultSubtotal="0"/>
    <pivotField dataField="1" compact="0" numFmtId="42" outline="0" subtotalTop="0" showAll="0" defaultSubtotal="0"/>
  </pivotFields>
  <rowFields count="2">
    <field x="5"/>
    <field x="6"/>
  </rowFields>
  <rowItems count="3">
    <i>
      <x/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FUNCIONÁRIOS" fld="0" subtotal="count" baseField="1" baseItem="0"/>
    <dataField name="Soma de TT BRUTO_x000a_MARÇO" fld="11" baseField="0" baseItem="0" numFmtId="42"/>
  </dataFields>
  <formats count="25">
    <format dxfId="583">
      <pivotArea type="all" dataOnly="0" outline="0" fieldPosition="0"/>
    </format>
    <format dxfId="582">
      <pivotArea outline="0" collapsedLevelsAreSubtotals="1" fieldPosition="0"/>
    </format>
    <format dxfId="581">
      <pivotArea field="5" type="button" dataOnly="0" labelOnly="1" outline="0" axis="axisRow" fieldPosition="0"/>
    </format>
    <format dxfId="580">
      <pivotArea dataOnly="0" labelOnly="1" outline="0" fieldPosition="0">
        <references count="1">
          <reference field="5" count="0"/>
        </references>
      </pivotArea>
    </format>
    <format dxfId="579">
      <pivotArea dataOnly="0" labelOnly="1" outline="0" axis="axisValues" fieldPosition="0"/>
    </format>
    <format dxfId="578">
      <pivotArea type="all" dataOnly="0" outline="0" fieldPosition="0"/>
    </format>
    <format dxfId="577">
      <pivotArea dataOnly="0" labelOnly="1" outline="0" axis="axisValues" fieldPosition="0"/>
    </format>
    <format dxfId="576">
      <pivotArea outline="0" collapsedLevelsAreSubtotals="1" fieldPosition="0"/>
    </format>
    <format dxfId="575">
      <pivotArea grandRow="1" outline="0" collapsedLevelsAreSubtotals="1" fieldPosition="0"/>
    </format>
    <format dxfId="57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73">
      <pivotArea dataOnly="0" labelOnly="1" outline="0" fieldPosition="0">
        <references count="1">
          <reference field="5" count="0"/>
        </references>
      </pivotArea>
    </format>
    <format dxfId="572">
      <pivotArea field="5" type="button" dataOnly="0" labelOnly="1" outline="0" axis="axisRow" fieldPosition="0"/>
    </format>
    <format dxfId="571">
      <pivotArea field="6" type="button" dataOnly="0" labelOnly="1" outline="0" axis="axisRow" fieldPosition="1"/>
    </format>
    <format dxfId="570">
      <pivotArea dataOnly="0" labelOnly="1" grandRow="1" outline="0" fieldPosition="0"/>
    </format>
    <format dxfId="569">
      <pivotArea field="6" type="button" dataOnly="0" labelOnly="1" outline="0" axis="axisRow" fieldPosition="1"/>
    </format>
    <format dxfId="568">
      <pivotArea dataOnly="0" labelOnly="1" grandRow="1" outline="0" fieldPosition="0"/>
    </format>
    <format dxfId="567">
      <pivotArea dataOnly="0" labelOnly="1" outline="0" fieldPosition="0">
        <references count="1">
          <reference field="5" count="1">
            <x v="0"/>
          </reference>
        </references>
      </pivotArea>
    </format>
    <format dxfId="566">
      <pivotArea dataOnly="0" labelOnly="1" outline="0" fieldPosition="0">
        <references count="1">
          <reference field="5" count="1">
            <x v="0"/>
          </reference>
        </references>
      </pivotArea>
    </format>
    <format dxfId="565">
      <pivotArea type="all" dataOnly="0" outline="0" fieldPosition="0"/>
    </format>
    <format dxfId="564">
      <pivotArea outline="0" collapsedLevelsAreSubtotals="1" fieldPosition="0"/>
    </format>
    <format dxfId="563">
      <pivotArea field="5" type="button" dataOnly="0" labelOnly="1" outline="0" axis="axisRow" fieldPosition="0"/>
    </format>
    <format dxfId="562">
      <pivotArea field="6" type="button" dataOnly="0" labelOnly="1" outline="0" axis="axisRow" fieldPosition="1"/>
    </format>
    <format dxfId="561">
      <pivotArea dataOnly="0" labelOnly="1" outline="0" fieldPosition="0">
        <references count="1">
          <reference field="5" count="0"/>
        </references>
      </pivotArea>
    </format>
    <format dxfId="560">
      <pivotArea dataOnly="0" labelOnly="1" grandRow="1" outline="0" fieldPosition="0"/>
    </format>
    <format dxfId="559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21F159-57B1-4821-A362-59874D54B7CC}" name="Tabela dinâmica1" cacheId="19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MODALIDADE">
  <location ref="B25:D32" firstHeaderRow="0" firstDataRow="1" firstDataCol="1"/>
  <pivotFields count="15">
    <pivotField showAll="0"/>
    <pivotField dataField="1" showAll="0"/>
    <pivotField axis="axisRow" showAll="0">
      <items count="5">
        <item x="1"/>
        <item x="0"/>
        <item x="2"/>
        <item m="1" x="3"/>
        <item t="default"/>
      </items>
    </pivotField>
    <pivotField showAll="0"/>
    <pivotField showAll="0"/>
    <pivotField axis="axisRow" multipleItemSelectionAllowed="1" showAll="0">
      <items count="4">
        <item x="0"/>
        <item x="1"/>
        <item m="1" x="2"/>
        <item t="default"/>
      </items>
    </pivotField>
    <pivotField showAll="0"/>
    <pivotField showAll="0"/>
    <pivotField showAll="0"/>
    <pivotField numFmtId="42" showAll="0"/>
    <pivotField numFmtId="42" showAll="0"/>
    <pivotField numFmtId="42" showAll="0"/>
    <pivotField dataField="1" numFmtId="42" showAll="0"/>
    <pivotField numFmtId="10" showAll="0"/>
    <pivotField numFmtId="42" showAll="0"/>
  </pivotFields>
  <rowFields count="2">
    <field x="5"/>
    <field x="2"/>
  </rowFields>
  <rowItems count="7">
    <i>
      <x/>
    </i>
    <i r="1">
      <x/>
    </i>
    <i r="1">
      <x v="1"/>
    </i>
    <i r="1">
      <x v="2"/>
    </i>
    <i>
      <x v="1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FUNCIONÁRIOS" fld="1" subtotal="count" baseField="1" baseItem="0"/>
    <dataField name="Soma de TT BRUTO_x000a_MARÇO" fld="12" baseField="0" baseItem="0" numFmtId="42"/>
  </dataFields>
  <formats count="28">
    <format dxfId="611">
      <pivotArea type="all" dataOnly="0" outline="0" fieldPosition="0"/>
    </format>
    <format dxfId="610">
      <pivotArea outline="0" collapsedLevelsAreSubtotals="1" fieldPosition="0"/>
    </format>
    <format dxfId="609">
      <pivotArea field="2" type="button" dataOnly="0" labelOnly="1" outline="0" axis="axisRow" fieldPosition="1"/>
    </format>
    <format dxfId="608">
      <pivotArea dataOnly="0" labelOnly="1" fieldPosition="0">
        <references count="1">
          <reference field="2" count="0"/>
        </references>
      </pivotArea>
    </format>
    <format dxfId="607">
      <pivotArea dataOnly="0" labelOnly="1" grandRow="1" outline="0" fieldPosition="0"/>
    </format>
    <format dxfId="606">
      <pivotArea dataOnly="0" labelOnly="1" outline="0" axis="axisValues" fieldPosition="0"/>
    </format>
    <format dxfId="605">
      <pivotArea type="all" dataOnly="0" outline="0" fieldPosition="0"/>
    </format>
    <format dxfId="604">
      <pivotArea dataOnly="0" labelOnly="1" grandRow="1" outline="0" fieldPosition="0"/>
    </format>
    <format dxfId="603">
      <pivotArea dataOnly="0" labelOnly="1" fieldPosition="0">
        <references count="1">
          <reference field="2" count="0"/>
        </references>
      </pivotArea>
    </format>
    <format dxfId="602">
      <pivotArea dataOnly="0" labelOnly="1" outline="0" axis="axisValues" fieldPosition="0"/>
    </format>
    <format dxfId="601">
      <pivotArea outline="0" collapsedLevelsAreSubtotals="1" fieldPosition="0"/>
    </format>
    <format dxfId="600">
      <pivotArea field="2" type="button" dataOnly="0" labelOnly="1" outline="0" axis="axisRow" fieldPosition="1"/>
    </format>
    <format dxfId="59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9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9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9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9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94">
      <pivotArea dataOnly="0" labelOnly="1" fieldPosition="0">
        <references count="1">
          <reference field="5" count="0"/>
        </references>
      </pivotArea>
    </format>
    <format dxfId="593">
      <pivotArea dataOnly="0" labelOnly="1" fieldPosition="0">
        <references count="2">
          <reference field="2" count="0"/>
          <reference field="5" count="1" selected="0">
            <x v="0"/>
          </reference>
        </references>
      </pivotArea>
    </format>
    <format dxfId="592">
      <pivotArea type="all" dataOnly="0" outline="0" fieldPosition="0"/>
    </format>
    <format dxfId="591">
      <pivotArea outline="0" collapsedLevelsAreSubtotals="1" fieldPosition="0"/>
    </format>
    <format dxfId="590">
      <pivotArea field="5" type="button" dataOnly="0" labelOnly="1" outline="0" axis="axisRow" fieldPosition="0"/>
    </format>
    <format dxfId="589">
      <pivotArea dataOnly="0" labelOnly="1" fieldPosition="0">
        <references count="1">
          <reference field="5" count="0"/>
        </references>
      </pivotArea>
    </format>
    <format dxfId="588">
      <pivotArea dataOnly="0" labelOnly="1" grandRow="1" outline="0" fieldPosition="0"/>
    </format>
    <format dxfId="587">
      <pivotArea dataOnly="0" labelOnly="1" fieldPosition="0">
        <references count="2">
          <reference field="2" count="0"/>
          <reference field="5" count="1" selected="0">
            <x v="0"/>
          </reference>
        </references>
      </pivotArea>
    </format>
    <format dxfId="58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85">
      <pivotArea dataOnly="0" labelOnly="1" fieldPosition="0">
        <references count="2">
          <reference field="2" count="2">
            <x v="0"/>
            <x v="2"/>
          </reference>
          <reference field="5" count="1" selected="0">
            <x v="1"/>
          </reference>
        </references>
      </pivotArea>
    </format>
    <format dxfId="584">
      <pivotArea dataOnly="0" labelOnly="1" fieldPosition="0">
        <references count="2">
          <reference field="2" count="2">
            <x v="0"/>
            <x v="2"/>
          </reference>
          <reference field="5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0F01DB-7EF3-4F77-B1D1-2531B43B904D}" name="Tabela dinâmica1" cacheId="23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MODALIDADE">
  <location ref="B20:D25" firstHeaderRow="0" firstDataRow="1" firstDataCol="1"/>
  <pivotFields count="12">
    <pivotField dataField="1" showAll="0"/>
    <pivotField axis="axisRow" showAll="0">
      <items count="5">
        <item x="1"/>
        <item x="0"/>
        <item m="1" x="3"/>
        <item x="2"/>
        <item t="default"/>
      </items>
    </pivotField>
    <pivotField showAll="0"/>
    <pivotField showAll="0"/>
    <pivotField axis="axisRow" multipleItemSelectionAllowed="1" showAll="0">
      <items count="4">
        <item x="0"/>
        <item m="1" x="2"/>
        <item m="1" x="1"/>
        <item t="default"/>
      </items>
    </pivotField>
    <pivotField showAll="0"/>
    <pivotField showAll="0"/>
    <pivotField showAll="0"/>
    <pivotField numFmtId="42" showAll="0"/>
    <pivotField numFmtId="42" showAll="0"/>
    <pivotField numFmtId="42" showAll="0"/>
    <pivotField dataField="1" numFmtId="42" showAll="0"/>
  </pivotFields>
  <rowFields count="2">
    <field x="4"/>
    <field x="1"/>
  </rowFields>
  <rowItems count="5">
    <i>
      <x/>
    </i>
    <i r="1">
      <x/>
    </i>
    <i r="1">
      <x v="1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FUNCIONÁRIOS" fld="0" subtotal="count" baseField="1" baseItem="0"/>
    <dataField name="TT BRUTO" fld="11" baseField="4" baseItem="0" numFmtId="42"/>
  </dataFields>
  <formats count="28">
    <format dxfId="521">
      <pivotArea type="all" dataOnly="0" outline="0" fieldPosition="0"/>
    </format>
    <format dxfId="520">
      <pivotArea outline="0" collapsedLevelsAreSubtotals="1" fieldPosition="0"/>
    </format>
    <format dxfId="519">
      <pivotArea field="1" type="button" dataOnly="0" labelOnly="1" outline="0" axis="axisRow" fieldPosition="1"/>
    </format>
    <format dxfId="518">
      <pivotArea dataOnly="0" labelOnly="1" fieldPosition="0">
        <references count="1">
          <reference field="1" count="0"/>
        </references>
      </pivotArea>
    </format>
    <format dxfId="517">
      <pivotArea dataOnly="0" labelOnly="1" grandRow="1" outline="0" fieldPosition="0"/>
    </format>
    <format dxfId="516">
      <pivotArea dataOnly="0" labelOnly="1" outline="0" axis="axisValues" fieldPosition="0"/>
    </format>
    <format dxfId="515">
      <pivotArea type="all" dataOnly="0" outline="0" fieldPosition="0"/>
    </format>
    <format dxfId="514">
      <pivotArea dataOnly="0" labelOnly="1" grandRow="1" outline="0" fieldPosition="0"/>
    </format>
    <format dxfId="513">
      <pivotArea dataOnly="0" labelOnly="1" fieldPosition="0">
        <references count="1">
          <reference field="1" count="0"/>
        </references>
      </pivotArea>
    </format>
    <format dxfId="512">
      <pivotArea dataOnly="0" labelOnly="1" outline="0" axis="axisValues" fieldPosition="0"/>
    </format>
    <format dxfId="511">
      <pivotArea outline="0" collapsedLevelsAreSubtotals="1" fieldPosition="0"/>
    </format>
    <format dxfId="510">
      <pivotArea field="1" type="button" dataOnly="0" labelOnly="1" outline="0" axis="axisRow" fieldPosition="1"/>
    </format>
    <format dxfId="50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0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0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0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0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04">
      <pivotArea dataOnly="0" labelOnly="1" fieldPosition="0">
        <references count="1">
          <reference field="4" count="0"/>
        </references>
      </pivotArea>
    </format>
    <format dxfId="503">
      <pivotArea dataOnly="0" labelOnly="1" fieldPosition="0">
        <references count="1">
          <reference field="4" count="1">
            <x v="1"/>
          </reference>
        </references>
      </pivotArea>
    </format>
    <format dxfId="502">
      <pivotArea dataOnly="0" labelOnly="1" fieldPosition="0">
        <references count="2">
          <reference field="1" count="1">
            <x v="0"/>
          </reference>
          <reference field="4" count="1" selected="0">
            <x v="1"/>
          </reference>
        </references>
      </pivotArea>
    </format>
    <format dxfId="501">
      <pivotArea type="all" dataOnly="0" outline="0" fieldPosition="0"/>
    </format>
    <format dxfId="500">
      <pivotArea outline="0" collapsedLevelsAreSubtotals="1" fieldPosition="0"/>
    </format>
    <format dxfId="499">
      <pivotArea field="4" type="button" dataOnly="0" labelOnly="1" outline="0" axis="axisRow" fieldPosition="0"/>
    </format>
    <format dxfId="498">
      <pivotArea dataOnly="0" labelOnly="1" fieldPosition="0">
        <references count="1">
          <reference field="4" count="0"/>
        </references>
      </pivotArea>
    </format>
    <format dxfId="497">
      <pivotArea dataOnly="0" labelOnly="1" grandRow="1" outline="0" fieldPosition="0"/>
    </format>
    <format dxfId="496">
      <pivotArea dataOnly="0" labelOnly="1" fieldPosition="0">
        <references count="2">
          <reference field="1" count="0"/>
          <reference field="4" count="1" selected="0">
            <x v="0"/>
          </reference>
        </references>
      </pivotArea>
    </format>
    <format dxfId="495">
      <pivotArea dataOnly="0" labelOnly="1" fieldPosition="0">
        <references count="2">
          <reference field="1" count="1">
            <x v="0"/>
          </reference>
          <reference field="4" count="1" selected="0">
            <x v="1"/>
          </reference>
        </references>
      </pivotArea>
    </format>
    <format dxfId="494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599FC9-AEFA-4E77-8CB9-24F0AD9C9CBB}" name="Tabela dinâmica2" cacheId="23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compact="0" compactData="0" multipleFieldFilters="0">
  <location ref="B27:E32" firstHeaderRow="0" firstDataRow="1" firstDataCol="2"/>
  <pivotFields count="12">
    <pivotField dataField="1" compact="0" outline="0" subtotalTop="0" showAll="0" defaultSubtotal="0"/>
    <pivotField compact="0" outline="0" subtotalTop="0" showAll="0" sortType="descending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name="EMPRESA" axis="axisRow" compact="0" outline="0" subtotalTop="0" showAll="0" defaultSubtotal="0">
      <items count="5">
        <item x="1"/>
        <item x="0"/>
        <item x="2"/>
        <item m="1" x="4"/>
        <item m="1" x="3"/>
      </items>
    </pivotField>
    <pivotField axis="axisRow" compact="0" outline="0" subtotalTop="0" showAll="0" defaultSubtotal="0">
      <items count="6">
        <item x="1"/>
        <item x="2"/>
        <item x="0"/>
        <item x="3"/>
        <item m="1" x="5"/>
        <item m="1" x="4"/>
      </items>
    </pivotField>
    <pivotField compact="0" numFmtId="42" outline="0" subtotalTop="0" showAll="0" defaultSubtotal="0"/>
    <pivotField compact="0" numFmtId="42" outline="0" subtotalTop="0" showAll="0" defaultSubtotal="0"/>
    <pivotField compact="0" numFmtId="42" outline="0" subtotalTop="0" showAll="0" defaultSubtotal="0"/>
    <pivotField compact="0" numFmtId="42" outline="0" subtotalTop="0" showAll="0" defaultSubtotal="0"/>
    <pivotField dataField="1" compact="0" numFmtId="42" outline="0" subtotalTop="0" showAll="0" defaultSubtotal="0"/>
  </pivotFields>
  <rowFields count="2">
    <field x="5"/>
    <field x="6"/>
  </rowFields>
  <rowItems count="5">
    <i>
      <x/>
      <x v="1"/>
    </i>
    <i>
      <x v="1"/>
      <x/>
    </i>
    <i r="1">
      <x v="2"/>
    </i>
    <i>
      <x v="2"/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FUNCIONÁRIOS" fld="0" subtotal="count" baseField="1" baseItem="0"/>
    <dataField name="TT BRUTO" fld="11" baseField="6" baseItem="1" numFmtId="42"/>
  </dataFields>
  <formats count="36">
    <format dxfId="557">
      <pivotArea type="all" dataOnly="0" outline="0" fieldPosition="0"/>
    </format>
    <format dxfId="556">
      <pivotArea outline="0" collapsedLevelsAreSubtotals="1" fieldPosition="0"/>
    </format>
    <format dxfId="555">
      <pivotArea field="5" type="button" dataOnly="0" labelOnly="1" outline="0" axis="axisRow" fieldPosition="0"/>
    </format>
    <format dxfId="554">
      <pivotArea dataOnly="0" labelOnly="1" outline="0" fieldPosition="0">
        <references count="1">
          <reference field="5" count="0"/>
        </references>
      </pivotArea>
    </format>
    <format dxfId="553">
      <pivotArea dataOnly="0" labelOnly="1" outline="0" axis="axisValues" fieldPosition="0"/>
    </format>
    <format dxfId="552">
      <pivotArea type="all" dataOnly="0" outline="0" fieldPosition="0"/>
    </format>
    <format dxfId="551">
      <pivotArea dataOnly="0" labelOnly="1" outline="0" axis="axisValues" fieldPosition="0"/>
    </format>
    <format dxfId="550">
      <pivotArea outline="0" collapsedLevelsAreSubtotals="1" fieldPosition="0"/>
    </format>
    <format dxfId="549">
      <pivotArea grandRow="1" outline="0" collapsedLevelsAreSubtotals="1" fieldPosition="0"/>
    </format>
    <format dxfId="54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47">
      <pivotArea dataOnly="0" labelOnly="1" outline="0" fieldPosition="0">
        <references count="1">
          <reference field="5" count="0"/>
        </references>
      </pivotArea>
    </format>
    <format dxfId="546">
      <pivotArea field="5" type="button" dataOnly="0" labelOnly="1" outline="0" axis="axisRow" fieldPosition="0"/>
    </format>
    <format dxfId="545">
      <pivotArea dataOnly="0" labelOnly="1" outline="0" fieldPosition="0">
        <references count="1">
          <reference field="5" count="1" defaultSubtotal="1">
            <x v="0"/>
          </reference>
        </references>
      </pivotArea>
    </format>
    <format dxfId="544">
      <pivotArea field="6" type="button" dataOnly="0" labelOnly="1" outline="0" axis="axisRow" fieldPosition="1"/>
    </format>
    <format dxfId="543">
      <pivotArea dataOnly="0" labelOnly="1" grandRow="1" outline="0" fieldPosition="0"/>
    </format>
    <format dxfId="542">
      <pivotArea dataOnly="0" labelOnly="1" outline="0" fieldPosition="0">
        <references count="2">
          <reference field="5" count="1" selected="0">
            <x v="0"/>
          </reference>
          <reference field="6" count="1">
            <x v="1"/>
          </reference>
        </references>
      </pivotArea>
    </format>
    <format dxfId="541">
      <pivotArea field="6" type="button" dataOnly="0" labelOnly="1" outline="0" axis="axisRow" fieldPosition="1"/>
    </format>
    <format dxfId="540">
      <pivotArea dataOnly="0" labelOnly="1" grandRow="1" outline="0" fieldPosition="0"/>
    </format>
    <format dxfId="539">
      <pivotArea dataOnly="0" labelOnly="1" outline="0" fieldPosition="0">
        <references count="1">
          <reference field="5" count="1">
            <x v="0"/>
          </reference>
        </references>
      </pivotArea>
    </format>
    <format dxfId="538">
      <pivotArea dataOnly="0" labelOnly="1" outline="0" fieldPosition="0">
        <references count="1">
          <reference field="5" count="1">
            <x v="1"/>
          </reference>
        </references>
      </pivotArea>
    </format>
    <format dxfId="537">
      <pivotArea dataOnly="0" labelOnly="1" outline="0" fieldPosition="0">
        <references count="1">
          <reference field="5" count="1">
            <x v="0"/>
          </reference>
        </references>
      </pivotArea>
    </format>
    <format dxfId="536">
      <pivotArea dataOnly="0" labelOnly="1" outline="0" fieldPosition="0">
        <references count="1">
          <reference field="5" count="1">
            <x v="1"/>
          </reference>
        </references>
      </pivotArea>
    </format>
    <format dxfId="535">
      <pivotArea dataOnly="0" labelOnly="1" outline="0" fieldPosition="0">
        <references count="1">
          <reference field="5" count="1">
            <x v="2"/>
          </reference>
        </references>
      </pivotArea>
    </format>
    <format dxfId="534">
      <pivotArea dataOnly="0" labelOnly="1" outline="0" fieldPosition="0">
        <references count="2">
          <reference field="5" count="1" selected="0">
            <x v="0"/>
          </reference>
          <reference field="6" count="1">
            <x v="1"/>
          </reference>
        </references>
      </pivotArea>
    </format>
    <format dxfId="533">
      <pivotArea dataOnly="0" labelOnly="1" outline="0" fieldPosition="0">
        <references count="2">
          <reference field="5" count="1" selected="0">
            <x v="1"/>
          </reference>
          <reference field="6" count="2">
            <x v="0"/>
            <x v="2"/>
          </reference>
        </references>
      </pivotArea>
    </format>
    <format dxfId="532">
      <pivotArea dataOnly="0" labelOnly="1" outline="0" fieldPosition="0">
        <references count="2">
          <reference field="5" count="1" selected="0">
            <x v="2"/>
          </reference>
          <reference field="6" count="1">
            <x v="3"/>
          </reference>
        </references>
      </pivotArea>
    </format>
    <format dxfId="531">
      <pivotArea type="all" dataOnly="0" outline="0" fieldPosition="0"/>
    </format>
    <format dxfId="530">
      <pivotArea outline="0" collapsedLevelsAreSubtotals="1" fieldPosition="0"/>
    </format>
    <format dxfId="529">
      <pivotArea field="5" type="button" dataOnly="0" labelOnly="1" outline="0" axis="axisRow" fieldPosition="0"/>
    </format>
    <format dxfId="528">
      <pivotArea field="6" type="button" dataOnly="0" labelOnly="1" outline="0" axis="axisRow" fieldPosition="1"/>
    </format>
    <format dxfId="527">
      <pivotArea dataOnly="0" labelOnly="1" outline="0" fieldPosition="0">
        <references count="1">
          <reference field="5" count="0"/>
        </references>
      </pivotArea>
    </format>
    <format dxfId="526">
      <pivotArea dataOnly="0" labelOnly="1" grandRow="1" outline="0" fieldPosition="0"/>
    </format>
    <format dxfId="525">
      <pivotArea dataOnly="0" labelOnly="1" outline="0" fieldPosition="0">
        <references count="2">
          <reference field="5" count="1" selected="0">
            <x v="0"/>
          </reference>
          <reference field="6" count="1">
            <x v="1"/>
          </reference>
        </references>
      </pivotArea>
    </format>
    <format dxfId="524">
      <pivotArea dataOnly="0" labelOnly="1" outline="0" fieldPosition="0">
        <references count="2">
          <reference field="5" count="1" selected="0">
            <x v="1"/>
          </reference>
          <reference field="6" count="2">
            <x v="0"/>
            <x v="2"/>
          </reference>
        </references>
      </pivotArea>
    </format>
    <format dxfId="523">
      <pivotArea dataOnly="0" labelOnly="1" outline="0" fieldPosition="0">
        <references count="2">
          <reference field="5" count="1" selected="0">
            <x v="2"/>
          </reference>
          <reference field="6" count="1">
            <x v="3"/>
          </reference>
        </references>
      </pivotArea>
    </format>
    <format dxfId="522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18F5D7-E64C-43B8-A004-91469E867C2D}" name="Tabela dinâmica2" cacheId="26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compact="0" compactData="0" multipleFieldFilters="0">
  <location ref="B11:E14" firstHeaderRow="0" firstDataRow="1" firstDataCol="2"/>
  <pivotFields count="12">
    <pivotField dataField="1" compact="0" outline="0" subtotalTop="0" showAll="0" defaultSubtotal="0"/>
    <pivotField compact="0" outline="0" subtotalTop="0" showAll="0" sortType="descending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name="EMPRESA" axis="axisRow" compact="0" outline="0" subtotalTop="0" showAll="0" defaultSubtotal="0">
      <items count="3">
        <item x="1"/>
        <item m="1" x="2"/>
        <item x="0"/>
      </items>
    </pivotField>
    <pivotField axis="axisRow" compact="0" outline="0" subtotalTop="0" showAll="0" defaultSubtotal="0">
      <items count="3">
        <item x="1"/>
        <item m="1" x="2"/>
        <item x="0"/>
      </items>
    </pivotField>
    <pivotField compact="0" numFmtId="42" outline="0" subtotalTop="0" showAll="0" defaultSubtotal="0"/>
    <pivotField compact="0" numFmtId="42" outline="0" subtotalTop="0" showAll="0" defaultSubtotal="0"/>
    <pivotField compact="0" numFmtId="42" outline="0" subtotalTop="0" showAll="0" defaultSubtotal="0"/>
    <pivotField compact="0" numFmtId="42" outline="0" subtotalTop="0" showAll="0" defaultSubtotal="0"/>
    <pivotField dataField="1" compact="0" numFmtId="42" outline="0" subtotalTop="0" showAll="0" defaultSubtotal="0"/>
  </pivotFields>
  <rowFields count="2">
    <field x="5"/>
    <field x="6"/>
  </rowFields>
  <rowItems count="3">
    <i>
      <x/>
      <x/>
    </i>
    <i>
      <x v="2"/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FUNCIONÁRIOS" fld="0" subtotal="count" baseField="1" baseItem="0"/>
    <dataField name="TT BRUTO" fld="11" baseField="6" baseItem="0" numFmtId="42"/>
  </dataFields>
  <formats count="32">
    <format dxfId="464">
      <pivotArea type="all" dataOnly="0" outline="0" fieldPosition="0"/>
    </format>
    <format dxfId="463">
      <pivotArea outline="0" collapsedLevelsAreSubtotals="1" fieldPosition="0"/>
    </format>
    <format dxfId="462">
      <pivotArea field="5" type="button" dataOnly="0" labelOnly="1" outline="0" axis="axisRow" fieldPosition="0"/>
    </format>
    <format dxfId="461">
      <pivotArea dataOnly="0" labelOnly="1" outline="0" fieldPosition="0">
        <references count="1">
          <reference field="5" count="0"/>
        </references>
      </pivotArea>
    </format>
    <format dxfId="460">
      <pivotArea dataOnly="0" labelOnly="1" outline="0" axis="axisValues" fieldPosition="0"/>
    </format>
    <format dxfId="459">
      <pivotArea type="all" dataOnly="0" outline="0" fieldPosition="0"/>
    </format>
    <format dxfId="458">
      <pivotArea dataOnly="0" labelOnly="1" outline="0" axis="axisValues" fieldPosition="0"/>
    </format>
    <format dxfId="457">
      <pivotArea outline="0" collapsedLevelsAreSubtotals="1" fieldPosition="0"/>
    </format>
    <format dxfId="456">
      <pivotArea grandRow="1" outline="0" collapsedLevelsAreSubtotals="1" fieldPosition="0"/>
    </format>
    <format dxfId="45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54">
      <pivotArea dataOnly="0" labelOnly="1" outline="0" fieldPosition="0">
        <references count="1">
          <reference field="5" count="0"/>
        </references>
      </pivotArea>
    </format>
    <format dxfId="453">
      <pivotArea field="5" type="button" dataOnly="0" labelOnly="1" outline="0" axis="axisRow" fieldPosition="0"/>
    </format>
    <format dxfId="452">
      <pivotArea dataOnly="0" labelOnly="1" outline="0" fieldPosition="0">
        <references count="1">
          <reference field="5" count="1">
            <x v="0"/>
          </reference>
        </references>
      </pivotArea>
    </format>
    <format dxfId="451">
      <pivotArea field="6" type="button" dataOnly="0" labelOnly="1" outline="0" axis="axisRow" fieldPosition="1"/>
    </format>
    <format dxfId="450">
      <pivotArea dataOnly="0" labelOnly="1" grandRow="1" outline="0" fieldPosition="0"/>
    </format>
    <format dxfId="449">
      <pivotArea dataOnly="0" labelOnly="1" outline="0" fieldPosition="0">
        <references count="2">
          <reference field="5" count="1" selected="0">
            <x v="0"/>
          </reference>
          <reference field="6" count="1">
            <x v="0"/>
          </reference>
        </references>
      </pivotArea>
    </format>
    <format dxfId="448">
      <pivotArea field="6" type="button" dataOnly="0" labelOnly="1" outline="0" axis="axisRow" fieldPosition="1"/>
    </format>
    <format dxfId="447">
      <pivotArea dataOnly="0" labelOnly="1" grandRow="1" outline="0" fieldPosition="0"/>
    </format>
    <format dxfId="446">
      <pivotArea dataOnly="0" labelOnly="1" outline="0" fieldPosition="0">
        <references count="2">
          <reference field="5" count="1" selected="0">
            <x v="0"/>
          </reference>
          <reference field="6" count="1">
            <x v="0"/>
          </reference>
        </references>
      </pivotArea>
    </format>
    <format dxfId="445">
      <pivotArea dataOnly="0" labelOnly="1" outline="0" fieldPosition="0">
        <references count="1">
          <reference field="5" count="1">
            <x v="0"/>
          </reference>
        </references>
      </pivotArea>
    </format>
    <format dxfId="444">
      <pivotArea dataOnly="0" labelOnly="1" outline="0" fieldPosition="0">
        <references count="1">
          <reference field="5" count="1">
            <x v="0"/>
          </reference>
        </references>
      </pivotArea>
    </format>
    <format dxfId="443">
      <pivotArea dataOnly="0" labelOnly="1" outline="0" fieldPosition="0">
        <references count="1">
          <reference field="5" count="1">
            <x v="1"/>
          </reference>
        </references>
      </pivotArea>
    </format>
    <format dxfId="442">
      <pivotArea dataOnly="0" labelOnly="1" outline="0" fieldPosition="0">
        <references count="1">
          <reference field="5" count="1">
            <x v="2"/>
          </reference>
        </references>
      </pivotArea>
    </format>
    <format dxfId="441">
      <pivotArea type="all" dataOnly="0" outline="0" fieldPosition="0"/>
    </format>
    <format dxfId="440">
      <pivotArea outline="0" collapsedLevelsAreSubtotals="1" fieldPosition="0"/>
    </format>
    <format dxfId="439">
      <pivotArea field="5" type="button" dataOnly="0" labelOnly="1" outline="0" axis="axisRow" fieldPosition="0"/>
    </format>
    <format dxfId="438">
      <pivotArea field="6" type="button" dataOnly="0" labelOnly="1" outline="0" axis="axisRow" fieldPosition="1"/>
    </format>
    <format dxfId="437">
      <pivotArea dataOnly="0" labelOnly="1" outline="0" fieldPosition="0">
        <references count="1">
          <reference field="5" count="0"/>
        </references>
      </pivotArea>
    </format>
    <format dxfId="436">
      <pivotArea dataOnly="0" labelOnly="1" grandRow="1" outline="0" fieldPosition="0"/>
    </format>
    <format dxfId="435">
      <pivotArea dataOnly="0" labelOnly="1" outline="0" fieldPosition="0">
        <references count="2">
          <reference field="5" count="1" selected="0">
            <x v="0"/>
          </reference>
          <reference field="6" count="1">
            <x v="0"/>
          </reference>
        </references>
      </pivotArea>
    </format>
    <format dxfId="434">
      <pivotArea dataOnly="0" labelOnly="1" outline="0" fieldPosition="0">
        <references count="2">
          <reference field="5" count="1" selected="0">
            <x v="2"/>
          </reference>
          <reference field="6" count="1">
            <x v="2"/>
          </reference>
        </references>
      </pivotArea>
    </format>
    <format dxfId="433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9BD604-F614-4C5A-8CC4-E04090DBD316}" name="Tabela dinâmica1" cacheId="26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MODALIDADE">
  <location ref="B6:D9" firstHeaderRow="0" firstDataRow="1" firstDataCol="1"/>
  <pivotFields count="12">
    <pivotField dataField="1" showAll="0"/>
    <pivotField axis="axisRow" showAll="0">
      <items count="3">
        <item x="0"/>
        <item m="1" x="1"/>
        <item t="default"/>
      </items>
    </pivotField>
    <pivotField showAll="0"/>
    <pivotField showAll="0"/>
    <pivotField axis="axisRow" multipleItemSelectionAllowed="1" showAll="0">
      <items count="3">
        <item x="0"/>
        <item m="1" x="1"/>
        <item t="default"/>
      </items>
    </pivotField>
    <pivotField showAll="0"/>
    <pivotField showAll="0"/>
    <pivotField showAll="0"/>
    <pivotField numFmtId="42" showAll="0"/>
    <pivotField numFmtId="42" showAll="0"/>
    <pivotField numFmtId="42" showAll="0"/>
    <pivotField dataField="1" numFmtId="42" showAll="0"/>
  </pivotFields>
  <rowFields count="2">
    <field x="4"/>
    <field x="1"/>
  </rowFields>
  <rowItems count="3">
    <i>
      <x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FUNCIONÁRIOS" fld="0" subtotal="count" baseField="1" baseItem="0"/>
    <dataField name="TT BRUTO" fld="11" baseField="4" baseItem="0" numFmtId="42"/>
  </dataFields>
  <formats count="27">
    <format dxfId="491">
      <pivotArea type="all" dataOnly="0" outline="0" fieldPosition="0"/>
    </format>
    <format dxfId="490">
      <pivotArea outline="0" collapsedLevelsAreSubtotals="1" fieldPosition="0"/>
    </format>
    <format dxfId="489">
      <pivotArea field="1" type="button" dataOnly="0" labelOnly="1" outline="0" axis="axisRow" fieldPosition="1"/>
    </format>
    <format dxfId="488">
      <pivotArea dataOnly="0" labelOnly="1" fieldPosition="0">
        <references count="1">
          <reference field="1" count="0"/>
        </references>
      </pivotArea>
    </format>
    <format dxfId="487">
      <pivotArea dataOnly="0" labelOnly="1" grandRow="1" outline="0" fieldPosition="0"/>
    </format>
    <format dxfId="486">
      <pivotArea dataOnly="0" labelOnly="1" outline="0" axis="axisValues" fieldPosition="0"/>
    </format>
    <format dxfId="485">
      <pivotArea type="all" dataOnly="0" outline="0" fieldPosition="0"/>
    </format>
    <format dxfId="484">
      <pivotArea dataOnly="0" labelOnly="1" grandRow="1" outline="0" fieldPosition="0"/>
    </format>
    <format dxfId="483">
      <pivotArea dataOnly="0" labelOnly="1" fieldPosition="0">
        <references count="1">
          <reference field="1" count="0"/>
        </references>
      </pivotArea>
    </format>
    <format dxfId="482">
      <pivotArea dataOnly="0" labelOnly="1" outline="0" axis="axisValues" fieldPosition="0"/>
    </format>
    <format dxfId="481">
      <pivotArea outline="0" collapsedLevelsAreSubtotals="1" fieldPosition="0"/>
    </format>
    <format dxfId="480">
      <pivotArea field="1" type="button" dataOnly="0" labelOnly="1" outline="0" axis="axisRow" fieldPosition="1"/>
    </format>
    <format dxfId="47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7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7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7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7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74">
      <pivotArea dataOnly="0" labelOnly="1" fieldPosition="0">
        <references count="1">
          <reference field="4" count="0"/>
        </references>
      </pivotArea>
    </format>
    <format dxfId="473">
      <pivotArea dataOnly="0" labelOnly="1" fieldPosition="0">
        <references count="2">
          <reference field="1" count="0"/>
          <reference field="4" count="1" selected="0">
            <x v="0"/>
          </reference>
        </references>
      </pivotArea>
    </format>
    <format dxfId="472">
      <pivotArea dataOnly="0" labelOnly="1" fieldPosition="0">
        <references count="2">
          <reference field="1" count="1">
            <x v="1"/>
          </reference>
          <reference field="4" count="1" selected="0">
            <x v="1"/>
          </reference>
        </references>
      </pivotArea>
    </format>
    <format dxfId="471">
      <pivotArea type="all" dataOnly="0" outline="0" fieldPosition="0"/>
    </format>
    <format dxfId="470">
      <pivotArea outline="0" collapsedLevelsAreSubtotals="1" fieldPosition="0"/>
    </format>
    <format dxfId="469">
      <pivotArea field="4" type="button" dataOnly="0" labelOnly="1" outline="0" axis="axisRow" fieldPosition="0"/>
    </format>
    <format dxfId="468">
      <pivotArea dataOnly="0" labelOnly="1" fieldPosition="0">
        <references count="1">
          <reference field="4" count="0"/>
        </references>
      </pivotArea>
    </format>
    <format dxfId="467">
      <pivotArea dataOnly="0" labelOnly="1" grandRow="1" outline="0" fieldPosition="0"/>
    </format>
    <format dxfId="466">
      <pivotArea dataOnly="0" labelOnly="1" fieldPosition="0">
        <references count="2">
          <reference field="1" count="0"/>
          <reference field="4" count="0" selected="0"/>
        </references>
      </pivotArea>
    </format>
    <format dxfId="465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8655B-2A61-4E51-8497-A9AE75A15BA3}" name="Tabela dinâmica1" cacheId="27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MODALIDADE">
  <location ref="B23:D31" firstHeaderRow="0" firstDataRow="1" firstDataCol="1"/>
  <pivotFields count="12">
    <pivotField dataField="1"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axis="axisRow" multipleItemSelectionAllowed="1" showAll="0">
      <items count="3">
        <item x="0"/>
        <item x="1"/>
        <item t="default"/>
      </items>
    </pivotField>
    <pivotField showAll="0"/>
    <pivotField showAll="0"/>
    <pivotField showAll="0"/>
    <pivotField numFmtId="42" showAll="0"/>
    <pivotField numFmtId="42" showAll="0"/>
    <pivotField numFmtId="42" showAll="0"/>
    <pivotField dataField="1" numFmtId="42" showAll="0"/>
  </pivotFields>
  <rowFields count="2">
    <field x="4"/>
    <field x="1"/>
  </rowFields>
  <rowItems count="8">
    <i>
      <x/>
    </i>
    <i r="1">
      <x/>
    </i>
    <i r="1">
      <x v="1"/>
    </i>
    <i r="1">
      <x v="2"/>
    </i>
    <i r="1">
      <x v="3"/>
    </i>
    <i>
      <x v="1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FUNCIONÁRIOS" fld="0" subtotal="count" baseField="1" baseItem="0"/>
    <dataField name="TT BRUTO" fld="11" baseField="4" baseItem="0" numFmtId="42"/>
  </dataFields>
  <formats count="26">
    <format dxfId="388">
      <pivotArea type="all" dataOnly="0" outline="0" fieldPosition="0"/>
    </format>
    <format dxfId="387">
      <pivotArea outline="0" collapsedLevelsAreSubtotals="1" fieldPosition="0"/>
    </format>
    <format dxfId="386">
      <pivotArea field="1" type="button" dataOnly="0" labelOnly="1" outline="0" axis="axisRow" fieldPosition="1"/>
    </format>
    <format dxfId="385">
      <pivotArea dataOnly="0" labelOnly="1" fieldPosition="0">
        <references count="1">
          <reference field="1" count="0"/>
        </references>
      </pivotArea>
    </format>
    <format dxfId="384">
      <pivotArea dataOnly="0" labelOnly="1" grandRow="1" outline="0" fieldPosition="0"/>
    </format>
    <format dxfId="383">
      <pivotArea dataOnly="0" labelOnly="1" outline="0" axis="axisValues" fieldPosition="0"/>
    </format>
    <format dxfId="382">
      <pivotArea type="all" dataOnly="0" outline="0" fieldPosition="0"/>
    </format>
    <format dxfId="381">
      <pivotArea dataOnly="0" labelOnly="1" grandRow="1" outline="0" fieldPosition="0"/>
    </format>
    <format dxfId="380">
      <pivotArea dataOnly="0" labelOnly="1" fieldPosition="0">
        <references count="1">
          <reference field="1" count="0"/>
        </references>
      </pivotArea>
    </format>
    <format dxfId="379">
      <pivotArea dataOnly="0" labelOnly="1" outline="0" axis="axisValues" fieldPosition="0"/>
    </format>
    <format dxfId="378">
      <pivotArea outline="0" collapsedLevelsAreSubtotals="1" fieldPosition="0"/>
    </format>
    <format dxfId="377">
      <pivotArea field="1" type="button" dataOnly="0" labelOnly="1" outline="0" axis="axisRow" fieldPosition="1"/>
    </format>
    <format dxfId="37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7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7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7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7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71">
      <pivotArea dataOnly="0" labelOnly="1" fieldPosition="0">
        <references count="1">
          <reference field="4" count="0"/>
        </references>
      </pivotArea>
    </format>
    <format dxfId="370">
      <pivotArea dataOnly="0" labelOnly="1" fieldPosition="0">
        <references count="2">
          <reference field="1" count="0"/>
          <reference field="4" count="0" selected="0"/>
        </references>
      </pivotArea>
    </format>
    <format dxfId="369">
      <pivotArea type="all" dataOnly="0" outline="0" fieldPosition="0"/>
    </format>
    <format dxfId="368">
      <pivotArea outline="0" collapsedLevelsAreSubtotals="1" fieldPosition="0"/>
    </format>
    <format dxfId="367">
      <pivotArea field="4" type="button" dataOnly="0" labelOnly="1" outline="0" axis="axisRow" fieldPosition="0"/>
    </format>
    <format dxfId="366">
      <pivotArea dataOnly="0" labelOnly="1" fieldPosition="0">
        <references count="1">
          <reference field="4" count="0"/>
        </references>
      </pivotArea>
    </format>
    <format dxfId="365">
      <pivotArea dataOnly="0" labelOnly="1" grandRow="1" outline="0" fieldPosition="0"/>
    </format>
    <format dxfId="364">
      <pivotArea dataOnly="0" labelOnly="1" fieldPosition="0">
        <references count="2">
          <reference field="1" count="0"/>
          <reference field="4" count="1" selected="0">
            <x v="0"/>
          </reference>
        </references>
      </pivotArea>
    </format>
    <format dxfId="363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905007-CA66-440A-9465-A7D66A9F6CD6}" name="Tabela dinâmica2" cacheId="27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compact="0" compactData="0" multipleFieldFilters="0">
  <location ref="B33:E40" firstHeaderRow="0" firstDataRow="1" firstDataCol="2"/>
  <pivotFields count="12">
    <pivotField dataField="1" compact="0" outline="0" subtotalTop="0" showAll="0" defaultSubtotal="0"/>
    <pivotField compact="0" outline="0" subtotalTop="0" showAll="0" sortType="descending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name="EMPRESA" axis="axisRow" compact="0" outline="0" subtotalTop="0" showAll="0" defaultSubtotal="0">
      <items count="6">
        <item x="0"/>
        <item x="1"/>
        <item x="4"/>
        <item x="3"/>
        <item x="2"/>
        <item m="1" x="5"/>
      </items>
    </pivotField>
    <pivotField axis="axisRow" compact="0" outline="0" subtotalTop="0" showAll="0" defaultSubtotal="0">
      <items count="6">
        <item x="2"/>
        <item x="4"/>
        <item x="1"/>
        <item x="3"/>
        <item x="0"/>
        <item m="1" x="5"/>
      </items>
    </pivotField>
    <pivotField compact="0" numFmtId="42" outline="0" subtotalTop="0" showAll="0" defaultSubtotal="0"/>
    <pivotField compact="0" numFmtId="42" outline="0" subtotalTop="0" showAll="0" defaultSubtotal="0"/>
    <pivotField compact="0" numFmtId="42" outline="0" subtotalTop="0" showAll="0" defaultSubtotal="0"/>
    <pivotField compact="0" numFmtId="42" outline="0" subtotalTop="0" showAll="0" defaultSubtotal="0"/>
    <pivotField dataField="1" compact="0" numFmtId="42" outline="0" subtotalTop="0" showAll="0" defaultSubtotal="0"/>
  </pivotFields>
  <rowFields count="2">
    <field x="5"/>
    <field x="6"/>
  </rowFields>
  <rowItems count="7">
    <i>
      <x/>
      <x/>
    </i>
    <i r="1">
      <x v="4"/>
    </i>
    <i>
      <x v="1"/>
      <x v="2"/>
    </i>
    <i>
      <x v="2"/>
      <x v="1"/>
    </i>
    <i>
      <x v="3"/>
      <x v="3"/>
    </i>
    <i>
      <x v="4"/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FUNCIONÁRIOS" fld="0" subtotal="count" baseField="1" baseItem="0"/>
    <dataField name="TT BRUTO" fld="11" baseField="6" baseItem="0" numFmtId="42"/>
  </dataFields>
  <formats count="43">
    <format dxfId="431">
      <pivotArea type="all" dataOnly="0" outline="0" fieldPosition="0"/>
    </format>
    <format dxfId="430">
      <pivotArea outline="0" collapsedLevelsAreSubtotals="1" fieldPosition="0"/>
    </format>
    <format dxfId="429">
      <pivotArea field="5" type="button" dataOnly="0" labelOnly="1" outline="0" axis="axisRow" fieldPosition="0"/>
    </format>
    <format dxfId="428">
      <pivotArea dataOnly="0" labelOnly="1" outline="0" fieldPosition="0">
        <references count="1">
          <reference field="5" count="0"/>
        </references>
      </pivotArea>
    </format>
    <format dxfId="427">
      <pivotArea dataOnly="0" labelOnly="1" outline="0" axis="axisValues" fieldPosition="0"/>
    </format>
    <format dxfId="426">
      <pivotArea type="all" dataOnly="0" outline="0" fieldPosition="0"/>
    </format>
    <format dxfId="425">
      <pivotArea dataOnly="0" labelOnly="1" outline="0" axis="axisValues" fieldPosition="0"/>
    </format>
    <format dxfId="424">
      <pivotArea outline="0" collapsedLevelsAreSubtotals="1" fieldPosition="0"/>
    </format>
    <format dxfId="423">
      <pivotArea grandRow="1" outline="0" collapsedLevelsAreSubtotals="1" fieldPosition="0"/>
    </format>
    <format dxfId="42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21">
      <pivotArea dataOnly="0" labelOnly="1" outline="0" fieldPosition="0">
        <references count="1">
          <reference field="5" count="0"/>
        </references>
      </pivotArea>
    </format>
    <format dxfId="420">
      <pivotArea field="5" type="button" dataOnly="0" labelOnly="1" outline="0" axis="axisRow" fieldPosition="0"/>
    </format>
    <format dxfId="419">
      <pivotArea dataOnly="0" labelOnly="1" outline="0" fieldPosition="0">
        <references count="1">
          <reference field="5" count="1">
            <x v="3"/>
          </reference>
        </references>
      </pivotArea>
    </format>
    <format dxfId="418">
      <pivotArea field="6" type="button" dataOnly="0" labelOnly="1" outline="0" axis="axisRow" fieldPosition="1"/>
    </format>
    <format dxfId="417">
      <pivotArea dataOnly="0" labelOnly="1" grandRow="1" outline="0" fieldPosition="0"/>
    </format>
    <format dxfId="416">
      <pivotArea dataOnly="0" labelOnly="1" outline="0" fieldPosition="0">
        <references count="2">
          <reference field="5" count="1" selected="0">
            <x v="3"/>
          </reference>
          <reference field="6" count="1">
            <x v="3"/>
          </reference>
        </references>
      </pivotArea>
    </format>
    <format dxfId="415">
      <pivotArea field="6" type="button" dataOnly="0" labelOnly="1" outline="0" axis="axisRow" fieldPosition="1"/>
    </format>
    <format dxfId="414">
      <pivotArea dataOnly="0" labelOnly="1" grandRow="1" outline="0" fieldPosition="0"/>
    </format>
    <format dxfId="413">
      <pivotArea dataOnly="0" labelOnly="1" outline="0" fieldPosition="0">
        <references count="1">
          <reference field="5" count="1">
            <x v="0"/>
          </reference>
        </references>
      </pivotArea>
    </format>
    <format dxfId="412">
      <pivotArea dataOnly="0" labelOnly="1" outline="0" fieldPosition="0">
        <references count="1">
          <reference field="5" count="1">
            <x v="1"/>
          </reference>
        </references>
      </pivotArea>
    </format>
    <format dxfId="411">
      <pivotArea dataOnly="0" labelOnly="1" outline="0" fieldPosition="0">
        <references count="1">
          <reference field="5" count="1">
            <x v="2"/>
          </reference>
        </references>
      </pivotArea>
    </format>
    <format dxfId="410">
      <pivotArea dataOnly="0" labelOnly="1" outline="0" fieldPosition="0">
        <references count="1">
          <reference field="5" count="1">
            <x v="3"/>
          </reference>
        </references>
      </pivotArea>
    </format>
    <format dxfId="409">
      <pivotArea dataOnly="0" labelOnly="1" outline="0" fieldPosition="0">
        <references count="1">
          <reference field="5" count="1">
            <x v="0"/>
          </reference>
        </references>
      </pivotArea>
    </format>
    <format dxfId="408">
      <pivotArea dataOnly="0" labelOnly="1" outline="0" fieldPosition="0">
        <references count="1">
          <reference field="5" count="1">
            <x v="1"/>
          </reference>
        </references>
      </pivotArea>
    </format>
    <format dxfId="407">
      <pivotArea dataOnly="0" labelOnly="1" outline="0" fieldPosition="0">
        <references count="1">
          <reference field="5" count="1">
            <x v="2"/>
          </reference>
        </references>
      </pivotArea>
    </format>
    <format dxfId="406">
      <pivotArea dataOnly="0" labelOnly="1" outline="0" fieldPosition="0">
        <references count="1">
          <reference field="5" count="1">
            <x v="3"/>
          </reference>
        </references>
      </pivotArea>
    </format>
    <format dxfId="405">
      <pivotArea dataOnly="0" labelOnly="1" outline="0" fieldPosition="0">
        <references count="2">
          <reference field="5" count="1" selected="0">
            <x v="0"/>
          </reference>
          <reference field="6" count="2">
            <x v="0"/>
            <x v="4"/>
          </reference>
        </references>
      </pivotArea>
    </format>
    <format dxfId="404">
      <pivotArea dataOnly="0" labelOnly="1" outline="0" fieldPosition="0">
        <references count="2">
          <reference field="5" count="1" selected="0">
            <x v="1"/>
          </reference>
          <reference field="6" count="1">
            <x v="2"/>
          </reference>
        </references>
      </pivotArea>
    </format>
    <format dxfId="403">
      <pivotArea dataOnly="0" labelOnly="1" outline="0" fieldPosition="0">
        <references count="2">
          <reference field="5" count="1" selected="0">
            <x v="2"/>
          </reference>
          <reference field="6" count="1">
            <x v="1"/>
          </reference>
        </references>
      </pivotArea>
    </format>
    <format dxfId="402">
      <pivotArea dataOnly="0" labelOnly="1" outline="0" fieldPosition="0">
        <references count="2">
          <reference field="5" count="1" selected="0">
            <x v="3"/>
          </reference>
          <reference field="6" count="1">
            <x v="3"/>
          </reference>
        </references>
      </pivotArea>
    </format>
    <format dxfId="401">
      <pivotArea type="all" dataOnly="0" outline="0" fieldPosition="0"/>
    </format>
    <format dxfId="400">
      <pivotArea outline="0" collapsedLevelsAreSubtotals="1" fieldPosition="0"/>
    </format>
    <format dxfId="399">
      <pivotArea field="5" type="button" dataOnly="0" labelOnly="1" outline="0" axis="axisRow" fieldPosition="0"/>
    </format>
    <format dxfId="398">
      <pivotArea field="6" type="button" dataOnly="0" labelOnly="1" outline="0" axis="axisRow" fieldPosition="1"/>
    </format>
    <format dxfId="397">
      <pivotArea dataOnly="0" labelOnly="1" outline="0" fieldPosition="0">
        <references count="1">
          <reference field="5" count="0"/>
        </references>
      </pivotArea>
    </format>
    <format dxfId="396">
      <pivotArea dataOnly="0" labelOnly="1" grandRow="1" outline="0" fieldPosition="0"/>
    </format>
    <format dxfId="395">
      <pivotArea dataOnly="0" labelOnly="1" outline="0" fieldPosition="0">
        <references count="2">
          <reference field="5" count="1" selected="0">
            <x v="0"/>
          </reference>
          <reference field="6" count="2">
            <x v="0"/>
            <x v="4"/>
          </reference>
        </references>
      </pivotArea>
    </format>
    <format dxfId="394">
      <pivotArea dataOnly="0" labelOnly="1" outline="0" fieldPosition="0">
        <references count="2">
          <reference field="5" count="1" selected="0">
            <x v="1"/>
          </reference>
          <reference field="6" count="1">
            <x v="2"/>
          </reference>
        </references>
      </pivotArea>
    </format>
    <format dxfId="393">
      <pivotArea dataOnly="0" labelOnly="1" outline="0" fieldPosition="0">
        <references count="2">
          <reference field="5" count="1" selected="0">
            <x v="2"/>
          </reference>
          <reference field="6" count="1">
            <x v="1"/>
          </reference>
        </references>
      </pivotArea>
    </format>
    <format dxfId="392">
      <pivotArea dataOnly="0" labelOnly="1" outline="0" fieldPosition="0">
        <references count="2">
          <reference field="5" count="1" selected="0">
            <x v="3"/>
          </reference>
          <reference field="6" count="1">
            <x v="3"/>
          </reference>
        </references>
      </pivotArea>
    </format>
    <format dxfId="39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0">
      <pivotArea dataOnly="0" labelOnly="1" outline="0" fieldPosition="0">
        <references count="1">
          <reference field="5" count="1">
            <x v="4"/>
          </reference>
        </references>
      </pivotArea>
    </format>
    <format dxfId="389">
      <pivotArea dataOnly="0" labelOnly="1" outline="0" fieldPosition="0">
        <references count="2">
          <reference field="5" count="1" selected="0">
            <x v="4"/>
          </reference>
          <reference field="6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8C6582-3B09-49DE-B80A-53868A598FFB}" name="Tabela dinâmica1" cacheId="24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MODALIDADE">
  <location ref="B13:D19" firstHeaderRow="0" firstDataRow="1" firstDataCol="1"/>
  <pivotFields count="12">
    <pivotField dataField="1" showAll="0"/>
    <pivotField axis="axisRow" showAll="0">
      <items count="4">
        <item x="0"/>
        <item x="1"/>
        <item m="1" x="2"/>
        <item t="default"/>
      </items>
    </pivotField>
    <pivotField showAll="0"/>
    <pivotField showAll="0"/>
    <pivotField axis="axisRow" multipleItemSelectionAllowed="1" showAll="0">
      <items count="4">
        <item x="0"/>
        <item x="1"/>
        <item m="1" x="2"/>
        <item t="default"/>
      </items>
    </pivotField>
    <pivotField showAll="0"/>
    <pivotField showAll="0"/>
    <pivotField showAll="0"/>
    <pivotField numFmtId="42" showAll="0"/>
    <pivotField numFmtId="42" showAll="0"/>
    <pivotField numFmtId="42" showAll="0"/>
    <pivotField dataField="1" numFmtId="42" showAll="0"/>
  </pivotFields>
  <rowFields count="2">
    <field x="4"/>
    <field x="1"/>
  </rowFields>
  <rowItems count="6">
    <i>
      <x/>
    </i>
    <i r="1">
      <x/>
    </i>
    <i r="1">
      <x v="1"/>
    </i>
    <i>
      <x v="1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FUNCIONÁRIOS" fld="0" subtotal="count" baseField="1" baseItem="0"/>
    <dataField name="TT BRUTO" fld="11" baseField="4" baseItem="0" numFmtId="42"/>
  </dataFields>
  <formats count="28">
    <format dxfId="329">
      <pivotArea type="all" dataOnly="0" outline="0" fieldPosition="0"/>
    </format>
    <format dxfId="328">
      <pivotArea outline="0" collapsedLevelsAreSubtotals="1" fieldPosition="0"/>
    </format>
    <format dxfId="327">
      <pivotArea field="1" type="button" dataOnly="0" labelOnly="1" outline="0" axis="axisRow" fieldPosition="1"/>
    </format>
    <format dxfId="326">
      <pivotArea dataOnly="0" labelOnly="1" fieldPosition="0">
        <references count="1">
          <reference field="1" count="0"/>
        </references>
      </pivotArea>
    </format>
    <format dxfId="325">
      <pivotArea dataOnly="0" labelOnly="1" grandRow="1" outline="0" fieldPosition="0"/>
    </format>
    <format dxfId="324">
      <pivotArea dataOnly="0" labelOnly="1" outline="0" axis="axisValues" fieldPosition="0"/>
    </format>
    <format dxfId="323">
      <pivotArea type="all" dataOnly="0" outline="0" fieldPosition="0"/>
    </format>
    <format dxfId="322">
      <pivotArea dataOnly="0" labelOnly="1" grandRow="1" outline="0" fieldPosition="0"/>
    </format>
    <format dxfId="321">
      <pivotArea dataOnly="0" labelOnly="1" fieldPosition="0">
        <references count="1">
          <reference field="1" count="0"/>
        </references>
      </pivotArea>
    </format>
    <format dxfId="320">
      <pivotArea dataOnly="0" labelOnly="1" outline="0" axis="axisValues" fieldPosition="0"/>
    </format>
    <format dxfId="319">
      <pivotArea outline="0" collapsedLevelsAreSubtotals="1" fieldPosition="0"/>
    </format>
    <format dxfId="318">
      <pivotArea field="1" type="button" dataOnly="0" labelOnly="1" outline="0" axis="axisRow" fieldPosition="1"/>
    </format>
    <format dxfId="31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1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12">
      <pivotArea dataOnly="0" labelOnly="1" fieldPosition="0">
        <references count="1">
          <reference field="4" count="0"/>
        </references>
      </pivotArea>
    </format>
    <format dxfId="311">
      <pivotArea dataOnly="0" labelOnly="1" fieldPosition="0">
        <references count="2">
          <reference field="1" count="0"/>
          <reference field="4" count="1" selected="0">
            <x v="0"/>
          </reference>
        </references>
      </pivotArea>
    </format>
    <format dxfId="310">
      <pivotArea dataOnly="0" labelOnly="1" fieldPosition="0">
        <references count="2">
          <reference field="1" count="1">
            <x v="0"/>
          </reference>
          <reference field="4" count="1" selected="0">
            <x v="1"/>
          </reference>
        </references>
      </pivotArea>
    </format>
    <format dxfId="309">
      <pivotArea type="all" dataOnly="0" outline="0" fieldPosition="0"/>
    </format>
    <format dxfId="308">
      <pivotArea outline="0" collapsedLevelsAreSubtotals="1" fieldPosition="0"/>
    </format>
    <format dxfId="307">
      <pivotArea field="4" type="button" dataOnly="0" labelOnly="1" outline="0" axis="axisRow" fieldPosition="0"/>
    </format>
    <format dxfId="306">
      <pivotArea dataOnly="0" labelOnly="1" fieldPosition="0">
        <references count="1">
          <reference field="4" count="0"/>
        </references>
      </pivotArea>
    </format>
    <format dxfId="305">
      <pivotArea dataOnly="0" labelOnly="1" grandRow="1" outline="0" fieldPosition="0"/>
    </format>
    <format dxfId="304">
      <pivotArea dataOnly="0" labelOnly="1" fieldPosition="0">
        <references count="2">
          <reference field="1" count="0"/>
          <reference field="4" count="1" selected="0">
            <x v="0"/>
          </reference>
        </references>
      </pivotArea>
    </format>
    <format dxfId="303">
      <pivotArea dataOnly="0" labelOnly="1" fieldPosition="0">
        <references count="2">
          <reference field="1" count="1">
            <x v="0"/>
          </reference>
          <reference field="4" count="1" selected="0">
            <x v="1"/>
          </reference>
        </references>
      </pivotArea>
    </format>
    <format dxfId="302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D7FA7-CF1D-435D-A64E-A91EDFC2C9FA}" name="Tabela dinâmica2" cacheId="24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compact="0" compactData="0" multipleFieldFilters="0">
  <location ref="B21:E25" firstHeaderRow="0" firstDataRow="1" firstDataCol="2"/>
  <pivotFields count="12">
    <pivotField dataField="1" compact="0" outline="0" subtotalTop="0" showAll="0" defaultSubtotal="0"/>
    <pivotField compact="0" outline="0" subtotalTop="0" showAll="0" sortType="descending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name="EMPRESA" axis="axisRow" compact="0" outline="0" subtotalTop="0" showAll="0" defaultSubtotal="0">
      <items count="3">
        <item x="1"/>
        <item x="0"/>
        <item m="1" x="2"/>
      </items>
    </pivotField>
    <pivotField axis="axisRow" compact="0" outline="0" subtotalTop="0" showAll="0" defaultSubtotal="0">
      <items count="5">
        <item x="0"/>
        <item x="1"/>
        <item m="1" x="4"/>
        <item x="2"/>
        <item m="1" x="3"/>
      </items>
    </pivotField>
    <pivotField compact="0" numFmtId="42" outline="0" subtotalTop="0" showAll="0" defaultSubtotal="0"/>
    <pivotField compact="0" numFmtId="42" outline="0" subtotalTop="0" showAll="0" defaultSubtotal="0"/>
    <pivotField compact="0" numFmtId="42" outline="0" subtotalTop="0" showAll="0" defaultSubtotal="0"/>
    <pivotField compact="0" numFmtId="42" outline="0" subtotalTop="0" showAll="0" defaultSubtotal="0"/>
    <pivotField dataField="1" compact="0" numFmtId="42" outline="0" subtotalTop="0" showAll="0" defaultSubtotal="0"/>
  </pivotFields>
  <rowFields count="2">
    <field x="5"/>
    <field x="6"/>
  </rowFields>
  <rowItems count="4">
    <i>
      <x/>
      <x v="1"/>
    </i>
    <i r="1">
      <x v="3"/>
    </i>
    <i>
      <x v="1"/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FUNCIONÁRIOS" fld="0" subtotal="count" baseField="1" baseItem="0"/>
    <dataField name="TT BRUTO" fld="11" baseField="6" baseItem="1" numFmtId="42"/>
  </dataFields>
  <formats count="32">
    <format dxfId="361">
      <pivotArea type="all" dataOnly="0" outline="0" fieldPosition="0"/>
    </format>
    <format dxfId="360">
      <pivotArea outline="0" collapsedLevelsAreSubtotals="1" fieldPosition="0"/>
    </format>
    <format dxfId="359">
      <pivotArea field="5" type="button" dataOnly="0" labelOnly="1" outline="0" axis="axisRow" fieldPosition="0"/>
    </format>
    <format dxfId="358">
      <pivotArea dataOnly="0" labelOnly="1" outline="0" fieldPosition="0">
        <references count="1">
          <reference field="5" count="0"/>
        </references>
      </pivotArea>
    </format>
    <format dxfId="357">
      <pivotArea dataOnly="0" labelOnly="1" outline="0" axis="axisValues" fieldPosition="0"/>
    </format>
    <format dxfId="356">
      <pivotArea type="all" dataOnly="0" outline="0" fieldPosition="0"/>
    </format>
    <format dxfId="355">
      <pivotArea dataOnly="0" labelOnly="1" outline="0" axis="axisValues" fieldPosition="0"/>
    </format>
    <format dxfId="354">
      <pivotArea outline="0" collapsedLevelsAreSubtotals="1" fieldPosition="0"/>
    </format>
    <format dxfId="353">
      <pivotArea grandRow="1" outline="0" collapsedLevelsAreSubtotals="1" fieldPosition="0"/>
    </format>
    <format dxfId="35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51">
      <pivotArea dataOnly="0" labelOnly="1" outline="0" fieldPosition="0">
        <references count="1">
          <reference field="5" count="0"/>
        </references>
      </pivotArea>
    </format>
    <format dxfId="350">
      <pivotArea field="5" type="button" dataOnly="0" labelOnly="1" outline="0" axis="axisRow" fieldPosition="0"/>
    </format>
    <format dxfId="349">
      <pivotArea dataOnly="0" labelOnly="1" outline="0" fieldPosition="0">
        <references count="1">
          <reference field="5" count="2">
            <x v="0"/>
            <x v="1"/>
          </reference>
        </references>
      </pivotArea>
    </format>
    <format dxfId="348">
      <pivotArea field="6" type="button" dataOnly="0" labelOnly="1" outline="0" axis="axisRow" fieldPosition="1"/>
    </format>
    <format dxfId="347">
      <pivotArea dataOnly="0" labelOnly="1" grandRow="1" outline="0" fieldPosition="0"/>
    </format>
    <format dxfId="346">
      <pivotArea dataOnly="0" labelOnly="1" outline="0" fieldPosition="0">
        <references count="2">
          <reference field="5" count="1" selected="0">
            <x v="0"/>
          </reference>
          <reference field="6" count="1">
            <x v="1"/>
          </reference>
        </references>
      </pivotArea>
    </format>
    <format dxfId="345">
      <pivotArea dataOnly="0" labelOnly="1" outline="0" fieldPosition="0">
        <references count="2">
          <reference field="5" count="1" selected="0">
            <x v="1"/>
          </reference>
          <reference field="6" count="1">
            <x v="0"/>
          </reference>
        </references>
      </pivotArea>
    </format>
    <format dxfId="344">
      <pivotArea field="6" type="button" dataOnly="0" labelOnly="1" outline="0" axis="axisRow" fieldPosition="1"/>
    </format>
    <format dxfId="343">
      <pivotArea dataOnly="0" labelOnly="1" grandRow="1" outline="0" fieldPosition="0"/>
    </format>
    <format dxfId="342">
      <pivotArea dataOnly="0" labelOnly="1" outline="0" fieldPosition="0">
        <references count="1">
          <reference field="5" count="2">
            <x v="0"/>
            <x v="1"/>
          </reference>
        </references>
      </pivotArea>
    </format>
    <format dxfId="341">
      <pivotArea dataOnly="0" labelOnly="1" outline="0" fieldPosition="0">
        <references count="1">
          <reference field="5" count="2">
            <x v="0"/>
            <x v="1"/>
          </reference>
        </references>
      </pivotArea>
    </format>
    <format dxfId="340">
      <pivotArea dataOnly="0" labelOnly="1" outline="0" fieldPosition="0">
        <references count="2">
          <reference field="5" count="1" selected="0">
            <x v="0"/>
          </reference>
          <reference field="6" count="3">
            <x v="1"/>
            <x v="2"/>
            <x v="3"/>
          </reference>
        </references>
      </pivotArea>
    </format>
    <format dxfId="339">
      <pivotArea dataOnly="0" labelOnly="1" outline="0" fieldPosition="0">
        <references count="2">
          <reference field="5" count="1" selected="0">
            <x v="1"/>
          </reference>
          <reference field="6" count="1">
            <x v="0"/>
          </reference>
        </references>
      </pivotArea>
    </format>
    <format dxfId="338">
      <pivotArea type="all" dataOnly="0" outline="0" fieldPosition="0"/>
    </format>
    <format dxfId="337">
      <pivotArea outline="0" collapsedLevelsAreSubtotals="1" fieldPosition="0"/>
    </format>
    <format dxfId="336">
      <pivotArea field="5" type="button" dataOnly="0" labelOnly="1" outline="0" axis="axisRow" fieldPosition="0"/>
    </format>
    <format dxfId="335">
      <pivotArea field="6" type="button" dataOnly="0" labelOnly="1" outline="0" axis="axisRow" fieldPosition="1"/>
    </format>
    <format dxfId="334">
      <pivotArea dataOnly="0" labelOnly="1" outline="0" fieldPosition="0">
        <references count="1">
          <reference field="5" count="0"/>
        </references>
      </pivotArea>
    </format>
    <format dxfId="333">
      <pivotArea dataOnly="0" labelOnly="1" grandRow="1" outline="0" fieldPosition="0"/>
    </format>
    <format dxfId="332">
      <pivotArea dataOnly="0" labelOnly="1" outline="0" fieldPosition="0">
        <references count="2">
          <reference field="5" count="1" selected="0">
            <x v="0"/>
          </reference>
          <reference field="6" count="2">
            <x v="1"/>
            <x v="3"/>
          </reference>
        </references>
      </pivotArea>
    </format>
    <format dxfId="331">
      <pivotArea dataOnly="0" labelOnly="1" outline="0" fieldPosition="0">
        <references count="2">
          <reference field="5" count="1" selected="0">
            <x v="1"/>
          </reference>
          <reference field="6" count="1">
            <x v="0"/>
          </reference>
        </references>
      </pivotArea>
    </format>
    <format dxfId="33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9E5390-735A-4858-8DA7-8DAD110D670A}" name="Tabela dinâmica2" cacheId="29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compact="0" compactData="0" multipleFieldFilters="0">
  <location ref="B23:E27" firstHeaderRow="0" firstDataRow="1" firstDataCol="2"/>
  <pivotFields count="12">
    <pivotField dataField="1" compact="0" outline="0" subtotalTop="0" showAll="0" defaultSubtotal="0"/>
    <pivotField compact="0" outline="0" subtotalTop="0" showAll="0" sortType="descending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name="EMPRESA" axis="axisRow" compact="0" outline="0" subtotalTop="0" showAll="0" defaultSubtotal="0">
      <items count="2">
        <item x="0"/>
        <item x="1"/>
      </items>
    </pivotField>
    <pivotField axis="axisRow" compact="0" outline="0" subtotalTop="0" showAll="0" defaultSubtotal="0">
      <items count="3">
        <item x="0"/>
        <item x="1"/>
        <item x="2"/>
      </items>
    </pivotField>
    <pivotField compact="0" numFmtId="42" outline="0" subtotalTop="0" showAll="0" defaultSubtotal="0"/>
    <pivotField compact="0" numFmtId="42" outline="0" subtotalTop="0" showAll="0" defaultSubtotal="0"/>
    <pivotField compact="0" numFmtId="42" outline="0" subtotalTop="0" showAll="0" defaultSubtotal="0"/>
    <pivotField compact="0" numFmtId="42" outline="0" subtotalTop="0" showAll="0" defaultSubtotal="0"/>
    <pivotField dataField="1" compact="0" numFmtId="42" outline="0" subtotalTop="0" showAll="0" defaultSubtotal="0"/>
  </pivotFields>
  <rowFields count="2">
    <field x="5"/>
    <field x="6"/>
  </rowFields>
  <rowItems count="4">
    <i>
      <x/>
      <x/>
    </i>
    <i r="1">
      <x v="2"/>
    </i>
    <i>
      <x v="1"/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FUNCIONÁRIOS" fld="0" subtotal="count" baseField="1" baseItem="0"/>
    <dataField name="TT BRUTO" fld="11" baseField="6" baseItem="0" numFmtId="42"/>
  </dataFields>
  <formats count="32">
    <format dxfId="274">
      <pivotArea type="all" dataOnly="0" outline="0" fieldPosition="0"/>
    </format>
    <format dxfId="273">
      <pivotArea outline="0" collapsedLevelsAreSubtotals="1" fieldPosition="0"/>
    </format>
    <format dxfId="272">
      <pivotArea field="5" type="button" dataOnly="0" labelOnly="1" outline="0" axis="axisRow" fieldPosition="0"/>
    </format>
    <format dxfId="271">
      <pivotArea dataOnly="0" labelOnly="1" outline="0" fieldPosition="0">
        <references count="1">
          <reference field="5" count="0"/>
        </references>
      </pivotArea>
    </format>
    <format dxfId="270">
      <pivotArea dataOnly="0" labelOnly="1" outline="0" axis="axisValues" fieldPosition="0"/>
    </format>
    <format dxfId="269">
      <pivotArea type="all" dataOnly="0" outline="0" fieldPosition="0"/>
    </format>
    <format dxfId="268">
      <pivotArea dataOnly="0" labelOnly="1" outline="0" axis="axisValues" fieldPosition="0"/>
    </format>
    <format dxfId="267">
      <pivotArea outline="0" collapsedLevelsAreSubtotals="1" fieldPosition="0"/>
    </format>
    <format dxfId="266">
      <pivotArea grandRow="1" outline="0" collapsedLevelsAreSubtotals="1" fieldPosition="0"/>
    </format>
    <format dxfId="26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64">
      <pivotArea dataOnly="0" labelOnly="1" outline="0" fieldPosition="0">
        <references count="1">
          <reference field="5" count="0"/>
        </references>
      </pivotArea>
    </format>
    <format dxfId="263">
      <pivotArea field="5" type="button" dataOnly="0" labelOnly="1" outline="0" axis="axisRow" fieldPosition="0"/>
    </format>
    <format dxfId="262">
      <pivotArea dataOnly="0" labelOnly="1" outline="0" fieldPosition="0">
        <references count="1">
          <reference field="5" count="2">
            <x v="0"/>
            <x v="1"/>
          </reference>
        </references>
      </pivotArea>
    </format>
    <format dxfId="261">
      <pivotArea field="6" type="button" dataOnly="0" labelOnly="1" outline="0" axis="axisRow" fieldPosition="1"/>
    </format>
    <format dxfId="260">
      <pivotArea dataOnly="0" labelOnly="1" grandRow="1" outline="0" fieldPosition="0"/>
    </format>
    <format dxfId="259">
      <pivotArea dataOnly="0" labelOnly="1" outline="0" fieldPosition="0">
        <references count="2">
          <reference field="5" count="1" selected="0">
            <x v="0"/>
          </reference>
          <reference field="6" count="2">
            <x v="0"/>
            <x v="2"/>
          </reference>
        </references>
      </pivotArea>
    </format>
    <format dxfId="258">
      <pivotArea dataOnly="0" labelOnly="1" outline="0" fieldPosition="0">
        <references count="2">
          <reference field="5" count="1" selected="0">
            <x v="1"/>
          </reference>
          <reference field="6" count="1">
            <x v="1"/>
          </reference>
        </references>
      </pivotArea>
    </format>
    <format dxfId="257">
      <pivotArea field="6" type="button" dataOnly="0" labelOnly="1" outline="0" axis="axisRow" fieldPosition="1"/>
    </format>
    <format dxfId="256">
      <pivotArea dataOnly="0" labelOnly="1" grandRow="1" outline="0" fieldPosition="0"/>
    </format>
    <format dxfId="255">
      <pivotArea dataOnly="0" labelOnly="1" outline="0" fieldPosition="0">
        <references count="1">
          <reference field="5" count="2">
            <x v="0"/>
            <x v="1"/>
          </reference>
        </references>
      </pivotArea>
    </format>
    <format dxfId="254">
      <pivotArea dataOnly="0" labelOnly="1" outline="0" fieldPosition="0">
        <references count="1">
          <reference field="5" count="2">
            <x v="0"/>
            <x v="1"/>
          </reference>
        </references>
      </pivotArea>
    </format>
    <format dxfId="253">
      <pivotArea dataOnly="0" labelOnly="1" outline="0" fieldPosition="0">
        <references count="2">
          <reference field="5" count="1" selected="0">
            <x v="0"/>
          </reference>
          <reference field="6" count="2">
            <x v="0"/>
            <x v="2"/>
          </reference>
        </references>
      </pivotArea>
    </format>
    <format dxfId="252">
      <pivotArea dataOnly="0" labelOnly="1" outline="0" fieldPosition="0">
        <references count="2">
          <reference field="5" count="1" selected="0">
            <x v="1"/>
          </reference>
          <reference field="6" count="1">
            <x v="1"/>
          </reference>
        </references>
      </pivotArea>
    </format>
    <format dxfId="251">
      <pivotArea type="all" dataOnly="0" outline="0" fieldPosition="0"/>
    </format>
    <format dxfId="250">
      <pivotArea outline="0" collapsedLevelsAreSubtotals="1" fieldPosition="0"/>
    </format>
    <format dxfId="249">
      <pivotArea field="5" type="button" dataOnly="0" labelOnly="1" outline="0" axis="axisRow" fieldPosition="0"/>
    </format>
    <format dxfId="248">
      <pivotArea field="6" type="button" dataOnly="0" labelOnly="1" outline="0" axis="axisRow" fieldPosition="1"/>
    </format>
    <format dxfId="247">
      <pivotArea dataOnly="0" labelOnly="1" outline="0" fieldPosition="0">
        <references count="1">
          <reference field="5" count="0"/>
        </references>
      </pivotArea>
    </format>
    <format dxfId="246">
      <pivotArea dataOnly="0" labelOnly="1" grandRow="1" outline="0" fieldPosition="0"/>
    </format>
    <format dxfId="245">
      <pivotArea dataOnly="0" labelOnly="1" outline="0" fieldPosition="0">
        <references count="2">
          <reference field="5" count="1" selected="0">
            <x v="0"/>
          </reference>
          <reference field="6" count="2">
            <x v="0"/>
            <x v="2"/>
          </reference>
        </references>
      </pivotArea>
    </format>
    <format dxfId="244">
      <pivotArea dataOnly="0" labelOnly="1" outline="0" fieldPosition="0">
        <references count="2">
          <reference field="5" count="1" selected="0">
            <x v="1"/>
          </reference>
          <reference field="6" count="1">
            <x v="1"/>
          </reference>
        </references>
      </pivotArea>
    </format>
    <format dxfId="243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B5911-2535-4944-A07E-51DC3A94FFC6}" name="Tabela dinâmica1" cacheId="29" applyNumberFormats="0" applyBorderFormats="0" applyFontFormats="0" applyPatternFormats="0" applyAlignmentFormats="0" applyWidthHeightFormats="1" dataCaption="Valores" grandTotalCaption="TOTAL" updatedVersion="8" minRefreshableVersion="3" itemPrintTitles="1" createdVersion="8" indent="0" outline="1" outlineData="1" multipleFieldFilters="0" rowHeaderCaption="MODALIDADE">
  <location ref="B14:D20" firstHeaderRow="0" firstDataRow="1" firstDataCol="1"/>
  <pivotFields count="12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axis="axisRow" multipleItemSelectionAllowed="1" showAll="0">
      <items count="3">
        <item x="0"/>
        <item x="1"/>
        <item t="default"/>
      </items>
    </pivotField>
    <pivotField showAll="0"/>
    <pivotField showAll="0"/>
    <pivotField showAll="0"/>
    <pivotField numFmtId="42" showAll="0"/>
    <pivotField numFmtId="42" showAll="0"/>
    <pivotField numFmtId="42" showAll="0"/>
    <pivotField dataField="1" numFmtId="42" showAll="0"/>
  </pivotFields>
  <rowFields count="2">
    <field x="4"/>
    <field x="1"/>
  </rowFields>
  <rowItems count="6">
    <i>
      <x/>
    </i>
    <i r="1">
      <x/>
    </i>
    <i>
      <x v="1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FUNCIONÁRIOS" fld="0" subtotal="count" baseField="1" baseItem="0"/>
    <dataField name="TT BRUTO" fld="11" baseField="4" baseItem="0" numFmtId="42"/>
  </dataFields>
  <formats count="26">
    <format dxfId="300">
      <pivotArea type="all" dataOnly="0" outline="0" fieldPosition="0"/>
    </format>
    <format dxfId="299">
      <pivotArea outline="0" collapsedLevelsAreSubtotals="1" fieldPosition="0"/>
    </format>
    <format dxfId="298">
      <pivotArea field="1" type="button" dataOnly="0" labelOnly="1" outline="0" axis="axisRow" fieldPosition="1"/>
    </format>
    <format dxfId="297">
      <pivotArea dataOnly="0" labelOnly="1" fieldPosition="0">
        <references count="1">
          <reference field="1" count="0"/>
        </references>
      </pivotArea>
    </format>
    <format dxfId="296">
      <pivotArea dataOnly="0" labelOnly="1" grandRow="1" outline="0" fieldPosition="0"/>
    </format>
    <format dxfId="295">
      <pivotArea dataOnly="0" labelOnly="1" outline="0" axis="axisValues" fieldPosition="0"/>
    </format>
    <format dxfId="294">
      <pivotArea type="all" dataOnly="0" outline="0" fieldPosition="0"/>
    </format>
    <format dxfId="293">
      <pivotArea dataOnly="0" labelOnly="1" grandRow="1" outline="0" fieldPosition="0"/>
    </format>
    <format dxfId="292">
      <pivotArea dataOnly="0" labelOnly="1" fieldPosition="0">
        <references count="1">
          <reference field="1" count="0"/>
        </references>
      </pivotArea>
    </format>
    <format dxfId="291">
      <pivotArea dataOnly="0" labelOnly="1" outline="0" axis="axisValues" fieldPosition="0"/>
    </format>
    <format dxfId="290">
      <pivotArea outline="0" collapsedLevelsAreSubtotals="1" fieldPosition="0"/>
    </format>
    <format dxfId="289">
      <pivotArea field="1" type="button" dataOnly="0" labelOnly="1" outline="0" axis="axisRow" fieldPosition="1"/>
    </format>
    <format dxfId="28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8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8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3">
      <pivotArea dataOnly="0" labelOnly="1" fieldPosition="0">
        <references count="1">
          <reference field="4" count="0"/>
        </references>
      </pivotArea>
    </format>
    <format dxfId="282">
      <pivotArea dataOnly="0" labelOnly="1" fieldPosition="0">
        <references count="2">
          <reference field="1" count="0"/>
          <reference field="4" count="1" selected="0">
            <x v="0"/>
          </reference>
        </references>
      </pivotArea>
    </format>
    <format dxfId="281">
      <pivotArea type="all" dataOnly="0" outline="0" fieldPosition="0"/>
    </format>
    <format dxfId="280">
      <pivotArea outline="0" collapsedLevelsAreSubtotals="1" fieldPosition="0"/>
    </format>
    <format dxfId="279">
      <pivotArea field="4" type="button" dataOnly="0" labelOnly="1" outline="0" axis="axisRow" fieldPosition="0"/>
    </format>
    <format dxfId="278">
      <pivotArea dataOnly="0" labelOnly="1" fieldPosition="0">
        <references count="1">
          <reference field="4" count="0"/>
        </references>
      </pivotArea>
    </format>
    <format dxfId="277">
      <pivotArea dataOnly="0" labelOnly="1" grandRow="1" outline="0" fieldPosition="0"/>
    </format>
    <format dxfId="276">
      <pivotArea dataOnly="0" labelOnly="1" fieldPosition="0">
        <references count="2">
          <reference field="1" count="0"/>
          <reference field="4" count="0" selected="0"/>
        </references>
      </pivotArea>
    </format>
    <format dxfId="275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4537B-04F0-49C2-A583-F0337BCB5724}" name="Tabela dinâmica1" cacheId="21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MODALIDADE">
  <location ref="B18:D22" firstHeaderRow="0" firstDataRow="1" firstDataCol="1"/>
  <pivotFields count="12">
    <pivotField dataField="1" showAll="0"/>
    <pivotField axis="axisRow" showAll="0">
      <items count="4">
        <item x="1"/>
        <item x="0"/>
        <item m="1" x="2"/>
        <item t="default"/>
      </items>
    </pivotField>
    <pivotField showAll="0"/>
    <pivotField showAll="0"/>
    <pivotField axis="axisRow" multipleItemSelectionAllowed="1" showAll="0">
      <items count="4">
        <item x="0"/>
        <item m="1" x="2"/>
        <item m="1" x="1"/>
        <item t="default"/>
      </items>
    </pivotField>
    <pivotField showAll="0"/>
    <pivotField showAll="0"/>
    <pivotField showAll="0"/>
    <pivotField numFmtId="42" showAll="0"/>
    <pivotField numFmtId="42" showAll="0"/>
    <pivotField numFmtId="42" showAll="0"/>
    <pivotField dataField="1" numFmtId="42" showAll="0"/>
  </pivotFields>
  <rowFields count="2">
    <field x="4"/>
    <field x="1"/>
  </rowFields>
  <rowItems count="4">
    <i>
      <x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FUNCIONÁRIOS" fld="0" subtotal="count" baseField="1" baseItem="0"/>
    <dataField name="TT BRUTO" fld="11" baseField="4" baseItem="0" numFmtId="42"/>
  </dataFields>
  <formats count="28">
    <format dxfId="210">
      <pivotArea type="all" dataOnly="0" outline="0" fieldPosition="0"/>
    </format>
    <format dxfId="209">
      <pivotArea outline="0" collapsedLevelsAreSubtotals="1" fieldPosition="0"/>
    </format>
    <format dxfId="208">
      <pivotArea field="1" type="button" dataOnly="0" labelOnly="1" outline="0" axis="axisRow" fieldPosition="1"/>
    </format>
    <format dxfId="207">
      <pivotArea dataOnly="0" labelOnly="1" fieldPosition="0">
        <references count="1">
          <reference field="1" count="0"/>
        </references>
      </pivotArea>
    </format>
    <format dxfId="206">
      <pivotArea dataOnly="0" labelOnly="1" grandRow="1" outline="0" fieldPosition="0"/>
    </format>
    <format dxfId="205">
      <pivotArea dataOnly="0" labelOnly="1" outline="0" axis="axisValues" fieldPosition="0"/>
    </format>
    <format dxfId="204">
      <pivotArea type="all" dataOnly="0" outline="0" fieldPosition="0"/>
    </format>
    <format dxfId="203">
      <pivotArea dataOnly="0" labelOnly="1" grandRow="1" outline="0" fieldPosition="0"/>
    </format>
    <format dxfId="202">
      <pivotArea dataOnly="0" labelOnly="1" fieldPosition="0">
        <references count="1">
          <reference field="1" count="0"/>
        </references>
      </pivotArea>
    </format>
    <format dxfId="201">
      <pivotArea dataOnly="0" labelOnly="1" outline="0" axis="axisValues" fieldPosition="0"/>
    </format>
    <format dxfId="200">
      <pivotArea outline="0" collapsedLevelsAreSubtotals="1" fieldPosition="0"/>
    </format>
    <format dxfId="199">
      <pivotArea field="1" type="button" dataOnly="0" labelOnly="1" outline="0" axis="axisRow" fieldPosition="1"/>
    </format>
    <format dxfId="19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9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9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3">
      <pivotArea dataOnly="0" labelOnly="1" fieldPosition="0">
        <references count="1">
          <reference field="4" count="0"/>
        </references>
      </pivotArea>
    </format>
    <format dxfId="192">
      <pivotArea dataOnly="0" labelOnly="1" fieldPosition="0">
        <references count="2">
          <reference field="1" count="0"/>
          <reference field="4" count="1" selected="0">
            <x v="0"/>
          </reference>
        </references>
      </pivotArea>
    </format>
    <format dxfId="191">
      <pivotArea type="all" dataOnly="0" outline="0" fieldPosition="0"/>
    </format>
    <format dxfId="190">
      <pivotArea outline="0" collapsedLevelsAreSubtotals="1" fieldPosition="0"/>
    </format>
    <format dxfId="189">
      <pivotArea field="4" type="button" dataOnly="0" labelOnly="1" outline="0" axis="axisRow" fieldPosition="0"/>
    </format>
    <format dxfId="188">
      <pivotArea dataOnly="0" labelOnly="1" fieldPosition="0">
        <references count="1">
          <reference field="4" count="0"/>
        </references>
      </pivotArea>
    </format>
    <format dxfId="187">
      <pivotArea dataOnly="0" labelOnly="1" grandRow="1" outline="0" fieldPosition="0"/>
    </format>
    <format dxfId="186">
      <pivotArea dataOnly="0" labelOnly="1" fieldPosition="0">
        <references count="2">
          <reference field="1" count="0"/>
          <reference field="4" count="1" selected="0">
            <x v="0"/>
          </reference>
        </references>
      </pivotArea>
    </format>
    <format dxfId="185">
      <pivotArea dataOnly="0" labelOnly="1" fieldPosition="0">
        <references count="2">
          <reference field="1" count="1">
            <x v="0"/>
          </reference>
          <reference field="4" count="1" selected="0">
            <x v="1"/>
          </reference>
        </references>
      </pivotArea>
    </format>
    <format dxfId="18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3">
      <pivotArea dataOnly="0" labelOnly="1" fieldPosition="0">
        <references count="2">
          <reference field="1" count="1">
            <x v="0"/>
          </reference>
          <reference field="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54782C-BF84-4DEE-862E-DF6474FF061E}" name="Tabela dinâmica2" cacheId="21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compact="0" compactData="0" multipleFieldFilters="0">
  <location ref="B25:E30" firstHeaderRow="0" firstDataRow="1" firstDataCol="2"/>
  <pivotFields count="12">
    <pivotField dataField="1" compact="0" outline="0" subtotalTop="0" showAll="0" defaultSubtotal="0"/>
    <pivotField compact="0" outline="0" subtotalTop="0" showAll="0" sortType="descending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name="EMPRESA" axis="axisRow" compact="0" outline="0" subtotalTop="0" showAll="0" defaultSubtotal="0">
      <items count="4">
        <item x="0"/>
        <item x="1"/>
        <item x="2"/>
        <item m="1" x="3"/>
      </items>
    </pivotField>
    <pivotField axis="axisRow" compact="0" outline="0" subtotalTop="0" showAll="0" defaultSubtotal="0">
      <items count="5">
        <item x="2"/>
        <item x="1"/>
        <item x="0"/>
        <item x="3"/>
        <item m="1" x="4"/>
      </items>
    </pivotField>
    <pivotField compact="0" numFmtId="42" outline="0" subtotalTop="0" showAll="0" defaultSubtotal="0"/>
    <pivotField compact="0" numFmtId="42" outline="0" subtotalTop="0" showAll="0" defaultSubtotal="0"/>
    <pivotField compact="0" numFmtId="42" outline="0" subtotalTop="0" showAll="0" defaultSubtotal="0"/>
    <pivotField compact="0" numFmtId="42" outline="0" subtotalTop="0" showAll="0" defaultSubtotal="0"/>
    <pivotField dataField="1" compact="0" numFmtId="42" outline="0" subtotalTop="0" showAll="0" defaultSubtotal="0"/>
  </pivotFields>
  <rowFields count="2">
    <field x="5"/>
    <field x="6"/>
  </rowFields>
  <rowItems count="5">
    <i>
      <x/>
      <x v="1"/>
    </i>
    <i r="1">
      <x v="2"/>
    </i>
    <i>
      <x v="1"/>
      <x/>
    </i>
    <i>
      <x v="2"/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FUNCIONÁRIOS" fld="0" subtotal="count" baseField="1" baseItem="0"/>
    <dataField name="TT BRUTO" fld="11" baseField="6" baseItem="1" numFmtId="42"/>
  </dataFields>
  <formats count="32">
    <format dxfId="242">
      <pivotArea type="all" dataOnly="0" outline="0" fieldPosition="0"/>
    </format>
    <format dxfId="241">
      <pivotArea outline="0" collapsedLevelsAreSubtotals="1" fieldPosition="0"/>
    </format>
    <format dxfId="240">
      <pivotArea field="5" type="button" dataOnly="0" labelOnly="1" outline="0" axis="axisRow" fieldPosition="0"/>
    </format>
    <format dxfId="239">
      <pivotArea dataOnly="0" labelOnly="1" outline="0" fieldPosition="0">
        <references count="1">
          <reference field="5" count="0"/>
        </references>
      </pivotArea>
    </format>
    <format dxfId="238">
      <pivotArea dataOnly="0" labelOnly="1" outline="0" axis="axisValues" fieldPosition="0"/>
    </format>
    <format dxfId="237">
      <pivotArea type="all" dataOnly="0" outline="0" fieldPosition="0"/>
    </format>
    <format dxfId="236">
      <pivotArea dataOnly="0" labelOnly="1" outline="0" axis="axisValues" fieldPosition="0"/>
    </format>
    <format dxfId="235">
      <pivotArea outline="0" collapsedLevelsAreSubtotals="1" fieldPosition="0"/>
    </format>
    <format dxfId="234">
      <pivotArea grandRow="1" outline="0" collapsedLevelsAreSubtotals="1" fieldPosition="0"/>
    </format>
    <format dxfId="23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2">
      <pivotArea dataOnly="0" labelOnly="1" outline="0" fieldPosition="0">
        <references count="1">
          <reference field="5" count="0"/>
        </references>
      </pivotArea>
    </format>
    <format dxfId="231">
      <pivotArea field="5" type="button" dataOnly="0" labelOnly="1" outline="0" axis="axisRow" fieldPosition="0"/>
    </format>
    <format dxfId="230">
      <pivotArea dataOnly="0" labelOnly="1" outline="0" fieldPosition="0">
        <references count="1">
          <reference field="5" count="1">
            <x v="1"/>
          </reference>
        </references>
      </pivotArea>
    </format>
    <format dxfId="229">
      <pivotArea field="6" type="button" dataOnly="0" labelOnly="1" outline="0" axis="axisRow" fieldPosition="1"/>
    </format>
    <format dxfId="228">
      <pivotArea dataOnly="0" labelOnly="1" grandRow="1" outline="0" fieldPosition="0"/>
    </format>
    <format dxfId="227">
      <pivotArea dataOnly="0" labelOnly="1" outline="0" fieldPosition="0">
        <references count="2">
          <reference field="5" count="1" selected="0">
            <x v="1"/>
          </reference>
          <reference field="6" count="1">
            <x v="0"/>
          </reference>
        </references>
      </pivotArea>
    </format>
    <format dxfId="226">
      <pivotArea field="6" type="button" dataOnly="0" labelOnly="1" outline="0" axis="axisRow" fieldPosition="1"/>
    </format>
    <format dxfId="225">
      <pivotArea dataOnly="0" labelOnly="1" grandRow="1" outline="0" fieldPosition="0"/>
    </format>
    <format dxfId="224">
      <pivotArea dataOnly="0" labelOnly="1" outline="0" fieldPosition="0">
        <references count="2">
          <reference field="5" count="1" selected="0">
            <x v="1"/>
          </reference>
          <reference field="6" count="1">
            <x v="0"/>
          </reference>
        </references>
      </pivotArea>
    </format>
    <format dxfId="223">
      <pivotArea dataOnly="0" labelOnly="1" outline="0" fieldPosition="0">
        <references count="1">
          <reference field="5" count="1">
            <x v="0"/>
          </reference>
        </references>
      </pivotArea>
    </format>
    <format dxfId="222">
      <pivotArea dataOnly="0" labelOnly="1" outline="0" fieldPosition="0">
        <references count="1">
          <reference field="5" count="1">
            <x v="1"/>
          </reference>
        </references>
      </pivotArea>
    </format>
    <format dxfId="221">
      <pivotArea dataOnly="0" labelOnly="1" outline="0" fieldPosition="0">
        <references count="1">
          <reference field="5" count="1">
            <x v="0"/>
          </reference>
        </references>
      </pivotArea>
    </format>
    <format dxfId="220">
      <pivotArea dataOnly="0" labelOnly="1" outline="0" fieldPosition="0">
        <references count="1">
          <reference field="5" count="1">
            <x v="1"/>
          </reference>
        </references>
      </pivotArea>
    </format>
    <format dxfId="219">
      <pivotArea type="all" dataOnly="0" outline="0" fieldPosition="0"/>
    </format>
    <format dxfId="218">
      <pivotArea outline="0" collapsedLevelsAreSubtotals="1" fieldPosition="0"/>
    </format>
    <format dxfId="217">
      <pivotArea field="5" type="button" dataOnly="0" labelOnly="1" outline="0" axis="axisRow" fieldPosition="0"/>
    </format>
    <format dxfId="216">
      <pivotArea field="6" type="button" dataOnly="0" labelOnly="1" outline="0" axis="axisRow" fieldPosition="1"/>
    </format>
    <format dxfId="215">
      <pivotArea dataOnly="0" labelOnly="1" outline="0" fieldPosition="0">
        <references count="1">
          <reference field="5" count="0"/>
        </references>
      </pivotArea>
    </format>
    <format dxfId="214">
      <pivotArea dataOnly="0" labelOnly="1" grandRow="1" outline="0" fieldPosition="0"/>
    </format>
    <format dxfId="213">
      <pivotArea dataOnly="0" labelOnly="1" outline="0" fieldPosition="0">
        <references count="2">
          <reference field="5" count="1" selected="0">
            <x v="0"/>
          </reference>
          <reference field="6" count="2">
            <x v="1"/>
            <x v="2"/>
          </reference>
        </references>
      </pivotArea>
    </format>
    <format dxfId="212">
      <pivotArea dataOnly="0" labelOnly="1" outline="0" fieldPosition="0">
        <references count="2">
          <reference field="5" count="1" selected="0">
            <x v="1"/>
          </reference>
          <reference field="6" count="1">
            <x v="0"/>
          </reference>
        </references>
      </pivotArea>
    </format>
    <format dxfId="211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148C22-DB76-4F95-8FE4-2C3DD50B9B21}" name="Tabela dinâmica1" cacheId="30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MODALIDADE">
  <location ref="B15:D21" firstHeaderRow="0" firstDataRow="1" firstDataCol="1"/>
  <pivotFields count="12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axis="axisRow" multipleItemSelectionAllowed="1" showAll="0">
      <items count="3">
        <item x="0"/>
        <item x="1"/>
        <item t="default"/>
      </items>
    </pivotField>
    <pivotField showAll="0"/>
    <pivotField showAll="0"/>
    <pivotField showAll="0"/>
    <pivotField numFmtId="42" showAll="0"/>
    <pivotField numFmtId="42" showAll="0"/>
    <pivotField numFmtId="42" showAll="0"/>
    <pivotField dataField="1" numFmtId="42" showAll="0"/>
  </pivotFields>
  <rowFields count="2">
    <field x="4"/>
    <field x="1"/>
  </rowFields>
  <rowItems count="6">
    <i>
      <x/>
    </i>
    <i r="1">
      <x/>
    </i>
    <i r="1">
      <x v="1"/>
    </i>
    <i>
      <x v="1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FUNCIONÁRIOS" fld="0" subtotal="count" baseField="1" baseItem="0"/>
    <dataField name="TT BRUTO" fld="11" baseField="4" baseItem="0" numFmtId="42"/>
  </dataFields>
  <formats count="28">
    <format dxfId="149">
      <pivotArea type="all" dataOnly="0" outline="0" fieldPosition="0"/>
    </format>
    <format dxfId="148">
      <pivotArea outline="0" collapsedLevelsAreSubtotals="1" fieldPosition="0"/>
    </format>
    <format dxfId="147">
      <pivotArea field="1" type="button" dataOnly="0" labelOnly="1" outline="0" axis="axisRow" fieldPosition="1"/>
    </format>
    <format dxfId="146">
      <pivotArea dataOnly="0" labelOnly="1" fieldPosition="0">
        <references count="1">
          <reference field="1" count="0"/>
        </references>
      </pivotArea>
    </format>
    <format dxfId="145">
      <pivotArea dataOnly="0" labelOnly="1" grandRow="1" outline="0" fieldPosition="0"/>
    </format>
    <format dxfId="144">
      <pivotArea dataOnly="0" labelOnly="1" outline="0" axis="axisValues" fieldPosition="0"/>
    </format>
    <format dxfId="143">
      <pivotArea type="all" dataOnly="0" outline="0" fieldPosition="0"/>
    </format>
    <format dxfId="142">
      <pivotArea dataOnly="0" labelOnly="1" grandRow="1" outline="0" fieldPosition="0"/>
    </format>
    <format dxfId="141">
      <pivotArea dataOnly="0" labelOnly="1" fieldPosition="0">
        <references count="1">
          <reference field="1" count="0"/>
        </references>
      </pivotArea>
    </format>
    <format dxfId="140">
      <pivotArea dataOnly="0" labelOnly="1" outline="0" axis="axisValues" fieldPosition="0"/>
    </format>
    <format dxfId="139">
      <pivotArea outline="0" collapsedLevelsAreSubtotals="1" fieldPosition="0"/>
    </format>
    <format dxfId="138">
      <pivotArea field="1" type="button" dataOnly="0" labelOnly="1" outline="0" axis="axisRow" fieldPosition="1"/>
    </format>
    <format dxfId="13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2">
      <pivotArea dataOnly="0" labelOnly="1" fieldPosition="0">
        <references count="1">
          <reference field="4" count="0"/>
        </references>
      </pivotArea>
    </format>
    <format dxfId="131">
      <pivotArea dataOnly="0" labelOnly="1" fieldPosition="0">
        <references count="2">
          <reference field="1" count="0"/>
          <reference field="4" count="1" selected="0">
            <x v="0"/>
          </reference>
        </references>
      </pivotArea>
    </format>
    <format dxfId="130">
      <pivotArea dataOnly="0" labelOnly="1" fieldPosition="0">
        <references count="2">
          <reference field="1" count="1">
            <x v="0"/>
          </reference>
          <reference field="4" count="1" selected="0">
            <x v="1"/>
          </reference>
        </references>
      </pivotArea>
    </format>
    <format dxfId="129">
      <pivotArea type="all" dataOnly="0" outline="0" fieldPosition="0"/>
    </format>
    <format dxfId="128">
      <pivotArea outline="0" collapsedLevelsAreSubtotals="1" fieldPosition="0"/>
    </format>
    <format dxfId="127">
      <pivotArea field="4" type="button" dataOnly="0" labelOnly="1" outline="0" axis="axisRow" fieldPosition="0"/>
    </format>
    <format dxfId="126">
      <pivotArea dataOnly="0" labelOnly="1" fieldPosition="0">
        <references count="1">
          <reference field="4" count="0"/>
        </references>
      </pivotArea>
    </format>
    <format dxfId="125">
      <pivotArea dataOnly="0" labelOnly="1" grandRow="1" outline="0" fieldPosition="0"/>
    </format>
    <format dxfId="124">
      <pivotArea dataOnly="0" labelOnly="1" fieldPosition="0">
        <references count="2">
          <reference field="1" count="0"/>
          <reference field="4" count="1" selected="0">
            <x v="0"/>
          </reference>
        </references>
      </pivotArea>
    </format>
    <format dxfId="123">
      <pivotArea dataOnly="0" labelOnly="1" fieldPosition="0">
        <references count="2">
          <reference field="1" count="1">
            <x v="0"/>
          </reference>
          <reference field="4" count="1" selected="0">
            <x v="1"/>
          </reference>
        </references>
      </pivotArea>
    </format>
    <format dxfId="122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A561E-81D5-4D8B-B1DB-F38E0FB3238D}" name="Tabela dinâmica2" cacheId="30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compact="0" compactData="0" multipleFieldFilters="0">
  <location ref="B23:E28" firstHeaderRow="0" firstDataRow="1" firstDataCol="2"/>
  <pivotFields count="12">
    <pivotField dataField="1" compact="0" outline="0" subtotalTop="0" showAll="0" defaultSubtotal="0"/>
    <pivotField compact="0" outline="0" subtotalTop="0" showAll="0" sortType="descending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name="EMPRESA" axis="axisRow" compact="0" outline="0" subtotalTop="0" showAll="0" defaultSubtotal="0">
      <items count="4">
        <item x="1"/>
        <item x="2"/>
        <item m="1" x="3"/>
        <item x="0"/>
      </items>
    </pivotField>
    <pivotField axis="axisRow" compact="0" outline="0" subtotalTop="0" showAll="0" defaultSubtotal="0">
      <items count="5">
        <item x="3"/>
        <item x="1"/>
        <item x="2"/>
        <item m="1" x="4"/>
        <item x="0"/>
      </items>
    </pivotField>
    <pivotField compact="0" outline="0" subtotalTop="0" showAll="0" defaultSubtotal="0"/>
    <pivotField compact="0" numFmtId="42" outline="0" subtotalTop="0" showAll="0" defaultSubtotal="0"/>
    <pivotField compact="0" numFmtId="42" outline="0" subtotalTop="0" showAll="0" defaultSubtotal="0"/>
    <pivotField compact="0" numFmtId="42" outline="0" subtotalTop="0" showAll="0" defaultSubtotal="0"/>
    <pivotField dataField="1" compact="0" numFmtId="42" outline="0" subtotalTop="0" showAll="0" defaultSubtotal="0"/>
  </pivotFields>
  <rowFields count="2">
    <field x="5"/>
    <field x="6"/>
  </rowFields>
  <rowItems count="5">
    <i>
      <x/>
      <x v="1"/>
    </i>
    <i>
      <x v="1"/>
      <x/>
    </i>
    <i r="1">
      <x v="2"/>
    </i>
    <i>
      <x v="3"/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FUNCIONÁRIOS" fld="0" subtotal="count" baseField="1" baseItem="0"/>
    <dataField name="TT BRUTO" fld="11" baseField="6" baseItem="1" numFmtId="42"/>
  </dataFields>
  <formats count="32">
    <format dxfId="181">
      <pivotArea type="all" dataOnly="0" outline="0" fieldPosition="0"/>
    </format>
    <format dxfId="180">
      <pivotArea outline="0" collapsedLevelsAreSubtotals="1" fieldPosition="0"/>
    </format>
    <format dxfId="179">
      <pivotArea field="5" type="button" dataOnly="0" labelOnly="1" outline="0" axis="axisRow" fieldPosition="0"/>
    </format>
    <format dxfId="178">
      <pivotArea dataOnly="0" labelOnly="1" outline="0" fieldPosition="0">
        <references count="1">
          <reference field="5" count="0"/>
        </references>
      </pivotArea>
    </format>
    <format dxfId="177">
      <pivotArea dataOnly="0" labelOnly="1" outline="0" axis="axisValues" fieldPosition="0"/>
    </format>
    <format dxfId="176">
      <pivotArea type="all" dataOnly="0" outline="0" fieldPosition="0"/>
    </format>
    <format dxfId="175">
      <pivotArea dataOnly="0" labelOnly="1" outline="0" axis="axisValues" fieldPosition="0"/>
    </format>
    <format dxfId="174">
      <pivotArea outline="0" collapsedLevelsAreSubtotals="1" fieldPosition="0"/>
    </format>
    <format dxfId="173">
      <pivotArea grandRow="1" outline="0" collapsedLevelsAreSubtotals="1" fieldPosition="0"/>
    </format>
    <format dxfId="17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1">
      <pivotArea field="5" type="button" dataOnly="0" labelOnly="1" outline="0" axis="axisRow" fieldPosition="0"/>
    </format>
    <format dxfId="170">
      <pivotArea field="6" type="button" dataOnly="0" labelOnly="1" outline="0" axis="axisRow" fieldPosition="1"/>
    </format>
    <format dxfId="169">
      <pivotArea dataOnly="0" labelOnly="1" grandRow="1" outline="0" fieldPosition="0"/>
    </format>
    <format dxfId="168">
      <pivotArea dataOnly="0" labelOnly="1" outline="0" fieldPosition="0">
        <references count="2">
          <reference field="5" count="1" selected="0">
            <x v="0"/>
          </reference>
          <reference field="6" count="1">
            <x v="1"/>
          </reference>
        </references>
      </pivotArea>
    </format>
    <format dxfId="167">
      <pivotArea dataOnly="0" labelOnly="1" outline="0" fieldPosition="0">
        <references count="2">
          <reference field="5" count="1" selected="0">
            <x v="1"/>
          </reference>
          <reference field="6" count="1">
            <x v="0"/>
          </reference>
        </references>
      </pivotArea>
    </format>
    <format dxfId="166">
      <pivotArea field="6" type="button" dataOnly="0" labelOnly="1" outline="0" axis="axisRow" fieldPosition="1"/>
    </format>
    <format dxfId="165">
      <pivotArea dataOnly="0" labelOnly="1" grandRow="1" outline="0" fieldPosition="0"/>
    </format>
    <format dxfId="164">
      <pivotArea dataOnly="0" labelOnly="1" outline="0" fieldPosition="0">
        <references count="1">
          <reference field="5" count="2">
            <x v="0"/>
            <x v="1"/>
          </reference>
        </references>
      </pivotArea>
    </format>
    <format dxfId="163">
      <pivotArea dataOnly="0" labelOnly="1" outline="0" fieldPosition="0">
        <references count="2">
          <reference field="5" count="1" selected="0">
            <x v="0"/>
          </reference>
          <reference field="6" count="1">
            <x v="1"/>
          </reference>
        </references>
      </pivotArea>
    </format>
    <format dxfId="162">
      <pivotArea dataOnly="0" labelOnly="1" outline="0" fieldPosition="0">
        <references count="2">
          <reference field="5" count="1" selected="0">
            <x v="1"/>
          </reference>
          <reference field="6" count="2">
            <x v="0"/>
            <x v="2"/>
          </reference>
        </references>
      </pivotArea>
    </format>
    <format dxfId="161">
      <pivotArea dataOnly="0" labelOnly="1" outline="0" fieldPosition="0">
        <references count="2">
          <reference field="5" count="1" selected="0">
            <x v="2"/>
          </reference>
          <reference field="6" count="1">
            <x v="3"/>
          </reference>
        </references>
      </pivotArea>
    </format>
    <format dxfId="160">
      <pivotArea dataOnly="0" labelOnly="1" outline="0" fieldPosition="0">
        <references count="1">
          <reference field="5" count="0"/>
        </references>
      </pivotArea>
    </format>
    <format dxfId="159">
      <pivotArea type="all" dataOnly="0" outline="0" fieldPosition="0"/>
    </format>
    <format dxfId="158">
      <pivotArea outline="0" collapsedLevelsAreSubtotals="1" fieldPosition="0"/>
    </format>
    <format dxfId="157">
      <pivotArea field="5" type="button" dataOnly="0" labelOnly="1" outline="0" axis="axisRow" fieldPosition="0"/>
    </format>
    <format dxfId="156">
      <pivotArea field="6" type="button" dataOnly="0" labelOnly="1" outline="0" axis="axisRow" fieldPosition="1"/>
    </format>
    <format dxfId="155">
      <pivotArea dataOnly="0" labelOnly="1" outline="0" fieldPosition="0">
        <references count="1">
          <reference field="5" count="0"/>
        </references>
      </pivotArea>
    </format>
    <format dxfId="154">
      <pivotArea dataOnly="0" labelOnly="1" grandRow="1" outline="0" fieldPosition="0"/>
    </format>
    <format dxfId="153">
      <pivotArea dataOnly="0" labelOnly="1" outline="0" fieldPosition="0">
        <references count="2">
          <reference field="5" count="1" selected="0">
            <x v="0"/>
          </reference>
          <reference field="6" count="1">
            <x v="1"/>
          </reference>
        </references>
      </pivotArea>
    </format>
    <format dxfId="152">
      <pivotArea dataOnly="0" labelOnly="1" outline="0" fieldPosition="0">
        <references count="2">
          <reference field="5" count="1" selected="0">
            <x v="1"/>
          </reference>
          <reference field="6" count="2">
            <x v="0"/>
            <x v="2"/>
          </reference>
        </references>
      </pivotArea>
    </format>
    <format dxfId="151">
      <pivotArea dataOnly="0" labelOnly="1" outline="0" fieldPosition="0">
        <references count="2">
          <reference field="5" count="1" selected="0">
            <x v="3"/>
          </reference>
          <reference field="6" count="1">
            <x v="4"/>
          </reference>
        </references>
      </pivotArea>
    </format>
    <format dxfId="15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79F4C9-FE87-47C7-B236-8343A760C280}" name="Tabela dinâmica2" cacheId="22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compact="0" compactData="0" multipleFieldFilters="0">
  <location ref="B15:E18" firstHeaderRow="0" firstDataRow="1" firstDataCol="2"/>
  <pivotFields count="13">
    <pivotField dataField="1" compact="0" outline="0" subtotalTop="0" showAll="0" defaultSubtotal="0"/>
    <pivotField compact="0" outline="0" subtotalTop="0" showAll="0" sortType="descending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name="EMPRESA" axis="axisRow" compact="0" outline="0" subtotalTop="0" showAll="0" defaultSubtotal="0">
      <items count="4">
        <item x="0"/>
        <item m="1" x="3"/>
        <item x="1"/>
        <item m="1" x="2"/>
      </items>
    </pivotField>
    <pivotField axis="axisRow" compact="0" outline="0" subtotalTop="0" showAll="0" defaultSubtotal="0">
      <items count="4">
        <item m="1" x="3"/>
        <item x="0"/>
        <item x="1"/>
        <item m="1" x="2"/>
      </items>
    </pivotField>
    <pivotField compact="0" outline="0" subtotalTop="0" showAll="0" defaultSubtotal="0"/>
    <pivotField compact="0" numFmtId="42" outline="0" subtotalTop="0" showAll="0" defaultSubtotal="0"/>
    <pivotField compact="0" numFmtId="42" outline="0" subtotalTop="0" showAll="0" defaultSubtotal="0"/>
    <pivotField compact="0" numFmtId="42" outline="0" subtotalTop="0" showAll="0" defaultSubtotal="0"/>
    <pivotField dataField="1" compact="0" numFmtId="42" outline="0" subtotalTop="0" showAll="0" defaultSubtotal="0"/>
    <pivotField compact="0" numFmtId="10" outline="0" subtotalTop="0" showAll="0" defaultSubtotal="0"/>
  </pivotFields>
  <rowFields count="2">
    <field x="5"/>
    <field x="6"/>
  </rowFields>
  <rowItems count="3">
    <i>
      <x/>
      <x v="1"/>
    </i>
    <i>
      <x v="2"/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FUNCIONÁRIOS" fld="0" subtotal="count" baseField="1" baseItem="0"/>
    <dataField name="TT BRUTO" fld="11" baseField="6" baseItem="1" numFmtId="42"/>
  </dataFields>
  <formats count="34"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5" type="button" dataOnly="0" labelOnly="1" outline="0" axis="axisRow" fieldPosition="0"/>
    </format>
    <format dxfId="90">
      <pivotArea dataOnly="0" labelOnly="1" outline="0" fieldPosition="0">
        <references count="1">
          <reference field="5" count="0"/>
        </references>
      </pivotArea>
    </format>
    <format dxfId="89">
      <pivotArea dataOnly="0" labelOnly="1" outline="0" axis="axisValues" fieldPosition="0"/>
    </format>
    <format dxfId="88">
      <pivotArea type="all" dataOnly="0" outline="0" fieldPosition="0"/>
    </format>
    <format dxfId="87">
      <pivotArea dataOnly="0" labelOnly="1" outline="0" axis="axisValues" fieldPosition="0"/>
    </format>
    <format dxfId="86">
      <pivotArea outline="0" collapsedLevelsAreSubtotals="1" fieldPosition="0"/>
    </format>
    <format dxfId="85">
      <pivotArea grandRow="1" outline="0" collapsedLevelsAreSubtotals="1" fieldPosition="0"/>
    </format>
    <format dxfId="8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3">
      <pivotArea dataOnly="0" labelOnly="1" outline="0" fieldPosition="0">
        <references count="1">
          <reference field="5" count="0"/>
        </references>
      </pivotArea>
    </format>
    <format dxfId="82">
      <pivotArea field="5" type="button" dataOnly="0" labelOnly="1" outline="0" axis="axisRow" fieldPosition="0"/>
    </format>
    <format dxfId="81">
      <pivotArea dataOnly="0" labelOnly="1" outline="0" fieldPosition="0">
        <references count="1">
          <reference field="5" count="2">
            <x v="0"/>
            <x v="1"/>
          </reference>
        </references>
      </pivotArea>
    </format>
    <format dxfId="80">
      <pivotArea field="6" type="button" dataOnly="0" labelOnly="1" outline="0" axis="axisRow" fieldPosition="1"/>
    </format>
    <format dxfId="79">
      <pivotArea dataOnly="0" labelOnly="1" grandRow="1" outline="0" fieldPosition="0"/>
    </format>
    <format dxfId="78">
      <pivotArea dataOnly="0" labelOnly="1" outline="0" fieldPosition="0">
        <references count="2">
          <reference field="5" count="1" selected="0">
            <x v="0"/>
          </reference>
          <reference field="6" count="1">
            <x v="1"/>
          </reference>
        </references>
      </pivotArea>
    </format>
    <format dxfId="77">
      <pivotArea dataOnly="0" labelOnly="1" outline="0" fieldPosition="0">
        <references count="2">
          <reference field="5" count="1" selected="0">
            <x v="1"/>
          </reference>
          <reference field="6" count="1">
            <x v="0"/>
          </reference>
        </references>
      </pivotArea>
    </format>
    <format dxfId="76">
      <pivotArea field="6" type="button" dataOnly="0" labelOnly="1" outline="0" axis="axisRow" fieldPosition="1"/>
    </format>
    <format dxfId="75">
      <pivotArea dataOnly="0" labelOnly="1" grandRow="1" outline="0" fieldPosition="0"/>
    </format>
    <format dxfId="74">
      <pivotArea dataOnly="0" labelOnly="1" outline="0" fieldPosition="0">
        <references count="1">
          <reference field="5" count="2">
            <x v="0"/>
            <x v="1"/>
          </reference>
        </references>
      </pivotArea>
    </format>
    <format dxfId="73">
      <pivotArea dataOnly="0" labelOnly="1" outline="0" fieldPosition="0">
        <references count="1">
          <reference field="5" count="2">
            <x v="0"/>
            <x v="1"/>
          </reference>
        </references>
      </pivotArea>
    </format>
    <format dxfId="72">
      <pivotArea dataOnly="0" labelOnly="1" outline="0" fieldPosition="0">
        <references count="1">
          <reference field="5" count="1">
            <x v="2"/>
          </reference>
        </references>
      </pivotArea>
    </format>
    <format dxfId="71">
      <pivotArea dataOnly="0" labelOnly="1" outline="0" fieldPosition="0">
        <references count="2">
          <reference field="5" count="1" selected="0">
            <x v="0"/>
          </reference>
          <reference field="6" count="1">
            <x v="1"/>
          </reference>
        </references>
      </pivotArea>
    </format>
    <format dxfId="70">
      <pivotArea dataOnly="0" labelOnly="1" outline="0" fieldPosition="0">
        <references count="2">
          <reference field="5" count="1" selected="0">
            <x v="1"/>
          </reference>
          <reference field="6" count="1">
            <x v="0"/>
          </reference>
        </references>
      </pivotArea>
    </format>
    <format dxfId="69">
      <pivotArea dataOnly="0" labelOnly="1" outline="0" fieldPosition="0">
        <references count="2">
          <reference field="5" count="1" selected="0">
            <x v="2"/>
          </reference>
          <reference field="6" count="1">
            <x v="2"/>
          </reference>
        </references>
      </pivotArea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5" type="button" dataOnly="0" labelOnly="1" outline="0" axis="axisRow" fieldPosition="0"/>
    </format>
    <format dxfId="65">
      <pivotArea field="6" type="button" dataOnly="0" labelOnly="1" outline="0" axis="axisRow" fieldPosition="1"/>
    </format>
    <format dxfId="64">
      <pivotArea dataOnly="0" labelOnly="1" outline="0" fieldPosition="0">
        <references count="1">
          <reference field="5" count="0"/>
        </references>
      </pivotArea>
    </format>
    <format dxfId="63">
      <pivotArea dataOnly="0" labelOnly="1" grandRow="1" outline="0" fieldPosition="0"/>
    </format>
    <format dxfId="62">
      <pivotArea dataOnly="0" labelOnly="1" outline="0" fieldPosition="0">
        <references count="2">
          <reference field="5" count="1" selected="0">
            <x v="0"/>
          </reference>
          <reference field="6" count="1">
            <x v="1"/>
          </reference>
        </references>
      </pivotArea>
    </format>
    <format dxfId="61">
      <pivotArea dataOnly="0" labelOnly="1" outline="0" fieldPosition="0">
        <references count="2">
          <reference field="5" count="1" selected="0">
            <x v="2"/>
          </reference>
          <reference field="6" count="1">
            <x v="2"/>
          </reference>
        </references>
      </pivotArea>
    </format>
    <format dxfId="6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786423-F5EF-4CE7-99C3-EE5459AD501A}" name="Tabela dinâmica1" cacheId="31" applyNumberFormats="0" applyBorderFormats="0" applyFontFormats="0" applyPatternFormats="0" applyAlignmentFormats="0" applyWidthHeightFormats="1" dataCaption="Valores" grandTotalCaption="TOTAL" updatedVersion="8" minRefreshableVersion="3" itemPrintTitles="1" createdVersion="8" indent="0" outline="1" outlineData="1" multipleFieldFilters="0" rowHeaderCaption="MODALIDADE">
  <location ref="B8:D13" firstHeaderRow="0" firstDataRow="1" firstDataCol="1"/>
  <pivotFields count="12">
    <pivotField dataField="1" showAll="0"/>
    <pivotField axis="axisRow" showAll="0">
      <items count="3">
        <item x="0"/>
        <item m="1" x="1"/>
        <item t="default"/>
      </items>
    </pivotField>
    <pivotField showAll="0"/>
    <pivotField showAll="0"/>
    <pivotField axis="axisRow" multipleItemSelectionAllowed="1" showAll="0">
      <items count="4">
        <item x="0"/>
        <item x="1"/>
        <item m="1" x="2"/>
        <item t="default"/>
      </items>
    </pivotField>
    <pivotField showAll="0"/>
    <pivotField showAll="0"/>
    <pivotField showAll="0"/>
    <pivotField numFmtId="42" showAll="0"/>
    <pivotField numFmtId="42" showAll="0"/>
    <pivotField numFmtId="42" showAll="0"/>
    <pivotField dataField="1" numFmtId="42" showAll="0"/>
  </pivotFields>
  <rowFields count="2">
    <field x="4"/>
    <field x="1"/>
  </rowFields>
  <rowItems count="5">
    <i>
      <x/>
    </i>
    <i r="1">
      <x/>
    </i>
    <i>
      <x v="1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FUNCIONÁRIOS" fld="0" subtotal="count" baseField="1" baseItem="0"/>
    <dataField name="TT BRUTO" fld="11" baseField="4" baseItem="0" numFmtId="42"/>
  </dataFields>
  <formats count="28"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1" type="button" dataOnly="0" labelOnly="1" outline="0" axis="axisRow" fieldPosition="1"/>
    </format>
    <format dxfId="118">
      <pivotArea dataOnly="0" labelOnly="1" fieldPosition="0">
        <references count="1">
          <reference field="1" count="0"/>
        </references>
      </pivotArea>
    </format>
    <format dxfId="117">
      <pivotArea dataOnly="0" labelOnly="1" grandRow="1" outline="0" fieldPosition="0"/>
    </format>
    <format dxfId="116">
      <pivotArea dataOnly="0" labelOnly="1" outline="0" axis="axisValues" fieldPosition="0"/>
    </format>
    <format dxfId="115">
      <pivotArea type="all" dataOnly="0" outline="0" fieldPosition="0"/>
    </format>
    <format dxfId="114">
      <pivotArea dataOnly="0" labelOnly="1" grandRow="1" outline="0" fieldPosition="0"/>
    </format>
    <format dxfId="113">
      <pivotArea dataOnly="0" labelOnly="1" fieldPosition="0">
        <references count="1">
          <reference field="1" count="0"/>
        </references>
      </pivotArea>
    </format>
    <format dxfId="112">
      <pivotArea dataOnly="0" labelOnly="1" outline="0" axis="axisValues" fieldPosition="0"/>
    </format>
    <format dxfId="111">
      <pivotArea outline="0" collapsedLevelsAreSubtotals="1" fieldPosition="0"/>
    </format>
    <format dxfId="110">
      <pivotArea field="1" type="button" dataOnly="0" labelOnly="1" outline="0" axis="axisRow" fieldPosition="1"/>
    </format>
    <format dxfId="10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4">
      <pivotArea dataOnly="0" labelOnly="1" fieldPosition="0">
        <references count="1">
          <reference field="4" count="0"/>
        </references>
      </pivotArea>
    </format>
    <format dxfId="103">
      <pivotArea dataOnly="0" labelOnly="1" fieldPosition="0">
        <references count="2">
          <reference field="1" count="0"/>
          <reference field="4" count="1" selected="0">
            <x v="0"/>
          </reference>
        </references>
      </pivotArea>
    </format>
    <format dxfId="102">
      <pivotArea dataOnly="0" labelOnly="1" fieldPosition="0">
        <references count="2">
          <reference field="1" count="0"/>
          <reference field="4" count="1" selected="0">
            <x v="1"/>
          </reference>
        </references>
      </pivotArea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4" type="button" dataOnly="0" labelOnly="1" outline="0" axis="axisRow" fieldPosition="0"/>
    </format>
    <format dxfId="98">
      <pivotArea dataOnly="0" labelOnly="1" fieldPosition="0">
        <references count="1">
          <reference field="4" count="0"/>
        </references>
      </pivotArea>
    </format>
    <format dxfId="97">
      <pivotArea dataOnly="0" labelOnly="1" grandRow="1" outline="0" fieldPosition="0"/>
    </format>
    <format dxfId="96">
      <pivotArea dataOnly="0" labelOnly="1" fieldPosition="0">
        <references count="2">
          <reference field="1" count="0"/>
          <reference field="4" count="1" selected="0">
            <x v="0"/>
          </reference>
        </references>
      </pivotArea>
    </format>
    <format dxfId="95">
      <pivotArea dataOnly="0" labelOnly="1" fieldPosition="0">
        <references count="2">
          <reference field="1" count="0"/>
          <reference field="4" count="1" selected="0">
            <x v="1"/>
          </reference>
        </references>
      </pivotArea>
    </format>
    <format dxfId="94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A99A3B-56BC-4628-A9DE-49F21E53C308}" name="Tabela dinâmica1" cacheId="32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MODALIDADE">
  <location ref="B9:D12" firstHeaderRow="0" firstDataRow="1" firstDataCol="1"/>
  <pivotFields count="12">
    <pivotField dataField="1" showAll="0"/>
    <pivotField axis="axisRow" showAll="0">
      <items count="3">
        <item x="0"/>
        <item m="1" x="1"/>
        <item t="default"/>
      </items>
    </pivotField>
    <pivotField showAll="0"/>
    <pivotField showAll="0"/>
    <pivotField axis="axisRow" multipleItemSelectionAllowed="1" showAll="0">
      <items count="4">
        <item x="0"/>
        <item m="1" x="2"/>
        <item m="1" x="1"/>
        <item t="default"/>
      </items>
    </pivotField>
    <pivotField showAll="0"/>
    <pivotField showAll="0"/>
    <pivotField showAll="0"/>
    <pivotField numFmtId="42" showAll="0"/>
    <pivotField numFmtId="42" showAll="0"/>
    <pivotField numFmtId="42" showAll="0"/>
    <pivotField dataField="1" numFmtId="42" showAll="0"/>
  </pivotFields>
  <rowFields count="2">
    <field x="4"/>
    <field x="1"/>
  </rowFields>
  <rowItems count="3">
    <i>
      <x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FUNCIONÁRIOS" fld="0" subtotal="count" baseField="1" baseItem="0"/>
    <dataField name="TT BRUTO" fld="11" baseField="4" baseItem="0" numFmtId="42"/>
  </dataFields>
  <formats count="28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1" type="button" dataOnly="0" labelOnly="1" outline="0" axis="axisRow" fieldPosition="1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  <format dxfId="21">
      <pivotArea type="all" dataOnly="0" outline="0" fieldPosition="0"/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outline="0" axis="axisValues" fieldPosition="0"/>
    </format>
    <format dxfId="17">
      <pivotArea outline="0" collapsedLevelsAreSubtotals="1" fieldPosition="0"/>
    </format>
    <format dxfId="16">
      <pivotArea field="1" type="button" dataOnly="0" labelOnly="1" outline="0" axis="axisRow" fieldPosition="1"/>
    </format>
    <format dxfId="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">
      <pivotArea dataOnly="0" labelOnly="1" fieldPosition="0">
        <references count="1">
          <reference field="4" count="0"/>
        </references>
      </pivotArea>
    </format>
    <format dxfId="9">
      <pivotArea dataOnly="0" labelOnly="1" fieldPosition="0">
        <references count="2">
          <reference field="1" count="0"/>
          <reference field="4" count="1" selected="0">
            <x v="0"/>
          </reference>
        </references>
      </pivotArea>
    </format>
    <format dxfId="8">
      <pivotArea dataOnly="0" labelOnly="1" fieldPosition="0">
        <references count="2">
          <reference field="1" count="0"/>
          <reference field="4" count="1" selected="0">
            <x v="1"/>
          </reference>
        </references>
      </pivotArea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4" type="button" dataOnly="0" labelOnly="1" outline="0" axis="axisRow" fieldPosition="0"/>
    </format>
    <format dxfId="4">
      <pivotArea dataOnly="0" labelOnly="1" fieldPosition="0">
        <references count="1">
          <reference field="4" count="0"/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2">
          <reference field="1" count="0"/>
          <reference field="4" count="1" selected="0">
            <x v="0"/>
          </reference>
        </references>
      </pivotArea>
    </format>
    <format dxfId="1">
      <pivotArea dataOnly="0" labelOnly="1" fieldPosition="0">
        <references count="2">
          <reference field="1" count="0"/>
          <reference field="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49D7E8-6F94-4461-AC07-3BDFFC9B6110}" name="Tabela dinâmica2" cacheId="32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compact="0" compactData="0" multipleFieldFilters="0">
  <location ref="B14:E17" firstHeaderRow="0" firstDataRow="1" firstDataCol="2"/>
  <pivotFields count="12">
    <pivotField dataField="1" compact="0" outline="0" subtotalTop="0" showAll="0" defaultSubtotal="0"/>
    <pivotField compact="0" outline="0" subtotalTop="0" showAll="0" sortType="descending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name="EMPRESA" axis="axisRow" compact="0" outline="0" subtotalTop="0" showAll="0" defaultSubtotal="0">
      <items count="3">
        <item x="0"/>
        <item x="1"/>
        <item m="1" x="2"/>
      </items>
    </pivotField>
    <pivotField axis="axisRow" compact="0" outline="0" subtotalTop="0" showAll="0" defaultSubtotal="0">
      <items count="3">
        <item x="0"/>
        <item x="1"/>
        <item m="1" x="2"/>
      </items>
    </pivotField>
    <pivotField compact="0" numFmtId="42" outline="0" subtotalTop="0" showAll="0" defaultSubtotal="0"/>
    <pivotField compact="0" numFmtId="42" outline="0" subtotalTop="0" showAll="0" defaultSubtotal="0"/>
    <pivotField compact="0" numFmtId="42" outline="0" subtotalTop="0" showAll="0" defaultSubtotal="0"/>
    <pivotField compact="0" numFmtId="42" outline="0" subtotalTop="0" showAll="0" defaultSubtotal="0"/>
    <pivotField dataField="1" compact="0" numFmtId="42" outline="0" subtotalTop="0" showAll="0" defaultSubtotal="0"/>
  </pivotFields>
  <rowFields count="2">
    <field x="5"/>
    <field x="6"/>
  </rowFields>
  <rowItems count="3">
    <i>
      <x/>
      <x/>
    </i>
    <i>
      <x v="1"/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FUNCIONÁRIOS" fld="0" subtotal="count" baseField="1" baseItem="0"/>
    <dataField name="TT BRUTO" fld="11" baseField="6" baseItem="0" numFmtId="42"/>
  </dataFields>
  <formats count="32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5" type="button" dataOnly="0" labelOnly="1" outline="0" axis="axisRow" fieldPosition="0"/>
    </format>
    <format dxfId="56">
      <pivotArea dataOnly="0" labelOnly="1" outline="0" fieldPosition="0">
        <references count="1">
          <reference field="5" count="0"/>
        </references>
      </pivotArea>
    </format>
    <format dxfId="55">
      <pivotArea dataOnly="0" labelOnly="1" outline="0" axis="axisValues" fieldPosition="0"/>
    </format>
    <format dxfId="54">
      <pivotArea type="all" dataOnly="0" outline="0" fieldPosition="0"/>
    </format>
    <format dxfId="53">
      <pivotArea dataOnly="0" labelOnly="1" outline="0" axis="axisValues" fieldPosition="0"/>
    </format>
    <format dxfId="52">
      <pivotArea outline="0" collapsedLevelsAreSubtotals="1" fieldPosition="0"/>
    </format>
    <format dxfId="51">
      <pivotArea grandRow="1" outline="0" collapsedLevelsAreSubtotals="1" fieldPosition="0"/>
    </format>
    <format dxfId="5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9">
      <pivotArea dataOnly="0" labelOnly="1" outline="0" fieldPosition="0">
        <references count="1">
          <reference field="5" count="0"/>
        </references>
      </pivotArea>
    </format>
    <format dxfId="48">
      <pivotArea field="5" type="button" dataOnly="0" labelOnly="1" outline="0" axis="axisRow" fieldPosition="0"/>
    </format>
    <format dxfId="47">
      <pivotArea dataOnly="0" labelOnly="1" outline="0" fieldPosition="0">
        <references count="1">
          <reference field="5" count="2">
            <x v="0"/>
            <x v="1"/>
          </reference>
        </references>
      </pivotArea>
    </format>
    <format dxfId="46">
      <pivotArea field="6" type="button" dataOnly="0" labelOnly="1" outline="0" axis="axisRow" fieldPosition="1"/>
    </format>
    <format dxfId="45">
      <pivotArea dataOnly="0" labelOnly="1" grandRow="1" outline="0" fieldPosition="0"/>
    </format>
    <format dxfId="44">
      <pivotArea dataOnly="0" labelOnly="1" outline="0" fieldPosition="0">
        <references count="2">
          <reference field="5" count="1" selected="0">
            <x v="0"/>
          </reference>
          <reference field="6" count="1">
            <x v="0"/>
          </reference>
        </references>
      </pivotArea>
    </format>
    <format dxfId="43">
      <pivotArea dataOnly="0" labelOnly="1" outline="0" fieldPosition="0">
        <references count="2">
          <reference field="5" count="1" selected="0">
            <x v="1"/>
          </reference>
          <reference field="6" count="1">
            <x v="1"/>
          </reference>
        </references>
      </pivotArea>
    </format>
    <format dxfId="42">
      <pivotArea field="6" type="button" dataOnly="0" labelOnly="1" outline="0" axis="axisRow" fieldPosition="1"/>
    </format>
    <format dxfId="41">
      <pivotArea dataOnly="0" labelOnly="1" grandRow="1" outline="0" fieldPosition="0"/>
    </format>
    <format dxfId="40">
      <pivotArea dataOnly="0" labelOnly="1" outline="0" fieldPosition="0">
        <references count="2">
          <reference field="5" count="1" selected="0">
            <x v="0"/>
          </reference>
          <reference field="6" count="1">
            <x v="0"/>
          </reference>
        </references>
      </pivotArea>
    </format>
    <format dxfId="39">
      <pivotArea dataOnly="0" labelOnly="1" outline="0" fieldPosition="0">
        <references count="2">
          <reference field="5" count="1" selected="0">
            <x v="1"/>
          </reference>
          <reference field="6" count="1">
            <x v="1"/>
          </reference>
        </references>
      </pivotArea>
    </format>
    <format dxfId="38">
      <pivotArea dataOnly="0" labelOnly="1" outline="0" fieldPosition="0">
        <references count="1">
          <reference field="5" count="2">
            <x v="0"/>
            <x v="1"/>
          </reference>
        </references>
      </pivotArea>
    </format>
    <format dxfId="37">
      <pivotArea dataOnly="0" labelOnly="1" outline="0" fieldPosition="0">
        <references count="1">
          <reference field="5" count="2">
            <x v="0"/>
            <x v="1"/>
          </reference>
        </references>
      </pivotArea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5" type="button" dataOnly="0" labelOnly="1" outline="0" axis="axisRow" fieldPosition="0"/>
    </format>
    <format dxfId="33">
      <pivotArea field="6" type="button" dataOnly="0" labelOnly="1" outline="0" axis="axisRow" fieldPosition="1"/>
    </format>
    <format dxfId="32">
      <pivotArea dataOnly="0" labelOnly="1" outline="0" fieldPosition="0">
        <references count="1">
          <reference field="5" count="0"/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2">
          <reference field="5" count="1" selected="0">
            <x v="0"/>
          </reference>
          <reference field="6" count="1">
            <x v="0"/>
          </reference>
        </references>
      </pivotArea>
    </format>
    <format dxfId="29">
      <pivotArea dataOnly="0" labelOnly="1" outline="0" fieldPosition="0">
        <references count="2">
          <reference field="5" count="1" selected="0">
            <x v="1"/>
          </reference>
          <reference field="6" count="1">
            <x v="1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L1" dT="2025-07-11T16:44:44.75" personId="{002CA2FC-7BD8-4285-8D8A-278DBE800B31}" id="{B266D3B2-ADE7-4EA9-9C2D-DC8B4AED3C2A}">
    <text>Coluna Ossucci = PRODUÇÃO</text>
  </threadedComment>
  <threadedComment ref="AN1" dT="2025-07-11T14:49:23.84" personId="{002CA2FC-7BD8-4285-8D8A-278DBE800B31}" id="{D249B14B-6B0D-433B-AE54-D888FC302B15}">
    <text>Coluna Ossucci = PRENSA</text>
  </threadedComment>
  <threadedComment ref="AO1" dT="2025-07-11T15:06:18.00" personId="{002CA2FC-7BD8-4285-8D8A-278DBE800B31}" id="{D3FF8E98-376C-44AF-8176-12BE07784E23}">
    <text>Coluna Ossucci = CONTAINER</text>
  </threadedComment>
  <threadedComment ref="AP1" dT="2025-07-11T14:47:28.37" personId="{002CA2FC-7BD8-4285-8D8A-278DBE800B31}" id="{55886A05-BB7C-4047-8979-1BBEE8F072F3}">
    <text>Coluna Ossucci = PREMIOS</text>
  </threadedComment>
  <threadedComment ref="AQ1" dT="2025-07-11T14:42:04.79" personId="{002CA2FC-7BD8-4285-8D8A-278DBE800B31}" id="{AFEE46B5-294C-4E74-BD14-32CC1DD65498}">
    <text>Coluna Ossucci = OPERADORES</text>
  </threadedComment>
  <threadedComment ref="BE10" dT="2025-10-06T19:58:45.45" personId="{002CA2FC-7BD8-4285-8D8A-278DBE800B31}" id="{F038AEBC-3F91-4D38-B9D9-F29B946537CB}">
    <text>@Giovane Porto | Seletiva valor da nota fiscal lançado como PF, por favor, analisar é a melhor opção. At.te, Luciano</text>
    <mentions>
      <mention mentionpersonId="{1BA5F81E-D846-4728-8DE4-041AD09B5E1F}" mentionId="{9F5F87E9-6060-4E50-B220-937281501478}" startIndex="0" length="2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ivotTable" Target="../pivotTables/pivotTable19.xml"/><Relationship Id="rId1" Type="http://schemas.openxmlformats.org/officeDocument/2006/relationships/pivotTable" Target="../pivotTables/pivotTable18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ivotTable" Target="../pivotTables/pivotTable21.xml"/><Relationship Id="rId1" Type="http://schemas.openxmlformats.org/officeDocument/2006/relationships/pivotTable" Target="../pivotTables/pivotTable2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pivotTable" Target="../pivotTables/pivotTable23.xml"/><Relationship Id="rId1" Type="http://schemas.openxmlformats.org/officeDocument/2006/relationships/pivotTable" Target="../pivotTables/pivotTable22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ivotTable" Target="../pivotTables/pivotTable25.xml"/><Relationship Id="rId1" Type="http://schemas.openxmlformats.org/officeDocument/2006/relationships/pivotTable" Target="../pivotTables/pivot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8CA12-BFFD-4036-BC24-317AAE95656C}">
  <dimension ref="A1:C8"/>
  <sheetViews>
    <sheetView workbookViewId="0">
      <selection activeCell="H8" sqref="H8"/>
    </sheetView>
  </sheetViews>
  <sheetFormatPr defaultRowHeight="15" x14ac:dyDescent="0.25"/>
  <cols>
    <col min="1" max="1" width="15.28515625" bestFit="1" customWidth="1"/>
    <col min="2" max="2" width="26.28515625" bestFit="1" customWidth="1"/>
    <col min="3" max="3" width="25.140625" bestFit="1" customWidth="1"/>
  </cols>
  <sheetData>
    <row r="1" spans="1:3" x14ac:dyDescent="0.25">
      <c r="A1" s="161" t="s">
        <v>0</v>
      </c>
      <c r="B1" t="s">
        <v>1</v>
      </c>
    </row>
    <row r="3" spans="1:3" x14ac:dyDescent="0.25">
      <c r="A3" s="161" t="s">
        <v>2</v>
      </c>
      <c r="B3" t="s">
        <v>3</v>
      </c>
      <c r="C3" t="s">
        <v>4</v>
      </c>
    </row>
    <row r="4" spans="1:3" x14ac:dyDescent="0.25">
      <c r="A4" t="s">
        <v>5</v>
      </c>
      <c r="B4">
        <v>61</v>
      </c>
      <c r="C4" s="162">
        <v>327445.06</v>
      </c>
    </row>
    <row r="5" spans="1:3" x14ac:dyDescent="0.25">
      <c r="A5" t="s">
        <v>6</v>
      </c>
      <c r="B5">
        <v>4</v>
      </c>
      <c r="C5" s="162">
        <v>6056.62</v>
      </c>
    </row>
    <row r="6" spans="1:3" x14ac:dyDescent="0.25">
      <c r="A6" t="s">
        <v>7</v>
      </c>
      <c r="B6">
        <v>1</v>
      </c>
      <c r="C6" s="162">
        <v>9879.83</v>
      </c>
    </row>
    <row r="7" spans="1:3" x14ac:dyDescent="0.25">
      <c r="A7" t="s">
        <v>8</v>
      </c>
      <c r="B7">
        <v>9</v>
      </c>
      <c r="C7" s="162">
        <v>102840.78</v>
      </c>
    </row>
    <row r="8" spans="1:3" x14ac:dyDescent="0.25">
      <c r="A8" t="s">
        <v>9</v>
      </c>
      <c r="B8">
        <v>75</v>
      </c>
      <c r="C8" s="162">
        <v>446222.29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7E8A-55A7-48EB-A299-AEDD0D20006F}">
  <sheetPr filterMode="1"/>
  <dimension ref="A1:BQ120"/>
  <sheetViews>
    <sheetView showGridLines="0" topLeftCell="F1" zoomScale="115" zoomScaleNormal="115" workbookViewId="0">
      <pane ySplit="1" topLeftCell="A2" activePane="bottomLeft" state="frozen"/>
      <selection activeCell="G1" sqref="G1"/>
      <selection pane="bottomLeft" activeCell="K120" sqref="K120:L120"/>
    </sheetView>
  </sheetViews>
  <sheetFormatPr defaultRowHeight="15" outlineLevelCol="1" x14ac:dyDescent="0.25"/>
  <cols>
    <col min="1" max="1" width="47.7109375" customWidth="1"/>
    <col min="2" max="2" width="16.5703125" style="107" customWidth="1"/>
    <col min="3" max="3" width="26.7109375" customWidth="1"/>
    <col min="4" max="4" width="30.42578125" hidden="1" customWidth="1" outlineLevel="1"/>
    <col min="5" max="5" width="22.7109375" hidden="1" customWidth="1" outlineLevel="1"/>
    <col min="6" max="7" width="19.7109375" hidden="1" customWidth="1" outlineLevel="1"/>
    <col min="8" max="8" width="34.7109375" hidden="1" customWidth="1" outlineLevel="1"/>
    <col min="9" max="10" width="13.7109375" hidden="1" customWidth="1" outlineLevel="1"/>
    <col min="11" max="11" width="28.5703125" hidden="1" customWidth="1" outlineLevel="1"/>
    <col min="12" max="12" width="43.85546875" hidden="1" customWidth="1" outlineLevel="1"/>
    <col min="13" max="14" width="11.7109375" hidden="1" customWidth="1" outlineLevel="1"/>
    <col min="15" max="15" width="10.7109375" hidden="1" customWidth="1" outlineLevel="1"/>
    <col min="16" max="16" width="23.28515625" style="107" hidden="1" customWidth="1" outlineLevel="1"/>
    <col min="17" max="17" width="15.7109375" hidden="1" customWidth="1" outlineLevel="1"/>
    <col min="18" max="18" width="9.7109375" hidden="1" customWidth="1" outlineLevel="1"/>
    <col min="19" max="19" width="11.7109375" hidden="1" customWidth="1" outlineLevel="1"/>
    <col min="20" max="20" width="13.7109375" hidden="1" customWidth="1" outlineLevel="1"/>
    <col min="21" max="22" width="14.7109375" hidden="1" customWidth="1" outlineLevel="1"/>
    <col min="23" max="23" width="19.7109375" hidden="1" customWidth="1" outlineLevel="1"/>
    <col min="24" max="24" width="16.7109375" hidden="1" customWidth="1" outlineLevel="1"/>
    <col min="25" max="25" width="15" hidden="1" customWidth="1" outlineLevel="1"/>
    <col min="26" max="26" width="15.7109375" hidden="1" customWidth="1" outlineLevel="1"/>
    <col min="27" max="27" width="13.7109375" hidden="1" customWidth="1" outlineLevel="1"/>
    <col min="28" max="28" width="17.7109375" hidden="1" customWidth="1" outlineLevel="1"/>
    <col min="29" max="29" width="11.7109375" hidden="1" customWidth="1" outlineLevel="1"/>
    <col min="30" max="31" width="16.7109375" hidden="1" customWidth="1" outlineLevel="1"/>
    <col min="32" max="32" width="15.7109375" hidden="1" customWidth="1" outlineLevel="1"/>
    <col min="33" max="33" width="33.7109375" hidden="1" customWidth="1" outlineLevel="1"/>
    <col min="34" max="34" width="14.7109375" hidden="1" customWidth="1" outlineLevel="1"/>
    <col min="35" max="35" width="13.7109375" hidden="1" customWidth="1" outlineLevel="1"/>
    <col min="36" max="36" width="14.7109375" hidden="1" customWidth="1" outlineLevel="1"/>
    <col min="37" max="37" width="10.7109375" hidden="1" customWidth="1" outlineLevel="1"/>
    <col min="38" max="38" width="9.7109375" hidden="1" customWidth="1" outlineLevel="1"/>
    <col min="39" max="39" width="14.7109375" hidden="1" customWidth="1" outlineLevel="1"/>
    <col min="40" max="41" width="15.7109375" hidden="1" customWidth="1" outlineLevel="1"/>
    <col min="42" max="42" width="9.7109375" hidden="1" customWidth="1" outlineLevel="1"/>
    <col min="43" max="44" width="19.7109375" hidden="1" customWidth="1" outlineLevel="1"/>
    <col min="45" max="45" width="14.7109375" customWidth="1" collapsed="1"/>
    <col min="46" max="46" width="14.7109375" customWidth="1"/>
    <col min="47" max="47" width="19.7109375" customWidth="1"/>
    <col min="48" max="48" width="13.7109375" customWidth="1"/>
    <col min="49" max="49" width="15.7109375" customWidth="1"/>
    <col min="50" max="50" width="14.7109375" customWidth="1"/>
    <col min="51" max="51" width="14.7109375" style="119" customWidth="1"/>
    <col min="52" max="52" width="14.7109375" customWidth="1"/>
    <col min="53" max="53" width="5.7109375" customWidth="1"/>
    <col min="54" max="55" width="14.7109375" customWidth="1"/>
    <col min="56" max="56" width="13.7109375" customWidth="1"/>
    <col min="57" max="57" width="21.7109375" customWidth="1"/>
    <col min="58" max="58" width="15.7109375" customWidth="1"/>
    <col min="59" max="59" width="16.7109375" customWidth="1"/>
    <col min="60" max="60" width="17.7109375" customWidth="1"/>
    <col min="61" max="61" width="14.7109375" customWidth="1"/>
    <col min="62" max="62" width="13.7109375" customWidth="1"/>
    <col min="63" max="63" width="16.7109375" customWidth="1"/>
    <col min="64" max="64" width="8.7109375" customWidth="1"/>
    <col min="65" max="65" width="15.7109375" customWidth="1"/>
    <col min="66" max="66" width="8.7109375" customWidth="1"/>
    <col min="67" max="67" width="11.7109375" customWidth="1"/>
    <col min="68" max="68" width="17.7109375" customWidth="1"/>
    <col min="69" max="69" width="10.7109375" customWidth="1"/>
  </cols>
  <sheetData>
    <row r="1" spans="1:69" x14ac:dyDescent="0.25">
      <c r="A1" s="3" t="s">
        <v>10</v>
      </c>
      <c r="B1" s="5" t="s">
        <v>11</v>
      </c>
      <c r="C1" s="3" t="s">
        <v>2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0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5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32</v>
      </c>
      <c r="Z1" s="3" t="s">
        <v>33</v>
      </c>
      <c r="AA1" s="3" t="s">
        <v>34</v>
      </c>
      <c r="AB1" s="3" t="s">
        <v>35</v>
      </c>
      <c r="AC1" s="3" t="s">
        <v>36</v>
      </c>
      <c r="AD1" s="3" t="s">
        <v>37</v>
      </c>
      <c r="AE1" s="3" t="s">
        <v>38</v>
      </c>
      <c r="AF1" s="3" t="s">
        <v>39</v>
      </c>
      <c r="AG1" s="3" t="s">
        <v>40</v>
      </c>
      <c r="AH1" s="3" t="s">
        <v>41</v>
      </c>
      <c r="AI1" s="3" t="s">
        <v>42</v>
      </c>
      <c r="AJ1" s="3" t="s">
        <v>43</v>
      </c>
      <c r="AK1" s="3" t="s">
        <v>44</v>
      </c>
      <c r="AL1" s="3" t="s">
        <v>45</v>
      </c>
      <c r="AM1" s="3" t="s">
        <v>46</v>
      </c>
      <c r="AN1" s="3" t="s">
        <v>47</v>
      </c>
      <c r="AO1" s="3" t="s">
        <v>48</v>
      </c>
      <c r="AP1" s="3" t="s">
        <v>49</v>
      </c>
      <c r="AQ1" s="3" t="s">
        <v>50</v>
      </c>
      <c r="AR1" s="3" t="s">
        <v>51</v>
      </c>
      <c r="AS1" s="3" t="s">
        <v>52</v>
      </c>
      <c r="AT1" s="3" t="s">
        <v>53</v>
      </c>
      <c r="AU1" s="3" t="s">
        <v>54</v>
      </c>
      <c r="AV1" s="3" t="s">
        <v>55</v>
      </c>
      <c r="AW1" s="3" t="s">
        <v>56</v>
      </c>
      <c r="AX1" s="3" t="s">
        <v>57</v>
      </c>
      <c r="AY1" s="113" t="s">
        <v>58</v>
      </c>
      <c r="AZ1" s="3" t="s">
        <v>59</v>
      </c>
      <c r="BA1" s="3" t="s">
        <v>60</v>
      </c>
      <c r="BB1" s="3" t="s">
        <v>61</v>
      </c>
      <c r="BC1" s="3" t="s">
        <v>62</v>
      </c>
      <c r="BD1" s="3" t="s">
        <v>63</v>
      </c>
      <c r="BE1" s="3" t="s">
        <v>64</v>
      </c>
      <c r="BF1" s="3" t="s">
        <v>65</v>
      </c>
      <c r="BG1" s="3" t="s">
        <v>66</v>
      </c>
      <c r="BH1" s="3" t="s">
        <v>67</v>
      </c>
      <c r="BI1" s="3" t="s">
        <v>68</v>
      </c>
      <c r="BJ1" s="3" t="s">
        <v>69</v>
      </c>
      <c r="BK1" s="3" t="s">
        <v>70</v>
      </c>
      <c r="BL1" s="3" t="s">
        <v>71</v>
      </c>
      <c r="BM1" s="3" t="s">
        <v>72</v>
      </c>
      <c r="BN1" s="3" t="s">
        <v>73</v>
      </c>
      <c r="BO1" s="3" t="s">
        <v>74</v>
      </c>
      <c r="BP1" s="3" t="s">
        <v>75</v>
      </c>
      <c r="BQ1" s="3" t="s">
        <v>76</v>
      </c>
    </row>
    <row r="2" spans="1:69" hidden="1" x14ac:dyDescent="0.25">
      <c r="A2" s="81" t="s">
        <v>77</v>
      </c>
      <c r="B2" s="132">
        <v>46082</v>
      </c>
      <c r="C2" s="81" t="s">
        <v>78</v>
      </c>
      <c r="D2" s="81" t="s">
        <v>79</v>
      </c>
      <c r="E2" s="81" t="s">
        <v>80</v>
      </c>
      <c r="F2" s="81" t="s">
        <v>81</v>
      </c>
      <c r="G2" s="81" t="s">
        <v>82</v>
      </c>
      <c r="H2" s="81" t="s">
        <v>83</v>
      </c>
      <c r="I2" s="133">
        <v>43903</v>
      </c>
      <c r="J2" s="134"/>
      <c r="K2" s="81" t="s">
        <v>84</v>
      </c>
      <c r="L2" s="81" t="s">
        <v>85</v>
      </c>
      <c r="M2" s="81">
        <v>2950</v>
      </c>
      <c r="N2" s="81">
        <v>2950</v>
      </c>
      <c r="O2" s="81">
        <v>0</v>
      </c>
      <c r="P2" s="81">
        <f>N2+O2</f>
        <v>2950</v>
      </c>
      <c r="Q2" s="81">
        <v>0</v>
      </c>
      <c r="R2" s="81">
        <v>0</v>
      </c>
      <c r="S2" s="81">
        <v>0</v>
      </c>
      <c r="T2" s="81">
        <v>0</v>
      </c>
      <c r="U2" s="81">
        <v>0</v>
      </c>
      <c r="V2" s="81">
        <v>0</v>
      </c>
      <c r="W2" s="81">
        <v>0</v>
      </c>
      <c r="X2" s="81">
        <v>0</v>
      </c>
      <c r="Y2" s="81">
        <v>0</v>
      </c>
      <c r="Z2" s="81">
        <v>0</v>
      </c>
      <c r="AA2" s="81">
        <v>311.13</v>
      </c>
      <c r="AB2" s="81">
        <v>59.83</v>
      </c>
      <c r="AC2" s="81">
        <v>0</v>
      </c>
      <c r="AD2" s="81">
        <v>0</v>
      </c>
      <c r="AE2" s="81">
        <v>0</v>
      </c>
      <c r="AF2" s="81">
        <v>295</v>
      </c>
      <c r="AG2" s="81">
        <v>3615.96</v>
      </c>
      <c r="AH2" s="81">
        <v>0</v>
      </c>
      <c r="AI2" s="81">
        <v>0</v>
      </c>
      <c r="AJ2" s="81">
        <v>0</v>
      </c>
      <c r="AK2" s="81">
        <v>0</v>
      </c>
      <c r="AL2" s="81">
        <v>0</v>
      </c>
      <c r="AM2" s="81">
        <v>0</v>
      </c>
      <c r="AN2" s="81">
        <v>0</v>
      </c>
      <c r="AO2" s="81">
        <v>529.48</v>
      </c>
      <c r="AP2" s="81">
        <v>0</v>
      </c>
      <c r="AQ2" s="81">
        <v>0</v>
      </c>
      <c r="AR2" s="81">
        <v>529.48</v>
      </c>
      <c r="AS2" s="81">
        <v>0</v>
      </c>
      <c r="AT2" s="81">
        <v>0</v>
      </c>
      <c r="AU2" s="81">
        <v>0</v>
      </c>
      <c r="AV2" s="81">
        <v>0</v>
      </c>
      <c r="AW2" s="81">
        <v>0</v>
      </c>
      <c r="AX2" s="81">
        <v>0</v>
      </c>
      <c r="AY2" s="81">
        <v>0</v>
      </c>
      <c r="AZ2" s="81">
        <v>0</v>
      </c>
      <c r="BA2" s="81">
        <v>0</v>
      </c>
      <c r="BB2" s="81">
        <v>0</v>
      </c>
      <c r="BC2" s="81">
        <v>0</v>
      </c>
      <c r="BD2" s="81">
        <v>0</v>
      </c>
      <c r="BE2" s="81">
        <v>0</v>
      </c>
      <c r="BF2" s="81">
        <v>0</v>
      </c>
      <c r="BG2" s="81">
        <v>0</v>
      </c>
      <c r="BH2" s="81">
        <v>0</v>
      </c>
      <c r="BI2" s="81">
        <v>4145.4399999999996</v>
      </c>
      <c r="BJ2" s="81">
        <v>1502.5</v>
      </c>
      <c r="BK2" s="81">
        <v>2642.94</v>
      </c>
      <c r="BL2" s="81">
        <v>289.27</v>
      </c>
      <c r="BM2" s="81">
        <v>723.19</v>
      </c>
      <c r="BN2" s="81">
        <v>206.32</v>
      </c>
      <c r="BO2" s="81">
        <v>209.72</v>
      </c>
      <c r="BP2" s="81">
        <v>1428.5</v>
      </c>
      <c r="BQ2" s="81">
        <v>5573.94</v>
      </c>
    </row>
    <row r="3" spans="1:69" hidden="1" x14ac:dyDescent="0.25">
      <c r="A3" s="81" t="s">
        <v>86</v>
      </c>
      <c r="B3" s="132">
        <v>46082</v>
      </c>
      <c r="C3" s="81" t="s">
        <v>78</v>
      </c>
      <c r="D3" s="81" t="s">
        <v>79</v>
      </c>
      <c r="E3" s="81" t="s">
        <v>80</v>
      </c>
      <c r="F3" s="81" t="s">
        <v>87</v>
      </c>
      <c r="G3" s="81" t="s">
        <v>88</v>
      </c>
      <c r="H3" s="81" t="s">
        <v>83</v>
      </c>
      <c r="I3" s="133">
        <v>45027</v>
      </c>
      <c r="J3" s="134"/>
      <c r="K3" s="81" t="s">
        <v>89</v>
      </c>
      <c r="L3" s="81" t="s">
        <v>90</v>
      </c>
      <c r="M3" s="81">
        <v>3679.83</v>
      </c>
      <c r="N3" s="81">
        <v>1226.6099999999999</v>
      </c>
      <c r="O3" s="81">
        <v>0</v>
      </c>
      <c r="P3" s="81">
        <f t="shared" ref="P3:P66" si="0">N3+O3</f>
        <v>1226.6099999999999</v>
      </c>
      <c r="Q3" s="81">
        <v>0</v>
      </c>
      <c r="R3" s="81">
        <v>5497.23</v>
      </c>
      <c r="S3" s="81">
        <v>2748.61</v>
      </c>
      <c r="T3" s="81">
        <v>245.32</v>
      </c>
      <c r="U3" s="81">
        <v>0</v>
      </c>
      <c r="V3" s="81">
        <v>367.98</v>
      </c>
      <c r="W3" s="81">
        <v>0</v>
      </c>
      <c r="X3" s="81">
        <v>0</v>
      </c>
      <c r="Y3" s="81">
        <v>0</v>
      </c>
      <c r="Z3" s="81">
        <v>0</v>
      </c>
      <c r="AA3" s="81">
        <v>0</v>
      </c>
      <c r="AB3" s="81">
        <v>0</v>
      </c>
      <c r="AC3" s="81">
        <v>0</v>
      </c>
      <c r="AD3" s="81">
        <v>0</v>
      </c>
      <c r="AE3" s="81">
        <v>0</v>
      </c>
      <c r="AF3" s="81">
        <v>0</v>
      </c>
      <c r="AG3" s="81">
        <v>10085.75</v>
      </c>
      <c r="AH3" s="81">
        <v>0</v>
      </c>
      <c r="AI3" s="81">
        <v>0</v>
      </c>
      <c r="AJ3" s="81">
        <v>0</v>
      </c>
      <c r="AK3" s="81">
        <v>0</v>
      </c>
      <c r="AL3" s="81">
        <v>0</v>
      </c>
      <c r="AM3" s="81">
        <v>0</v>
      </c>
      <c r="AN3" s="81">
        <v>0</v>
      </c>
      <c r="AO3" s="81">
        <v>529.48</v>
      </c>
      <c r="AP3" s="81">
        <v>0</v>
      </c>
      <c r="AQ3" s="81">
        <v>0</v>
      </c>
      <c r="AR3" s="81">
        <v>529.48</v>
      </c>
      <c r="AS3" s="81">
        <v>0</v>
      </c>
      <c r="AT3" s="81">
        <v>0</v>
      </c>
      <c r="AU3" s="81">
        <v>0</v>
      </c>
      <c r="AV3" s="81">
        <v>0</v>
      </c>
      <c r="AW3" s="81">
        <v>0</v>
      </c>
      <c r="AX3" s="81">
        <v>0</v>
      </c>
      <c r="AY3" s="81">
        <v>0</v>
      </c>
      <c r="AZ3" s="81">
        <v>0</v>
      </c>
      <c r="BA3" s="81">
        <v>0</v>
      </c>
      <c r="BB3" s="81">
        <v>0</v>
      </c>
      <c r="BC3" s="81">
        <v>0</v>
      </c>
      <c r="BD3" s="81">
        <v>0</v>
      </c>
      <c r="BE3" s="81">
        <v>0</v>
      </c>
      <c r="BF3" s="81">
        <v>0</v>
      </c>
      <c r="BG3" s="81">
        <v>0</v>
      </c>
      <c r="BH3" s="81">
        <v>0</v>
      </c>
      <c r="BI3" s="81">
        <v>10615.23</v>
      </c>
      <c r="BJ3" s="81">
        <v>257.58999999999997</v>
      </c>
      <c r="BK3" s="81">
        <v>2111.8000000000002</v>
      </c>
      <c r="BL3" s="81">
        <v>586.97</v>
      </c>
      <c r="BM3" s="81">
        <v>2017.15</v>
      </c>
      <c r="BN3" s="81">
        <v>575.49</v>
      </c>
      <c r="BO3" s="81">
        <v>584.97</v>
      </c>
      <c r="BP3" s="81">
        <v>3764.58</v>
      </c>
      <c r="BQ3" s="81">
        <v>14379.81</v>
      </c>
    </row>
    <row r="4" spans="1:69" hidden="1" x14ac:dyDescent="0.25">
      <c r="A4" s="81" t="s">
        <v>91</v>
      </c>
      <c r="B4" s="132">
        <v>46082</v>
      </c>
      <c r="C4" s="81" t="s">
        <v>78</v>
      </c>
      <c r="D4" s="81" t="s">
        <v>79</v>
      </c>
      <c r="E4" s="81" t="s">
        <v>80</v>
      </c>
      <c r="F4" s="81" t="s">
        <v>87</v>
      </c>
      <c r="G4" s="81" t="s">
        <v>88</v>
      </c>
      <c r="H4" s="81" t="s">
        <v>83</v>
      </c>
      <c r="I4" s="133">
        <v>42205</v>
      </c>
      <c r="J4" s="134"/>
      <c r="K4" s="134"/>
      <c r="L4" s="81" t="s">
        <v>92</v>
      </c>
      <c r="M4" s="81">
        <v>1828</v>
      </c>
      <c r="N4" s="81">
        <v>0</v>
      </c>
      <c r="O4" s="81">
        <v>0</v>
      </c>
      <c r="P4" s="81">
        <f t="shared" si="0"/>
        <v>0</v>
      </c>
      <c r="Q4" s="81">
        <v>0</v>
      </c>
      <c r="R4" s="81">
        <v>0</v>
      </c>
      <c r="S4" s="81">
        <v>0</v>
      </c>
      <c r="T4" s="81">
        <v>0</v>
      </c>
      <c r="U4" s="81">
        <v>0</v>
      </c>
      <c r="V4" s="81">
        <v>0</v>
      </c>
      <c r="W4" s="81">
        <v>0</v>
      </c>
      <c r="X4" s="81">
        <v>0</v>
      </c>
      <c r="Y4" s="81">
        <v>0</v>
      </c>
      <c r="Z4" s="81">
        <v>0</v>
      </c>
      <c r="AA4" s="81">
        <v>0</v>
      </c>
      <c r="AB4" s="81">
        <v>0</v>
      </c>
      <c r="AC4" s="81">
        <v>0</v>
      </c>
      <c r="AD4" s="81">
        <v>0</v>
      </c>
      <c r="AE4" s="81">
        <v>0</v>
      </c>
      <c r="AF4" s="81">
        <v>0</v>
      </c>
      <c r="AG4" s="81">
        <v>0</v>
      </c>
      <c r="AH4" s="81">
        <v>0</v>
      </c>
      <c r="AI4" s="81">
        <v>0</v>
      </c>
      <c r="AJ4" s="81">
        <v>0</v>
      </c>
      <c r="AK4" s="81">
        <v>0</v>
      </c>
      <c r="AL4" s="81">
        <v>0</v>
      </c>
      <c r="AM4" s="81">
        <v>0</v>
      </c>
      <c r="AN4" s="81">
        <v>0</v>
      </c>
      <c r="AO4" s="81">
        <v>0</v>
      </c>
      <c r="AP4" s="81">
        <v>0</v>
      </c>
      <c r="AQ4" s="81">
        <v>0</v>
      </c>
      <c r="AR4" s="81">
        <v>0</v>
      </c>
      <c r="AS4" s="81">
        <v>0</v>
      </c>
      <c r="AT4" s="81">
        <v>0</v>
      </c>
      <c r="AU4" s="81">
        <v>0</v>
      </c>
      <c r="AV4" s="81">
        <v>0</v>
      </c>
      <c r="AW4" s="81">
        <v>0</v>
      </c>
      <c r="AX4" s="81">
        <v>0</v>
      </c>
      <c r="AY4" s="81">
        <v>0</v>
      </c>
      <c r="AZ4" s="81">
        <v>0</v>
      </c>
      <c r="BA4" s="81">
        <v>0</v>
      </c>
      <c r="BB4" s="81">
        <v>0</v>
      </c>
      <c r="BC4" s="81">
        <v>0</v>
      </c>
      <c r="BD4" s="81">
        <v>0</v>
      </c>
      <c r="BE4" s="81">
        <v>0</v>
      </c>
      <c r="BF4" s="81">
        <v>0</v>
      </c>
      <c r="BG4" s="81">
        <v>0</v>
      </c>
      <c r="BH4" s="81">
        <v>0</v>
      </c>
      <c r="BI4" s="81">
        <v>0</v>
      </c>
      <c r="BJ4" s="81">
        <v>0</v>
      </c>
      <c r="BK4" s="81">
        <v>0</v>
      </c>
      <c r="BL4" s="81">
        <v>0</v>
      </c>
      <c r="BM4" s="81">
        <v>0</v>
      </c>
      <c r="BN4" s="81">
        <v>0</v>
      </c>
      <c r="BO4" s="81">
        <v>0</v>
      </c>
      <c r="BP4" s="81">
        <v>0</v>
      </c>
      <c r="BQ4" s="81">
        <v>0</v>
      </c>
    </row>
    <row r="5" spans="1:69" x14ac:dyDescent="0.25">
      <c r="A5" s="81" t="s">
        <v>93</v>
      </c>
      <c r="B5" s="132">
        <v>46082</v>
      </c>
      <c r="C5" s="81" t="s">
        <v>78</v>
      </c>
      <c r="D5" s="81" t="s">
        <v>94</v>
      </c>
      <c r="E5" s="81" t="s">
        <v>95</v>
      </c>
      <c r="F5" s="81" t="s">
        <v>96</v>
      </c>
      <c r="G5" s="81" t="s">
        <v>97</v>
      </c>
      <c r="H5" s="81" t="s">
        <v>98</v>
      </c>
      <c r="I5" s="133">
        <v>41883</v>
      </c>
      <c r="J5" s="134"/>
      <c r="K5" s="134"/>
      <c r="L5" s="81" t="s">
        <v>99</v>
      </c>
      <c r="M5" s="81">
        <v>1710</v>
      </c>
      <c r="N5" s="81">
        <v>0</v>
      </c>
      <c r="O5" s="81">
        <v>0</v>
      </c>
      <c r="P5" s="81">
        <f t="shared" si="0"/>
        <v>0</v>
      </c>
      <c r="Q5" s="81">
        <v>0</v>
      </c>
      <c r="R5" s="81">
        <v>0</v>
      </c>
      <c r="S5" s="81">
        <v>0</v>
      </c>
      <c r="T5" s="81">
        <v>0</v>
      </c>
      <c r="U5" s="81">
        <v>0</v>
      </c>
      <c r="V5" s="81">
        <v>0</v>
      </c>
      <c r="W5" s="81">
        <v>0</v>
      </c>
      <c r="X5" s="81">
        <v>0</v>
      </c>
      <c r="Y5" s="81">
        <v>0</v>
      </c>
      <c r="Z5" s="81">
        <v>0</v>
      </c>
      <c r="AA5" s="81">
        <v>0</v>
      </c>
      <c r="AB5" s="81">
        <v>0</v>
      </c>
      <c r="AC5" s="81">
        <v>0</v>
      </c>
      <c r="AD5" s="81">
        <v>0</v>
      </c>
      <c r="AE5" s="81">
        <v>0</v>
      </c>
      <c r="AF5" s="81">
        <v>0</v>
      </c>
      <c r="AG5" s="81">
        <v>0</v>
      </c>
      <c r="AH5" s="81">
        <v>0</v>
      </c>
      <c r="AI5" s="81">
        <v>0</v>
      </c>
      <c r="AJ5" s="81">
        <v>0</v>
      </c>
      <c r="AK5" s="81">
        <v>0</v>
      </c>
      <c r="AL5" s="81">
        <v>0</v>
      </c>
      <c r="AM5" s="81">
        <v>0</v>
      </c>
      <c r="AN5" s="81">
        <v>0</v>
      </c>
      <c r="AO5" s="81">
        <v>0</v>
      </c>
      <c r="AP5" s="81">
        <v>0</v>
      </c>
      <c r="AQ5" s="81">
        <v>0</v>
      </c>
      <c r="AR5" s="81">
        <v>0</v>
      </c>
      <c r="AS5" s="81">
        <v>0</v>
      </c>
      <c r="AT5" s="81">
        <v>0</v>
      </c>
      <c r="AU5" s="81">
        <v>0</v>
      </c>
      <c r="AV5" s="81">
        <v>0</v>
      </c>
      <c r="AW5" s="81">
        <v>0</v>
      </c>
      <c r="AX5" s="81">
        <v>0</v>
      </c>
      <c r="AY5" s="81">
        <v>0</v>
      </c>
      <c r="AZ5" s="81">
        <v>0</v>
      </c>
      <c r="BA5" s="81">
        <v>0</v>
      </c>
      <c r="BB5" s="81">
        <v>0</v>
      </c>
      <c r="BC5" s="81">
        <v>0</v>
      </c>
      <c r="BD5" s="81">
        <v>0</v>
      </c>
      <c r="BE5" s="81">
        <v>0</v>
      </c>
      <c r="BF5" s="81">
        <v>0</v>
      </c>
      <c r="BG5" s="81">
        <v>0</v>
      </c>
      <c r="BH5" s="81">
        <v>0</v>
      </c>
      <c r="BI5" s="81">
        <v>0</v>
      </c>
      <c r="BJ5" s="81">
        <v>0</v>
      </c>
      <c r="BK5" s="81">
        <v>0</v>
      </c>
      <c r="BL5" s="81">
        <v>0</v>
      </c>
      <c r="BM5" s="81">
        <v>0</v>
      </c>
      <c r="BN5" s="81">
        <v>0</v>
      </c>
      <c r="BO5" s="81">
        <v>0</v>
      </c>
      <c r="BP5" s="81">
        <v>0</v>
      </c>
      <c r="BQ5" s="81">
        <v>0</v>
      </c>
    </row>
    <row r="6" spans="1:69" hidden="1" x14ac:dyDescent="0.25">
      <c r="A6" s="81" t="s">
        <v>100</v>
      </c>
      <c r="B6" s="132">
        <v>46082</v>
      </c>
      <c r="C6" s="81" t="s">
        <v>78</v>
      </c>
      <c r="D6" s="81" t="s">
        <v>94</v>
      </c>
      <c r="E6" s="81" t="s">
        <v>95</v>
      </c>
      <c r="F6" s="81" t="s">
        <v>87</v>
      </c>
      <c r="G6" s="81" t="s">
        <v>88</v>
      </c>
      <c r="H6" s="81" t="s">
        <v>98</v>
      </c>
      <c r="I6" s="133">
        <v>40269</v>
      </c>
      <c r="J6" s="134"/>
      <c r="K6" s="81" t="s">
        <v>101</v>
      </c>
      <c r="L6" s="81" t="s">
        <v>102</v>
      </c>
      <c r="M6" s="81">
        <v>2610</v>
      </c>
      <c r="N6" s="81">
        <v>870</v>
      </c>
      <c r="O6" s="81">
        <v>0</v>
      </c>
      <c r="P6" s="81">
        <f t="shared" si="0"/>
        <v>870</v>
      </c>
      <c r="Q6" s="81">
        <v>0</v>
      </c>
      <c r="R6" s="81">
        <v>3784.63</v>
      </c>
      <c r="S6" s="81">
        <v>1892.32</v>
      </c>
      <c r="T6" s="81">
        <v>174</v>
      </c>
      <c r="U6" s="81">
        <v>0</v>
      </c>
      <c r="V6" s="81">
        <v>0</v>
      </c>
      <c r="W6" s="81">
        <v>0</v>
      </c>
      <c r="X6" s="81">
        <v>0</v>
      </c>
      <c r="Y6" s="81">
        <v>43.5</v>
      </c>
      <c r="Z6" s="81">
        <v>0</v>
      </c>
      <c r="AA6" s="81">
        <v>88.98</v>
      </c>
      <c r="AB6" s="81">
        <v>19.77</v>
      </c>
      <c r="AC6" s="81">
        <v>0</v>
      </c>
      <c r="AD6" s="81">
        <v>0</v>
      </c>
      <c r="AE6" s="81">
        <v>0</v>
      </c>
      <c r="AF6" s="81">
        <v>0</v>
      </c>
      <c r="AG6" s="81">
        <v>6873.2</v>
      </c>
      <c r="AH6" s="81">
        <v>0</v>
      </c>
      <c r="AI6" s="81">
        <v>0</v>
      </c>
      <c r="AJ6" s="81">
        <v>0</v>
      </c>
      <c r="AK6" s="81">
        <v>0</v>
      </c>
      <c r="AL6" s="81">
        <v>0</v>
      </c>
      <c r="AM6" s="81">
        <v>0</v>
      </c>
      <c r="AN6" s="81">
        <v>0</v>
      </c>
      <c r="AO6" s="81">
        <v>579.34</v>
      </c>
      <c r="AP6" s="81">
        <v>0</v>
      </c>
      <c r="AQ6" s="81">
        <v>0</v>
      </c>
      <c r="AR6" s="81">
        <v>579.34</v>
      </c>
      <c r="AS6" s="81">
        <v>0</v>
      </c>
      <c r="AT6" s="81">
        <v>0</v>
      </c>
      <c r="AU6" s="81">
        <v>0</v>
      </c>
      <c r="AV6" s="81">
        <v>2520</v>
      </c>
      <c r="AW6" s="81">
        <v>0</v>
      </c>
      <c r="AX6" s="81">
        <v>0</v>
      </c>
      <c r="AY6" s="81">
        <v>0</v>
      </c>
      <c r="AZ6" s="81">
        <v>2175</v>
      </c>
      <c r="BA6" s="81">
        <v>0</v>
      </c>
      <c r="BB6" s="81">
        <v>0</v>
      </c>
      <c r="BC6" s="81">
        <v>0</v>
      </c>
      <c r="BD6" s="81">
        <v>0</v>
      </c>
      <c r="BE6" s="81">
        <v>0</v>
      </c>
      <c r="BF6" s="81">
        <v>0</v>
      </c>
      <c r="BG6" s="81">
        <v>0</v>
      </c>
      <c r="BH6" s="81">
        <v>0</v>
      </c>
      <c r="BI6" s="81">
        <v>12147.54</v>
      </c>
      <c r="BJ6" s="81">
        <v>3755.32</v>
      </c>
      <c r="BK6" s="81">
        <v>2715.27</v>
      </c>
      <c r="BL6" s="81">
        <v>398.47</v>
      </c>
      <c r="BM6" s="81">
        <v>1374.64</v>
      </c>
      <c r="BN6" s="81">
        <v>103.09</v>
      </c>
      <c r="BO6" s="81">
        <v>398.64</v>
      </c>
      <c r="BP6" s="81">
        <v>2274.84</v>
      </c>
      <c r="BQ6" s="81">
        <v>14422.38</v>
      </c>
    </row>
    <row r="7" spans="1:69" x14ac:dyDescent="0.25">
      <c r="A7" s="81" t="s">
        <v>103</v>
      </c>
      <c r="B7" s="132">
        <v>46082</v>
      </c>
      <c r="C7" s="81" t="s">
        <v>78</v>
      </c>
      <c r="D7" s="81" t="s">
        <v>94</v>
      </c>
      <c r="E7" s="81" t="s">
        <v>95</v>
      </c>
      <c r="F7" s="81" t="s">
        <v>96</v>
      </c>
      <c r="G7" s="81" t="s">
        <v>97</v>
      </c>
      <c r="H7" s="81" t="s">
        <v>98</v>
      </c>
      <c r="I7" s="133">
        <v>44153</v>
      </c>
      <c r="J7" s="134"/>
      <c r="K7" s="81" t="s">
        <v>104</v>
      </c>
      <c r="L7" s="81" t="s">
        <v>105</v>
      </c>
      <c r="M7" s="81">
        <v>3287.33</v>
      </c>
      <c r="N7" s="81">
        <v>3287.33</v>
      </c>
      <c r="O7" s="81">
        <v>0</v>
      </c>
      <c r="P7" s="81">
        <f t="shared" si="0"/>
        <v>3287.33</v>
      </c>
      <c r="Q7" s="81">
        <v>0</v>
      </c>
      <c r="R7" s="81">
        <v>0</v>
      </c>
      <c r="S7" s="81">
        <v>0</v>
      </c>
      <c r="T7" s="81">
        <v>657.47</v>
      </c>
      <c r="U7" s="81">
        <v>0</v>
      </c>
      <c r="V7" s="81">
        <v>0</v>
      </c>
      <c r="W7" s="81">
        <v>0</v>
      </c>
      <c r="X7" s="81">
        <v>0</v>
      </c>
      <c r="Y7" s="81">
        <v>164.37</v>
      </c>
      <c r="Z7" s="81">
        <v>0</v>
      </c>
      <c r="AA7" s="81">
        <v>834.91</v>
      </c>
      <c r="AB7" s="81">
        <v>160.56</v>
      </c>
      <c r="AC7" s="81">
        <v>0</v>
      </c>
      <c r="AD7" s="81">
        <v>0</v>
      </c>
      <c r="AE7" s="81">
        <v>0</v>
      </c>
      <c r="AF7" s="81">
        <v>0</v>
      </c>
      <c r="AG7" s="81">
        <v>5104.6400000000003</v>
      </c>
      <c r="AH7" s="81">
        <v>0</v>
      </c>
      <c r="AI7" s="81">
        <v>0</v>
      </c>
      <c r="AJ7" s="81">
        <v>906.92</v>
      </c>
      <c r="AK7" s="81">
        <v>0</v>
      </c>
      <c r="AL7" s="81">
        <v>0</v>
      </c>
      <c r="AM7" s="81">
        <v>0</v>
      </c>
      <c r="AN7" s="81">
        <v>0</v>
      </c>
      <c r="AO7" s="81">
        <v>579.34</v>
      </c>
      <c r="AP7" s="81">
        <v>0</v>
      </c>
      <c r="AQ7" s="81">
        <v>0</v>
      </c>
      <c r="AR7" s="81">
        <v>1486.26</v>
      </c>
      <c r="AS7" s="81">
        <v>0</v>
      </c>
      <c r="AT7" s="81">
        <v>0</v>
      </c>
      <c r="AU7" s="81">
        <v>0</v>
      </c>
      <c r="AV7" s="81">
        <v>1452</v>
      </c>
      <c r="AW7" s="81">
        <v>0</v>
      </c>
      <c r="AX7" s="81">
        <v>0</v>
      </c>
      <c r="AY7" s="81">
        <v>0</v>
      </c>
      <c r="AZ7" s="81">
        <v>0</v>
      </c>
      <c r="BA7" s="81">
        <v>0</v>
      </c>
      <c r="BB7" s="81">
        <v>0</v>
      </c>
      <c r="BC7" s="81">
        <v>0</v>
      </c>
      <c r="BD7" s="81">
        <v>0</v>
      </c>
      <c r="BE7" s="81">
        <v>0</v>
      </c>
      <c r="BF7" s="81">
        <v>0</v>
      </c>
      <c r="BG7" s="81">
        <v>0</v>
      </c>
      <c r="BH7" s="81">
        <v>0</v>
      </c>
      <c r="BI7" s="81">
        <v>8042.9</v>
      </c>
      <c r="BJ7" s="81">
        <v>2052.61</v>
      </c>
      <c r="BK7" s="81">
        <v>5990.29</v>
      </c>
      <c r="BL7" s="81">
        <v>408.37</v>
      </c>
      <c r="BM7" s="81">
        <v>1020.93</v>
      </c>
      <c r="BN7" s="81">
        <v>76.56</v>
      </c>
      <c r="BO7" s="81">
        <v>296.06</v>
      </c>
      <c r="BP7" s="81">
        <v>1801.92</v>
      </c>
      <c r="BQ7" s="81">
        <v>9844.82</v>
      </c>
    </row>
    <row r="8" spans="1:69" x14ac:dyDescent="0.25">
      <c r="A8" s="81" t="s">
        <v>106</v>
      </c>
      <c r="B8" s="132">
        <v>46082</v>
      </c>
      <c r="C8" s="81" t="s">
        <v>78</v>
      </c>
      <c r="D8" s="81" t="s">
        <v>94</v>
      </c>
      <c r="E8" s="81" t="s">
        <v>95</v>
      </c>
      <c r="F8" s="81" t="s">
        <v>96</v>
      </c>
      <c r="G8" s="81" t="s">
        <v>97</v>
      </c>
      <c r="H8" s="81" t="s">
        <v>107</v>
      </c>
      <c r="I8" s="133">
        <v>42217</v>
      </c>
      <c r="J8" s="134"/>
      <c r="K8" s="81" t="s">
        <v>104</v>
      </c>
      <c r="L8" s="81" t="s">
        <v>105</v>
      </c>
      <c r="M8" s="81">
        <v>3287.33</v>
      </c>
      <c r="N8" s="81">
        <v>3287.33</v>
      </c>
      <c r="O8" s="81">
        <v>0</v>
      </c>
      <c r="P8" s="81">
        <f t="shared" si="0"/>
        <v>3287.33</v>
      </c>
      <c r="Q8" s="81">
        <v>0</v>
      </c>
      <c r="R8" s="81">
        <v>0</v>
      </c>
      <c r="S8" s="81">
        <v>0</v>
      </c>
      <c r="T8" s="81">
        <v>657.47</v>
      </c>
      <c r="U8" s="81">
        <v>0</v>
      </c>
      <c r="V8" s="81">
        <v>0</v>
      </c>
      <c r="W8" s="81">
        <v>0</v>
      </c>
      <c r="X8" s="81">
        <v>0</v>
      </c>
      <c r="Y8" s="81">
        <v>164.37</v>
      </c>
      <c r="Z8" s="81">
        <v>0</v>
      </c>
      <c r="AA8" s="81">
        <v>812.5</v>
      </c>
      <c r="AB8" s="81">
        <v>156.25</v>
      </c>
      <c r="AC8" s="81">
        <v>0</v>
      </c>
      <c r="AD8" s="81">
        <v>0</v>
      </c>
      <c r="AE8" s="81">
        <v>0</v>
      </c>
      <c r="AF8" s="81">
        <v>0</v>
      </c>
      <c r="AG8" s="81">
        <v>5077.92</v>
      </c>
      <c r="AH8" s="81">
        <v>0</v>
      </c>
      <c r="AI8" s="81">
        <v>0</v>
      </c>
      <c r="AJ8" s="81">
        <v>0</v>
      </c>
      <c r="AK8" s="81">
        <v>0</v>
      </c>
      <c r="AL8" s="81">
        <v>0</v>
      </c>
      <c r="AM8" s="81">
        <v>0</v>
      </c>
      <c r="AN8" s="81">
        <v>0</v>
      </c>
      <c r="AO8" s="81">
        <v>579.34</v>
      </c>
      <c r="AP8" s="81">
        <v>0</v>
      </c>
      <c r="AQ8" s="81">
        <v>0</v>
      </c>
      <c r="AR8" s="81">
        <v>579.34</v>
      </c>
      <c r="AS8" s="81">
        <v>0</v>
      </c>
      <c r="AT8" s="81">
        <v>0</v>
      </c>
      <c r="AU8" s="81">
        <v>0</v>
      </c>
      <c r="AV8" s="81">
        <v>2205</v>
      </c>
      <c r="AW8" s="81">
        <v>0</v>
      </c>
      <c r="AX8" s="81">
        <v>0</v>
      </c>
      <c r="AY8" s="81">
        <v>0</v>
      </c>
      <c r="AZ8" s="81">
        <v>0</v>
      </c>
      <c r="BA8" s="81">
        <v>0</v>
      </c>
      <c r="BB8" s="81">
        <v>0</v>
      </c>
      <c r="BC8" s="81">
        <v>0</v>
      </c>
      <c r="BD8" s="81">
        <v>0</v>
      </c>
      <c r="BE8" s="81">
        <v>0</v>
      </c>
      <c r="BF8" s="81">
        <v>0</v>
      </c>
      <c r="BG8" s="81">
        <v>0</v>
      </c>
      <c r="BH8" s="81">
        <v>0</v>
      </c>
      <c r="BI8" s="81">
        <v>7862.26</v>
      </c>
      <c r="BJ8" s="81">
        <v>785.37</v>
      </c>
      <c r="BK8" s="81">
        <v>7076.89</v>
      </c>
      <c r="BL8" s="81">
        <v>406.23</v>
      </c>
      <c r="BM8" s="81">
        <v>1015.58</v>
      </c>
      <c r="BN8" s="81">
        <v>76.16</v>
      </c>
      <c r="BO8" s="81">
        <v>294.51</v>
      </c>
      <c r="BP8" s="81">
        <v>1792.48</v>
      </c>
      <c r="BQ8" s="81">
        <v>9654.74</v>
      </c>
    </row>
    <row r="9" spans="1:69" hidden="1" x14ac:dyDescent="0.25">
      <c r="A9" s="81" t="s">
        <v>108</v>
      </c>
      <c r="B9" s="132">
        <v>46082</v>
      </c>
      <c r="C9" s="81" t="s">
        <v>78</v>
      </c>
      <c r="D9" s="81" t="s">
        <v>94</v>
      </c>
      <c r="E9" s="81" t="s">
        <v>95</v>
      </c>
      <c r="F9" s="81" t="s">
        <v>109</v>
      </c>
      <c r="G9" s="81" t="s">
        <v>81</v>
      </c>
      <c r="H9" s="81" t="s">
        <v>110</v>
      </c>
      <c r="I9" s="133">
        <v>44274</v>
      </c>
      <c r="J9" s="134"/>
      <c r="K9" s="81" t="s">
        <v>111</v>
      </c>
      <c r="L9" s="81" t="s">
        <v>112</v>
      </c>
      <c r="M9" s="81">
        <v>2950</v>
      </c>
      <c r="N9" s="81">
        <v>2950</v>
      </c>
      <c r="O9" s="81">
        <v>0</v>
      </c>
      <c r="P9" s="81">
        <f t="shared" si="0"/>
        <v>2950</v>
      </c>
      <c r="Q9" s="81">
        <v>0</v>
      </c>
      <c r="R9" s="81">
        <v>0</v>
      </c>
      <c r="S9" s="81">
        <v>0</v>
      </c>
      <c r="T9" s="81">
        <v>0</v>
      </c>
      <c r="U9" s="81">
        <v>0</v>
      </c>
      <c r="V9" s="81">
        <v>0</v>
      </c>
      <c r="W9" s="81">
        <v>0</v>
      </c>
      <c r="X9" s="81">
        <v>0</v>
      </c>
      <c r="Y9" s="81">
        <v>147.5</v>
      </c>
      <c r="Z9" s="81">
        <v>0</v>
      </c>
      <c r="AA9" s="81">
        <v>577.61</v>
      </c>
      <c r="AB9" s="81">
        <v>111.08</v>
      </c>
      <c r="AC9" s="81">
        <v>0</v>
      </c>
      <c r="AD9" s="81">
        <v>0</v>
      </c>
      <c r="AE9" s="81">
        <v>0</v>
      </c>
      <c r="AF9" s="81">
        <v>0</v>
      </c>
      <c r="AG9" s="81">
        <v>3786.19</v>
      </c>
      <c r="AH9" s="81">
        <v>0</v>
      </c>
      <c r="AI9" s="81">
        <v>808</v>
      </c>
      <c r="AJ9" s="81">
        <v>0</v>
      </c>
      <c r="AK9" s="81">
        <v>0</v>
      </c>
      <c r="AL9" s="81">
        <v>0</v>
      </c>
      <c r="AM9" s="81">
        <v>0</v>
      </c>
      <c r="AN9" s="81">
        <v>0</v>
      </c>
      <c r="AO9" s="81">
        <v>0</v>
      </c>
      <c r="AP9" s="81">
        <v>150</v>
      </c>
      <c r="AQ9" s="81">
        <v>0</v>
      </c>
      <c r="AR9" s="81">
        <v>958</v>
      </c>
      <c r="AS9" s="81">
        <v>0</v>
      </c>
      <c r="AT9" s="81">
        <v>0</v>
      </c>
      <c r="AU9" s="81">
        <v>0</v>
      </c>
      <c r="AV9" s="81">
        <v>0</v>
      </c>
      <c r="AW9" s="81">
        <v>0</v>
      </c>
      <c r="AX9" s="81">
        <v>0</v>
      </c>
      <c r="AY9" s="81">
        <v>0</v>
      </c>
      <c r="AZ9" s="81">
        <v>0</v>
      </c>
      <c r="BA9" s="81">
        <v>0</v>
      </c>
      <c r="BB9" s="81">
        <v>0</v>
      </c>
      <c r="BC9" s="81">
        <v>0</v>
      </c>
      <c r="BD9" s="81">
        <v>0</v>
      </c>
      <c r="BE9" s="81">
        <v>0</v>
      </c>
      <c r="BF9" s="81">
        <v>0</v>
      </c>
      <c r="BG9" s="81">
        <v>0</v>
      </c>
      <c r="BH9" s="81">
        <v>0</v>
      </c>
      <c r="BI9" s="81">
        <v>4744.1899999999996</v>
      </c>
      <c r="BJ9" s="81">
        <v>2203.0500000000002</v>
      </c>
      <c r="BK9" s="81">
        <v>2541.14</v>
      </c>
      <c r="BL9" s="81">
        <v>302.14</v>
      </c>
      <c r="BM9" s="81">
        <v>757.24</v>
      </c>
      <c r="BN9" s="81">
        <v>56.79</v>
      </c>
      <c r="BO9" s="81">
        <v>219.59</v>
      </c>
      <c r="BP9" s="81">
        <v>1335.76</v>
      </c>
      <c r="BQ9" s="81">
        <v>6079.95</v>
      </c>
    </row>
    <row r="10" spans="1:69" hidden="1" x14ac:dyDescent="0.25">
      <c r="A10" s="81" t="s">
        <v>113</v>
      </c>
      <c r="B10" s="132">
        <v>46082</v>
      </c>
      <c r="C10" s="81" t="s">
        <v>78</v>
      </c>
      <c r="D10" s="81" t="s">
        <v>94</v>
      </c>
      <c r="E10" s="81" t="s">
        <v>95</v>
      </c>
      <c r="F10" s="81" t="s">
        <v>114</v>
      </c>
      <c r="G10" s="81" t="s">
        <v>81</v>
      </c>
      <c r="H10" s="81" t="s">
        <v>115</v>
      </c>
      <c r="I10" s="133">
        <v>45931</v>
      </c>
      <c r="J10" s="134"/>
      <c r="K10" s="81" t="s">
        <v>116</v>
      </c>
      <c r="L10" s="81" t="s">
        <v>117</v>
      </c>
      <c r="M10" s="81">
        <v>2500</v>
      </c>
      <c r="N10" s="81">
        <v>2416.67</v>
      </c>
      <c r="O10" s="81">
        <v>83.33</v>
      </c>
      <c r="P10" s="81">
        <f t="shared" si="0"/>
        <v>2500</v>
      </c>
      <c r="Q10" s="81">
        <v>0</v>
      </c>
      <c r="R10" s="81">
        <v>0</v>
      </c>
      <c r="S10" s="81">
        <v>0</v>
      </c>
      <c r="T10" s="81">
        <v>0</v>
      </c>
      <c r="U10" s="81">
        <v>0</v>
      </c>
      <c r="V10" s="81">
        <v>0</v>
      </c>
      <c r="W10" s="81">
        <v>0</v>
      </c>
      <c r="X10" s="81">
        <v>0</v>
      </c>
      <c r="Y10" s="81">
        <v>0</v>
      </c>
      <c r="Z10" s="81">
        <v>0</v>
      </c>
      <c r="AA10" s="81">
        <v>0</v>
      </c>
      <c r="AB10" s="81">
        <v>0</v>
      </c>
      <c r="AC10" s="81">
        <v>0</v>
      </c>
      <c r="AD10" s="81">
        <v>0</v>
      </c>
      <c r="AE10" s="81">
        <v>0</v>
      </c>
      <c r="AF10" s="81">
        <v>0</v>
      </c>
      <c r="AG10" s="81">
        <v>2500</v>
      </c>
      <c r="AH10" s="81">
        <v>0</v>
      </c>
      <c r="AI10" s="81">
        <v>0</v>
      </c>
      <c r="AJ10" s="81">
        <v>0</v>
      </c>
      <c r="AK10" s="81">
        <v>0</v>
      </c>
      <c r="AL10" s="81">
        <v>0</v>
      </c>
      <c r="AM10" s="81">
        <v>0</v>
      </c>
      <c r="AN10" s="81">
        <v>0</v>
      </c>
      <c r="AO10" s="81">
        <v>0</v>
      </c>
      <c r="AP10" s="81">
        <v>0</v>
      </c>
      <c r="AQ10" s="81">
        <v>0</v>
      </c>
      <c r="AR10" s="81">
        <v>0</v>
      </c>
      <c r="AS10" s="81">
        <v>0</v>
      </c>
      <c r="AT10" s="81">
        <v>0</v>
      </c>
      <c r="AU10" s="81">
        <v>0</v>
      </c>
      <c r="AV10" s="81">
        <v>0</v>
      </c>
      <c r="AW10" s="81">
        <v>0</v>
      </c>
      <c r="AX10" s="81">
        <v>0</v>
      </c>
      <c r="AY10" s="81">
        <v>0</v>
      </c>
      <c r="AZ10" s="81">
        <v>0</v>
      </c>
      <c r="BA10" s="81">
        <v>0</v>
      </c>
      <c r="BB10" s="81">
        <v>0</v>
      </c>
      <c r="BC10" s="81">
        <v>0</v>
      </c>
      <c r="BD10" s="81">
        <v>0</v>
      </c>
      <c r="BE10" s="81">
        <v>0</v>
      </c>
      <c r="BF10" s="81">
        <v>0</v>
      </c>
      <c r="BG10" s="81">
        <v>0</v>
      </c>
      <c r="BH10" s="81">
        <v>0</v>
      </c>
      <c r="BI10" s="81">
        <v>2500</v>
      </c>
      <c r="BJ10" s="81">
        <v>225.68</v>
      </c>
      <c r="BK10" s="81">
        <v>2274.3200000000002</v>
      </c>
      <c r="BL10" s="81">
        <v>200</v>
      </c>
      <c r="BM10" s="81">
        <v>500</v>
      </c>
      <c r="BN10" s="81">
        <v>37.5</v>
      </c>
      <c r="BO10" s="81">
        <v>145</v>
      </c>
      <c r="BP10" s="81">
        <v>882.5</v>
      </c>
      <c r="BQ10" s="81">
        <v>3382.5</v>
      </c>
    </row>
    <row r="11" spans="1:69" hidden="1" x14ac:dyDescent="0.25">
      <c r="A11" s="81" t="s">
        <v>118</v>
      </c>
      <c r="B11" s="132">
        <v>46082</v>
      </c>
      <c r="C11" s="81" t="s">
        <v>78</v>
      </c>
      <c r="D11" s="81" t="s">
        <v>94</v>
      </c>
      <c r="E11" s="81" t="s">
        <v>95</v>
      </c>
      <c r="F11" s="81" t="s">
        <v>87</v>
      </c>
      <c r="G11" s="81" t="s">
        <v>88</v>
      </c>
      <c r="H11" s="81" t="s">
        <v>98</v>
      </c>
      <c r="I11" s="133">
        <v>43790</v>
      </c>
      <c r="J11" s="134"/>
      <c r="K11" s="81" t="s">
        <v>119</v>
      </c>
      <c r="L11" s="81" t="s">
        <v>120</v>
      </c>
      <c r="M11" s="81">
        <v>3158.66</v>
      </c>
      <c r="N11" s="81">
        <v>3158.66</v>
      </c>
      <c r="O11" s="81">
        <v>0</v>
      </c>
      <c r="P11" s="81">
        <f t="shared" si="0"/>
        <v>3158.66</v>
      </c>
      <c r="Q11" s="81">
        <v>0</v>
      </c>
      <c r="R11" s="81">
        <v>0</v>
      </c>
      <c r="S11" s="81">
        <v>0</v>
      </c>
      <c r="T11" s="81">
        <v>631.73</v>
      </c>
      <c r="U11" s="81">
        <v>0</v>
      </c>
      <c r="V11" s="81">
        <v>0</v>
      </c>
      <c r="W11" s="81">
        <v>0</v>
      </c>
      <c r="X11" s="81">
        <v>0</v>
      </c>
      <c r="Y11" s="81">
        <v>157.93</v>
      </c>
      <c r="Z11" s="81">
        <v>0</v>
      </c>
      <c r="AA11" s="81">
        <v>2010.05</v>
      </c>
      <c r="AB11" s="81">
        <v>386.55</v>
      </c>
      <c r="AC11" s="81">
        <v>0</v>
      </c>
      <c r="AD11" s="81">
        <v>0</v>
      </c>
      <c r="AE11" s="81">
        <v>0</v>
      </c>
      <c r="AF11" s="81">
        <v>0</v>
      </c>
      <c r="AG11" s="81">
        <v>6344.92</v>
      </c>
      <c r="AH11" s="81">
        <v>0</v>
      </c>
      <c r="AI11" s="81">
        <v>424.21</v>
      </c>
      <c r="AJ11" s="81">
        <v>0</v>
      </c>
      <c r="AK11" s="81">
        <v>0</v>
      </c>
      <c r="AL11" s="81">
        <v>0</v>
      </c>
      <c r="AM11" s="81">
        <v>0</v>
      </c>
      <c r="AN11" s="81">
        <v>0</v>
      </c>
      <c r="AO11" s="81">
        <v>579.34</v>
      </c>
      <c r="AP11" s="81">
        <v>0</v>
      </c>
      <c r="AQ11" s="81">
        <v>0</v>
      </c>
      <c r="AR11" s="81">
        <v>1003.55</v>
      </c>
      <c r="AS11" s="81">
        <v>0</v>
      </c>
      <c r="AT11" s="81">
        <v>0</v>
      </c>
      <c r="AU11" s="81">
        <v>0</v>
      </c>
      <c r="AV11" s="81">
        <v>2016</v>
      </c>
      <c r="AW11" s="81">
        <v>0</v>
      </c>
      <c r="AX11" s="81">
        <v>0</v>
      </c>
      <c r="AY11" s="81">
        <v>0</v>
      </c>
      <c r="AZ11" s="81">
        <v>0</v>
      </c>
      <c r="BA11" s="81">
        <v>0</v>
      </c>
      <c r="BB11" s="81">
        <v>0</v>
      </c>
      <c r="BC11" s="81">
        <v>0</v>
      </c>
      <c r="BD11" s="81">
        <v>0</v>
      </c>
      <c r="BE11" s="81">
        <v>0</v>
      </c>
      <c r="BF11" s="81">
        <v>0</v>
      </c>
      <c r="BG11" s="81">
        <v>0</v>
      </c>
      <c r="BH11" s="81">
        <v>0</v>
      </c>
      <c r="BI11" s="81">
        <v>9364.4699999999993</v>
      </c>
      <c r="BJ11" s="81">
        <v>4366.59</v>
      </c>
      <c r="BK11" s="81">
        <v>4997.88</v>
      </c>
      <c r="BL11" s="81">
        <v>507.59</v>
      </c>
      <c r="BM11" s="81">
        <v>1268.98</v>
      </c>
      <c r="BN11" s="81">
        <v>95.17</v>
      </c>
      <c r="BO11" s="81">
        <v>368</v>
      </c>
      <c r="BP11" s="81">
        <v>2239.7399999999998</v>
      </c>
      <c r="BQ11" s="81">
        <v>11604.21</v>
      </c>
    </row>
    <row r="12" spans="1:69" hidden="1" x14ac:dyDescent="0.25">
      <c r="A12" s="81" t="s">
        <v>121</v>
      </c>
      <c r="B12" s="132">
        <v>46082</v>
      </c>
      <c r="C12" s="81" t="s">
        <v>78</v>
      </c>
      <c r="D12" s="81" t="s">
        <v>94</v>
      </c>
      <c r="E12" s="81" t="s">
        <v>95</v>
      </c>
      <c r="F12" s="81" t="s">
        <v>87</v>
      </c>
      <c r="G12" s="81" t="s">
        <v>88</v>
      </c>
      <c r="H12" s="81" t="s">
        <v>98</v>
      </c>
      <c r="I12" s="133">
        <v>46043</v>
      </c>
      <c r="J12" s="134"/>
      <c r="K12" s="81" t="s">
        <v>101</v>
      </c>
      <c r="L12" s="81" t="s">
        <v>102</v>
      </c>
      <c r="M12" s="81">
        <v>2610</v>
      </c>
      <c r="N12" s="81">
        <v>2610</v>
      </c>
      <c r="O12" s="81">
        <v>0</v>
      </c>
      <c r="P12" s="81">
        <f t="shared" si="0"/>
        <v>2610</v>
      </c>
      <c r="Q12" s="81">
        <v>0</v>
      </c>
      <c r="R12" s="81">
        <v>0</v>
      </c>
      <c r="S12" s="81">
        <v>0</v>
      </c>
      <c r="T12" s="81">
        <v>522</v>
      </c>
      <c r="U12" s="81">
        <v>0</v>
      </c>
      <c r="V12" s="81">
        <v>0</v>
      </c>
      <c r="W12" s="81">
        <v>0</v>
      </c>
      <c r="X12" s="81">
        <v>0</v>
      </c>
      <c r="Y12" s="81">
        <v>0</v>
      </c>
      <c r="Z12" s="81">
        <v>0</v>
      </c>
      <c r="AA12" s="81">
        <v>750.61</v>
      </c>
      <c r="AB12" s="81">
        <v>144.35</v>
      </c>
      <c r="AC12" s="81">
        <v>0</v>
      </c>
      <c r="AD12" s="81">
        <v>0</v>
      </c>
      <c r="AE12" s="81">
        <v>0</v>
      </c>
      <c r="AF12" s="81">
        <v>0</v>
      </c>
      <c r="AG12" s="81">
        <v>4026.96</v>
      </c>
      <c r="AH12" s="81">
        <v>0</v>
      </c>
      <c r="AI12" s="81">
        <v>0</v>
      </c>
      <c r="AJ12" s="81">
        <v>0</v>
      </c>
      <c r="AK12" s="81">
        <v>0</v>
      </c>
      <c r="AL12" s="81">
        <v>0</v>
      </c>
      <c r="AM12" s="81">
        <v>0</v>
      </c>
      <c r="AN12" s="81">
        <v>0</v>
      </c>
      <c r="AO12" s="81">
        <v>579.34</v>
      </c>
      <c r="AP12" s="81">
        <v>0</v>
      </c>
      <c r="AQ12" s="81">
        <v>0</v>
      </c>
      <c r="AR12" s="81">
        <v>579.34</v>
      </c>
      <c r="AS12" s="81">
        <v>0</v>
      </c>
      <c r="AT12" s="81">
        <v>0</v>
      </c>
      <c r="AU12" s="81">
        <v>0</v>
      </c>
      <c r="AV12" s="81">
        <v>0</v>
      </c>
      <c r="AW12" s="81">
        <v>0</v>
      </c>
      <c r="AX12" s="81">
        <v>0</v>
      </c>
      <c r="AY12" s="81">
        <v>0</v>
      </c>
      <c r="AZ12" s="81">
        <v>0</v>
      </c>
      <c r="BA12" s="81">
        <v>0</v>
      </c>
      <c r="BB12" s="81">
        <v>0</v>
      </c>
      <c r="BC12" s="81">
        <v>0</v>
      </c>
      <c r="BD12" s="81">
        <v>0</v>
      </c>
      <c r="BE12" s="81">
        <v>0</v>
      </c>
      <c r="BF12" s="81">
        <v>0</v>
      </c>
      <c r="BG12" s="81">
        <v>0</v>
      </c>
      <c r="BH12" s="81">
        <v>0</v>
      </c>
      <c r="BI12" s="81">
        <v>4606.3</v>
      </c>
      <c r="BJ12" s="81">
        <v>1451.06</v>
      </c>
      <c r="BK12" s="81">
        <v>3155.24</v>
      </c>
      <c r="BL12" s="81">
        <v>322.14999999999998</v>
      </c>
      <c r="BM12" s="81">
        <v>805.39</v>
      </c>
      <c r="BN12" s="81">
        <v>60.4</v>
      </c>
      <c r="BO12" s="81">
        <v>233.56</v>
      </c>
      <c r="BP12" s="81">
        <v>1421.5</v>
      </c>
      <c r="BQ12" s="81">
        <v>6027.8</v>
      </c>
    </row>
    <row r="13" spans="1:69" hidden="1" x14ac:dyDescent="0.25">
      <c r="A13" s="81" t="s">
        <v>122</v>
      </c>
      <c r="B13" s="132">
        <v>46082</v>
      </c>
      <c r="C13" s="81" t="s">
        <v>123</v>
      </c>
      <c r="D13" s="81" t="s">
        <v>94</v>
      </c>
      <c r="E13" s="81" t="s">
        <v>95</v>
      </c>
      <c r="F13" s="81" t="s">
        <v>114</v>
      </c>
      <c r="G13" s="81" t="s">
        <v>81</v>
      </c>
      <c r="H13" s="81" t="s">
        <v>115</v>
      </c>
      <c r="I13" s="133">
        <v>46083</v>
      </c>
      <c r="J13" s="134"/>
      <c r="K13" s="81" t="s">
        <v>124</v>
      </c>
      <c r="L13" s="81" t="s">
        <v>125</v>
      </c>
      <c r="M13" s="81">
        <v>1000</v>
      </c>
      <c r="N13" s="81">
        <v>0</v>
      </c>
      <c r="O13" s="81">
        <v>0</v>
      </c>
      <c r="P13" s="81">
        <f t="shared" si="0"/>
        <v>0</v>
      </c>
      <c r="Q13" s="81">
        <v>0</v>
      </c>
      <c r="R13" s="81">
        <v>0</v>
      </c>
      <c r="S13" s="81">
        <v>0</v>
      </c>
      <c r="T13" s="81">
        <v>0</v>
      </c>
      <c r="U13" s="81">
        <v>0</v>
      </c>
      <c r="V13" s="81">
        <v>0</v>
      </c>
      <c r="W13" s="81">
        <v>0</v>
      </c>
      <c r="X13" s="81">
        <v>0</v>
      </c>
      <c r="Y13" s="81">
        <v>0</v>
      </c>
      <c r="Z13" s="81">
        <v>0</v>
      </c>
      <c r="AA13" s="81">
        <v>0</v>
      </c>
      <c r="AB13" s="81">
        <v>0</v>
      </c>
      <c r="AC13" s="81">
        <v>0</v>
      </c>
      <c r="AD13" s="81">
        <v>0</v>
      </c>
      <c r="AE13" s="81">
        <v>0</v>
      </c>
      <c r="AF13" s="81">
        <v>0</v>
      </c>
      <c r="AG13" s="81">
        <v>0</v>
      </c>
      <c r="AH13" s="81">
        <v>0</v>
      </c>
      <c r="AI13" s="81">
        <v>0</v>
      </c>
      <c r="AJ13" s="81">
        <v>0</v>
      </c>
      <c r="AK13" s="81">
        <v>0</v>
      </c>
      <c r="AL13" s="81">
        <v>0</v>
      </c>
      <c r="AM13" s="81">
        <v>0</v>
      </c>
      <c r="AN13" s="81">
        <v>0</v>
      </c>
      <c r="AO13" s="81">
        <v>0</v>
      </c>
      <c r="AP13" s="81">
        <v>0</v>
      </c>
      <c r="AQ13" s="81">
        <v>0</v>
      </c>
      <c r="AR13" s="81">
        <v>0</v>
      </c>
      <c r="AS13" s="81">
        <v>1500</v>
      </c>
      <c r="AT13" s="81">
        <v>0</v>
      </c>
      <c r="AU13" s="81">
        <v>0</v>
      </c>
      <c r="AV13" s="81">
        <v>0</v>
      </c>
      <c r="AW13" s="81">
        <v>0</v>
      </c>
      <c r="AX13" s="81">
        <v>0</v>
      </c>
      <c r="AY13" s="81">
        <v>0</v>
      </c>
      <c r="AZ13" s="81">
        <v>0</v>
      </c>
      <c r="BA13" s="81">
        <v>0</v>
      </c>
      <c r="BB13" s="81">
        <v>0</v>
      </c>
      <c r="BC13" s="81">
        <v>0</v>
      </c>
      <c r="BD13" s="81">
        <v>0</v>
      </c>
      <c r="BE13" s="81">
        <v>0</v>
      </c>
      <c r="BF13" s="81">
        <v>0</v>
      </c>
      <c r="BG13" s="81">
        <v>0</v>
      </c>
      <c r="BH13" s="81">
        <v>0</v>
      </c>
      <c r="BI13" s="81">
        <v>1500</v>
      </c>
      <c r="BJ13" s="81">
        <v>250</v>
      </c>
      <c r="BK13" s="81">
        <v>1250</v>
      </c>
      <c r="BL13" s="81">
        <v>0</v>
      </c>
      <c r="BM13" s="81">
        <v>0</v>
      </c>
      <c r="BN13" s="81">
        <v>0</v>
      </c>
      <c r="BO13" s="81">
        <v>0</v>
      </c>
      <c r="BP13" s="81">
        <v>0</v>
      </c>
      <c r="BQ13" s="81">
        <v>1500</v>
      </c>
    </row>
    <row r="14" spans="1:69" hidden="1" x14ac:dyDescent="0.25">
      <c r="A14" s="81" t="s">
        <v>126</v>
      </c>
      <c r="B14" s="132">
        <v>46082</v>
      </c>
      <c r="C14" s="81" t="s">
        <v>123</v>
      </c>
      <c r="D14" s="81" t="s">
        <v>94</v>
      </c>
      <c r="E14" s="81" t="s">
        <v>95</v>
      </c>
      <c r="F14" s="81" t="s">
        <v>114</v>
      </c>
      <c r="G14" s="81" t="s">
        <v>81</v>
      </c>
      <c r="H14" s="81" t="s">
        <v>115</v>
      </c>
      <c r="I14" s="133">
        <v>46083</v>
      </c>
      <c r="J14" s="134"/>
      <c r="K14" s="81" t="s">
        <v>124</v>
      </c>
      <c r="L14" s="81" t="s">
        <v>127</v>
      </c>
      <c r="M14" s="81">
        <v>1000</v>
      </c>
      <c r="N14" s="81">
        <v>0</v>
      </c>
      <c r="O14" s="81">
        <v>0</v>
      </c>
      <c r="P14" s="81">
        <f t="shared" si="0"/>
        <v>0</v>
      </c>
      <c r="Q14" s="81">
        <v>0</v>
      </c>
      <c r="R14" s="81">
        <v>0</v>
      </c>
      <c r="S14" s="81">
        <v>0</v>
      </c>
      <c r="T14" s="81">
        <v>0</v>
      </c>
      <c r="U14" s="81">
        <v>0</v>
      </c>
      <c r="V14" s="81">
        <v>0</v>
      </c>
      <c r="W14" s="81">
        <v>0</v>
      </c>
      <c r="X14" s="81">
        <v>0</v>
      </c>
      <c r="Y14" s="81">
        <v>0</v>
      </c>
      <c r="Z14" s="81">
        <v>0</v>
      </c>
      <c r="AA14" s="81">
        <v>0</v>
      </c>
      <c r="AB14" s="81">
        <v>0</v>
      </c>
      <c r="AC14" s="81">
        <v>0</v>
      </c>
      <c r="AD14" s="81">
        <v>0</v>
      </c>
      <c r="AE14" s="81">
        <v>0</v>
      </c>
      <c r="AF14" s="81">
        <v>0</v>
      </c>
      <c r="AG14" s="81">
        <v>0</v>
      </c>
      <c r="AH14" s="81">
        <v>0</v>
      </c>
      <c r="AI14" s="81">
        <v>0</v>
      </c>
      <c r="AJ14" s="81">
        <v>0</v>
      </c>
      <c r="AK14" s="81">
        <v>0</v>
      </c>
      <c r="AL14" s="81">
        <v>0</v>
      </c>
      <c r="AM14" s="81">
        <v>0</v>
      </c>
      <c r="AN14" s="81">
        <v>0</v>
      </c>
      <c r="AO14" s="81">
        <v>0</v>
      </c>
      <c r="AP14" s="81">
        <v>0</v>
      </c>
      <c r="AQ14" s="81">
        <v>0</v>
      </c>
      <c r="AR14" s="81">
        <v>0</v>
      </c>
      <c r="AS14" s="81">
        <v>1500</v>
      </c>
      <c r="AT14" s="81">
        <v>0</v>
      </c>
      <c r="AU14" s="81">
        <v>0</v>
      </c>
      <c r="AV14" s="81">
        <v>0</v>
      </c>
      <c r="AW14" s="81">
        <v>0</v>
      </c>
      <c r="AX14" s="81">
        <v>0</v>
      </c>
      <c r="AY14" s="81">
        <v>0</v>
      </c>
      <c r="AZ14" s="81">
        <v>0</v>
      </c>
      <c r="BA14" s="81">
        <v>0</v>
      </c>
      <c r="BB14" s="81">
        <v>0</v>
      </c>
      <c r="BC14" s="81">
        <v>0</v>
      </c>
      <c r="BD14" s="81">
        <v>0</v>
      </c>
      <c r="BE14" s="81">
        <v>0</v>
      </c>
      <c r="BF14" s="81">
        <v>0</v>
      </c>
      <c r="BG14" s="81">
        <v>0</v>
      </c>
      <c r="BH14" s="81">
        <v>0</v>
      </c>
      <c r="BI14" s="81">
        <v>1500</v>
      </c>
      <c r="BJ14" s="81">
        <v>250</v>
      </c>
      <c r="BK14" s="81">
        <v>1250</v>
      </c>
      <c r="BL14" s="81">
        <v>0</v>
      </c>
      <c r="BM14" s="81">
        <v>0</v>
      </c>
      <c r="BN14" s="81">
        <v>0</v>
      </c>
      <c r="BO14" s="81">
        <v>0</v>
      </c>
      <c r="BP14" s="81">
        <v>0</v>
      </c>
      <c r="BQ14" s="81">
        <v>1500</v>
      </c>
    </row>
    <row r="15" spans="1:69" hidden="1" x14ac:dyDescent="0.25">
      <c r="A15" s="81" t="s">
        <v>128</v>
      </c>
      <c r="B15" s="132">
        <v>46082</v>
      </c>
      <c r="C15" s="81" t="s">
        <v>78</v>
      </c>
      <c r="D15" s="81" t="s">
        <v>129</v>
      </c>
      <c r="E15" s="81" t="s">
        <v>130</v>
      </c>
      <c r="F15" s="81" t="s">
        <v>87</v>
      </c>
      <c r="G15" s="81" t="s">
        <v>88</v>
      </c>
      <c r="H15" s="81" t="s">
        <v>131</v>
      </c>
      <c r="I15" s="133">
        <v>41276</v>
      </c>
      <c r="J15" s="134"/>
      <c r="K15" s="81" t="s">
        <v>132</v>
      </c>
      <c r="L15" s="81" t="s">
        <v>120</v>
      </c>
      <c r="M15" s="81">
        <v>3354.5</v>
      </c>
      <c r="N15" s="81">
        <v>3354.5</v>
      </c>
      <c r="O15" s="81">
        <v>0</v>
      </c>
      <c r="P15" s="81">
        <f t="shared" si="0"/>
        <v>3354.5</v>
      </c>
      <c r="Q15" s="81">
        <v>0</v>
      </c>
      <c r="R15" s="81">
        <v>0</v>
      </c>
      <c r="S15" s="81">
        <v>0</v>
      </c>
      <c r="T15" s="81">
        <v>670.9</v>
      </c>
      <c r="U15" s="81">
        <v>0</v>
      </c>
      <c r="V15" s="81">
        <v>0</v>
      </c>
      <c r="W15" s="81">
        <v>0</v>
      </c>
      <c r="X15" s="81">
        <v>0</v>
      </c>
      <c r="Y15" s="81">
        <v>0</v>
      </c>
      <c r="Z15" s="81">
        <v>0</v>
      </c>
      <c r="AA15" s="81">
        <v>1849.24</v>
      </c>
      <c r="AB15" s="81">
        <v>355.62</v>
      </c>
      <c r="AC15" s="81">
        <v>0</v>
      </c>
      <c r="AD15" s="81">
        <v>0</v>
      </c>
      <c r="AE15" s="81">
        <v>0</v>
      </c>
      <c r="AF15" s="81">
        <v>0</v>
      </c>
      <c r="AG15" s="81">
        <v>6230.26</v>
      </c>
      <c r="AH15" s="81">
        <v>0</v>
      </c>
      <c r="AI15" s="81">
        <v>807.76</v>
      </c>
      <c r="AJ15" s="81">
        <v>0</v>
      </c>
      <c r="AK15" s="81">
        <v>0</v>
      </c>
      <c r="AL15" s="81">
        <v>0</v>
      </c>
      <c r="AM15" s="81">
        <v>0</v>
      </c>
      <c r="AN15" s="81">
        <v>0</v>
      </c>
      <c r="AO15" s="81">
        <v>252.45</v>
      </c>
      <c r="AP15" s="81">
        <v>0</v>
      </c>
      <c r="AQ15" s="81">
        <v>0</v>
      </c>
      <c r="AR15" s="81">
        <v>1060.21</v>
      </c>
      <c r="AS15" s="81">
        <v>0</v>
      </c>
      <c r="AT15" s="81">
        <v>0</v>
      </c>
      <c r="AU15" s="81">
        <v>0</v>
      </c>
      <c r="AV15" s="81">
        <v>0</v>
      </c>
      <c r="AW15" s="81">
        <v>0</v>
      </c>
      <c r="AX15" s="81">
        <v>0</v>
      </c>
      <c r="AY15" s="81">
        <v>0</v>
      </c>
      <c r="AZ15" s="81">
        <v>0</v>
      </c>
      <c r="BA15" s="81">
        <v>0</v>
      </c>
      <c r="BB15" s="81">
        <v>0</v>
      </c>
      <c r="BC15" s="81">
        <v>0</v>
      </c>
      <c r="BD15" s="81">
        <v>0</v>
      </c>
      <c r="BE15" s="81">
        <v>0</v>
      </c>
      <c r="BF15" s="81">
        <v>0</v>
      </c>
      <c r="BG15" s="81">
        <v>0</v>
      </c>
      <c r="BH15" s="81">
        <v>0</v>
      </c>
      <c r="BI15" s="81">
        <v>7290.47</v>
      </c>
      <c r="BJ15" s="81">
        <v>2318.8000000000002</v>
      </c>
      <c r="BK15" s="81">
        <v>4971.67</v>
      </c>
      <c r="BL15" s="81">
        <v>498.42</v>
      </c>
      <c r="BM15" s="81">
        <v>1246.05</v>
      </c>
      <c r="BN15" s="81">
        <v>186.9</v>
      </c>
      <c r="BO15" s="81">
        <v>361.35</v>
      </c>
      <c r="BP15" s="81">
        <v>2292.7199999999998</v>
      </c>
      <c r="BQ15" s="81">
        <v>9583.19</v>
      </c>
    </row>
    <row r="16" spans="1:69" x14ac:dyDescent="0.25">
      <c r="A16" s="81" t="s">
        <v>133</v>
      </c>
      <c r="B16" s="132">
        <v>46082</v>
      </c>
      <c r="C16" s="81" t="s">
        <v>78</v>
      </c>
      <c r="D16" s="81" t="s">
        <v>129</v>
      </c>
      <c r="E16" s="81" t="s">
        <v>130</v>
      </c>
      <c r="F16" s="81" t="s">
        <v>96</v>
      </c>
      <c r="G16" s="81" t="s">
        <v>97</v>
      </c>
      <c r="H16" s="81" t="s">
        <v>131</v>
      </c>
      <c r="I16" s="133">
        <v>45664</v>
      </c>
      <c r="J16" s="133">
        <v>46111</v>
      </c>
      <c r="K16" s="81" t="s">
        <v>134</v>
      </c>
      <c r="L16" s="81" t="s">
        <v>135</v>
      </c>
      <c r="M16" s="81">
        <v>3345</v>
      </c>
      <c r="N16" s="81">
        <v>0</v>
      </c>
      <c r="O16" s="81">
        <v>0</v>
      </c>
      <c r="P16" s="81">
        <f t="shared" si="0"/>
        <v>0</v>
      </c>
      <c r="Q16" s="81">
        <v>0</v>
      </c>
      <c r="R16" s="81">
        <v>0</v>
      </c>
      <c r="S16" s="81">
        <v>0</v>
      </c>
      <c r="T16" s="81">
        <v>669</v>
      </c>
      <c r="U16" s="81">
        <v>0</v>
      </c>
      <c r="V16" s="81">
        <v>0</v>
      </c>
      <c r="W16" s="81">
        <v>0</v>
      </c>
      <c r="X16" s="81">
        <v>0</v>
      </c>
      <c r="Y16" s="81">
        <v>0</v>
      </c>
      <c r="Z16" s="81">
        <v>0</v>
      </c>
      <c r="AA16" s="81">
        <v>1996.66</v>
      </c>
      <c r="AB16" s="81">
        <v>399.33</v>
      </c>
      <c r="AC16" s="81">
        <v>0</v>
      </c>
      <c r="AD16" s="81">
        <v>0</v>
      </c>
      <c r="AE16" s="81">
        <v>0</v>
      </c>
      <c r="AF16" s="81">
        <v>0</v>
      </c>
      <c r="AG16" s="81">
        <v>3064.99</v>
      </c>
      <c r="AH16" s="81">
        <v>0</v>
      </c>
      <c r="AI16" s="81">
        <v>0</v>
      </c>
      <c r="AJ16" s="81">
        <v>914.98</v>
      </c>
      <c r="AK16" s="81">
        <v>0</v>
      </c>
      <c r="AL16" s="81">
        <v>0</v>
      </c>
      <c r="AM16" s="81">
        <v>0</v>
      </c>
      <c r="AN16" s="81">
        <v>0</v>
      </c>
      <c r="AO16" s="81">
        <v>252.45</v>
      </c>
      <c r="AP16" s="81">
        <v>0</v>
      </c>
      <c r="AQ16" s="81">
        <v>0</v>
      </c>
      <c r="AR16" s="81">
        <v>1167.43</v>
      </c>
      <c r="AS16" s="81">
        <v>0</v>
      </c>
      <c r="AT16" s="81">
        <v>500</v>
      </c>
      <c r="AU16" s="81">
        <v>0</v>
      </c>
      <c r="AV16" s="81">
        <v>555.64</v>
      </c>
      <c r="AW16" s="81">
        <v>0</v>
      </c>
      <c r="AX16" s="81">
        <v>0</v>
      </c>
      <c r="AY16" s="81">
        <v>0</v>
      </c>
      <c r="AZ16" s="81">
        <v>0</v>
      </c>
      <c r="BA16" s="81">
        <v>0</v>
      </c>
      <c r="BB16" s="81">
        <v>0</v>
      </c>
      <c r="BC16" s="81">
        <v>0</v>
      </c>
      <c r="BD16" s="81">
        <v>0</v>
      </c>
      <c r="BE16" s="81">
        <v>0</v>
      </c>
      <c r="BF16" s="81">
        <v>20851.68</v>
      </c>
      <c r="BG16" s="81">
        <v>1107.57</v>
      </c>
      <c r="BH16" s="81">
        <v>21959.25</v>
      </c>
      <c r="BI16" s="81">
        <v>5288.06</v>
      </c>
      <c r="BJ16" s="81">
        <v>22723.58</v>
      </c>
      <c r="BK16" s="81">
        <v>0</v>
      </c>
      <c r="BL16" s="81">
        <v>0</v>
      </c>
      <c r="BM16" s="81">
        <v>613</v>
      </c>
      <c r="BN16" s="81">
        <v>91.94</v>
      </c>
      <c r="BO16" s="81">
        <v>177.76</v>
      </c>
      <c r="BP16" s="81">
        <v>882.7</v>
      </c>
      <c r="BQ16" s="81">
        <v>6170.76</v>
      </c>
    </row>
    <row r="17" spans="1:69" x14ac:dyDescent="0.25">
      <c r="A17" s="81" t="s">
        <v>136</v>
      </c>
      <c r="B17" s="132">
        <v>46082</v>
      </c>
      <c r="C17" s="81" t="s">
        <v>78</v>
      </c>
      <c r="D17" s="81" t="s">
        <v>129</v>
      </c>
      <c r="E17" s="81" t="s">
        <v>130</v>
      </c>
      <c r="F17" s="81" t="s">
        <v>96</v>
      </c>
      <c r="G17" s="81" t="s">
        <v>97</v>
      </c>
      <c r="H17" s="81" t="s">
        <v>131</v>
      </c>
      <c r="I17" s="133">
        <v>45117</v>
      </c>
      <c r="J17" s="134"/>
      <c r="K17" s="81" t="s">
        <v>134</v>
      </c>
      <c r="L17" s="81" t="s">
        <v>135</v>
      </c>
      <c r="M17" s="81">
        <v>3345</v>
      </c>
      <c r="N17" s="81">
        <v>3345</v>
      </c>
      <c r="O17" s="81">
        <v>0</v>
      </c>
      <c r="P17" s="81">
        <f t="shared" si="0"/>
        <v>3345</v>
      </c>
      <c r="Q17" s="81">
        <v>0</v>
      </c>
      <c r="R17" s="81">
        <v>0</v>
      </c>
      <c r="S17" s="81">
        <v>0</v>
      </c>
      <c r="T17" s="81">
        <v>669</v>
      </c>
      <c r="U17" s="81">
        <v>0</v>
      </c>
      <c r="V17" s="81">
        <v>0</v>
      </c>
      <c r="W17" s="81">
        <v>0</v>
      </c>
      <c r="X17" s="81">
        <v>0</v>
      </c>
      <c r="Y17" s="81">
        <v>0</v>
      </c>
      <c r="Z17" s="81">
        <v>2.97</v>
      </c>
      <c r="AA17" s="81">
        <v>1235.55</v>
      </c>
      <c r="AB17" s="81">
        <v>237.61</v>
      </c>
      <c r="AC17" s="81">
        <v>0</v>
      </c>
      <c r="AD17" s="81">
        <v>0</v>
      </c>
      <c r="AE17" s="81">
        <v>0</v>
      </c>
      <c r="AF17" s="81">
        <v>0</v>
      </c>
      <c r="AG17" s="81">
        <v>5490.13</v>
      </c>
      <c r="AH17" s="81">
        <v>0</v>
      </c>
      <c r="AI17" s="81">
        <v>0</v>
      </c>
      <c r="AJ17" s="81">
        <v>686.3</v>
      </c>
      <c r="AK17" s="81">
        <v>0</v>
      </c>
      <c r="AL17" s="81">
        <v>0</v>
      </c>
      <c r="AM17" s="81">
        <v>0</v>
      </c>
      <c r="AN17" s="81">
        <v>0</v>
      </c>
      <c r="AO17" s="81">
        <v>252.45</v>
      </c>
      <c r="AP17" s="81">
        <v>0</v>
      </c>
      <c r="AQ17" s="81">
        <v>0</v>
      </c>
      <c r="AR17" s="81">
        <v>938.75</v>
      </c>
      <c r="AS17" s="81">
        <v>0</v>
      </c>
      <c r="AT17" s="81">
        <v>0</v>
      </c>
      <c r="AU17" s="81">
        <v>0</v>
      </c>
      <c r="AV17" s="81">
        <v>776.61</v>
      </c>
      <c r="AW17" s="81">
        <v>0</v>
      </c>
      <c r="AX17" s="81">
        <v>0</v>
      </c>
      <c r="AY17" s="81">
        <v>0</v>
      </c>
      <c r="AZ17" s="81">
        <v>0</v>
      </c>
      <c r="BA17" s="81">
        <v>0</v>
      </c>
      <c r="BB17" s="81">
        <v>0</v>
      </c>
      <c r="BC17" s="81">
        <v>0</v>
      </c>
      <c r="BD17" s="81">
        <v>0</v>
      </c>
      <c r="BE17" s="81">
        <v>0</v>
      </c>
      <c r="BF17" s="81">
        <v>0</v>
      </c>
      <c r="BG17" s="81">
        <v>0</v>
      </c>
      <c r="BH17" s="81">
        <v>0</v>
      </c>
      <c r="BI17" s="81">
        <v>7205.49</v>
      </c>
      <c r="BJ17" s="81">
        <v>1941.57</v>
      </c>
      <c r="BK17" s="81">
        <v>5263.92</v>
      </c>
      <c r="BL17" s="81">
        <v>439.21</v>
      </c>
      <c r="BM17" s="81">
        <v>1098.03</v>
      </c>
      <c r="BN17" s="81">
        <v>164.7</v>
      </c>
      <c r="BO17" s="81">
        <v>318.42</v>
      </c>
      <c r="BP17" s="81">
        <v>2020.36</v>
      </c>
      <c r="BQ17" s="81">
        <v>9225.85</v>
      </c>
    </row>
    <row r="18" spans="1:69" x14ac:dyDescent="0.25">
      <c r="A18" s="81" t="s">
        <v>137</v>
      </c>
      <c r="B18" s="132">
        <v>46082</v>
      </c>
      <c r="C18" s="81" t="s">
        <v>78</v>
      </c>
      <c r="D18" s="81" t="s">
        <v>129</v>
      </c>
      <c r="E18" s="81" t="s">
        <v>130</v>
      </c>
      <c r="F18" s="81" t="s">
        <v>96</v>
      </c>
      <c r="G18" s="81" t="s">
        <v>97</v>
      </c>
      <c r="H18" s="81" t="s">
        <v>131</v>
      </c>
      <c r="I18" s="133">
        <v>46027</v>
      </c>
      <c r="J18" s="134"/>
      <c r="K18" s="81" t="s">
        <v>134</v>
      </c>
      <c r="L18" s="81" t="s">
        <v>135</v>
      </c>
      <c r="M18" s="81">
        <v>3345</v>
      </c>
      <c r="N18" s="81">
        <v>3345</v>
      </c>
      <c r="O18" s="81">
        <v>0</v>
      </c>
      <c r="P18" s="81">
        <f t="shared" si="0"/>
        <v>3345</v>
      </c>
      <c r="Q18" s="81">
        <v>0</v>
      </c>
      <c r="R18" s="81">
        <v>0</v>
      </c>
      <c r="S18" s="81">
        <v>0</v>
      </c>
      <c r="T18" s="81">
        <v>669</v>
      </c>
      <c r="U18" s="81">
        <v>0</v>
      </c>
      <c r="V18" s="81">
        <v>0</v>
      </c>
      <c r="W18" s="81">
        <v>0</v>
      </c>
      <c r="X18" s="81">
        <v>0</v>
      </c>
      <c r="Y18" s="81">
        <v>0</v>
      </c>
      <c r="Z18" s="81">
        <v>0</v>
      </c>
      <c r="AA18" s="81">
        <v>1316.71</v>
      </c>
      <c r="AB18" s="81">
        <v>253.21</v>
      </c>
      <c r="AC18" s="81">
        <v>0</v>
      </c>
      <c r="AD18" s="81">
        <v>0</v>
      </c>
      <c r="AE18" s="81">
        <v>0</v>
      </c>
      <c r="AF18" s="81">
        <v>0</v>
      </c>
      <c r="AG18" s="81">
        <v>5583.92</v>
      </c>
      <c r="AH18" s="81">
        <v>0</v>
      </c>
      <c r="AI18" s="81">
        <v>0</v>
      </c>
      <c r="AJ18" s="81">
        <v>486.37</v>
      </c>
      <c r="AK18" s="81">
        <v>0</v>
      </c>
      <c r="AL18" s="81">
        <v>0</v>
      </c>
      <c r="AM18" s="81">
        <v>0</v>
      </c>
      <c r="AN18" s="81">
        <v>0</v>
      </c>
      <c r="AO18" s="81">
        <v>252.45</v>
      </c>
      <c r="AP18" s="81">
        <v>0</v>
      </c>
      <c r="AQ18" s="81">
        <v>0</v>
      </c>
      <c r="AR18" s="81">
        <v>738.82</v>
      </c>
      <c r="AS18" s="81">
        <v>0</v>
      </c>
      <c r="AT18" s="81">
        <v>0</v>
      </c>
      <c r="AU18" s="81">
        <v>0</v>
      </c>
      <c r="AV18" s="81">
        <v>181.5</v>
      </c>
      <c r="AW18" s="81">
        <v>0</v>
      </c>
      <c r="AX18" s="81">
        <v>0</v>
      </c>
      <c r="AY18" s="81">
        <v>0</v>
      </c>
      <c r="AZ18" s="81">
        <v>0</v>
      </c>
      <c r="BA18" s="81">
        <v>0</v>
      </c>
      <c r="BB18" s="81">
        <v>0</v>
      </c>
      <c r="BC18" s="81">
        <v>0</v>
      </c>
      <c r="BD18" s="81">
        <v>0</v>
      </c>
      <c r="BE18" s="81">
        <v>0</v>
      </c>
      <c r="BF18" s="81">
        <v>0</v>
      </c>
      <c r="BG18" s="81">
        <v>0</v>
      </c>
      <c r="BH18" s="81">
        <v>0</v>
      </c>
      <c r="BI18" s="81">
        <v>6504.24</v>
      </c>
      <c r="BJ18" s="81">
        <v>1954.7</v>
      </c>
      <c r="BK18" s="81">
        <v>4549.54</v>
      </c>
      <c r="BL18" s="81">
        <v>446.71</v>
      </c>
      <c r="BM18" s="81">
        <v>1116.78</v>
      </c>
      <c r="BN18" s="81">
        <v>167.51</v>
      </c>
      <c r="BO18" s="81">
        <v>323.86</v>
      </c>
      <c r="BP18" s="81">
        <v>2054.86</v>
      </c>
      <c r="BQ18" s="81">
        <v>8559.1</v>
      </c>
    </row>
    <row r="19" spans="1:69" hidden="1" x14ac:dyDescent="0.25">
      <c r="A19" s="81" t="s">
        <v>138</v>
      </c>
      <c r="B19" s="132">
        <v>46082</v>
      </c>
      <c r="C19" s="81" t="s">
        <v>78</v>
      </c>
      <c r="D19" s="81" t="s">
        <v>129</v>
      </c>
      <c r="E19" s="81" t="s">
        <v>130</v>
      </c>
      <c r="F19" s="81" t="s">
        <v>87</v>
      </c>
      <c r="G19" s="81" t="s">
        <v>88</v>
      </c>
      <c r="H19" s="81" t="s">
        <v>131</v>
      </c>
      <c r="I19" s="133">
        <v>45790</v>
      </c>
      <c r="J19" s="134"/>
      <c r="K19" s="81" t="s">
        <v>132</v>
      </c>
      <c r="L19" s="81" t="s">
        <v>102</v>
      </c>
      <c r="M19" s="81">
        <v>2610</v>
      </c>
      <c r="N19" s="81">
        <v>2610</v>
      </c>
      <c r="O19" s="81">
        <v>0</v>
      </c>
      <c r="P19" s="81">
        <f t="shared" si="0"/>
        <v>2610</v>
      </c>
      <c r="Q19" s="81">
        <v>0</v>
      </c>
      <c r="R19" s="81">
        <v>0</v>
      </c>
      <c r="S19" s="81">
        <v>0</v>
      </c>
      <c r="T19" s="81">
        <v>522</v>
      </c>
      <c r="U19" s="81">
        <v>0</v>
      </c>
      <c r="V19" s="81">
        <v>0</v>
      </c>
      <c r="W19" s="81">
        <v>0</v>
      </c>
      <c r="X19" s="81">
        <v>0</v>
      </c>
      <c r="Y19" s="81">
        <v>0</v>
      </c>
      <c r="Z19" s="81">
        <v>0</v>
      </c>
      <c r="AA19" s="81">
        <v>116.67</v>
      </c>
      <c r="AB19" s="81">
        <v>22.44</v>
      </c>
      <c r="AC19" s="81">
        <v>0</v>
      </c>
      <c r="AD19" s="81">
        <v>0</v>
      </c>
      <c r="AE19" s="81">
        <v>0</v>
      </c>
      <c r="AF19" s="81">
        <v>0</v>
      </c>
      <c r="AG19" s="81">
        <v>3271.11</v>
      </c>
      <c r="AH19" s="81">
        <v>0</v>
      </c>
      <c r="AI19" s="81">
        <v>0</v>
      </c>
      <c r="AJ19" s="81">
        <v>0</v>
      </c>
      <c r="AK19" s="81">
        <v>0</v>
      </c>
      <c r="AL19" s="81">
        <v>0</v>
      </c>
      <c r="AM19" s="81">
        <v>0</v>
      </c>
      <c r="AN19" s="81">
        <v>0</v>
      </c>
      <c r="AO19" s="81">
        <v>456.6</v>
      </c>
      <c r="AP19" s="81">
        <v>0</v>
      </c>
      <c r="AQ19" s="81">
        <v>0</v>
      </c>
      <c r="AR19" s="81">
        <v>456.6</v>
      </c>
      <c r="AS19" s="81">
        <v>0</v>
      </c>
      <c r="AT19" s="81">
        <v>0</v>
      </c>
      <c r="AU19" s="81">
        <v>0</v>
      </c>
      <c r="AV19" s="81">
        <v>0</v>
      </c>
      <c r="AW19" s="81">
        <v>0</v>
      </c>
      <c r="AX19" s="81">
        <v>0</v>
      </c>
      <c r="AY19" s="81">
        <v>0</v>
      </c>
      <c r="AZ19" s="81">
        <v>0</v>
      </c>
      <c r="BA19" s="81">
        <v>0</v>
      </c>
      <c r="BB19" s="81">
        <v>0</v>
      </c>
      <c r="BC19" s="81">
        <v>0</v>
      </c>
      <c r="BD19" s="81">
        <v>0</v>
      </c>
      <c r="BE19" s="81">
        <v>0</v>
      </c>
      <c r="BF19" s="81">
        <v>0</v>
      </c>
      <c r="BG19" s="81">
        <v>0</v>
      </c>
      <c r="BH19" s="81">
        <v>0</v>
      </c>
      <c r="BI19" s="81">
        <v>3727.71</v>
      </c>
      <c r="BJ19" s="81">
        <v>2031.99</v>
      </c>
      <c r="BK19" s="81">
        <v>1695.72</v>
      </c>
      <c r="BL19" s="81">
        <v>261.68</v>
      </c>
      <c r="BM19" s="81">
        <v>654.22</v>
      </c>
      <c r="BN19" s="81">
        <v>98.13</v>
      </c>
      <c r="BO19" s="81">
        <v>189.72</v>
      </c>
      <c r="BP19" s="81">
        <v>1203.75</v>
      </c>
      <c r="BQ19" s="81">
        <v>4931.46</v>
      </c>
    </row>
    <row r="20" spans="1:69" x14ac:dyDescent="0.25">
      <c r="A20" s="81" t="s">
        <v>139</v>
      </c>
      <c r="B20" s="132">
        <v>46082</v>
      </c>
      <c r="C20" s="81" t="s">
        <v>78</v>
      </c>
      <c r="D20" s="81" t="s">
        <v>140</v>
      </c>
      <c r="E20" s="81" t="s">
        <v>141</v>
      </c>
      <c r="F20" s="81" t="s">
        <v>96</v>
      </c>
      <c r="G20" s="81" t="s">
        <v>97</v>
      </c>
      <c r="H20" s="81" t="s">
        <v>142</v>
      </c>
      <c r="I20" s="133">
        <v>43521</v>
      </c>
      <c r="J20" s="134"/>
      <c r="K20" s="81" t="s">
        <v>143</v>
      </c>
      <c r="L20" s="81" t="s">
        <v>135</v>
      </c>
      <c r="M20" s="81">
        <v>2690.66</v>
      </c>
      <c r="N20" s="81">
        <v>2690.66</v>
      </c>
      <c r="O20" s="81">
        <v>0</v>
      </c>
      <c r="P20" s="81">
        <f t="shared" si="0"/>
        <v>2690.66</v>
      </c>
      <c r="Q20" s="81">
        <v>0</v>
      </c>
      <c r="R20" s="81">
        <v>0</v>
      </c>
      <c r="S20" s="81">
        <v>0</v>
      </c>
      <c r="T20" s="81">
        <v>538.13</v>
      </c>
      <c r="U20" s="81">
        <v>0</v>
      </c>
      <c r="V20" s="81">
        <v>0</v>
      </c>
      <c r="W20" s="81">
        <v>0</v>
      </c>
      <c r="X20" s="81">
        <v>0</v>
      </c>
      <c r="Y20" s="81">
        <v>0</v>
      </c>
      <c r="Z20" s="81">
        <v>0</v>
      </c>
      <c r="AA20" s="81">
        <v>731.61</v>
      </c>
      <c r="AB20" s="81">
        <v>140.69</v>
      </c>
      <c r="AC20" s="81">
        <v>0</v>
      </c>
      <c r="AD20" s="81">
        <v>0</v>
      </c>
      <c r="AE20" s="81">
        <v>0</v>
      </c>
      <c r="AF20" s="81">
        <v>0</v>
      </c>
      <c r="AG20" s="81">
        <v>4101.09</v>
      </c>
      <c r="AH20" s="81">
        <v>0</v>
      </c>
      <c r="AI20" s="81">
        <v>0</v>
      </c>
      <c r="AJ20" s="81">
        <v>445.29</v>
      </c>
      <c r="AK20" s="81">
        <v>0</v>
      </c>
      <c r="AL20" s="81">
        <v>0</v>
      </c>
      <c r="AM20" s="81">
        <v>0</v>
      </c>
      <c r="AN20" s="81">
        <v>0</v>
      </c>
      <c r="AO20" s="81">
        <v>600</v>
      </c>
      <c r="AP20" s="81">
        <v>0</v>
      </c>
      <c r="AQ20" s="81">
        <v>0</v>
      </c>
      <c r="AR20" s="81">
        <v>1045.29</v>
      </c>
      <c r="AS20" s="81">
        <v>0</v>
      </c>
      <c r="AT20" s="81">
        <v>0</v>
      </c>
      <c r="AU20" s="81">
        <v>0</v>
      </c>
      <c r="AV20" s="81">
        <v>1401</v>
      </c>
      <c r="AW20" s="81">
        <v>0</v>
      </c>
      <c r="AX20" s="81">
        <v>0</v>
      </c>
      <c r="AY20" s="81">
        <v>0</v>
      </c>
      <c r="AZ20" s="81">
        <v>0</v>
      </c>
      <c r="BA20" s="81">
        <v>0</v>
      </c>
      <c r="BB20" s="81">
        <v>0</v>
      </c>
      <c r="BC20" s="81">
        <v>0</v>
      </c>
      <c r="BD20" s="81">
        <v>0</v>
      </c>
      <c r="BE20" s="81">
        <v>0</v>
      </c>
      <c r="BF20" s="81">
        <v>0</v>
      </c>
      <c r="BG20" s="81">
        <v>0</v>
      </c>
      <c r="BH20" s="81">
        <v>0</v>
      </c>
      <c r="BI20" s="81">
        <v>6547.38</v>
      </c>
      <c r="BJ20" s="81">
        <v>635.16</v>
      </c>
      <c r="BK20" s="81">
        <v>5912.22</v>
      </c>
      <c r="BL20" s="81">
        <v>328.08</v>
      </c>
      <c r="BM20" s="81">
        <v>820.22</v>
      </c>
      <c r="BN20" s="81">
        <v>123.03</v>
      </c>
      <c r="BO20" s="81">
        <v>237.86</v>
      </c>
      <c r="BP20" s="81">
        <v>1509.19</v>
      </c>
      <c r="BQ20" s="81">
        <v>8056.57</v>
      </c>
    </row>
    <row r="21" spans="1:69" x14ac:dyDescent="0.25">
      <c r="A21" s="81" t="s">
        <v>144</v>
      </c>
      <c r="B21" s="132">
        <v>46082</v>
      </c>
      <c r="C21" s="81" t="s">
        <v>78</v>
      </c>
      <c r="D21" s="81" t="s">
        <v>140</v>
      </c>
      <c r="E21" s="81" t="s">
        <v>141</v>
      </c>
      <c r="F21" s="81" t="s">
        <v>96</v>
      </c>
      <c r="G21" s="81" t="s">
        <v>97</v>
      </c>
      <c r="H21" s="81" t="s">
        <v>142</v>
      </c>
      <c r="I21" s="133">
        <v>45103</v>
      </c>
      <c r="J21" s="134"/>
      <c r="K21" s="81" t="s">
        <v>143</v>
      </c>
      <c r="L21" s="81" t="s">
        <v>135</v>
      </c>
      <c r="M21" s="81">
        <v>2690.66</v>
      </c>
      <c r="N21" s="81">
        <v>2690.66</v>
      </c>
      <c r="O21" s="81">
        <v>0</v>
      </c>
      <c r="P21" s="81">
        <f t="shared" si="0"/>
        <v>2690.66</v>
      </c>
      <c r="Q21" s="81">
        <v>0</v>
      </c>
      <c r="R21" s="81">
        <v>0</v>
      </c>
      <c r="S21" s="81">
        <v>0</v>
      </c>
      <c r="T21" s="81">
        <v>538.13</v>
      </c>
      <c r="U21" s="81">
        <v>0</v>
      </c>
      <c r="V21" s="81">
        <v>0</v>
      </c>
      <c r="W21" s="81">
        <v>0</v>
      </c>
      <c r="X21" s="81">
        <v>0</v>
      </c>
      <c r="Y21" s="81">
        <v>0</v>
      </c>
      <c r="Z21" s="81">
        <v>0</v>
      </c>
      <c r="AA21" s="81">
        <v>953.96</v>
      </c>
      <c r="AB21" s="81">
        <v>183.45</v>
      </c>
      <c r="AC21" s="81">
        <v>0</v>
      </c>
      <c r="AD21" s="81">
        <v>0</v>
      </c>
      <c r="AE21" s="81">
        <v>0</v>
      </c>
      <c r="AF21" s="81">
        <v>0</v>
      </c>
      <c r="AG21" s="81">
        <v>4366.2</v>
      </c>
      <c r="AH21" s="81">
        <v>0</v>
      </c>
      <c r="AI21" s="81">
        <v>0</v>
      </c>
      <c r="AJ21" s="81">
        <v>366.4</v>
      </c>
      <c r="AK21" s="81">
        <v>0</v>
      </c>
      <c r="AL21" s="81">
        <v>0</v>
      </c>
      <c r="AM21" s="81">
        <v>0</v>
      </c>
      <c r="AN21" s="81">
        <v>0</v>
      </c>
      <c r="AO21" s="81">
        <v>600</v>
      </c>
      <c r="AP21" s="81">
        <v>0</v>
      </c>
      <c r="AQ21" s="81">
        <v>0</v>
      </c>
      <c r="AR21" s="81">
        <v>966.4</v>
      </c>
      <c r="AS21" s="81">
        <v>0</v>
      </c>
      <c r="AT21" s="81">
        <v>0</v>
      </c>
      <c r="AU21" s="81">
        <v>0</v>
      </c>
      <c r="AV21" s="81">
        <v>705</v>
      </c>
      <c r="AW21" s="81">
        <v>0</v>
      </c>
      <c r="AX21" s="81">
        <v>0</v>
      </c>
      <c r="AY21" s="81">
        <v>0</v>
      </c>
      <c r="AZ21" s="81">
        <v>0</v>
      </c>
      <c r="BA21" s="81">
        <v>0</v>
      </c>
      <c r="BB21" s="81">
        <v>0</v>
      </c>
      <c r="BC21" s="81">
        <v>0</v>
      </c>
      <c r="BD21" s="81">
        <v>0</v>
      </c>
      <c r="BE21" s="81">
        <v>0</v>
      </c>
      <c r="BF21" s="81">
        <v>0</v>
      </c>
      <c r="BG21" s="81">
        <v>0</v>
      </c>
      <c r="BH21" s="81">
        <v>0</v>
      </c>
      <c r="BI21" s="81">
        <v>6037.6</v>
      </c>
      <c r="BJ21" s="81">
        <v>697.63</v>
      </c>
      <c r="BK21" s="81">
        <v>5339.97</v>
      </c>
      <c r="BL21" s="81">
        <v>349.29</v>
      </c>
      <c r="BM21" s="81">
        <v>873.24</v>
      </c>
      <c r="BN21" s="81">
        <v>130.97999999999999</v>
      </c>
      <c r="BO21" s="81">
        <v>253.23</v>
      </c>
      <c r="BP21" s="81">
        <v>1606.74</v>
      </c>
      <c r="BQ21" s="81">
        <v>7644.34</v>
      </c>
    </row>
    <row r="22" spans="1:69" x14ac:dyDescent="0.25">
      <c r="A22" s="81" t="s">
        <v>145</v>
      </c>
      <c r="B22" s="132">
        <v>46082</v>
      </c>
      <c r="C22" s="81" t="s">
        <v>78</v>
      </c>
      <c r="D22" s="81" t="s">
        <v>140</v>
      </c>
      <c r="E22" s="81" t="s">
        <v>141</v>
      </c>
      <c r="F22" s="81" t="s">
        <v>96</v>
      </c>
      <c r="G22" s="81" t="s">
        <v>97</v>
      </c>
      <c r="H22" s="81" t="s">
        <v>142</v>
      </c>
      <c r="I22" s="133">
        <v>45440</v>
      </c>
      <c r="J22" s="133">
        <v>46087</v>
      </c>
      <c r="K22" s="81" t="s">
        <v>143</v>
      </c>
      <c r="L22" s="81" t="s">
        <v>135</v>
      </c>
      <c r="M22" s="81">
        <v>2690.66</v>
      </c>
      <c r="N22" s="81">
        <v>0</v>
      </c>
      <c r="O22" s="81">
        <v>0</v>
      </c>
      <c r="P22" s="81">
        <f t="shared" si="0"/>
        <v>0</v>
      </c>
      <c r="Q22" s="81">
        <v>0</v>
      </c>
      <c r="R22" s="81">
        <v>0</v>
      </c>
      <c r="S22" s="81">
        <v>0</v>
      </c>
      <c r="T22" s="81">
        <v>107.63</v>
      </c>
      <c r="U22" s="81">
        <v>0</v>
      </c>
      <c r="V22" s="81">
        <v>0</v>
      </c>
      <c r="W22" s="81">
        <v>0</v>
      </c>
      <c r="X22" s="81">
        <v>0</v>
      </c>
      <c r="Y22" s="81">
        <v>0</v>
      </c>
      <c r="Z22" s="81">
        <v>0</v>
      </c>
      <c r="AA22" s="81">
        <v>244.36</v>
      </c>
      <c r="AB22" s="81">
        <v>48.87</v>
      </c>
      <c r="AC22" s="81">
        <v>0</v>
      </c>
      <c r="AD22" s="81">
        <v>0</v>
      </c>
      <c r="AE22" s="81">
        <v>0</v>
      </c>
      <c r="AF22" s="81">
        <v>0</v>
      </c>
      <c r="AG22" s="81">
        <v>400.86</v>
      </c>
      <c r="AH22" s="81">
        <v>0</v>
      </c>
      <c r="AI22" s="81">
        <v>0</v>
      </c>
      <c r="AJ22" s="81">
        <v>44.69</v>
      </c>
      <c r="AK22" s="81">
        <v>0</v>
      </c>
      <c r="AL22" s="81">
        <v>0</v>
      </c>
      <c r="AM22" s="81">
        <v>0</v>
      </c>
      <c r="AN22" s="81">
        <v>0</v>
      </c>
      <c r="AO22" s="81">
        <v>120</v>
      </c>
      <c r="AP22" s="81">
        <v>0</v>
      </c>
      <c r="AQ22" s="81">
        <v>0</v>
      </c>
      <c r="AR22" s="81">
        <v>164.69</v>
      </c>
      <c r="AS22" s="81">
        <v>0</v>
      </c>
      <c r="AT22" s="81">
        <v>500</v>
      </c>
      <c r="AU22" s="81">
        <v>0</v>
      </c>
      <c r="AV22" s="81">
        <v>0</v>
      </c>
      <c r="AW22" s="81">
        <v>0</v>
      </c>
      <c r="AX22" s="81">
        <v>13.51</v>
      </c>
      <c r="AY22" s="81">
        <v>0</v>
      </c>
      <c r="AZ22" s="81">
        <v>0</v>
      </c>
      <c r="BA22" s="81">
        <v>0</v>
      </c>
      <c r="BB22" s="81">
        <v>0</v>
      </c>
      <c r="BC22" s="81">
        <v>0</v>
      </c>
      <c r="BD22" s="81">
        <v>0</v>
      </c>
      <c r="BE22" s="81">
        <v>0</v>
      </c>
      <c r="BF22" s="81">
        <v>10378.530000000001</v>
      </c>
      <c r="BG22" s="81">
        <v>343.25</v>
      </c>
      <c r="BH22" s="81">
        <v>10721.78</v>
      </c>
      <c r="BI22" s="81">
        <v>1079.06</v>
      </c>
      <c r="BJ22" s="81">
        <v>14575.27</v>
      </c>
      <c r="BK22" s="81">
        <v>0</v>
      </c>
      <c r="BL22" s="81">
        <v>0</v>
      </c>
      <c r="BM22" s="81">
        <v>80.17</v>
      </c>
      <c r="BN22" s="81">
        <v>12.02</v>
      </c>
      <c r="BO22" s="81">
        <v>23.24</v>
      </c>
      <c r="BP22" s="81">
        <v>115.43</v>
      </c>
      <c r="BQ22" s="81">
        <v>1194.49</v>
      </c>
    </row>
    <row r="23" spans="1:69" hidden="1" x14ac:dyDescent="0.25">
      <c r="A23" s="81" t="s">
        <v>146</v>
      </c>
      <c r="B23" s="132">
        <v>46082</v>
      </c>
      <c r="C23" s="81" t="s">
        <v>78</v>
      </c>
      <c r="D23" s="81" t="s">
        <v>140</v>
      </c>
      <c r="E23" s="81" t="s">
        <v>141</v>
      </c>
      <c r="F23" s="81" t="s">
        <v>87</v>
      </c>
      <c r="G23" s="81" t="s">
        <v>88</v>
      </c>
      <c r="H23" s="81" t="s">
        <v>142</v>
      </c>
      <c r="I23" s="133">
        <v>44964</v>
      </c>
      <c r="J23" s="134"/>
      <c r="K23" s="81" t="s">
        <v>147</v>
      </c>
      <c r="L23" s="81" t="s">
        <v>102</v>
      </c>
      <c r="M23" s="81">
        <v>2610</v>
      </c>
      <c r="N23" s="81">
        <v>2610</v>
      </c>
      <c r="O23" s="81">
        <v>0</v>
      </c>
      <c r="P23" s="81">
        <f t="shared" si="0"/>
        <v>2610</v>
      </c>
      <c r="Q23" s="81">
        <v>0</v>
      </c>
      <c r="R23" s="81">
        <v>0</v>
      </c>
      <c r="S23" s="81">
        <v>0</v>
      </c>
      <c r="T23" s="81">
        <v>515.66999999999996</v>
      </c>
      <c r="U23" s="81">
        <v>0</v>
      </c>
      <c r="V23" s="81">
        <v>0</v>
      </c>
      <c r="W23" s="81">
        <v>0</v>
      </c>
      <c r="X23" s="81">
        <v>0</v>
      </c>
      <c r="Y23" s="81">
        <v>0</v>
      </c>
      <c r="Z23" s="81">
        <v>0</v>
      </c>
      <c r="AA23" s="81">
        <v>1484.67</v>
      </c>
      <c r="AB23" s="81">
        <v>285.51</v>
      </c>
      <c r="AC23" s="81">
        <v>0</v>
      </c>
      <c r="AD23" s="81">
        <v>0</v>
      </c>
      <c r="AE23" s="81">
        <v>0</v>
      </c>
      <c r="AF23" s="81">
        <v>0</v>
      </c>
      <c r="AG23" s="81">
        <v>4895.8500000000004</v>
      </c>
      <c r="AH23" s="81">
        <v>0</v>
      </c>
      <c r="AI23" s="81">
        <v>0</v>
      </c>
      <c r="AJ23" s="81">
        <v>0</v>
      </c>
      <c r="AK23" s="81">
        <v>0</v>
      </c>
      <c r="AL23" s="81">
        <v>0</v>
      </c>
      <c r="AM23" s="81">
        <v>0</v>
      </c>
      <c r="AN23" s="81">
        <v>0</v>
      </c>
      <c r="AO23" s="81">
        <v>196.71</v>
      </c>
      <c r="AP23" s="81">
        <v>0</v>
      </c>
      <c r="AQ23" s="81">
        <v>0</v>
      </c>
      <c r="AR23" s="81">
        <v>196.71</v>
      </c>
      <c r="AS23" s="81">
        <v>0</v>
      </c>
      <c r="AT23" s="81">
        <v>0</v>
      </c>
      <c r="AU23" s="81">
        <v>0</v>
      </c>
      <c r="AV23" s="81">
        <v>0</v>
      </c>
      <c r="AW23" s="81">
        <v>0</v>
      </c>
      <c r="AX23" s="81">
        <v>0</v>
      </c>
      <c r="AY23" s="81">
        <v>0</v>
      </c>
      <c r="AZ23" s="81">
        <v>0</v>
      </c>
      <c r="BA23" s="81">
        <v>0</v>
      </c>
      <c r="BB23" s="81">
        <v>0</v>
      </c>
      <c r="BC23" s="81">
        <v>0</v>
      </c>
      <c r="BD23" s="81">
        <v>0</v>
      </c>
      <c r="BE23" s="81">
        <v>0</v>
      </c>
      <c r="BF23" s="81">
        <v>0</v>
      </c>
      <c r="BG23" s="81">
        <v>0</v>
      </c>
      <c r="BH23" s="81">
        <v>0</v>
      </c>
      <c r="BI23" s="81">
        <v>5092.5600000000004</v>
      </c>
      <c r="BJ23" s="81">
        <v>1655.41</v>
      </c>
      <c r="BK23" s="81">
        <v>3437.15</v>
      </c>
      <c r="BL23" s="81">
        <v>389.13</v>
      </c>
      <c r="BM23" s="81">
        <v>979.17</v>
      </c>
      <c r="BN23" s="81">
        <v>146.87</v>
      </c>
      <c r="BO23" s="81">
        <v>283.95</v>
      </c>
      <c r="BP23" s="81">
        <v>1799.12</v>
      </c>
      <c r="BQ23" s="81">
        <v>6891.68</v>
      </c>
    </row>
    <row r="24" spans="1:69" x14ac:dyDescent="0.25">
      <c r="A24" s="81" t="s">
        <v>148</v>
      </c>
      <c r="B24" s="132">
        <v>46082</v>
      </c>
      <c r="C24" s="81" t="s">
        <v>78</v>
      </c>
      <c r="D24" s="81" t="s">
        <v>149</v>
      </c>
      <c r="E24" s="81" t="s">
        <v>150</v>
      </c>
      <c r="F24" s="81" t="s">
        <v>87</v>
      </c>
      <c r="G24" s="81" t="s">
        <v>151</v>
      </c>
      <c r="H24" s="81" t="s">
        <v>115</v>
      </c>
      <c r="I24" s="133">
        <v>44617</v>
      </c>
      <c r="J24" s="134"/>
      <c r="K24" s="81" t="s">
        <v>152</v>
      </c>
      <c r="L24" s="81" t="s">
        <v>105</v>
      </c>
      <c r="M24" s="81">
        <v>3287.33</v>
      </c>
      <c r="N24" s="81">
        <v>3287.33</v>
      </c>
      <c r="O24" s="81">
        <v>0</v>
      </c>
      <c r="P24" s="81">
        <f t="shared" si="0"/>
        <v>3287.33</v>
      </c>
      <c r="Q24" s="81">
        <v>0</v>
      </c>
      <c r="R24" s="81">
        <v>0</v>
      </c>
      <c r="S24" s="81">
        <v>0</v>
      </c>
      <c r="T24" s="81">
        <v>657.47</v>
      </c>
      <c r="U24" s="81">
        <v>0</v>
      </c>
      <c r="V24" s="81">
        <v>0</v>
      </c>
      <c r="W24" s="81">
        <v>0</v>
      </c>
      <c r="X24" s="81">
        <v>0</v>
      </c>
      <c r="Y24" s="81">
        <v>0</v>
      </c>
      <c r="Z24" s="81">
        <v>106.82</v>
      </c>
      <c r="AA24" s="81">
        <v>245.65</v>
      </c>
      <c r="AB24" s="81">
        <v>47.24</v>
      </c>
      <c r="AC24" s="81">
        <v>0</v>
      </c>
      <c r="AD24" s="81">
        <v>0</v>
      </c>
      <c r="AE24" s="81">
        <v>0</v>
      </c>
      <c r="AF24" s="81">
        <v>0</v>
      </c>
      <c r="AG24" s="81">
        <v>4344.51</v>
      </c>
      <c r="AH24" s="81">
        <v>0</v>
      </c>
      <c r="AI24" s="81">
        <v>0</v>
      </c>
      <c r="AJ24" s="81">
        <v>0</v>
      </c>
      <c r="AK24" s="81">
        <v>692.64</v>
      </c>
      <c r="AL24" s="81">
        <v>0</v>
      </c>
      <c r="AM24" s="81">
        <v>0</v>
      </c>
      <c r="AN24" s="81">
        <v>0</v>
      </c>
      <c r="AO24" s="81">
        <v>0</v>
      </c>
      <c r="AP24" s="81">
        <v>0</v>
      </c>
      <c r="AQ24" s="81">
        <v>0</v>
      </c>
      <c r="AR24" s="81">
        <v>692.64</v>
      </c>
      <c r="AS24" s="81">
        <v>0</v>
      </c>
      <c r="AT24" s="81">
        <v>0</v>
      </c>
      <c r="AU24" s="81">
        <v>0</v>
      </c>
      <c r="AV24" s="81">
        <v>2730</v>
      </c>
      <c r="AW24" s="81">
        <v>0</v>
      </c>
      <c r="AX24" s="81">
        <v>0</v>
      </c>
      <c r="AY24" s="81">
        <v>0</v>
      </c>
      <c r="AZ24" s="81">
        <v>0</v>
      </c>
      <c r="BA24" s="81">
        <v>0</v>
      </c>
      <c r="BB24" s="81">
        <v>2000</v>
      </c>
      <c r="BC24" s="81">
        <v>0</v>
      </c>
      <c r="BD24" s="81">
        <v>0</v>
      </c>
      <c r="BE24" s="81">
        <v>0</v>
      </c>
      <c r="BF24" s="81">
        <v>0</v>
      </c>
      <c r="BG24" s="81">
        <v>0</v>
      </c>
      <c r="BH24" s="81">
        <v>0</v>
      </c>
      <c r="BI24" s="81">
        <v>9767.15</v>
      </c>
      <c r="BJ24" s="81">
        <v>3824.43</v>
      </c>
      <c r="BK24" s="81">
        <v>5942.72</v>
      </c>
      <c r="BL24" s="81">
        <v>347.56</v>
      </c>
      <c r="BM24" s="81">
        <v>868.9</v>
      </c>
      <c r="BN24" s="81">
        <v>65.16</v>
      </c>
      <c r="BO24" s="81">
        <v>251.98</v>
      </c>
      <c r="BP24" s="81">
        <v>1533.6</v>
      </c>
      <c r="BQ24" s="81">
        <v>11300.75</v>
      </c>
    </row>
    <row r="25" spans="1:69" hidden="1" x14ac:dyDescent="0.25">
      <c r="A25" s="81" t="s">
        <v>153</v>
      </c>
      <c r="B25" s="132">
        <v>46082</v>
      </c>
      <c r="C25" s="81" t="s">
        <v>78</v>
      </c>
      <c r="D25" s="81" t="s">
        <v>149</v>
      </c>
      <c r="E25" s="81" t="s">
        <v>150</v>
      </c>
      <c r="F25" s="81" t="s">
        <v>87</v>
      </c>
      <c r="G25" s="81" t="s">
        <v>154</v>
      </c>
      <c r="H25" s="81" t="s">
        <v>115</v>
      </c>
      <c r="I25" s="133">
        <v>45026</v>
      </c>
      <c r="J25" s="134"/>
      <c r="K25" s="81" t="s">
        <v>155</v>
      </c>
      <c r="L25" s="81" t="s">
        <v>156</v>
      </c>
      <c r="M25" s="81">
        <v>2816.11</v>
      </c>
      <c r="N25" s="81">
        <v>2816.11</v>
      </c>
      <c r="O25" s="81">
        <v>0</v>
      </c>
      <c r="P25" s="81">
        <f t="shared" si="0"/>
        <v>2816.11</v>
      </c>
      <c r="Q25" s="81">
        <v>0</v>
      </c>
      <c r="R25" s="81">
        <v>0</v>
      </c>
      <c r="S25" s="81">
        <v>0</v>
      </c>
      <c r="T25" s="81">
        <v>563.22</v>
      </c>
      <c r="U25" s="81">
        <v>0</v>
      </c>
      <c r="V25" s="81">
        <v>0</v>
      </c>
      <c r="W25" s="81">
        <v>0</v>
      </c>
      <c r="X25" s="81">
        <v>0</v>
      </c>
      <c r="Y25" s="81">
        <v>0</v>
      </c>
      <c r="Z25" s="81">
        <v>20.45</v>
      </c>
      <c r="AA25" s="81">
        <v>391.69</v>
      </c>
      <c r="AB25" s="81">
        <v>75.33</v>
      </c>
      <c r="AC25" s="81">
        <v>0</v>
      </c>
      <c r="AD25" s="81">
        <v>0</v>
      </c>
      <c r="AE25" s="81">
        <v>0</v>
      </c>
      <c r="AF25" s="81">
        <v>0</v>
      </c>
      <c r="AG25" s="81">
        <v>3866.8</v>
      </c>
      <c r="AH25" s="81">
        <v>0</v>
      </c>
      <c r="AI25" s="81">
        <v>0</v>
      </c>
      <c r="AJ25" s="81">
        <v>0</v>
      </c>
      <c r="AK25" s="81">
        <v>0</v>
      </c>
      <c r="AL25" s="81">
        <v>0</v>
      </c>
      <c r="AM25" s="81">
        <v>0</v>
      </c>
      <c r="AN25" s="81">
        <v>975</v>
      </c>
      <c r="AO25" s="81">
        <v>0</v>
      </c>
      <c r="AP25" s="81">
        <v>0</v>
      </c>
      <c r="AQ25" s="81">
        <v>0</v>
      </c>
      <c r="AR25" s="81">
        <v>975</v>
      </c>
      <c r="AS25" s="81">
        <v>0</v>
      </c>
      <c r="AT25" s="81">
        <v>0</v>
      </c>
      <c r="AU25" s="81">
        <v>0</v>
      </c>
      <c r="AV25" s="81">
        <v>0</v>
      </c>
      <c r="AW25" s="81">
        <v>0</v>
      </c>
      <c r="AX25" s="81">
        <v>0</v>
      </c>
      <c r="AY25" s="81">
        <v>0</v>
      </c>
      <c r="AZ25" s="81">
        <v>0</v>
      </c>
      <c r="BA25" s="81">
        <v>0</v>
      </c>
      <c r="BB25" s="81">
        <v>0</v>
      </c>
      <c r="BC25" s="81">
        <v>0</v>
      </c>
      <c r="BD25" s="81">
        <v>0</v>
      </c>
      <c r="BE25" s="81">
        <v>0</v>
      </c>
      <c r="BF25" s="81">
        <v>0</v>
      </c>
      <c r="BG25" s="81">
        <v>0</v>
      </c>
      <c r="BH25" s="81">
        <v>0</v>
      </c>
      <c r="BI25" s="81">
        <v>4841.8</v>
      </c>
      <c r="BJ25" s="81">
        <v>1479.6</v>
      </c>
      <c r="BK25" s="81">
        <v>3362.2</v>
      </c>
      <c r="BL25" s="81">
        <v>309.33999999999997</v>
      </c>
      <c r="BM25" s="81">
        <v>773.36</v>
      </c>
      <c r="BN25" s="81">
        <v>58</v>
      </c>
      <c r="BO25" s="81">
        <v>224.27</v>
      </c>
      <c r="BP25" s="81">
        <v>1364.97</v>
      </c>
      <c r="BQ25" s="81">
        <v>6206.77</v>
      </c>
    </row>
    <row r="26" spans="1:69" hidden="1" x14ac:dyDescent="0.25">
      <c r="A26" s="81" t="s">
        <v>157</v>
      </c>
      <c r="B26" s="132">
        <v>46082</v>
      </c>
      <c r="C26" s="81" t="s">
        <v>78</v>
      </c>
      <c r="D26" s="81" t="s">
        <v>149</v>
      </c>
      <c r="E26" s="81" t="s">
        <v>150</v>
      </c>
      <c r="F26" s="81" t="s">
        <v>87</v>
      </c>
      <c r="G26" s="81" t="s">
        <v>88</v>
      </c>
      <c r="H26" s="81" t="s">
        <v>131</v>
      </c>
      <c r="I26" s="133">
        <v>42826</v>
      </c>
      <c r="J26" s="134"/>
      <c r="K26" s="81" t="s">
        <v>132</v>
      </c>
      <c r="L26" s="81" t="s">
        <v>156</v>
      </c>
      <c r="M26" s="81">
        <v>2816.11</v>
      </c>
      <c r="N26" s="81">
        <v>2816.11</v>
      </c>
      <c r="O26" s="81">
        <v>0</v>
      </c>
      <c r="P26" s="81">
        <f t="shared" si="0"/>
        <v>2816.11</v>
      </c>
      <c r="Q26" s="81">
        <v>0</v>
      </c>
      <c r="R26" s="81">
        <v>0</v>
      </c>
      <c r="S26" s="81">
        <v>0</v>
      </c>
      <c r="T26" s="81">
        <v>563.22</v>
      </c>
      <c r="U26" s="81">
        <v>0</v>
      </c>
      <c r="V26" s="81">
        <v>0</v>
      </c>
      <c r="W26" s="81">
        <v>0</v>
      </c>
      <c r="X26" s="81">
        <v>0</v>
      </c>
      <c r="Y26" s="81">
        <v>0</v>
      </c>
      <c r="Z26" s="81">
        <v>0</v>
      </c>
      <c r="AA26" s="81">
        <v>1568.7</v>
      </c>
      <c r="AB26" s="81">
        <v>301.67</v>
      </c>
      <c r="AC26" s="81">
        <v>0</v>
      </c>
      <c r="AD26" s="81">
        <v>0</v>
      </c>
      <c r="AE26" s="81">
        <v>0</v>
      </c>
      <c r="AF26" s="81">
        <v>0</v>
      </c>
      <c r="AG26" s="81">
        <v>5249.7</v>
      </c>
      <c r="AH26" s="81">
        <v>0</v>
      </c>
      <c r="AI26" s="81">
        <v>0</v>
      </c>
      <c r="AJ26" s="81">
        <v>0</v>
      </c>
      <c r="AK26" s="81">
        <v>0</v>
      </c>
      <c r="AL26" s="81">
        <v>0</v>
      </c>
      <c r="AM26" s="81">
        <v>0</v>
      </c>
      <c r="AN26" s="81">
        <v>0</v>
      </c>
      <c r="AO26" s="81">
        <v>252.45</v>
      </c>
      <c r="AP26" s="81">
        <v>0</v>
      </c>
      <c r="AQ26" s="81">
        <v>0</v>
      </c>
      <c r="AR26" s="81">
        <v>252.45</v>
      </c>
      <c r="AS26" s="81">
        <v>0</v>
      </c>
      <c r="AT26" s="81">
        <v>0</v>
      </c>
      <c r="AU26" s="81">
        <v>0</v>
      </c>
      <c r="AV26" s="81">
        <v>2248</v>
      </c>
      <c r="AW26" s="81">
        <v>0</v>
      </c>
      <c r="AX26" s="81">
        <v>0</v>
      </c>
      <c r="AY26" s="81">
        <v>0</v>
      </c>
      <c r="AZ26" s="81">
        <v>0</v>
      </c>
      <c r="BA26" s="81">
        <v>0</v>
      </c>
      <c r="BB26" s="81">
        <v>0</v>
      </c>
      <c r="BC26" s="81">
        <v>0</v>
      </c>
      <c r="BD26" s="81">
        <v>0</v>
      </c>
      <c r="BE26" s="81">
        <v>0</v>
      </c>
      <c r="BF26" s="81">
        <v>0</v>
      </c>
      <c r="BG26" s="81">
        <v>0</v>
      </c>
      <c r="BH26" s="81">
        <v>0</v>
      </c>
      <c r="BI26" s="81">
        <v>7750.15</v>
      </c>
      <c r="BJ26" s="81">
        <v>2723.66</v>
      </c>
      <c r="BK26" s="81">
        <v>5026.49</v>
      </c>
      <c r="BL26" s="81">
        <v>419.97</v>
      </c>
      <c r="BM26" s="81">
        <v>1049.94</v>
      </c>
      <c r="BN26" s="81">
        <v>78.739999999999995</v>
      </c>
      <c r="BO26" s="81">
        <v>304.48</v>
      </c>
      <c r="BP26" s="81">
        <v>1853.13</v>
      </c>
      <c r="BQ26" s="81">
        <v>9603.2800000000007</v>
      </c>
    </row>
    <row r="27" spans="1:69" hidden="1" x14ac:dyDescent="0.25">
      <c r="A27" s="81" t="s">
        <v>158</v>
      </c>
      <c r="B27" s="132">
        <v>46082</v>
      </c>
      <c r="C27" s="81" t="s">
        <v>78</v>
      </c>
      <c r="D27" s="81" t="s">
        <v>149</v>
      </c>
      <c r="E27" s="81" t="s">
        <v>150</v>
      </c>
      <c r="F27" s="81" t="s">
        <v>87</v>
      </c>
      <c r="G27" s="81" t="s">
        <v>159</v>
      </c>
      <c r="H27" s="81" t="s">
        <v>115</v>
      </c>
      <c r="I27" s="133">
        <v>45742</v>
      </c>
      <c r="J27" s="134"/>
      <c r="K27" s="81" t="s">
        <v>160</v>
      </c>
      <c r="L27" s="81" t="s">
        <v>156</v>
      </c>
      <c r="M27" s="81">
        <v>2816.11</v>
      </c>
      <c r="N27" s="81">
        <v>2816.11</v>
      </c>
      <c r="O27" s="81">
        <v>0</v>
      </c>
      <c r="P27" s="81">
        <f t="shared" si="0"/>
        <v>2816.11</v>
      </c>
      <c r="Q27" s="81">
        <v>0</v>
      </c>
      <c r="R27" s="81">
        <v>0</v>
      </c>
      <c r="S27" s="81">
        <v>0</v>
      </c>
      <c r="T27" s="81">
        <v>563.22</v>
      </c>
      <c r="U27" s="81">
        <v>0</v>
      </c>
      <c r="V27" s="81">
        <v>0</v>
      </c>
      <c r="W27" s="81">
        <v>0</v>
      </c>
      <c r="X27" s="81">
        <v>0</v>
      </c>
      <c r="Y27" s="81">
        <v>0</v>
      </c>
      <c r="Z27" s="81">
        <v>0</v>
      </c>
      <c r="AA27" s="81">
        <v>1542.98</v>
      </c>
      <c r="AB27" s="81">
        <v>296.73</v>
      </c>
      <c r="AC27" s="81">
        <v>0</v>
      </c>
      <c r="AD27" s="81">
        <v>0</v>
      </c>
      <c r="AE27" s="81">
        <v>0</v>
      </c>
      <c r="AF27" s="81">
        <v>0</v>
      </c>
      <c r="AG27" s="81">
        <v>5219.04</v>
      </c>
      <c r="AH27" s="81">
        <v>0</v>
      </c>
      <c r="AI27" s="81">
        <v>0</v>
      </c>
      <c r="AJ27" s="81">
        <v>0</v>
      </c>
      <c r="AK27" s="81">
        <v>1903.5</v>
      </c>
      <c r="AL27" s="81">
        <v>0</v>
      </c>
      <c r="AM27" s="81">
        <v>0</v>
      </c>
      <c r="AN27" s="81">
        <v>0</v>
      </c>
      <c r="AO27" s="81">
        <v>0</v>
      </c>
      <c r="AP27" s="81">
        <v>0</v>
      </c>
      <c r="AQ27" s="81">
        <v>0</v>
      </c>
      <c r="AR27" s="81">
        <v>1903.5</v>
      </c>
      <c r="AS27" s="81">
        <v>0</v>
      </c>
      <c r="AT27" s="81">
        <v>0</v>
      </c>
      <c r="AU27" s="81">
        <v>0</v>
      </c>
      <c r="AV27" s="81">
        <v>2016</v>
      </c>
      <c r="AW27" s="81">
        <v>0</v>
      </c>
      <c r="AX27" s="81">
        <v>0</v>
      </c>
      <c r="AY27" s="81">
        <v>0</v>
      </c>
      <c r="AZ27" s="81">
        <v>0</v>
      </c>
      <c r="BA27" s="81">
        <v>0</v>
      </c>
      <c r="BB27" s="81">
        <v>0</v>
      </c>
      <c r="BC27" s="81">
        <v>0</v>
      </c>
      <c r="BD27" s="81">
        <v>0</v>
      </c>
      <c r="BE27" s="81">
        <v>0</v>
      </c>
      <c r="BF27" s="81">
        <v>0</v>
      </c>
      <c r="BG27" s="81">
        <v>0</v>
      </c>
      <c r="BH27" s="81">
        <v>0</v>
      </c>
      <c r="BI27" s="81">
        <v>9138.5400000000009</v>
      </c>
      <c r="BJ27" s="81">
        <v>3034.85</v>
      </c>
      <c r="BK27" s="81">
        <v>6103.69</v>
      </c>
      <c r="BL27" s="81">
        <v>417.52</v>
      </c>
      <c r="BM27" s="81">
        <v>1043.81</v>
      </c>
      <c r="BN27" s="81">
        <v>78.28</v>
      </c>
      <c r="BO27" s="81">
        <v>302.7</v>
      </c>
      <c r="BP27" s="81">
        <v>1842.31</v>
      </c>
      <c r="BQ27" s="81">
        <v>10980.85</v>
      </c>
    </row>
    <row r="28" spans="1:69" hidden="1" x14ac:dyDescent="0.25">
      <c r="A28" s="81" t="s">
        <v>161</v>
      </c>
      <c r="B28" s="132">
        <v>46082</v>
      </c>
      <c r="C28" s="81" t="s">
        <v>78</v>
      </c>
      <c r="D28" s="81" t="s">
        <v>149</v>
      </c>
      <c r="E28" s="81" t="s">
        <v>150</v>
      </c>
      <c r="F28" s="81" t="s">
        <v>87</v>
      </c>
      <c r="G28" s="81" t="s">
        <v>154</v>
      </c>
      <c r="H28" s="81" t="s">
        <v>115</v>
      </c>
      <c r="I28" s="133">
        <v>44167</v>
      </c>
      <c r="J28" s="134"/>
      <c r="K28" s="81" t="s">
        <v>155</v>
      </c>
      <c r="L28" s="81" t="s">
        <v>120</v>
      </c>
      <c r="M28" s="81">
        <v>3158.66</v>
      </c>
      <c r="N28" s="81">
        <v>3158.66</v>
      </c>
      <c r="O28" s="81">
        <v>0</v>
      </c>
      <c r="P28" s="81">
        <f t="shared" si="0"/>
        <v>3158.66</v>
      </c>
      <c r="Q28" s="81">
        <v>0</v>
      </c>
      <c r="R28" s="81">
        <v>0</v>
      </c>
      <c r="S28" s="81">
        <v>0</v>
      </c>
      <c r="T28" s="81">
        <v>631.73</v>
      </c>
      <c r="U28" s="81">
        <v>0</v>
      </c>
      <c r="V28" s="81">
        <v>0</v>
      </c>
      <c r="W28" s="81">
        <v>0</v>
      </c>
      <c r="X28" s="81">
        <v>0</v>
      </c>
      <c r="Y28" s="81">
        <v>0</v>
      </c>
      <c r="Z28" s="81">
        <v>0</v>
      </c>
      <c r="AA28" s="81">
        <v>279.11</v>
      </c>
      <c r="AB28" s="81">
        <v>53.68</v>
      </c>
      <c r="AC28" s="81">
        <v>0</v>
      </c>
      <c r="AD28" s="81">
        <v>0</v>
      </c>
      <c r="AE28" s="81">
        <v>0</v>
      </c>
      <c r="AF28" s="81">
        <v>0</v>
      </c>
      <c r="AG28" s="81">
        <v>4123.18</v>
      </c>
      <c r="AH28" s="81">
        <v>0</v>
      </c>
      <c r="AI28" s="81">
        <v>750</v>
      </c>
      <c r="AJ28" s="81">
        <v>0</v>
      </c>
      <c r="AK28" s="81">
        <v>0</v>
      </c>
      <c r="AL28" s="81">
        <v>0</v>
      </c>
      <c r="AM28" s="81">
        <v>0</v>
      </c>
      <c r="AN28" s="81">
        <v>0</v>
      </c>
      <c r="AO28" s="81">
        <v>0</v>
      </c>
      <c r="AP28" s="81">
        <v>645</v>
      </c>
      <c r="AQ28" s="81">
        <v>0</v>
      </c>
      <c r="AR28" s="81">
        <v>1395</v>
      </c>
      <c r="AS28" s="81">
        <v>0</v>
      </c>
      <c r="AT28" s="81">
        <v>50</v>
      </c>
      <c r="AU28" s="81">
        <v>0</v>
      </c>
      <c r="AV28" s="81">
        <v>0</v>
      </c>
      <c r="AW28" s="81">
        <v>0</v>
      </c>
      <c r="AX28" s="81">
        <v>0</v>
      </c>
      <c r="AY28" s="81">
        <v>0</v>
      </c>
      <c r="AZ28" s="81">
        <v>0</v>
      </c>
      <c r="BA28" s="81">
        <v>0</v>
      </c>
      <c r="BB28" s="81">
        <v>0</v>
      </c>
      <c r="BC28" s="81">
        <v>0</v>
      </c>
      <c r="BD28" s="81">
        <v>0</v>
      </c>
      <c r="BE28" s="81">
        <v>0</v>
      </c>
      <c r="BF28" s="81">
        <v>0</v>
      </c>
      <c r="BG28" s="81">
        <v>0</v>
      </c>
      <c r="BH28" s="81">
        <v>0</v>
      </c>
      <c r="BI28" s="81">
        <v>5568.18</v>
      </c>
      <c r="BJ28" s="81">
        <v>581.25</v>
      </c>
      <c r="BK28" s="81">
        <v>4986.93</v>
      </c>
      <c r="BL28" s="81">
        <v>329.85</v>
      </c>
      <c r="BM28" s="81">
        <v>824.64</v>
      </c>
      <c r="BN28" s="81">
        <v>61.84</v>
      </c>
      <c r="BO28" s="81">
        <v>239.14</v>
      </c>
      <c r="BP28" s="81">
        <v>1455.47</v>
      </c>
      <c r="BQ28" s="81">
        <v>7023.65</v>
      </c>
    </row>
    <row r="29" spans="1:69" hidden="1" x14ac:dyDescent="0.25">
      <c r="A29" s="81" t="s">
        <v>162</v>
      </c>
      <c r="B29" s="132">
        <v>46082</v>
      </c>
      <c r="C29" s="81" t="s">
        <v>78</v>
      </c>
      <c r="D29" s="81" t="s">
        <v>149</v>
      </c>
      <c r="E29" s="81" t="s">
        <v>150</v>
      </c>
      <c r="F29" s="81" t="s">
        <v>87</v>
      </c>
      <c r="G29" s="81" t="s">
        <v>163</v>
      </c>
      <c r="H29" s="81" t="s">
        <v>115</v>
      </c>
      <c r="I29" s="133">
        <v>45520</v>
      </c>
      <c r="J29" s="134"/>
      <c r="K29" s="81" t="s">
        <v>164</v>
      </c>
      <c r="L29" s="81" t="s">
        <v>156</v>
      </c>
      <c r="M29" s="81">
        <v>2816.11</v>
      </c>
      <c r="N29" s="81">
        <v>2816.11</v>
      </c>
      <c r="O29" s="81">
        <v>0</v>
      </c>
      <c r="P29" s="81">
        <f t="shared" si="0"/>
        <v>2816.11</v>
      </c>
      <c r="Q29" s="81">
        <v>0</v>
      </c>
      <c r="R29" s="81">
        <v>0</v>
      </c>
      <c r="S29" s="81">
        <v>0</v>
      </c>
      <c r="T29" s="81">
        <v>563.22</v>
      </c>
      <c r="U29" s="81">
        <v>0</v>
      </c>
      <c r="V29" s="81">
        <v>0</v>
      </c>
      <c r="W29" s="81">
        <v>0</v>
      </c>
      <c r="X29" s="81">
        <v>0</v>
      </c>
      <c r="Y29" s="81">
        <v>0</v>
      </c>
      <c r="Z29" s="81">
        <v>50.91</v>
      </c>
      <c r="AA29" s="81">
        <v>0</v>
      </c>
      <c r="AB29" s="81">
        <v>0</v>
      </c>
      <c r="AC29" s="81">
        <v>0</v>
      </c>
      <c r="AD29" s="81">
        <v>0</v>
      </c>
      <c r="AE29" s="81">
        <v>0</v>
      </c>
      <c r="AF29" s="81">
        <v>0</v>
      </c>
      <c r="AG29" s="81">
        <v>3430.24</v>
      </c>
      <c r="AH29" s="81">
        <v>0</v>
      </c>
      <c r="AI29" s="81">
        <v>0</v>
      </c>
      <c r="AJ29" s="81">
        <v>0</v>
      </c>
      <c r="AK29" s="81">
        <v>0</v>
      </c>
      <c r="AL29" s="81">
        <v>0</v>
      </c>
      <c r="AM29" s="81">
        <v>0</v>
      </c>
      <c r="AN29" s="81">
        <v>893.2</v>
      </c>
      <c r="AO29" s="81">
        <v>0</v>
      </c>
      <c r="AP29" s="81">
        <v>0</v>
      </c>
      <c r="AQ29" s="81">
        <v>0</v>
      </c>
      <c r="AR29" s="81">
        <v>893.2</v>
      </c>
      <c r="AS29" s="81">
        <v>0</v>
      </c>
      <c r="AT29" s="81">
        <v>250</v>
      </c>
      <c r="AU29" s="81">
        <v>0</v>
      </c>
      <c r="AV29" s="81">
        <v>0</v>
      </c>
      <c r="AW29" s="81">
        <v>0</v>
      </c>
      <c r="AX29" s="81">
        <v>0</v>
      </c>
      <c r="AY29" s="81">
        <v>0</v>
      </c>
      <c r="AZ29" s="81">
        <v>0</v>
      </c>
      <c r="BA29" s="81">
        <v>0</v>
      </c>
      <c r="BB29" s="81">
        <v>0</v>
      </c>
      <c r="BC29" s="81">
        <v>0</v>
      </c>
      <c r="BD29" s="81">
        <v>0</v>
      </c>
      <c r="BE29" s="81">
        <v>0</v>
      </c>
      <c r="BF29" s="81">
        <v>0</v>
      </c>
      <c r="BG29" s="81">
        <v>0</v>
      </c>
      <c r="BH29" s="81">
        <v>0</v>
      </c>
      <c r="BI29" s="81">
        <v>4573.4399999999996</v>
      </c>
      <c r="BJ29" s="81">
        <v>1519.19</v>
      </c>
      <c r="BK29" s="81">
        <v>3054.25</v>
      </c>
      <c r="BL29" s="81">
        <v>274.41000000000003</v>
      </c>
      <c r="BM29" s="81">
        <v>686.05</v>
      </c>
      <c r="BN29" s="81">
        <v>51.45</v>
      </c>
      <c r="BO29" s="81">
        <v>198.95</v>
      </c>
      <c r="BP29" s="81">
        <v>1210.8599999999999</v>
      </c>
      <c r="BQ29" s="81">
        <v>5784.3</v>
      </c>
    </row>
    <row r="30" spans="1:69" hidden="1" x14ac:dyDescent="0.25">
      <c r="A30" s="81" t="s">
        <v>165</v>
      </c>
      <c r="B30" s="132">
        <v>46082</v>
      </c>
      <c r="C30" s="81" t="s">
        <v>78</v>
      </c>
      <c r="D30" s="81" t="s">
        <v>149</v>
      </c>
      <c r="E30" s="81" t="s">
        <v>150</v>
      </c>
      <c r="F30" s="81" t="s">
        <v>87</v>
      </c>
      <c r="G30" s="81" t="s">
        <v>163</v>
      </c>
      <c r="H30" s="81" t="s">
        <v>115</v>
      </c>
      <c r="I30" s="133">
        <v>45728</v>
      </c>
      <c r="J30" s="134"/>
      <c r="K30" s="81" t="s">
        <v>164</v>
      </c>
      <c r="L30" s="81" t="s">
        <v>156</v>
      </c>
      <c r="M30" s="81">
        <v>2816.11</v>
      </c>
      <c r="N30" s="81">
        <v>2816.11</v>
      </c>
      <c r="O30" s="81">
        <v>0</v>
      </c>
      <c r="P30" s="81">
        <f t="shared" si="0"/>
        <v>2816.11</v>
      </c>
      <c r="Q30" s="81">
        <v>0</v>
      </c>
      <c r="R30" s="81">
        <v>0</v>
      </c>
      <c r="S30" s="81">
        <v>0</v>
      </c>
      <c r="T30" s="81">
        <v>563.22</v>
      </c>
      <c r="U30" s="81">
        <v>0</v>
      </c>
      <c r="V30" s="81">
        <v>0</v>
      </c>
      <c r="W30" s="81">
        <v>0</v>
      </c>
      <c r="X30" s="81">
        <v>0</v>
      </c>
      <c r="Y30" s="81">
        <v>0</v>
      </c>
      <c r="Z30" s="81">
        <v>85.35</v>
      </c>
      <c r="AA30" s="81">
        <v>195.85</v>
      </c>
      <c r="AB30" s="81">
        <v>37.659999999999997</v>
      </c>
      <c r="AC30" s="81">
        <v>0</v>
      </c>
      <c r="AD30" s="81">
        <v>0</v>
      </c>
      <c r="AE30" s="81">
        <v>0</v>
      </c>
      <c r="AF30" s="81">
        <v>0</v>
      </c>
      <c r="AG30" s="81">
        <v>3698.19</v>
      </c>
      <c r="AH30" s="81">
        <v>0</v>
      </c>
      <c r="AI30" s="81">
        <v>0</v>
      </c>
      <c r="AJ30" s="81">
        <v>0</v>
      </c>
      <c r="AK30" s="81">
        <v>0</v>
      </c>
      <c r="AL30" s="81">
        <v>0</v>
      </c>
      <c r="AM30" s="81">
        <v>0</v>
      </c>
      <c r="AN30" s="81">
        <v>750.6</v>
      </c>
      <c r="AO30" s="81">
        <v>0</v>
      </c>
      <c r="AP30" s="81">
        <v>0</v>
      </c>
      <c r="AQ30" s="81">
        <v>0</v>
      </c>
      <c r="AR30" s="81">
        <v>750.6</v>
      </c>
      <c r="AS30" s="81">
        <v>0</v>
      </c>
      <c r="AT30" s="81">
        <v>250</v>
      </c>
      <c r="AU30" s="81">
        <v>0</v>
      </c>
      <c r="AV30" s="81">
        <v>0</v>
      </c>
      <c r="AW30" s="81">
        <v>0</v>
      </c>
      <c r="AX30" s="81">
        <v>0</v>
      </c>
      <c r="AY30" s="81">
        <v>0</v>
      </c>
      <c r="AZ30" s="81">
        <v>0</v>
      </c>
      <c r="BA30" s="81">
        <v>0</v>
      </c>
      <c r="BB30" s="81">
        <v>0</v>
      </c>
      <c r="BC30" s="81">
        <v>0</v>
      </c>
      <c r="BD30" s="81">
        <v>0</v>
      </c>
      <c r="BE30" s="81">
        <v>0</v>
      </c>
      <c r="BF30" s="81">
        <v>0</v>
      </c>
      <c r="BG30" s="81">
        <v>0</v>
      </c>
      <c r="BH30" s="81">
        <v>0</v>
      </c>
      <c r="BI30" s="81">
        <v>4698.79</v>
      </c>
      <c r="BJ30" s="81">
        <v>1831.3</v>
      </c>
      <c r="BK30" s="81">
        <v>2867.49</v>
      </c>
      <c r="BL30" s="81">
        <v>295.85000000000002</v>
      </c>
      <c r="BM30" s="81">
        <v>739.64</v>
      </c>
      <c r="BN30" s="81">
        <v>55.47</v>
      </c>
      <c r="BO30" s="81">
        <v>214.49</v>
      </c>
      <c r="BP30" s="81">
        <v>1305.45</v>
      </c>
      <c r="BQ30" s="81">
        <v>6004.24</v>
      </c>
    </row>
    <row r="31" spans="1:69" x14ac:dyDescent="0.25">
      <c r="A31" s="81" t="s">
        <v>166</v>
      </c>
      <c r="B31" s="132">
        <v>46082</v>
      </c>
      <c r="C31" s="81" t="s">
        <v>78</v>
      </c>
      <c r="D31" s="81" t="s">
        <v>149</v>
      </c>
      <c r="E31" s="81" t="s">
        <v>150</v>
      </c>
      <c r="F31" s="81" t="s">
        <v>96</v>
      </c>
      <c r="G31" s="81" t="s">
        <v>97</v>
      </c>
      <c r="H31" s="81" t="s">
        <v>107</v>
      </c>
      <c r="I31" s="133">
        <v>44238</v>
      </c>
      <c r="J31" s="134"/>
      <c r="K31" s="81" t="s">
        <v>167</v>
      </c>
      <c r="L31" s="81" t="s">
        <v>105</v>
      </c>
      <c r="M31" s="81">
        <v>3287.33</v>
      </c>
      <c r="N31" s="81">
        <v>3287.33</v>
      </c>
      <c r="O31" s="81">
        <v>0</v>
      </c>
      <c r="P31" s="81">
        <f t="shared" si="0"/>
        <v>3287.33</v>
      </c>
      <c r="Q31" s="81">
        <v>0</v>
      </c>
      <c r="R31" s="81">
        <v>0</v>
      </c>
      <c r="S31" s="81">
        <v>0</v>
      </c>
      <c r="T31" s="81">
        <v>657.47</v>
      </c>
      <c r="U31" s="81">
        <v>0</v>
      </c>
      <c r="V31" s="81">
        <v>0</v>
      </c>
      <c r="W31" s="81">
        <v>0</v>
      </c>
      <c r="X31" s="81">
        <v>0</v>
      </c>
      <c r="Y31" s="81">
        <v>0</v>
      </c>
      <c r="Z31" s="81">
        <v>0</v>
      </c>
      <c r="AA31" s="81">
        <v>313.79000000000002</v>
      </c>
      <c r="AB31" s="81">
        <v>60.34</v>
      </c>
      <c r="AC31" s="81">
        <v>0</v>
      </c>
      <c r="AD31" s="81">
        <v>0</v>
      </c>
      <c r="AE31" s="81">
        <v>0</v>
      </c>
      <c r="AF31" s="81">
        <v>0</v>
      </c>
      <c r="AG31" s="81">
        <v>4318.93</v>
      </c>
      <c r="AH31" s="81">
        <v>0</v>
      </c>
      <c r="AI31" s="81">
        <v>0</v>
      </c>
      <c r="AJ31" s="81">
        <v>0</v>
      </c>
      <c r="AK31" s="81">
        <v>1120</v>
      </c>
      <c r="AL31" s="81">
        <v>0</v>
      </c>
      <c r="AM31" s="81">
        <v>0</v>
      </c>
      <c r="AN31" s="81">
        <v>0</v>
      </c>
      <c r="AO31" s="81">
        <v>0</v>
      </c>
      <c r="AP31" s="81">
        <v>0</v>
      </c>
      <c r="AQ31" s="81">
        <v>0</v>
      </c>
      <c r="AR31" s="81">
        <v>1120</v>
      </c>
      <c r="AS31" s="81">
        <v>0</v>
      </c>
      <c r="AT31" s="81">
        <v>0</v>
      </c>
      <c r="AU31" s="81">
        <v>0</v>
      </c>
      <c r="AV31" s="81">
        <v>1502</v>
      </c>
      <c r="AW31" s="81">
        <v>0</v>
      </c>
      <c r="AX31" s="81">
        <v>0</v>
      </c>
      <c r="AY31" s="81">
        <v>0</v>
      </c>
      <c r="AZ31" s="81">
        <v>0</v>
      </c>
      <c r="BA31" s="81">
        <v>0</v>
      </c>
      <c r="BB31" s="81">
        <v>0</v>
      </c>
      <c r="BC31" s="81">
        <v>0</v>
      </c>
      <c r="BD31" s="81">
        <v>0</v>
      </c>
      <c r="BE31" s="81">
        <v>0</v>
      </c>
      <c r="BF31" s="81">
        <v>0</v>
      </c>
      <c r="BG31" s="81">
        <v>0</v>
      </c>
      <c r="BH31" s="81">
        <v>0</v>
      </c>
      <c r="BI31" s="81">
        <v>6940.93</v>
      </c>
      <c r="BJ31" s="81">
        <v>671.9</v>
      </c>
      <c r="BK31" s="81">
        <v>6269.03</v>
      </c>
      <c r="BL31" s="81">
        <v>345.51</v>
      </c>
      <c r="BM31" s="81">
        <v>863.79</v>
      </c>
      <c r="BN31" s="81">
        <v>64.78</v>
      </c>
      <c r="BO31" s="81">
        <v>250.49</v>
      </c>
      <c r="BP31" s="81">
        <v>1524.57</v>
      </c>
      <c r="BQ31" s="81">
        <v>8465.5</v>
      </c>
    </row>
    <row r="32" spans="1:69" hidden="1" x14ac:dyDescent="0.25">
      <c r="A32" s="81" t="s">
        <v>168</v>
      </c>
      <c r="B32" s="132">
        <v>46082</v>
      </c>
      <c r="C32" s="81" t="s">
        <v>78</v>
      </c>
      <c r="D32" s="81" t="s">
        <v>149</v>
      </c>
      <c r="E32" s="81" t="s">
        <v>150</v>
      </c>
      <c r="F32" s="81" t="s">
        <v>87</v>
      </c>
      <c r="G32" s="81" t="s">
        <v>163</v>
      </c>
      <c r="H32" s="81" t="s">
        <v>115</v>
      </c>
      <c r="I32" s="133">
        <v>44876</v>
      </c>
      <c r="J32" s="134"/>
      <c r="K32" s="81" t="s">
        <v>164</v>
      </c>
      <c r="L32" s="81" t="s">
        <v>120</v>
      </c>
      <c r="M32" s="81">
        <v>3158.66</v>
      </c>
      <c r="N32" s="81">
        <v>3158.66</v>
      </c>
      <c r="O32" s="81">
        <v>0</v>
      </c>
      <c r="P32" s="81">
        <f t="shared" si="0"/>
        <v>3158.66</v>
      </c>
      <c r="Q32" s="81">
        <v>0</v>
      </c>
      <c r="R32" s="81">
        <v>0</v>
      </c>
      <c r="S32" s="81">
        <v>0</v>
      </c>
      <c r="T32" s="81">
        <v>631.73</v>
      </c>
      <c r="U32" s="81">
        <v>0</v>
      </c>
      <c r="V32" s="81">
        <v>0</v>
      </c>
      <c r="W32" s="81">
        <v>0</v>
      </c>
      <c r="X32" s="81">
        <v>0</v>
      </c>
      <c r="Y32" s="81">
        <v>0</v>
      </c>
      <c r="Z32" s="81">
        <v>43.61</v>
      </c>
      <c r="AA32" s="81">
        <v>0</v>
      </c>
      <c r="AB32" s="81">
        <v>0</v>
      </c>
      <c r="AC32" s="81">
        <v>0</v>
      </c>
      <c r="AD32" s="81">
        <v>0</v>
      </c>
      <c r="AE32" s="81">
        <v>0</v>
      </c>
      <c r="AF32" s="81">
        <v>0</v>
      </c>
      <c r="AG32" s="81">
        <v>3834</v>
      </c>
      <c r="AH32" s="81">
        <v>0</v>
      </c>
      <c r="AI32" s="81">
        <v>0</v>
      </c>
      <c r="AJ32" s="81">
        <v>0</v>
      </c>
      <c r="AK32" s="81">
        <v>0</v>
      </c>
      <c r="AL32" s="81">
        <v>0</v>
      </c>
      <c r="AM32" s="81">
        <v>0</v>
      </c>
      <c r="AN32" s="81">
        <v>742.5</v>
      </c>
      <c r="AO32" s="81">
        <v>0</v>
      </c>
      <c r="AP32" s="81">
        <v>0</v>
      </c>
      <c r="AQ32" s="81">
        <v>0</v>
      </c>
      <c r="AR32" s="81">
        <v>742.5</v>
      </c>
      <c r="AS32" s="81">
        <v>0</v>
      </c>
      <c r="AT32" s="81">
        <v>250</v>
      </c>
      <c r="AU32" s="81">
        <v>0</v>
      </c>
      <c r="AV32" s="81">
        <v>0</v>
      </c>
      <c r="AW32" s="81">
        <v>0</v>
      </c>
      <c r="AX32" s="81">
        <v>0</v>
      </c>
      <c r="AY32" s="81">
        <v>0</v>
      </c>
      <c r="AZ32" s="81">
        <v>0</v>
      </c>
      <c r="BA32" s="81">
        <v>0</v>
      </c>
      <c r="BB32" s="81">
        <v>0</v>
      </c>
      <c r="BC32" s="81">
        <v>0</v>
      </c>
      <c r="BD32" s="81">
        <v>0</v>
      </c>
      <c r="BE32" s="81">
        <v>0</v>
      </c>
      <c r="BF32" s="81">
        <v>0</v>
      </c>
      <c r="BG32" s="81">
        <v>0</v>
      </c>
      <c r="BH32" s="81">
        <v>0</v>
      </c>
      <c r="BI32" s="81">
        <v>4826.5</v>
      </c>
      <c r="BJ32" s="81">
        <v>1996.26</v>
      </c>
      <c r="BK32" s="81">
        <v>2830.24</v>
      </c>
      <c r="BL32" s="81">
        <v>306.72000000000003</v>
      </c>
      <c r="BM32" s="81">
        <v>766.8</v>
      </c>
      <c r="BN32" s="81">
        <v>57.51</v>
      </c>
      <c r="BO32" s="81">
        <v>222.37</v>
      </c>
      <c r="BP32" s="81">
        <v>1353.4</v>
      </c>
      <c r="BQ32" s="81">
        <v>6179.9</v>
      </c>
    </row>
    <row r="33" spans="1:69" x14ac:dyDescent="0.25">
      <c r="A33" s="81" t="s">
        <v>169</v>
      </c>
      <c r="B33" s="132">
        <v>46082</v>
      </c>
      <c r="C33" s="81" t="s">
        <v>78</v>
      </c>
      <c r="D33" s="81" t="s">
        <v>149</v>
      </c>
      <c r="E33" s="81" t="s">
        <v>150</v>
      </c>
      <c r="F33" s="81" t="s">
        <v>96</v>
      </c>
      <c r="G33" s="81" t="s">
        <v>170</v>
      </c>
      <c r="H33" s="81" t="s">
        <v>107</v>
      </c>
      <c r="I33" s="133">
        <v>43858</v>
      </c>
      <c r="J33" s="134"/>
      <c r="K33" s="81" t="s">
        <v>167</v>
      </c>
      <c r="L33" s="81" t="s">
        <v>171</v>
      </c>
      <c r="M33" s="81">
        <v>3091.39</v>
      </c>
      <c r="N33" s="81">
        <v>3091.39</v>
      </c>
      <c r="O33" s="81">
        <v>0</v>
      </c>
      <c r="P33" s="81">
        <f t="shared" si="0"/>
        <v>3091.39</v>
      </c>
      <c r="Q33" s="81">
        <v>0</v>
      </c>
      <c r="R33" s="81">
        <v>0</v>
      </c>
      <c r="S33" s="81">
        <v>0</v>
      </c>
      <c r="T33" s="81">
        <v>618.28</v>
      </c>
      <c r="U33" s="81">
        <v>0</v>
      </c>
      <c r="V33" s="81">
        <v>0</v>
      </c>
      <c r="W33" s="81">
        <v>0</v>
      </c>
      <c r="X33" s="81">
        <v>0</v>
      </c>
      <c r="Y33" s="81">
        <v>0</v>
      </c>
      <c r="Z33" s="81">
        <v>0</v>
      </c>
      <c r="AA33" s="81">
        <v>646.94000000000005</v>
      </c>
      <c r="AB33" s="81">
        <v>124.41</v>
      </c>
      <c r="AC33" s="81">
        <v>0</v>
      </c>
      <c r="AD33" s="81">
        <v>0</v>
      </c>
      <c r="AE33" s="81">
        <v>0</v>
      </c>
      <c r="AF33" s="81">
        <v>0</v>
      </c>
      <c r="AG33" s="81">
        <v>4481.0200000000004</v>
      </c>
      <c r="AH33" s="81">
        <v>0</v>
      </c>
      <c r="AI33" s="81">
        <v>2205</v>
      </c>
      <c r="AJ33" s="81">
        <v>0</v>
      </c>
      <c r="AK33" s="81">
        <v>0</v>
      </c>
      <c r="AL33" s="81">
        <v>0</v>
      </c>
      <c r="AM33" s="81">
        <v>0</v>
      </c>
      <c r="AN33" s="81">
        <v>0</v>
      </c>
      <c r="AO33" s="81">
        <v>0</v>
      </c>
      <c r="AP33" s="81">
        <v>250</v>
      </c>
      <c r="AQ33" s="81">
        <v>0</v>
      </c>
      <c r="AR33" s="81">
        <v>2455</v>
      </c>
      <c r="AS33" s="81">
        <v>0</v>
      </c>
      <c r="AT33" s="81">
        <v>0</v>
      </c>
      <c r="AU33" s="81">
        <v>0</v>
      </c>
      <c r="AV33" s="81">
        <v>2730</v>
      </c>
      <c r="AW33" s="81">
        <v>0</v>
      </c>
      <c r="AX33" s="81">
        <v>0</v>
      </c>
      <c r="AY33" s="81">
        <v>0</v>
      </c>
      <c r="AZ33" s="81">
        <v>0</v>
      </c>
      <c r="BA33" s="81">
        <v>0</v>
      </c>
      <c r="BB33" s="81">
        <v>0</v>
      </c>
      <c r="BC33" s="81">
        <v>0</v>
      </c>
      <c r="BD33" s="81">
        <v>0</v>
      </c>
      <c r="BE33" s="81">
        <v>0</v>
      </c>
      <c r="BF33" s="81">
        <v>0</v>
      </c>
      <c r="BG33" s="81">
        <v>0</v>
      </c>
      <c r="BH33" s="81">
        <v>0</v>
      </c>
      <c r="BI33" s="81">
        <v>9666.02</v>
      </c>
      <c r="BJ33" s="81">
        <v>1205.4100000000001</v>
      </c>
      <c r="BK33" s="81">
        <v>8460.61</v>
      </c>
      <c r="BL33" s="81">
        <v>358.48</v>
      </c>
      <c r="BM33" s="81">
        <v>896.2</v>
      </c>
      <c r="BN33" s="81">
        <v>67.209999999999994</v>
      </c>
      <c r="BO33" s="81">
        <v>259.89</v>
      </c>
      <c r="BP33" s="81">
        <v>1581.78</v>
      </c>
      <c r="BQ33" s="81">
        <v>11247.8</v>
      </c>
    </row>
    <row r="34" spans="1:69" hidden="1" x14ac:dyDescent="0.25">
      <c r="A34" s="81" t="s">
        <v>172</v>
      </c>
      <c r="B34" s="132">
        <v>46082</v>
      </c>
      <c r="C34" s="81" t="s">
        <v>78</v>
      </c>
      <c r="D34" s="81" t="s">
        <v>149</v>
      </c>
      <c r="E34" s="81" t="s">
        <v>150</v>
      </c>
      <c r="F34" s="81" t="s">
        <v>87</v>
      </c>
      <c r="G34" s="81" t="s">
        <v>151</v>
      </c>
      <c r="H34" s="81" t="s">
        <v>115</v>
      </c>
      <c r="I34" s="133">
        <v>45966</v>
      </c>
      <c r="J34" s="134"/>
      <c r="K34" s="81" t="s">
        <v>152</v>
      </c>
      <c r="L34" s="81" t="s">
        <v>120</v>
      </c>
      <c r="M34" s="81">
        <v>3158.66</v>
      </c>
      <c r="N34" s="81">
        <v>3158.66</v>
      </c>
      <c r="O34" s="81">
        <v>0</v>
      </c>
      <c r="P34" s="81">
        <f t="shared" si="0"/>
        <v>3158.66</v>
      </c>
      <c r="Q34" s="81">
        <v>0</v>
      </c>
      <c r="R34" s="81">
        <v>0</v>
      </c>
      <c r="S34" s="81">
        <v>0</v>
      </c>
      <c r="T34" s="81">
        <v>631.73</v>
      </c>
      <c r="U34" s="81">
        <v>0</v>
      </c>
      <c r="V34" s="81">
        <v>0</v>
      </c>
      <c r="W34" s="81">
        <v>0</v>
      </c>
      <c r="X34" s="81">
        <v>0</v>
      </c>
      <c r="Y34" s="81">
        <v>0</v>
      </c>
      <c r="Z34" s="81">
        <v>64.03</v>
      </c>
      <c r="AA34" s="81">
        <v>0</v>
      </c>
      <c r="AB34" s="81">
        <v>0</v>
      </c>
      <c r="AC34" s="81">
        <v>0</v>
      </c>
      <c r="AD34" s="81">
        <v>0</v>
      </c>
      <c r="AE34" s="81">
        <v>0</v>
      </c>
      <c r="AF34" s="81">
        <v>0</v>
      </c>
      <c r="AG34" s="81">
        <v>3854.42</v>
      </c>
      <c r="AH34" s="81">
        <v>0</v>
      </c>
      <c r="AI34" s="81">
        <v>0</v>
      </c>
      <c r="AJ34" s="81">
        <v>0</v>
      </c>
      <c r="AK34" s="81">
        <v>812.97</v>
      </c>
      <c r="AL34" s="81">
        <v>0</v>
      </c>
      <c r="AM34" s="81">
        <v>0</v>
      </c>
      <c r="AN34" s="81">
        <v>0</v>
      </c>
      <c r="AO34" s="81">
        <v>0</v>
      </c>
      <c r="AP34" s="81">
        <v>0</v>
      </c>
      <c r="AQ34" s="81">
        <v>0</v>
      </c>
      <c r="AR34" s="81">
        <v>812.97</v>
      </c>
      <c r="AS34" s="81">
        <v>0</v>
      </c>
      <c r="AT34" s="81">
        <v>0</v>
      </c>
      <c r="AU34" s="81">
        <v>0</v>
      </c>
      <c r="AV34" s="81">
        <v>0</v>
      </c>
      <c r="AW34" s="81">
        <v>0</v>
      </c>
      <c r="AX34" s="81">
        <v>0</v>
      </c>
      <c r="AY34" s="81">
        <v>0</v>
      </c>
      <c r="AZ34" s="81">
        <v>0</v>
      </c>
      <c r="BA34" s="81">
        <v>0</v>
      </c>
      <c r="BB34" s="81">
        <v>0</v>
      </c>
      <c r="BC34" s="81">
        <v>0</v>
      </c>
      <c r="BD34" s="81">
        <v>0</v>
      </c>
      <c r="BE34" s="81">
        <v>0</v>
      </c>
      <c r="BF34" s="81">
        <v>0</v>
      </c>
      <c r="BG34" s="81">
        <v>0</v>
      </c>
      <c r="BH34" s="81">
        <v>0</v>
      </c>
      <c r="BI34" s="81">
        <v>4667.3900000000003</v>
      </c>
      <c r="BJ34" s="81">
        <v>1714.61</v>
      </c>
      <c r="BK34" s="81">
        <v>2952.78</v>
      </c>
      <c r="BL34" s="81">
        <v>308.35000000000002</v>
      </c>
      <c r="BM34" s="81">
        <v>770.88</v>
      </c>
      <c r="BN34" s="81">
        <v>57.81</v>
      </c>
      <c r="BO34" s="81">
        <v>223.55</v>
      </c>
      <c r="BP34" s="81">
        <v>1360.59</v>
      </c>
      <c r="BQ34" s="81">
        <v>6027.98</v>
      </c>
    </row>
    <row r="35" spans="1:69" hidden="1" x14ac:dyDescent="0.25">
      <c r="A35" s="81" t="s">
        <v>173</v>
      </c>
      <c r="B35" s="132">
        <v>46082</v>
      </c>
      <c r="C35" s="81" t="s">
        <v>78</v>
      </c>
      <c r="D35" s="81" t="s">
        <v>149</v>
      </c>
      <c r="E35" s="81" t="s">
        <v>150</v>
      </c>
      <c r="F35" s="81" t="s">
        <v>87</v>
      </c>
      <c r="G35" s="81" t="s">
        <v>163</v>
      </c>
      <c r="H35" s="81" t="s">
        <v>115</v>
      </c>
      <c r="I35" s="133">
        <v>46097</v>
      </c>
      <c r="J35" s="134"/>
      <c r="K35" s="81" t="s">
        <v>174</v>
      </c>
      <c r="L35" s="81" t="s">
        <v>120</v>
      </c>
      <c r="M35" s="81">
        <v>3158.66</v>
      </c>
      <c r="N35" s="81">
        <v>1684.62</v>
      </c>
      <c r="O35" s="81">
        <v>0</v>
      </c>
      <c r="P35" s="81">
        <f t="shared" si="0"/>
        <v>1684.62</v>
      </c>
      <c r="Q35" s="81">
        <v>0</v>
      </c>
      <c r="R35" s="81">
        <v>0</v>
      </c>
      <c r="S35" s="81">
        <v>0</v>
      </c>
      <c r="T35" s="81">
        <v>336.92</v>
      </c>
      <c r="U35" s="81">
        <v>0</v>
      </c>
      <c r="V35" s="81">
        <v>0</v>
      </c>
      <c r="W35" s="81">
        <v>0</v>
      </c>
      <c r="X35" s="81">
        <v>0</v>
      </c>
      <c r="Y35" s="81">
        <v>0</v>
      </c>
      <c r="Z35" s="81">
        <v>0</v>
      </c>
      <c r="AA35" s="81">
        <v>0</v>
      </c>
      <c r="AB35" s="81">
        <v>0</v>
      </c>
      <c r="AC35" s="81">
        <v>0</v>
      </c>
      <c r="AD35" s="81">
        <v>0</v>
      </c>
      <c r="AE35" s="81">
        <v>0</v>
      </c>
      <c r="AF35" s="81">
        <v>0</v>
      </c>
      <c r="AG35" s="81">
        <v>2021.54</v>
      </c>
      <c r="AH35" s="81">
        <v>0</v>
      </c>
      <c r="AI35" s="81">
        <v>0</v>
      </c>
      <c r="AJ35" s="81">
        <v>0</v>
      </c>
      <c r="AK35" s="81">
        <v>0</v>
      </c>
      <c r="AL35" s="81">
        <v>0</v>
      </c>
      <c r="AM35" s="81">
        <v>0</v>
      </c>
      <c r="AN35" s="81">
        <v>0</v>
      </c>
      <c r="AO35" s="81">
        <v>0</v>
      </c>
      <c r="AP35" s="81">
        <v>0</v>
      </c>
      <c r="AQ35" s="81">
        <v>0</v>
      </c>
      <c r="AR35" s="81">
        <v>0</v>
      </c>
      <c r="AS35" s="81">
        <v>0</v>
      </c>
      <c r="AT35" s="81">
        <v>379.03</v>
      </c>
      <c r="AU35" s="81">
        <v>0</v>
      </c>
      <c r="AV35" s="81">
        <v>188</v>
      </c>
      <c r="AW35" s="81">
        <v>0</v>
      </c>
      <c r="AX35" s="81">
        <v>0</v>
      </c>
      <c r="AY35" s="81">
        <v>0</v>
      </c>
      <c r="AZ35" s="81">
        <v>0</v>
      </c>
      <c r="BA35" s="81">
        <v>0</v>
      </c>
      <c r="BB35" s="81">
        <v>0</v>
      </c>
      <c r="BC35" s="81">
        <v>0</v>
      </c>
      <c r="BD35" s="81">
        <v>0</v>
      </c>
      <c r="BE35" s="81">
        <v>0</v>
      </c>
      <c r="BF35" s="81">
        <v>0</v>
      </c>
      <c r="BG35" s="81">
        <v>0</v>
      </c>
      <c r="BH35" s="81">
        <v>0</v>
      </c>
      <c r="BI35" s="81">
        <v>2588.5700000000002</v>
      </c>
      <c r="BJ35" s="81">
        <v>695.11</v>
      </c>
      <c r="BK35" s="81">
        <v>1893.46</v>
      </c>
      <c r="BL35" s="81">
        <v>161.72</v>
      </c>
      <c r="BM35" s="81">
        <v>404.31</v>
      </c>
      <c r="BN35" s="81">
        <v>30.32</v>
      </c>
      <c r="BO35" s="81">
        <v>117.24</v>
      </c>
      <c r="BP35" s="81">
        <v>713.59</v>
      </c>
      <c r="BQ35" s="81">
        <v>3302.16</v>
      </c>
    </row>
    <row r="36" spans="1:69" x14ac:dyDescent="0.25">
      <c r="A36" s="81" t="s">
        <v>175</v>
      </c>
      <c r="B36" s="132">
        <v>46082</v>
      </c>
      <c r="C36" s="81" t="s">
        <v>78</v>
      </c>
      <c r="D36" s="81" t="s">
        <v>176</v>
      </c>
      <c r="E36" s="81" t="s">
        <v>177</v>
      </c>
      <c r="F36" s="81" t="s">
        <v>96</v>
      </c>
      <c r="G36" s="81" t="s">
        <v>97</v>
      </c>
      <c r="H36" s="81" t="s">
        <v>178</v>
      </c>
      <c r="I36" s="133">
        <v>45597</v>
      </c>
      <c r="J36" s="134"/>
      <c r="K36" s="81" t="s">
        <v>179</v>
      </c>
      <c r="L36" s="81" t="s">
        <v>180</v>
      </c>
      <c r="M36" s="81">
        <v>2591</v>
      </c>
      <c r="N36" s="81">
        <v>2591</v>
      </c>
      <c r="O36" s="81">
        <v>0</v>
      </c>
      <c r="P36" s="81">
        <f t="shared" si="0"/>
        <v>2591</v>
      </c>
      <c r="Q36" s="81">
        <v>0</v>
      </c>
      <c r="R36" s="81">
        <v>0</v>
      </c>
      <c r="S36" s="81">
        <v>0</v>
      </c>
      <c r="T36" s="81">
        <v>516.24</v>
      </c>
      <c r="U36" s="81">
        <v>0</v>
      </c>
      <c r="V36" s="81">
        <v>0</v>
      </c>
      <c r="W36" s="81">
        <v>0</v>
      </c>
      <c r="X36" s="81">
        <v>0</v>
      </c>
      <c r="Y36" s="81">
        <v>0</v>
      </c>
      <c r="Z36" s="81">
        <v>0</v>
      </c>
      <c r="AA36" s="81">
        <v>395.36</v>
      </c>
      <c r="AB36" s="81">
        <v>76.03</v>
      </c>
      <c r="AC36" s="81">
        <v>0</v>
      </c>
      <c r="AD36" s="81">
        <v>0</v>
      </c>
      <c r="AE36" s="81">
        <v>0</v>
      </c>
      <c r="AF36" s="81">
        <v>0</v>
      </c>
      <c r="AG36" s="81">
        <v>3578.63</v>
      </c>
      <c r="AH36" s="81">
        <v>0</v>
      </c>
      <c r="AI36" s="81">
        <v>0</v>
      </c>
      <c r="AJ36" s="81">
        <v>290.52</v>
      </c>
      <c r="AK36" s="81">
        <v>0</v>
      </c>
      <c r="AL36" s="81">
        <v>0</v>
      </c>
      <c r="AM36" s="81">
        <v>0</v>
      </c>
      <c r="AN36" s="81">
        <v>0</v>
      </c>
      <c r="AO36" s="81">
        <v>533.04</v>
      </c>
      <c r="AP36" s="81">
        <v>0</v>
      </c>
      <c r="AQ36" s="81">
        <v>0</v>
      </c>
      <c r="AR36" s="81">
        <v>823.56</v>
      </c>
      <c r="AS36" s="81">
        <v>0</v>
      </c>
      <c r="AT36" s="81">
        <v>0</v>
      </c>
      <c r="AU36" s="81">
        <v>0</v>
      </c>
      <c r="AV36" s="81">
        <v>650</v>
      </c>
      <c r="AW36" s="81">
        <v>0</v>
      </c>
      <c r="AX36" s="81">
        <v>0</v>
      </c>
      <c r="AY36" s="81">
        <v>0</v>
      </c>
      <c r="AZ36" s="81">
        <v>0</v>
      </c>
      <c r="BA36" s="81">
        <v>0</v>
      </c>
      <c r="BB36" s="81">
        <v>0</v>
      </c>
      <c r="BC36" s="81">
        <v>0</v>
      </c>
      <c r="BD36" s="81">
        <v>0</v>
      </c>
      <c r="BE36" s="81">
        <v>0</v>
      </c>
      <c r="BF36" s="81">
        <v>0</v>
      </c>
      <c r="BG36" s="81">
        <v>0</v>
      </c>
      <c r="BH36" s="81">
        <v>0</v>
      </c>
      <c r="BI36" s="81">
        <v>5052.1899999999996</v>
      </c>
      <c r="BJ36" s="81">
        <v>1600.47</v>
      </c>
      <c r="BK36" s="81">
        <v>3451.72</v>
      </c>
      <c r="BL36" s="81">
        <v>285.5</v>
      </c>
      <c r="BM36" s="81">
        <v>715.73</v>
      </c>
      <c r="BN36" s="81">
        <v>107.35</v>
      </c>
      <c r="BO36" s="81">
        <v>207.56</v>
      </c>
      <c r="BP36" s="81">
        <v>1316.14</v>
      </c>
      <c r="BQ36" s="81">
        <v>6368.33</v>
      </c>
    </row>
    <row r="37" spans="1:69" x14ac:dyDescent="0.25">
      <c r="A37" s="81" t="s">
        <v>181</v>
      </c>
      <c r="B37" s="132">
        <v>46082</v>
      </c>
      <c r="C37" s="81" t="s">
        <v>78</v>
      </c>
      <c r="D37" s="81" t="s">
        <v>176</v>
      </c>
      <c r="E37" s="81" t="s">
        <v>177</v>
      </c>
      <c r="F37" s="81" t="s">
        <v>96</v>
      </c>
      <c r="G37" s="81" t="s">
        <v>97</v>
      </c>
      <c r="H37" s="81" t="s">
        <v>107</v>
      </c>
      <c r="I37" s="133">
        <v>44698</v>
      </c>
      <c r="J37" s="134"/>
      <c r="K37" s="81" t="s">
        <v>179</v>
      </c>
      <c r="L37" s="81" t="s">
        <v>182</v>
      </c>
      <c r="M37" s="81">
        <v>2746.46</v>
      </c>
      <c r="N37" s="81">
        <v>2746.46</v>
      </c>
      <c r="O37" s="81">
        <v>0</v>
      </c>
      <c r="P37" s="81">
        <f t="shared" si="0"/>
        <v>2746.46</v>
      </c>
      <c r="Q37" s="81">
        <v>0</v>
      </c>
      <c r="R37" s="81">
        <v>0</v>
      </c>
      <c r="S37" s="81">
        <v>0</v>
      </c>
      <c r="T37" s="81">
        <v>549.29</v>
      </c>
      <c r="U37" s="81">
        <v>0</v>
      </c>
      <c r="V37" s="81">
        <v>0</v>
      </c>
      <c r="W37" s="81">
        <v>0</v>
      </c>
      <c r="X37" s="81">
        <v>0</v>
      </c>
      <c r="Y37" s="81">
        <v>0</v>
      </c>
      <c r="Z37" s="81">
        <v>0</v>
      </c>
      <c r="AA37" s="81">
        <v>601.1</v>
      </c>
      <c r="AB37" s="81">
        <v>115.6</v>
      </c>
      <c r="AC37" s="81">
        <v>0</v>
      </c>
      <c r="AD37" s="81">
        <v>0</v>
      </c>
      <c r="AE37" s="81">
        <v>0</v>
      </c>
      <c r="AF37" s="81">
        <v>0</v>
      </c>
      <c r="AG37" s="81">
        <v>4012.45</v>
      </c>
      <c r="AH37" s="81">
        <v>0</v>
      </c>
      <c r="AI37" s="81">
        <v>0</v>
      </c>
      <c r="AJ37" s="81">
        <v>385.2</v>
      </c>
      <c r="AK37" s="81">
        <v>0</v>
      </c>
      <c r="AL37" s="81">
        <v>0</v>
      </c>
      <c r="AM37" s="81">
        <v>0</v>
      </c>
      <c r="AN37" s="81">
        <v>0</v>
      </c>
      <c r="AO37" s="81">
        <v>533.04</v>
      </c>
      <c r="AP37" s="81">
        <v>0</v>
      </c>
      <c r="AQ37" s="81">
        <v>0</v>
      </c>
      <c r="AR37" s="81">
        <v>918.24</v>
      </c>
      <c r="AS37" s="81">
        <v>0</v>
      </c>
      <c r="AT37" s="81">
        <v>0</v>
      </c>
      <c r="AU37" s="81">
        <v>0</v>
      </c>
      <c r="AV37" s="81">
        <v>554</v>
      </c>
      <c r="AW37" s="81">
        <v>0</v>
      </c>
      <c r="AX37" s="81">
        <v>0</v>
      </c>
      <c r="AY37" s="81">
        <v>0</v>
      </c>
      <c r="AZ37" s="81">
        <v>0</v>
      </c>
      <c r="BA37" s="81">
        <v>0</v>
      </c>
      <c r="BB37" s="81">
        <v>0</v>
      </c>
      <c r="BC37" s="81">
        <v>0</v>
      </c>
      <c r="BD37" s="81">
        <v>0</v>
      </c>
      <c r="BE37" s="81">
        <v>0</v>
      </c>
      <c r="BF37" s="81">
        <v>0</v>
      </c>
      <c r="BG37" s="81">
        <v>0</v>
      </c>
      <c r="BH37" s="81">
        <v>0</v>
      </c>
      <c r="BI37" s="81">
        <v>5484.69</v>
      </c>
      <c r="BJ37" s="81">
        <v>2488.1999999999998</v>
      </c>
      <c r="BK37" s="81">
        <v>2996.49</v>
      </c>
      <c r="BL37" s="81">
        <v>320.99</v>
      </c>
      <c r="BM37" s="81">
        <v>802.49</v>
      </c>
      <c r="BN37" s="81">
        <v>120.37</v>
      </c>
      <c r="BO37" s="81">
        <v>232.72</v>
      </c>
      <c r="BP37" s="81">
        <v>1476.57</v>
      </c>
      <c r="BQ37" s="81">
        <v>6961.26</v>
      </c>
    </row>
    <row r="38" spans="1:69" hidden="1" x14ac:dyDescent="0.25">
      <c r="A38" s="81" t="s">
        <v>183</v>
      </c>
      <c r="B38" s="132">
        <v>46082</v>
      </c>
      <c r="C38" s="81" t="s">
        <v>78</v>
      </c>
      <c r="D38" s="81" t="s">
        <v>176</v>
      </c>
      <c r="E38" s="81" t="s">
        <v>177</v>
      </c>
      <c r="F38" s="81" t="s">
        <v>87</v>
      </c>
      <c r="G38" s="81" t="s">
        <v>97</v>
      </c>
      <c r="H38" s="81" t="s">
        <v>178</v>
      </c>
      <c r="I38" s="133">
        <v>44698</v>
      </c>
      <c r="J38" s="134"/>
      <c r="K38" s="81" t="s">
        <v>184</v>
      </c>
      <c r="L38" s="81" t="s">
        <v>92</v>
      </c>
      <c r="M38" s="81">
        <v>2187.12</v>
      </c>
      <c r="N38" s="81">
        <v>0</v>
      </c>
      <c r="O38" s="81">
        <v>0</v>
      </c>
      <c r="P38" s="81">
        <f t="shared" si="0"/>
        <v>0</v>
      </c>
      <c r="Q38" s="81">
        <v>0</v>
      </c>
      <c r="R38" s="81">
        <v>0</v>
      </c>
      <c r="S38" s="81">
        <v>0</v>
      </c>
      <c r="T38" s="81">
        <v>0</v>
      </c>
      <c r="U38" s="81">
        <v>0</v>
      </c>
      <c r="V38" s="81">
        <v>0</v>
      </c>
      <c r="W38" s="81">
        <v>0</v>
      </c>
      <c r="X38" s="81">
        <v>0</v>
      </c>
      <c r="Y38" s="81">
        <v>0</v>
      </c>
      <c r="Z38" s="81">
        <v>0</v>
      </c>
      <c r="AA38" s="81">
        <v>0</v>
      </c>
      <c r="AB38" s="81">
        <v>0</v>
      </c>
      <c r="AC38" s="81">
        <v>0</v>
      </c>
      <c r="AD38" s="81">
        <v>0</v>
      </c>
      <c r="AE38" s="81">
        <v>0</v>
      </c>
      <c r="AF38" s="81">
        <v>0</v>
      </c>
      <c r="AG38" s="81">
        <v>0</v>
      </c>
      <c r="AH38" s="81">
        <v>0</v>
      </c>
      <c r="AI38" s="81">
        <v>0</v>
      </c>
      <c r="AJ38" s="81">
        <v>0</v>
      </c>
      <c r="AK38" s="81">
        <v>0</v>
      </c>
      <c r="AL38" s="81">
        <v>0</v>
      </c>
      <c r="AM38" s="81">
        <v>0</v>
      </c>
      <c r="AN38" s="81">
        <v>0</v>
      </c>
      <c r="AO38" s="81">
        <v>0</v>
      </c>
      <c r="AP38" s="81">
        <v>0</v>
      </c>
      <c r="AQ38" s="81">
        <v>0</v>
      </c>
      <c r="AR38" s="81">
        <v>0</v>
      </c>
      <c r="AS38" s="81">
        <v>0</v>
      </c>
      <c r="AT38" s="81">
        <v>0</v>
      </c>
      <c r="AU38" s="81">
        <v>0</v>
      </c>
      <c r="AV38" s="81">
        <v>0</v>
      </c>
      <c r="AW38" s="81">
        <v>0</v>
      </c>
      <c r="AX38" s="81">
        <v>0</v>
      </c>
      <c r="AY38" s="81">
        <v>0</v>
      </c>
      <c r="AZ38" s="81">
        <v>0</v>
      </c>
      <c r="BA38" s="81">
        <v>0</v>
      </c>
      <c r="BB38" s="81">
        <v>0</v>
      </c>
      <c r="BC38" s="81">
        <v>0</v>
      </c>
      <c r="BD38" s="81">
        <v>0</v>
      </c>
      <c r="BE38" s="81">
        <v>0</v>
      </c>
      <c r="BF38" s="81">
        <v>0</v>
      </c>
      <c r="BG38" s="81">
        <v>0</v>
      </c>
      <c r="BH38" s="81">
        <v>0</v>
      </c>
      <c r="BI38" s="81">
        <v>0</v>
      </c>
      <c r="BJ38" s="81">
        <v>0</v>
      </c>
      <c r="BK38" s="81">
        <v>0</v>
      </c>
      <c r="BL38" s="81">
        <v>0</v>
      </c>
      <c r="BM38" s="81">
        <v>0</v>
      </c>
      <c r="BN38" s="81">
        <v>0</v>
      </c>
      <c r="BO38" s="81">
        <v>0</v>
      </c>
      <c r="BP38" s="81">
        <v>0</v>
      </c>
      <c r="BQ38" s="81">
        <v>0</v>
      </c>
    </row>
    <row r="39" spans="1:69" hidden="1" x14ac:dyDescent="0.25">
      <c r="A39" s="81" t="s">
        <v>185</v>
      </c>
      <c r="B39" s="132">
        <v>46082</v>
      </c>
      <c r="C39" s="81" t="s">
        <v>78</v>
      </c>
      <c r="D39" s="81" t="s">
        <v>176</v>
      </c>
      <c r="E39" s="81" t="s">
        <v>177</v>
      </c>
      <c r="F39" s="81" t="s">
        <v>87</v>
      </c>
      <c r="G39" s="81" t="s">
        <v>88</v>
      </c>
      <c r="H39" s="81" t="s">
        <v>178</v>
      </c>
      <c r="I39" s="133">
        <v>46083</v>
      </c>
      <c r="J39" s="134"/>
      <c r="K39" s="81" t="s">
        <v>184</v>
      </c>
      <c r="L39" s="81" t="s">
        <v>120</v>
      </c>
      <c r="M39" s="81">
        <v>3158.66</v>
      </c>
      <c r="N39" s="81">
        <v>3158.66</v>
      </c>
      <c r="O39" s="81">
        <v>0</v>
      </c>
      <c r="P39" s="81">
        <f t="shared" si="0"/>
        <v>3158.66</v>
      </c>
      <c r="Q39" s="81">
        <v>0</v>
      </c>
      <c r="R39" s="81">
        <v>0</v>
      </c>
      <c r="S39" s="81">
        <v>0</v>
      </c>
      <c r="T39" s="81">
        <v>611.35</v>
      </c>
      <c r="U39" s="81">
        <v>0</v>
      </c>
      <c r="V39" s="81">
        <v>0</v>
      </c>
      <c r="W39" s="81">
        <v>0</v>
      </c>
      <c r="X39" s="81">
        <v>0</v>
      </c>
      <c r="Y39" s="81">
        <v>0</v>
      </c>
      <c r="Z39" s="81">
        <v>0</v>
      </c>
      <c r="AA39" s="81">
        <v>73.88</v>
      </c>
      <c r="AB39" s="81">
        <v>11.37</v>
      </c>
      <c r="AC39" s="81">
        <v>0</v>
      </c>
      <c r="AD39" s="81">
        <v>0</v>
      </c>
      <c r="AE39" s="81">
        <v>0</v>
      </c>
      <c r="AF39" s="81">
        <v>0</v>
      </c>
      <c r="AG39" s="81">
        <v>3855.26</v>
      </c>
      <c r="AH39" s="81">
        <v>0</v>
      </c>
      <c r="AI39" s="81">
        <v>0</v>
      </c>
      <c r="AJ39" s="81">
        <v>0</v>
      </c>
      <c r="AK39" s="81">
        <v>0</v>
      </c>
      <c r="AL39" s="81">
        <v>0</v>
      </c>
      <c r="AM39" s="81">
        <v>0</v>
      </c>
      <c r="AN39" s="81">
        <v>0</v>
      </c>
      <c r="AO39" s="81">
        <v>533.04</v>
      </c>
      <c r="AP39" s="81">
        <v>0</v>
      </c>
      <c r="AQ39" s="81">
        <v>0</v>
      </c>
      <c r="AR39" s="81">
        <v>533.04</v>
      </c>
      <c r="AS39" s="81">
        <v>0</v>
      </c>
      <c r="AT39" s="81">
        <v>500</v>
      </c>
      <c r="AU39" s="81">
        <v>0</v>
      </c>
      <c r="AV39" s="81">
        <v>0</v>
      </c>
      <c r="AW39" s="81">
        <v>0</v>
      </c>
      <c r="AX39" s="81">
        <v>0</v>
      </c>
      <c r="AY39" s="81">
        <v>0</v>
      </c>
      <c r="AZ39" s="81">
        <v>0</v>
      </c>
      <c r="BA39" s="81">
        <v>0</v>
      </c>
      <c r="BB39" s="81">
        <v>0</v>
      </c>
      <c r="BC39" s="81">
        <v>0</v>
      </c>
      <c r="BD39" s="81">
        <v>0</v>
      </c>
      <c r="BE39" s="81">
        <v>0</v>
      </c>
      <c r="BF39" s="81">
        <v>0</v>
      </c>
      <c r="BG39" s="81">
        <v>0</v>
      </c>
      <c r="BH39" s="81">
        <v>0</v>
      </c>
      <c r="BI39" s="81">
        <v>4888.3</v>
      </c>
      <c r="BJ39" s="81">
        <v>1865.22</v>
      </c>
      <c r="BK39" s="81">
        <v>3023.08</v>
      </c>
      <c r="BL39" s="81">
        <v>308.42</v>
      </c>
      <c r="BM39" s="81">
        <v>771.05</v>
      </c>
      <c r="BN39" s="81">
        <v>115.65</v>
      </c>
      <c r="BO39" s="81">
        <v>223.6</v>
      </c>
      <c r="BP39" s="81">
        <v>1418.72</v>
      </c>
      <c r="BQ39" s="81">
        <v>6307.02</v>
      </c>
    </row>
    <row r="40" spans="1:69" hidden="1" x14ac:dyDescent="0.25">
      <c r="A40" s="81" t="s">
        <v>186</v>
      </c>
      <c r="B40" s="132">
        <v>46082</v>
      </c>
      <c r="C40" s="81" t="s">
        <v>78</v>
      </c>
      <c r="D40" s="81" t="s">
        <v>187</v>
      </c>
      <c r="E40" s="81" t="s">
        <v>188</v>
      </c>
      <c r="F40" s="81" t="s">
        <v>87</v>
      </c>
      <c r="G40" s="81" t="s">
        <v>88</v>
      </c>
      <c r="H40" s="81" t="s">
        <v>83</v>
      </c>
      <c r="I40" s="133">
        <v>45532</v>
      </c>
      <c r="J40" s="134"/>
      <c r="K40" s="81" t="s">
        <v>89</v>
      </c>
      <c r="L40" s="81" t="s">
        <v>102</v>
      </c>
      <c r="M40" s="81">
        <v>2610</v>
      </c>
      <c r="N40" s="81">
        <v>2610</v>
      </c>
      <c r="O40" s="81">
        <v>0</v>
      </c>
      <c r="P40" s="81">
        <f t="shared" si="0"/>
        <v>2610</v>
      </c>
      <c r="Q40" s="81">
        <v>0</v>
      </c>
      <c r="R40" s="81">
        <v>0</v>
      </c>
      <c r="S40" s="81">
        <v>0</v>
      </c>
      <c r="T40" s="81">
        <v>513.58000000000004</v>
      </c>
      <c r="U40" s="81">
        <v>0</v>
      </c>
      <c r="V40" s="81">
        <v>0</v>
      </c>
      <c r="W40" s="81">
        <v>0</v>
      </c>
      <c r="X40" s="81">
        <v>0</v>
      </c>
      <c r="Y40" s="81">
        <v>0</v>
      </c>
      <c r="Z40" s="81">
        <v>0</v>
      </c>
      <c r="AA40" s="81">
        <v>512.79</v>
      </c>
      <c r="AB40" s="81">
        <v>98.61</v>
      </c>
      <c r="AC40" s="81">
        <v>0</v>
      </c>
      <c r="AD40" s="81">
        <v>0</v>
      </c>
      <c r="AE40" s="81">
        <v>0</v>
      </c>
      <c r="AF40" s="81">
        <v>0</v>
      </c>
      <c r="AG40" s="81">
        <v>3734.98</v>
      </c>
      <c r="AH40" s="81">
        <v>0</v>
      </c>
      <c r="AI40" s="81">
        <v>0</v>
      </c>
      <c r="AJ40" s="81">
        <v>0</v>
      </c>
      <c r="AK40" s="81">
        <v>0</v>
      </c>
      <c r="AL40" s="81">
        <v>0</v>
      </c>
      <c r="AM40" s="81">
        <v>0</v>
      </c>
      <c r="AN40" s="81">
        <v>0</v>
      </c>
      <c r="AO40" s="81">
        <v>529.48</v>
      </c>
      <c r="AP40" s="81">
        <v>0</v>
      </c>
      <c r="AQ40" s="81">
        <v>0</v>
      </c>
      <c r="AR40" s="81">
        <v>529.48</v>
      </c>
      <c r="AS40" s="81">
        <v>0</v>
      </c>
      <c r="AT40" s="81">
        <v>0</v>
      </c>
      <c r="AU40" s="81">
        <v>0</v>
      </c>
      <c r="AV40" s="81">
        <v>0</v>
      </c>
      <c r="AW40" s="81">
        <v>0</v>
      </c>
      <c r="AX40" s="81">
        <v>0</v>
      </c>
      <c r="AY40" s="81">
        <v>0</v>
      </c>
      <c r="AZ40" s="81">
        <v>0</v>
      </c>
      <c r="BA40" s="81">
        <v>0</v>
      </c>
      <c r="BB40" s="81">
        <v>0</v>
      </c>
      <c r="BC40" s="81">
        <v>0</v>
      </c>
      <c r="BD40" s="81">
        <v>0</v>
      </c>
      <c r="BE40" s="81">
        <v>0</v>
      </c>
      <c r="BF40" s="81">
        <v>0</v>
      </c>
      <c r="BG40" s="81">
        <v>0</v>
      </c>
      <c r="BH40" s="81">
        <v>0</v>
      </c>
      <c r="BI40" s="81">
        <v>4264.46</v>
      </c>
      <c r="BJ40" s="81">
        <v>1417.85</v>
      </c>
      <c r="BK40" s="81">
        <v>2846.61</v>
      </c>
      <c r="BL40" s="81">
        <v>295.42</v>
      </c>
      <c r="BM40" s="81">
        <v>747</v>
      </c>
      <c r="BN40" s="81">
        <v>112.04</v>
      </c>
      <c r="BO40" s="81">
        <v>216.62</v>
      </c>
      <c r="BP40" s="81">
        <v>1371.08</v>
      </c>
      <c r="BQ40" s="81">
        <v>5635.54</v>
      </c>
    </row>
    <row r="41" spans="1:69" x14ac:dyDescent="0.25">
      <c r="A41" s="81" t="s">
        <v>189</v>
      </c>
      <c r="B41" s="132">
        <v>46082</v>
      </c>
      <c r="C41" s="81" t="s">
        <v>78</v>
      </c>
      <c r="D41" s="81" t="s">
        <v>187</v>
      </c>
      <c r="E41" s="81" t="s">
        <v>188</v>
      </c>
      <c r="F41" s="81" t="s">
        <v>96</v>
      </c>
      <c r="G41" s="81" t="s">
        <v>97</v>
      </c>
      <c r="H41" s="81" t="s">
        <v>83</v>
      </c>
      <c r="I41" s="133">
        <v>45261</v>
      </c>
      <c r="J41" s="134"/>
      <c r="K41" s="81" t="s">
        <v>190</v>
      </c>
      <c r="L41" s="81" t="s">
        <v>135</v>
      </c>
      <c r="M41" s="81">
        <v>3345</v>
      </c>
      <c r="N41" s="81">
        <v>3345</v>
      </c>
      <c r="O41" s="81">
        <v>0</v>
      </c>
      <c r="P41" s="81">
        <f t="shared" si="0"/>
        <v>3345</v>
      </c>
      <c r="Q41" s="81">
        <v>0</v>
      </c>
      <c r="R41" s="81">
        <v>0</v>
      </c>
      <c r="S41" s="81">
        <v>0</v>
      </c>
      <c r="T41" s="81">
        <v>666.06</v>
      </c>
      <c r="U41" s="81">
        <v>0</v>
      </c>
      <c r="V41" s="81">
        <v>0</v>
      </c>
      <c r="W41" s="81">
        <v>0</v>
      </c>
      <c r="X41" s="81">
        <v>0</v>
      </c>
      <c r="Y41" s="81">
        <v>0</v>
      </c>
      <c r="Z41" s="81">
        <v>0</v>
      </c>
      <c r="AA41" s="81">
        <v>413.08</v>
      </c>
      <c r="AB41" s="81">
        <v>79.44</v>
      </c>
      <c r="AC41" s="81">
        <v>0</v>
      </c>
      <c r="AD41" s="81">
        <v>0</v>
      </c>
      <c r="AE41" s="81">
        <v>0</v>
      </c>
      <c r="AF41" s="81">
        <v>0</v>
      </c>
      <c r="AG41" s="81">
        <v>4503.58</v>
      </c>
      <c r="AH41" s="81">
        <v>0</v>
      </c>
      <c r="AI41" s="81">
        <v>0</v>
      </c>
      <c r="AJ41" s="81">
        <v>341.04</v>
      </c>
      <c r="AK41" s="81">
        <v>0</v>
      </c>
      <c r="AL41" s="81">
        <v>0</v>
      </c>
      <c r="AM41" s="81">
        <v>0</v>
      </c>
      <c r="AN41" s="81">
        <v>0</v>
      </c>
      <c r="AO41" s="81">
        <v>529.48</v>
      </c>
      <c r="AP41" s="81">
        <v>0</v>
      </c>
      <c r="AQ41" s="81">
        <v>0</v>
      </c>
      <c r="AR41" s="81">
        <v>870.52</v>
      </c>
      <c r="AS41" s="81">
        <v>0</v>
      </c>
      <c r="AT41" s="81">
        <v>0</v>
      </c>
      <c r="AU41" s="81">
        <v>0</v>
      </c>
      <c r="AV41" s="81">
        <v>115.5</v>
      </c>
      <c r="AW41" s="81">
        <v>0</v>
      </c>
      <c r="AX41" s="81">
        <v>0</v>
      </c>
      <c r="AY41" s="81">
        <v>0</v>
      </c>
      <c r="AZ41" s="81">
        <v>0</v>
      </c>
      <c r="BA41" s="81">
        <v>0</v>
      </c>
      <c r="BB41" s="81">
        <v>0</v>
      </c>
      <c r="BC41" s="81">
        <v>0</v>
      </c>
      <c r="BD41" s="81">
        <v>0</v>
      </c>
      <c r="BE41" s="81">
        <v>0</v>
      </c>
      <c r="BF41" s="81">
        <v>0</v>
      </c>
      <c r="BG41" s="81">
        <v>0</v>
      </c>
      <c r="BH41" s="81">
        <v>0</v>
      </c>
      <c r="BI41" s="81">
        <v>5489.6</v>
      </c>
      <c r="BJ41" s="81">
        <v>577.72</v>
      </c>
      <c r="BK41" s="81">
        <v>4911.88</v>
      </c>
      <c r="BL41" s="81">
        <v>359.11</v>
      </c>
      <c r="BM41" s="81">
        <v>900.72</v>
      </c>
      <c r="BN41" s="81">
        <v>135.1</v>
      </c>
      <c r="BO41" s="81">
        <v>261.2</v>
      </c>
      <c r="BP41" s="81">
        <v>1656.13</v>
      </c>
      <c r="BQ41" s="81">
        <v>7145.73</v>
      </c>
    </row>
    <row r="42" spans="1:69" hidden="1" x14ac:dyDescent="0.25">
      <c r="A42" s="81" t="s">
        <v>191</v>
      </c>
      <c r="B42" s="132">
        <v>46082</v>
      </c>
      <c r="C42" s="81" t="s">
        <v>78</v>
      </c>
      <c r="D42" s="81" t="s">
        <v>187</v>
      </c>
      <c r="E42" s="81" t="s">
        <v>188</v>
      </c>
      <c r="F42" s="81" t="s">
        <v>87</v>
      </c>
      <c r="G42" s="81" t="s">
        <v>88</v>
      </c>
      <c r="H42" s="81" t="s">
        <v>83</v>
      </c>
      <c r="I42" s="133">
        <v>45594</v>
      </c>
      <c r="J42" s="134"/>
      <c r="K42" s="81" t="s">
        <v>89</v>
      </c>
      <c r="L42" s="81" t="s">
        <v>102</v>
      </c>
      <c r="M42" s="81">
        <v>2610</v>
      </c>
      <c r="N42" s="81">
        <v>2610</v>
      </c>
      <c r="O42" s="81">
        <v>0</v>
      </c>
      <c r="P42" s="81">
        <f t="shared" si="0"/>
        <v>2610</v>
      </c>
      <c r="Q42" s="81">
        <v>0</v>
      </c>
      <c r="R42" s="81">
        <v>0</v>
      </c>
      <c r="S42" s="81">
        <v>0</v>
      </c>
      <c r="T42" s="81">
        <v>522</v>
      </c>
      <c r="U42" s="81">
        <v>0</v>
      </c>
      <c r="V42" s="81">
        <v>0</v>
      </c>
      <c r="W42" s="81">
        <v>0</v>
      </c>
      <c r="X42" s="81">
        <v>0</v>
      </c>
      <c r="Y42" s="81">
        <v>0</v>
      </c>
      <c r="Z42" s="81">
        <v>0</v>
      </c>
      <c r="AA42" s="81">
        <v>614.16</v>
      </c>
      <c r="AB42" s="81">
        <v>118.11</v>
      </c>
      <c r="AC42" s="81">
        <v>0</v>
      </c>
      <c r="AD42" s="81">
        <v>0</v>
      </c>
      <c r="AE42" s="81">
        <v>0</v>
      </c>
      <c r="AF42" s="81">
        <v>0</v>
      </c>
      <c r="AG42" s="81">
        <v>3864.27</v>
      </c>
      <c r="AH42" s="81">
        <v>0</v>
      </c>
      <c r="AI42" s="81">
        <v>0</v>
      </c>
      <c r="AJ42" s="81">
        <v>0</v>
      </c>
      <c r="AK42" s="81">
        <v>0</v>
      </c>
      <c r="AL42" s="81">
        <v>0</v>
      </c>
      <c r="AM42" s="81">
        <v>0</v>
      </c>
      <c r="AN42" s="81">
        <v>0</v>
      </c>
      <c r="AO42" s="81">
        <v>529.48</v>
      </c>
      <c r="AP42" s="81">
        <v>0</v>
      </c>
      <c r="AQ42" s="81">
        <v>0</v>
      </c>
      <c r="AR42" s="81">
        <v>529.48</v>
      </c>
      <c r="AS42" s="81">
        <v>0</v>
      </c>
      <c r="AT42" s="81">
        <v>0</v>
      </c>
      <c r="AU42" s="81">
        <v>0</v>
      </c>
      <c r="AV42" s="81">
        <v>0</v>
      </c>
      <c r="AW42" s="81">
        <v>0</v>
      </c>
      <c r="AX42" s="81">
        <v>0</v>
      </c>
      <c r="AY42" s="81">
        <v>0</v>
      </c>
      <c r="AZ42" s="81">
        <v>0</v>
      </c>
      <c r="BA42" s="81">
        <v>0</v>
      </c>
      <c r="BB42" s="81">
        <v>0</v>
      </c>
      <c r="BC42" s="81">
        <v>0</v>
      </c>
      <c r="BD42" s="81">
        <v>0</v>
      </c>
      <c r="BE42" s="81">
        <v>0</v>
      </c>
      <c r="BF42" s="81">
        <v>0</v>
      </c>
      <c r="BG42" s="81">
        <v>0</v>
      </c>
      <c r="BH42" s="81">
        <v>0</v>
      </c>
      <c r="BI42" s="81">
        <v>4393.75</v>
      </c>
      <c r="BJ42" s="81">
        <v>1689.74</v>
      </c>
      <c r="BK42" s="81">
        <v>2704.01</v>
      </c>
      <c r="BL42" s="81">
        <v>309.14</v>
      </c>
      <c r="BM42" s="81">
        <v>772.85</v>
      </c>
      <c r="BN42" s="81">
        <v>115.92</v>
      </c>
      <c r="BO42" s="81">
        <v>224.12</v>
      </c>
      <c r="BP42" s="81">
        <v>1422.03</v>
      </c>
      <c r="BQ42" s="81">
        <v>5815.78</v>
      </c>
    </row>
    <row r="43" spans="1:69" hidden="1" x14ac:dyDescent="0.25">
      <c r="A43" s="81" t="s">
        <v>192</v>
      </c>
      <c r="B43" s="132">
        <v>46082</v>
      </c>
      <c r="C43" s="81" t="s">
        <v>78</v>
      </c>
      <c r="D43" s="81" t="s">
        <v>193</v>
      </c>
      <c r="E43" s="81" t="s">
        <v>194</v>
      </c>
      <c r="F43" s="81" t="s">
        <v>195</v>
      </c>
      <c r="G43" s="81" t="s">
        <v>81</v>
      </c>
      <c r="H43" s="81" t="s">
        <v>115</v>
      </c>
      <c r="I43" s="133">
        <v>46055</v>
      </c>
      <c r="J43" s="134"/>
      <c r="K43" s="81" t="s">
        <v>196</v>
      </c>
      <c r="L43" s="81" t="s">
        <v>197</v>
      </c>
      <c r="M43" s="81">
        <v>2500</v>
      </c>
      <c r="N43" s="81">
        <v>2500</v>
      </c>
      <c r="O43" s="81">
        <v>0</v>
      </c>
      <c r="P43" s="81">
        <f t="shared" si="0"/>
        <v>2500</v>
      </c>
      <c r="Q43" s="81">
        <v>0</v>
      </c>
      <c r="R43" s="81">
        <v>0</v>
      </c>
      <c r="S43" s="81">
        <v>0</v>
      </c>
      <c r="T43" s="81">
        <v>0</v>
      </c>
      <c r="U43" s="81">
        <v>0</v>
      </c>
      <c r="V43" s="81">
        <v>0</v>
      </c>
      <c r="W43" s="81">
        <v>0</v>
      </c>
      <c r="X43" s="81">
        <v>0</v>
      </c>
      <c r="Y43" s="81">
        <v>0</v>
      </c>
      <c r="Z43" s="81">
        <v>0</v>
      </c>
      <c r="AA43" s="81">
        <v>0</v>
      </c>
      <c r="AB43" s="81">
        <v>0</v>
      </c>
      <c r="AC43" s="81">
        <v>0</v>
      </c>
      <c r="AD43" s="81">
        <v>0</v>
      </c>
      <c r="AE43" s="81">
        <v>0</v>
      </c>
      <c r="AF43" s="81">
        <v>0</v>
      </c>
      <c r="AG43" s="81">
        <v>2500</v>
      </c>
      <c r="AH43" s="81">
        <v>0</v>
      </c>
      <c r="AI43" s="81">
        <v>0</v>
      </c>
      <c r="AJ43" s="81">
        <v>0</v>
      </c>
      <c r="AK43" s="81">
        <v>0</v>
      </c>
      <c r="AL43" s="81">
        <v>0</v>
      </c>
      <c r="AM43" s="81">
        <v>400</v>
      </c>
      <c r="AN43" s="81">
        <v>0</v>
      </c>
      <c r="AO43" s="81">
        <v>0</v>
      </c>
      <c r="AP43" s="81">
        <v>0</v>
      </c>
      <c r="AQ43" s="81">
        <v>0</v>
      </c>
      <c r="AR43" s="81">
        <v>400</v>
      </c>
      <c r="AS43" s="81">
        <v>0</v>
      </c>
      <c r="AT43" s="81">
        <v>0</v>
      </c>
      <c r="AU43" s="81">
        <v>0</v>
      </c>
      <c r="AV43" s="81">
        <v>0</v>
      </c>
      <c r="AW43" s="81">
        <v>0</v>
      </c>
      <c r="AX43" s="81">
        <v>0</v>
      </c>
      <c r="AY43" s="81">
        <v>0</v>
      </c>
      <c r="AZ43" s="81">
        <v>0</v>
      </c>
      <c r="BA43" s="81">
        <v>0</v>
      </c>
      <c r="BB43" s="81">
        <v>0</v>
      </c>
      <c r="BC43" s="81">
        <v>0</v>
      </c>
      <c r="BD43" s="81">
        <v>0</v>
      </c>
      <c r="BE43" s="81">
        <v>0</v>
      </c>
      <c r="BF43" s="81">
        <v>0</v>
      </c>
      <c r="BG43" s="81">
        <v>0</v>
      </c>
      <c r="BH43" s="81">
        <v>0</v>
      </c>
      <c r="BI43" s="81">
        <v>2900</v>
      </c>
      <c r="BJ43" s="81">
        <v>233.18</v>
      </c>
      <c r="BK43" s="81">
        <v>2666.82</v>
      </c>
      <c r="BL43" s="81">
        <v>200</v>
      </c>
      <c r="BM43" s="81">
        <v>500</v>
      </c>
      <c r="BN43" s="81">
        <v>37.5</v>
      </c>
      <c r="BO43" s="81">
        <v>145</v>
      </c>
      <c r="BP43" s="81">
        <v>882.5</v>
      </c>
      <c r="BQ43" s="81">
        <v>3782.5</v>
      </c>
    </row>
    <row r="44" spans="1:69" hidden="1" x14ac:dyDescent="0.25">
      <c r="A44" s="81" t="s">
        <v>198</v>
      </c>
      <c r="B44" s="132">
        <v>46082</v>
      </c>
      <c r="C44" s="81" t="s">
        <v>78</v>
      </c>
      <c r="D44" s="81" t="s">
        <v>199</v>
      </c>
      <c r="E44" s="81" t="s">
        <v>200</v>
      </c>
      <c r="F44" s="81" t="s">
        <v>201</v>
      </c>
      <c r="G44" s="81" t="s">
        <v>202</v>
      </c>
      <c r="H44" s="81" t="s">
        <v>203</v>
      </c>
      <c r="I44" s="133">
        <v>43692</v>
      </c>
      <c r="J44" s="134"/>
      <c r="K44" s="81" t="s">
        <v>204</v>
      </c>
      <c r="L44" s="81" t="s">
        <v>205</v>
      </c>
      <c r="M44" s="81">
        <v>4568.75</v>
      </c>
      <c r="N44" s="81">
        <v>4568.75</v>
      </c>
      <c r="O44" s="81">
        <v>0</v>
      </c>
      <c r="P44" s="81">
        <f t="shared" si="0"/>
        <v>4568.75</v>
      </c>
      <c r="Q44" s="81">
        <v>0</v>
      </c>
      <c r="R44" s="81">
        <v>0</v>
      </c>
      <c r="S44" s="81">
        <v>0</v>
      </c>
      <c r="T44" s="81">
        <v>0</v>
      </c>
      <c r="U44" s="81">
        <v>0</v>
      </c>
      <c r="V44" s="81">
        <v>0</v>
      </c>
      <c r="W44" s="81">
        <v>0</v>
      </c>
      <c r="X44" s="81">
        <v>0</v>
      </c>
      <c r="Y44" s="81">
        <v>0</v>
      </c>
      <c r="Z44" s="81">
        <v>0</v>
      </c>
      <c r="AA44" s="81">
        <v>0</v>
      </c>
      <c r="AB44" s="81">
        <v>0</v>
      </c>
      <c r="AC44" s="81">
        <v>0</v>
      </c>
      <c r="AD44" s="81">
        <v>0</v>
      </c>
      <c r="AE44" s="81">
        <v>0</v>
      </c>
      <c r="AF44" s="81">
        <v>0</v>
      </c>
      <c r="AG44" s="81">
        <v>4568.75</v>
      </c>
      <c r="AH44" s="81">
        <v>0</v>
      </c>
      <c r="AI44" s="81">
        <v>0</v>
      </c>
      <c r="AJ44" s="81">
        <v>0</v>
      </c>
      <c r="AK44" s="81">
        <v>0</v>
      </c>
      <c r="AL44" s="81">
        <v>0</v>
      </c>
      <c r="AM44" s="81">
        <v>0</v>
      </c>
      <c r="AN44" s="81">
        <v>0</v>
      </c>
      <c r="AO44" s="81">
        <v>0</v>
      </c>
      <c r="AP44" s="81">
        <v>0</v>
      </c>
      <c r="AQ44" s="81">
        <v>0</v>
      </c>
      <c r="AR44" s="81">
        <v>0</v>
      </c>
      <c r="AS44" s="81">
        <v>0</v>
      </c>
      <c r="AT44" s="81">
        <v>0</v>
      </c>
      <c r="AU44" s="81">
        <v>0</v>
      </c>
      <c r="AV44" s="81">
        <v>0</v>
      </c>
      <c r="AW44" s="81">
        <v>0</v>
      </c>
      <c r="AX44" s="81">
        <v>0</v>
      </c>
      <c r="AY44" s="81">
        <v>0</v>
      </c>
      <c r="AZ44" s="81">
        <v>0</v>
      </c>
      <c r="BA44" s="81">
        <v>165.44</v>
      </c>
      <c r="BB44" s="81">
        <v>0</v>
      </c>
      <c r="BC44" s="81">
        <v>0</v>
      </c>
      <c r="BD44" s="81">
        <v>0</v>
      </c>
      <c r="BE44" s="81">
        <v>0</v>
      </c>
      <c r="BF44" s="81">
        <v>0</v>
      </c>
      <c r="BG44" s="81">
        <v>0</v>
      </c>
      <c r="BH44" s="81">
        <v>0</v>
      </c>
      <c r="BI44" s="81">
        <v>4734.1899999999996</v>
      </c>
      <c r="BJ44" s="81">
        <v>3619.12</v>
      </c>
      <c r="BK44" s="81">
        <v>1115.07</v>
      </c>
      <c r="BL44" s="81">
        <v>365.5</v>
      </c>
      <c r="BM44" s="81">
        <v>913.75</v>
      </c>
      <c r="BN44" s="81">
        <v>137.06</v>
      </c>
      <c r="BO44" s="81">
        <v>264.98</v>
      </c>
      <c r="BP44" s="81">
        <v>1681.29</v>
      </c>
      <c r="BQ44" s="81">
        <v>6415.48</v>
      </c>
    </row>
    <row r="45" spans="1:69" hidden="1" x14ac:dyDescent="0.25">
      <c r="A45" s="81" t="s">
        <v>206</v>
      </c>
      <c r="B45" s="132">
        <v>46082</v>
      </c>
      <c r="C45" s="81" t="s">
        <v>78</v>
      </c>
      <c r="D45" s="81" t="s">
        <v>199</v>
      </c>
      <c r="E45" s="81" t="s">
        <v>200</v>
      </c>
      <c r="F45" s="81" t="s">
        <v>81</v>
      </c>
      <c r="G45" s="81" t="s">
        <v>207</v>
      </c>
      <c r="H45" s="81" t="s">
        <v>203</v>
      </c>
      <c r="I45" s="133">
        <v>45552</v>
      </c>
      <c r="J45" s="134"/>
      <c r="K45" s="81" t="s">
        <v>208</v>
      </c>
      <c r="L45" s="81" t="s">
        <v>209</v>
      </c>
      <c r="M45" s="81">
        <v>2656.25</v>
      </c>
      <c r="N45" s="81">
        <v>2567.71</v>
      </c>
      <c r="O45" s="81">
        <v>88.54</v>
      </c>
      <c r="P45" s="81">
        <f t="shared" si="0"/>
        <v>2656.25</v>
      </c>
      <c r="Q45" s="81">
        <v>0</v>
      </c>
      <c r="R45" s="81">
        <v>0</v>
      </c>
      <c r="S45" s="81">
        <v>0</v>
      </c>
      <c r="T45" s="81">
        <v>0</v>
      </c>
      <c r="U45" s="81">
        <v>0</v>
      </c>
      <c r="V45" s="81">
        <v>0</v>
      </c>
      <c r="W45" s="81">
        <v>0</v>
      </c>
      <c r="X45" s="81">
        <v>0</v>
      </c>
      <c r="Y45" s="81">
        <v>0</v>
      </c>
      <c r="Z45" s="81">
        <v>0</v>
      </c>
      <c r="AA45" s="81">
        <v>0</v>
      </c>
      <c r="AB45" s="81">
        <v>0</v>
      </c>
      <c r="AC45" s="81">
        <v>0</v>
      </c>
      <c r="AD45" s="81">
        <v>0</v>
      </c>
      <c r="AE45" s="81">
        <v>0</v>
      </c>
      <c r="AF45" s="81">
        <v>0</v>
      </c>
      <c r="AG45" s="81">
        <v>2656.25</v>
      </c>
      <c r="AH45" s="81">
        <v>0</v>
      </c>
      <c r="AI45" s="81">
        <v>0</v>
      </c>
      <c r="AJ45" s="81">
        <v>0</v>
      </c>
      <c r="AK45" s="81">
        <v>0</v>
      </c>
      <c r="AL45" s="81">
        <v>0</v>
      </c>
      <c r="AM45" s="81">
        <v>0</v>
      </c>
      <c r="AN45" s="81">
        <v>0</v>
      </c>
      <c r="AO45" s="81">
        <v>0</v>
      </c>
      <c r="AP45" s="81">
        <v>0</v>
      </c>
      <c r="AQ45" s="81">
        <v>0</v>
      </c>
      <c r="AR45" s="81">
        <v>0</v>
      </c>
      <c r="AS45" s="81">
        <v>0</v>
      </c>
      <c r="AT45" s="81">
        <v>0</v>
      </c>
      <c r="AU45" s="81">
        <v>0</v>
      </c>
      <c r="AV45" s="81">
        <v>0</v>
      </c>
      <c r="AW45" s="81">
        <v>0</v>
      </c>
      <c r="AX45" s="81">
        <v>0</v>
      </c>
      <c r="AY45" s="81">
        <v>0</v>
      </c>
      <c r="AZ45" s="81">
        <v>0</v>
      </c>
      <c r="BA45" s="81">
        <v>165.44</v>
      </c>
      <c r="BB45" s="81">
        <v>0</v>
      </c>
      <c r="BC45" s="81">
        <v>0</v>
      </c>
      <c r="BD45" s="81">
        <v>0</v>
      </c>
      <c r="BE45" s="81">
        <v>0</v>
      </c>
      <c r="BF45" s="81">
        <v>0</v>
      </c>
      <c r="BG45" s="81">
        <v>0</v>
      </c>
      <c r="BH45" s="81">
        <v>0</v>
      </c>
      <c r="BI45" s="81">
        <v>2821.69</v>
      </c>
      <c r="BJ45" s="81">
        <v>1277.74</v>
      </c>
      <c r="BK45" s="81">
        <v>1543.95</v>
      </c>
      <c r="BL45" s="81">
        <v>212.5</v>
      </c>
      <c r="BM45" s="81">
        <v>531.25</v>
      </c>
      <c r="BN45" s="81">
        <v>79.680000000000007</v>
      </c>
      <c r="BO45" s="81">
        <v>154.06</v>
      </c>
      <c r="BP45" s="81">
        <v>977.49</v>
      </c>
      <c r="BQ45" s="81">
        <v>3799.18</v>
      </c>
    </row>
    <row r="46" spans="1:69" hidden="1" x14ac:dyDescent="0.25">
      <c r="A46" s="81" t="s">
        <v>210</v>
      </c>
      <c r="B46" s="132">
        <v>46082</v>
      </c>
      <c r="C46" s="81" t="s">
        <v>78</v>
      </c>
      <c r="D46" s="81" t="s">
        <v>199</v>
      </c>
      <c r="E46" s="81" t="s">
        <v>200</v>
      </c>
      <c r="F46" s="81" t="s">
        <v>195</v>
      </c>
      <c r="G46" s="81" t="s">
        <v>195</v>
      </c>
      <c r="H46" s="81" t="s">
        <v>107</v>
      </c>
      <c r="I46" s="133">
        <v>45628</v>
      </c>
      <c r="J46" s="134"/>
      <c r="K46" s="81" t="s">
        <v>211</v>
      </c>
      <c r="L46" s="81" t="s">
        <v>212</v>
      </c>
      <c r="M46" s="81">
        <v>2098</v>
      </c>
      <c r="N46" s="81">
        <v>2098</v>
      </c>
      <c r="O46" s="81">
        <v>0</v>
      </c>
      <c r="P46" s="81">
        <f t="shared" si="0"/>
        <v>2098</v>
      </c>
      <c r="Q46" s="81">
        <v>0</v>
      </c>
      <c r="R46" s="81">
        <v>0</v>
      </c>
      <c r="S46" s="81">
        <v>0</v>
      </c>
      <c r="T46" s="81">
        <v>0</v>
      </c>
      <c r="U46" s="81">
        <v>0</v>
      </c>
      <c r="V46" s="81">
        <v>0</v>
      </c>
      <c r="W46" s="81">
        <v>0</v>
      </c>
      <c r="X46" s="81">
        <v>0</v>
      </c>
      <c r="Y46" s="81">
        <v>0</v>
      </c>
      <c r="Z46" s="81">
        <v>0</v>
      </c>
      <c r="AA46" s="81">
        <v>0</v>
      </c>
      <c r="AB46" s="81">
        <v>0</v>
      </c>
      <c r="AC46" s="81">
        <v>0</v>
      </c>
      <c r="AD46" s="81">
        <v>0</v>
      </c>
      <c r="AE46" s="81">
        <v>0</v>
      </c>
      <c r="AF46" s="81">
        <v>0</v>
      </c>
      <c r="AG46" s="81">
        <v>2098</v>
      </c>
      <c r="AH46" s="81">
        <v>0</v>
      </c>
      <c r="AI46" s="81">
        <v>0</v>
      </c>
      <c r="AJ46" s="81">
        <v>0</v>
      </c>
      <c r="AK46" s="81">
        <v>0</v>
      </c>
      <c r="AL46" s="81">
        <v>929.47</v>
      </c>
      <c r="AM46" s="81">
        <v>0</v>
      </c>
      <c r="AN46" s="81">
        <v>0</v>
      </c>
      <c r="AO46" s="81">
        <v>0</v>
      </c>
      <c r="AP46" s="81">
        <v>0</v>
      </c>
      <c r="AQ46" s="81">
        <v>0</v>
      </c>
      <c r="AR46" s="81">
        <v>929.47</v>
      </c>
      <c r="AS46" s="81">
        <v>0</v>
      </c>
      <c r="AT46" s="81">
        <v>0</v>
      </c>
      <c r="AU46" s="81">
        <v>0</v>
      </c>
      <c r="AV46" s="81">
        <v>0</v>
      </c>
      <c r="AW46" s="81">
        <v>0</v>
      </c>
      <c r="AX46" s="81">
        <v>0</v>
      </c>
      <c r="AY46" s="81">
        <v>0</v>
      </c>
      <c r="AZ46" s="81">
        <v>0</v>
      </c>
      <c r="BA46" s="81">
        <v>165.44</v>
      </c>
      <c r="BB46" s="81">
        <v>0</v>
      </c>
      <c r="BC46" s="81">
        <v>0</v>
      </c>
      <c r="BD46" s="81">
        <v>0</v>
      </c>
      <c r="BE46" s="81">
        <v>0</v>
      </c>
      <c r="BF46" s="81">
        <v>0</v>
      </c>
      <c r="BG46" s="81">
        <v>0</v>
      </c>
      <c r="BH46" s="81">
        <v>0</v>
      </c>
      <c r="BI46" s="81">
        <v>3192.91</v>
      </c>
      <c r="BJ46" s="81">
        <v>164.5</v>
      </c>
      <c r="BK46" s="81">
        <v>3028.41</v>
      </c>
      <c r="BL46" s="81">
        <v>167.84</v>
      </c>
      <c r="BM46" s="81">
        <v>419.6</v>
      </c>
      <c r="BN46" s="81">
        <v>62.94</v>
      </c>
      <c r="BO46" s="81">
        <v>121.68</v>
      </c>
      <c r="BP46" s="81">
        <v>772.06</v>
      </c>
      <c r="BQ46" s="81">
        <v>3964.97</v>
      </c>
    </row>
    <row r="47" spans="1:69" hidden="1" x14ac:dyDescent="0.25">
      <c r="A47" s="81" t="s">
        <v>213</v>
      </c>
      <c r="B47" s="132">
        <v>46082</v>
      </c>
      <c r="C47" s="81" t="s">
        <v>78</v>
      </c>
      <c r="D47" s="81" t="s">
        <v>199</v>
      </c>
      <c r="E47" s="81" t="s">
        <v>200</v>
      </c>
      <c r="F47" s="81" t="s">
        <v>81</v>
      </c>
      <c r="G47" s="81" t="s">
        <v>207</v>
      </c>
      <c r="H47" s="81" t="s">
        <v>203</v>
      </c>
      <c r="I47" s="133">
        <v>43678</v>
      </c>
      <c r="J47" s="134"/>
      <c r="K47" s="81" t="s">
        <v>208</v>
      </c>
      <c r="L47" s="81" t="s">
        <v>214</v>
      </c>
      <c r="M47" s="81">
        <v>3718.75</v>
      </c>
      <c r="N47" s="81">
        <v>3718.75</v>
      </c>
      <c r="O47" s="81">
        <v>0</v>
      </c>
      <c r="P47" s="81">
        <f t="shared" si="0"/>
        <v>3718.75</v>
      </c>
      <c r="Q47" s="81">
        <v>0</v>
      </c>
      <c r="R47" s="81">
        <v>0</v>
      </c>
      <c r="S47" s="81">
        <v>0</v>
      </c>
      <c r="T47" s="81">
        <v>0</v>
      </c>
      <c r="U47" s="81">
        <v>0</v>
      </c>
      <c r="V47" s="81">
        <v>0</v>
      </c>
      <c r="W47" s="81">
        <v>0</v>
      </c>
      <c r="X47" s="81">
        <v>0</v>
      </c>
      <c r="Y47" s="81">
        <v>0</v>
      </c>
      <c r="Z47" s="81">
        <v>0</v>
      </c>
      <c r="AA47" s="81">
        <v>0</v>
      </c>
      <c r="AB47" s="81">
        <v>0</v>
      </c>
      <c r="AC47" s="81">
        <v>0</v>
      </c>
      <c r="AD47" s="81">
        <v>0</v>
      </c>
      <c r="AE47" s="81">
        <v>0</v>
      </c>
      <c r="AF47" s="81">
        <v>0</v>
      </c>
      <c r="AG47" s="81">
        <v>3718.75</v>
      </c>
      <c r="AH47" s="81">
        <v>0</v>
      </c>
      <c r="AI47" s="81">
        <v>0</v>
      </c>
      <c r="AJ47" s="81">
        <v>0</v>
      </c>
      <c r="AK47" s="81">
        <v>0</v>
      </c>
      <c r="AL47" s="81">
        <v>0</v>
      </c>
      <c r="AM47" s="81">
        <v>0</v>
      </c>
      <c r="AN47" s="81">
        <v>0</v>
      </c>
      <c r="AO47" s="81">
        <v>0</v>
      </c>
      <c r="AP47" s="81">
        <v>100</v>
      </c>
      <c r="AQ47" s="81">
        <v>0</v>
      </c>
      <c r="AR47" s="81">
        <v>100</v>
      </c>
      <c r="AS47" s="81">
        <v>0</v>
      </c>
      <c r="AT47" s="81">
        <v>0</v>
      </c>
      <c r="AU47" s="81">
        <v>0</v>
      </c>
      <c r="AV47" s="81">
        <v>0</v>
      </c>
      <c r="AW47" s="81">
        <v>0</v>
      </c>
      <c r="AX47" s="81">
        <v>0</v>
      </c>
      <c r="AY47" s="81">
        <v>0</v>
      </c>
      <c r="AZ47" s="81">
        <v>0</v>
      </c>
      <c r="BA47" s="81">
        <v>165.44</v>
      </c>
      <c r="BB47" s="81">
        <v>0</v>
      </c>
      <c r="BC47" s="81">
        <v>0</v>
      </c>
      <c r="BD47" s="81">
        <v>0</v>
      </c>
      <c r="BE47" s="81">
        <v>0</v>
      </c>
      <c r="BF47" s="81">
        <v>0</v>
      </c>
      <c r="BG47" s="81">
        <v>0</v>
      </c>
      <c r="BH47" s="81">
        <v>0</v>
      </c>
      <c r="BI47" s="81">
        <v>3984.19</v>
      </c>
      <c r="BJ47" s="81">
        <v>334.83</v>
      </c>
      <c r="BK47" s="81">
        <v>3649.36</v>
      </c>
      <c r="BL47" s="81">
        <v>297.5</v>
      </c>
      <c r="BM47" s="81">
        <v>743.75</v>
      </c>
      <c r="BN47" s="81">
        <v>111.56</v>
      </c>
      <c r="BO47" s="81">
        <v>215.68</v>
      </c>
      <c r="BP47" s="81">
        <v>1368.49</v>
      </c>
      <c r="BQ47" s="81">
        <v>5352.68</v>
      </c>
    </row>
    <row r="48" spans="1:69" hidden="1" x14ac:dyDescent="0.25">
      <c r="A48" s="81" t="s">
        <v>215</v>
      </c>
      <c r="B48" s="132">
        <v>46082</v>
      </c>
      <c r="C48" s="81" t="s">
        <v>78</v>
      </c>
      <c r="D48" s="81" t="s">
        <v>199</v>
      </c>
      <c r="E48" s="81" t="s">
        <v>200</v>
      </c>
      <c r="F48" s="81" t="s">
        <v>195</v>
      </c>
      <c r="G48" s="81" t="s">
        <v>195</v>
      </c>
      <c r="H48" s="81" t="s">
        <v>107</v>
      </c>
      <c r="I48" s="133">
        <v>44397</v>
      </c>
      <c r="J48" s="134"/>
      <c r="K48" s="81" t="s">
        <v>211</v>
      </c>
      <c r="L48" s="81" t="s">
        <v>216</v>
      </c>
      <c r="M48" s="81">
        <v>3570</v>
      </c>
      <c r="N48" s="81">
        <v>3570</v>
      </c>
      <c r="O48" s="81">
        <v>0</v>
      </c>
      <c r="P48" s="81">
        <f t="shared" si="0"/>
        <v>3570</v>
      </c>
      <c r="Q48" s="81">
        <v>0</v>
      </c>
      <c r="R48" s="81">
        <v>0</v>
      </c>
      <c r="S48" s="81">
        <v>0</v>
      </c>
      <c r="T48" s="81">
        <v>0</v>
      </c>
      <c r="U48" s="81">
        <v>0</v>
      </c>
      <c r="V48" s="81">
        <v>0</v>
      </c>
      <c r="W48" s="81">
        <v>0</v>
      </c>
      <c r="X48" s="81">
        <v>0</v>
      </c>
      <c r="Y48" s="81">
        <v>0</v>
      </c>
      <c r="Z48" s="81">
        <v>0</v>
      </c>
      <c r="AA48" s="81">
        <v>0</v>
      </c>
      <c r="AB48" s="81">
        <v>0</v>
      </c>
      <c r="AC48" s="81">
        <v>0</v>
      </c>
      <c r="AD48" s="81">
        <v>0</v>
      </c>
      <c r="AE48" s="81">
        <v>0</v>
      </c>
      <c r="AF48" s="81">
        <v>0</v>
      </c>
      <c r="AG48" s="81">
        <v>3570</v>
      </c>
      <c r="AH48" s="81">
        <v>0</v>
      </c>
      <c r="AI48" s="81">
        <v>0</v>
      </c>
      <c r="AJ48" s="81">
        <v>0</v>
      </c>
      <c r="AK48" s="81">
        <v>0</v>
      </c>
      <c r="AL48" s="81">
        <v>929.47</v>
      </c>
      <c r="AM48" s="81">
        <v>0</v>
      </c>
      <c r="AN48" s="81">
        <v>0</v>
      </c>
      <c r="AO48" s="81">
        <v>0</v>
      </c>
      <c r="AP48" s="81">
        <v>0</v>
      </c>
      <c r="AQ48" s="81">
        <v>0</v>
      </c>
      <c r="AR48" s="81">
        <v>929.47</v>
      </c>
      <c r="AS48" s="81">
        <v>0</v>
      </c>
      <c r="AT48" s="81">
        <v>0</v>
      </c>
      <c r="AU48" s="81">
        <v>0</v>
      </c>
      <c r="AV48" s="81">
        <v>0</v>
      </c>
      <c r="AW48" s="81">
        <v>0</v>
      </c>
      <c r="AX48" s="81">
        <v>0</v>
      </c>
      <c r="AY48" s="81">
        <v>0</v>
      </c>
      <c r="AZ48" s="81">
        <v>0</v>
      </c>
      <c r="BA48" s="81">
        <v>165.44</v>
      </c>
      <c r="BB48" s="81">
        <v>0</v>
      </c>
      <c r="BC48" s="81">
        <v>0</v>
      </c>
      <c r="BD48" s="81">
        <v>0</v>
      </c>
      <c r="BE48" s="81">
        <v>0</v>
      </c>
      <c r="BF48" s="81">
        <v>0</v>
      </c>
      <c r="BG48" s="81">
        <v>0</v>
      </c>
      <c r="BH48" s="81">
        <v>0</v>
      </c>
      <c r="BI48" s="81">
        <v>4664.91</v>
      </c>
      <c r="BJ48" s="81">
        <v>316.98</v>
      </c>
      <c r="BK48" s="81">
        <v>4347.93</v>
      </c>
      <c r="BL48" s="81">
        <v>285.60000000000002</v>
      </c>
      <c r="BM48" s="81">
        <v>714</v>
      </c>
      <c r="BN48" s="81">
        <v>107.1</v>
      </c>
      <c r="BO48" s="81">
        <v>207.06</v>
      </c>
      <c r="BP48" s="81">
        <v>1313.76</v>
      </c>
      <c r="BQ48" s="81">
        <v>5978.67</v>
      </c>
    </row>
    <row r="49" spans="1:69" hidden="1" x14ac:dyDescent="0.25">
      <c r="A49" s="81" t="s">
        <v>217</v>
      </c>
      <c r="B49" s="132">
        <v>46082</v>
      </c>
      <c r="C49" s="81" t="s">
        <v>78</v>
      </c>
      <c r="D49" s="81" t="s">
        <v>199</v>
      </c>
      <c r="E49" s="81" t="s">
        <v>200</v>
      </c>
      <c r="F49" s="81" t="s">
        <v>81</v>
      </c>
      <c r="G49" s="81" t="s">
        <v>218</v>
      </c>
      <c r="H49" s="81" t="s">
        <v>107</v>
      </c>
      <c r="I49" s="133">
        <v>44410</v>
      </c>
      <c r="J49" s="134"/>
      <c r="K49" s="81" t="s">
        <v>219</v>
      </c>
      <c r="L49" s="81" t="s">
        <v>220</v>
      </c>
      <c r="M49" s="81">
        <v>3850</v>
      </c>
      <c r="N49" s="81">
        <v>3850</v>
      </c>
      <c r="O49" s="81">
        <v>0</v>
      </c>
      <c r="P49" s="81">
        <f t="shared" si="0"/>
        <v>3850</v>
      </c>
      <c r="Q49" s="81">
        <v>0</v>
      </c>
      <c r="R49" s="81">
        <v>0</v>
      </c>
      <c r="S49" s="81">
        <v>0</v>
      </c>
      <c r="T49" s="81">
        <v>0</v>
      </c>
      <c r="U49" s="81">
        <v>0</v>
      </c>
      <c r="V49" s="81">
        <v>0</v>
      </c>
      <c r="W49" s="81">
        <v>0</v>
      </c>
      <c r="X49" s="81">
        <v>0</v>
      </c>
      <c r="Y49" s="81">
        <v>0</v>
      </c>
      <c r="Z49" s="81">
        <v>0</v>
      </c>
      <c r="AA49" s="81">
        <v>0</v>
      </c>
      <c r="AB49" s="81">
        <v>0</v>
      </c>
      <c r="AC49" s="81">
        <v>0</v>
      </c>
      <c r="AD49" s="81">
        <v>0</v>
      </c>
      <c r="AE49" s="81">
        <v>0</v>
      </c>
      <c r="AF49" s="81">
        <v>0</v>
      </c>
      <c r="AG49" s="81">
        <v>3850</v>
      </c>
      <c r="AH49" s="81">
        <v>0</v>
      </c>
      <c r="AI49" s="81">
        <v>0</v>
      </c>
      <c r="AJ49" s="81">
        <v>0</v>
      </c>
      <c r="AK49" s="81">
        <v>0</v>
      </c>
      <c r="AL49" s="81">
        <v>0</v>
      </c>
      <c r="AM49" s="81">
        <v>0</v>
      </c>
      <c r="AN49" s="81">
        <v>0</v>
      </c>
      <c r="AO49" s="81">
        <v>0</v>
      </c>
      <c r="AP49" s="81">
        <v>0</v>
      </c>
      <c r="AQ49" s="81">
        <v>0</v>
      </c>
      <c r="AR49" s="81">
        <v>0</v>
      </c>
      <c r="AS49" s="81">
        <v>0</v>
      </c>
      <c r="AT49" s="81">
        <v>0</v>
      </c>
      <c r="AU49" s="81">
        <v>0</v>
      </c>
      <c r="AV49" s="81">
        <v>0</v>
      </c>
      <c r="AW49" s="81">
        <v>0</v>
      </c>
      <c r="AX49" s="81">
        <v>0</v>
      </c>
      <c r="AY49" s="81">
        <v>0</v>
      </c>
      <c r="AZ49" s="81">
        <v>0</v>
      </c>
      <c r="BA49" s="81">
        <v>165.44</v>
      </c>
      <c r="BB49" s="81">
        <v>0</v>
      </c>
      <c r="BC49" s="81">
        <v>0</v>
      </c>
      <c r="BD49" s="81">
        <v>0</v>
      </c>
      <c r="BE49" s="81">
        <v>0</v>
      </c>
      <c r="BF49" s="81">
        <v>0</v>
      </c>
      <c r="BG49" s="81">
        <v>0</v>
      </c>
      <c r="BH49" s="81">
        <v>0</v>
      </c>
      <c r="BI49" s="81">
        <v>4015.44</v>
      </c>
      <c r="BJ49" s="81">
        <v>1890.58</v>
      </c>
      <c r="BK49" s="81">
        <v>2124.86</v>
      </c>
      <c r="BL49" s="81">
        <v>308</v>
      </c>
      <c r="BM49" s="81">
        <v>770</v>
      </c>
      <c r="BN49" s="81">
        <v>115.5</v>
      </c>
      <c r="BO49" s="81">
        <v>223.3</v>
      </c>
      <c r="BP49" s="81">
        <v>1416.8</v>
      </c>
      <c r="BQ49" s="81">
        <v>5432.24</v>
      </c>
    </row>
    <row r="50" spans="1:69" hidden="1" x14ac:dyDescent="0.25">
      <c r="A50" s="81" t="s">
        <v>221</v>
      </c>
      <c r="B50" s="132">
        <v>46082</v>
      </c>
      <c r="C50" s="81" t="s">
        <v>78</v>
      </c>
      <c r="D50" s="81" t="s">
        <v>199</v>
      </c>
      <c r="E50" s="81" t="s">
        <v>200</v>
      </c>
      <c r="F50" s="81" t="s">
        <v>201</v>
      </c>
      <c r="G50" s="81" t="s">
        <v>222</v>
      </c>
      <c r="H50" s="81" t="s">
        <v>107</v>
      </c>
      <c r="I50" s="133">
        <v>44271</v>
      </c>
      <c r="J50" s="134"/>
      <c r="K50" s="81" t="s">
        <v>204</v>
      </c>
      <c r="L50" s="81" t="s">
        <v>223</v>
      </c>
      <c r="M50" s="81">
        <v>4250</v>
      </c>
      <c r="N50" s="81">
        <v>4250</v>
      </c>
      <c r="O50" s="81">
        <v>0</v>
      </c>
      <c r="P50" s="81">
        <f t="shared" si="0"/>
        <v>4250</v>
      </c>
      <c r="Q50" s="81">
        <v>0</v>
      </c>
      <c r="R50" s="81">
        <v>0</v>
      </c>
      <c r="S50" s="81">
        <v>984.97</v>
      </c>
      <c r="T50" s="81">
        <v>0</v>
      </c>
      <c r="U50" s="81">
        <v>0</v>
      </c>
      <c r="V50" s="81">
        <v>0</v>
      </c>
      <c r="W50" s="81">
        <v>0</v>
      </c>
      <c r="X50" s="81">
        <v>0</v>
      </c>
      <c r="Y50" s="81">
        <v>0</v>
      </c>
      <c r="Z50" s="81">
        <v>0</v>
      </c>
      <c r="AA50" s="81">
        <v>0</v>
      </c>
      <c r="AB50" s="81">
        <v>0</v>
      </c>
      <c r="AC50" s="81">
        <v>0</v>
      </c>
      <c r="AD50" s="81">
        <v>0</v>
      </c>
      <c r="AE50" s="81">
        <v>0</v>
      </c>
      <c r="AF50" s="81">
        <v>0</v>
      </c>
      <c r="AG50" s="81">
        <v>5234.97</v>
      </c>
      <c r="AH50" s="81">
        <v>0</v>
      </c>
      <c r="AI50" s="81">
        <v>0</v>
      </c>
      <c r="AJ50" s="81">
        <v>0</v>
      </c>
      <c r="AK50" s="81">
        <v>0</v>
      </c>
      <c r="AL50" s="81">
        <v>0</v>
      </c>
      <c r="AM50" s="81">
        <v>0</v>
      </c>
      <c r="AN50" s="81">
        <v>0</v>
      </c>
      <c r="AO50" s="81">
        <v>651</v>
      </c>
      <c r="AP50" s="81">
        <v>0</v>
      </c>
      <c r="AQ50" s="81">
        <v>0</v>
      </c>
      <c r="AR50" s="81">
        <v>651</v>
      </c>
      <c r="AS50" s="81">
        <v>0</v>
      </c>
      <c r="AT50" s="81">
        <v>0</v>
      </c>
      <c r="AU50" s="81">
        <v>0</v>
      </c>
      <c r="AV50" s="81">
        <v>0</v>
      </c>
      <c r="AW50" s="81">
        <v>0</v>
      </c>
      <c r="AX50" s="81">
        <v>0</v>
      </c>
      <c r="AY50" s="81">
        <v>0</v>
      </c>
      <c r="AZ50" s="81">
        <v>0</v>
      </c>
      <c r="BA50" s="81">
        <v>165.44</v>
      </c>
      <c r="BB50" s="81">
        <v>0</v>
      </c>
      <c r="BC50" s="81">
        <v>0</v>
      </c>
      <c r="BD50" s="81">
        <v>0</v>
      </c>
      <c r="BE50" s="81">
        <v>0</v>
      </c>
      <c r="BF50" s="81">
        <v>0</v>
      </c>
      <c r="BG50" s="81">
        <v>0</v>
      </c>
      <c r="BH50" s="81">
        <v>0</v>
      </c>
      <c r="BI50" s="81">
        <v>6051.41</v>
      </c>
      <c r="BJ50" s="81">
        <v>2098.58</v>
      </c>
      <c r="BK50" s="81">
        <v>2967.86</v>
      </c>
      <c r="BL50" s="81">
        <v>340</v>
      </c>
      <c r="BM50" s="81">
        <v>1046.99</v>
      </c>
      <c r="BN50" s="81">
        <v>157.04</v>
      </c>
      <c r="BO50" s="81">
        <v>303.62</v>
      </c>
      <c r="BP50" s="81">
        <v>1847.65</v>
      </c>
      <c r="BQ50" s="81">
        <v>7899.06</v>
      </c>
    </row>
    <row r="51" spans="1:69" hidden="1" x14ac:dyDescent="0.25">
      <c r="A51" s="81" t="s">
        <v>224</v>
      </c>
      <c r="B51" s="132">
        <v>46082</v>
      </c>
      <c r="C51" s="81" t="s">
        <v>78</v>
      </c>
      <c r="D51" s="81" t="s">
        <v>199</v>
      </c>
      <c r="E51" s="81" t="s">
        <v>200</v>
      </c>
      <c r="F51" s="81" t="s">
        <v>81</v>
      </c>
      <c r="G51" s="81" t="s">
        <v>82</v>
      </c>
      <c r="H51" s="81" t="s">
        <v>98</v>
      </c>
      <c r="I51" s="133">
        <v>45301</v>
      </c>
      <c r="J51" s="134"/>
      <c r="K51" s="81" t="s">
        <v>225</v>
      </c>
      <c r="L51" s="81" t="s">
        <v>226</v>
      </c>
      <c r="M51" s="81">
        <v>2465</v>
      </c>
      <c r="N51" s="81">
        <v>2465</v>
      </c>
      <c r="O51" s="81">
        <v>0</v>
      </c>
      <c r="P51" s="81">
        <f t="shared" si="0"/>
        <v>2465</v>
      </c>
      <c r="Q51" s="81">
        <v>0</v>
      </c>
      <c r="R51" s="81">
        <v>0</v>
      </c>
      <c r="S51" s="81">
        <v>0</v>
      </c>
      <c r="T51" s="81">
        <v>0</v>
      </c>
      <c r="U51" s="81">
        <v>0</v>
      </c>
      <c r="V51" s="81">
        <v>0</v>
      </c>
      <c r="W51" s="81">
        <v>0</v>
      </c>
      <c r="X51" s="81">
        <v>0</v>
      </c>
      <c r="Y51" s="81">
        <v>0</v>
      </c>
      <c r="Z51" s="81">
        <v>0</v>
      </c>
      <c r="AA51" s="81">
        <v>0</v>
      </c>
      <c r="AB51" s="81">
        <v>0</v>
      </c>
      <c r="AC51" s="81">
        <v>0</v>
      </c>
      <c r="AD51" s="81">
        <v>0</v>
      </c>
      <c r="AE51" s="81">
        <v>0</v>
      </c>
      <c r="AF51" s="81">
        <v>246.5</v>
      </c>
      <c r="AG51" s="81">
        <v>2711.5</v>
      </c>
      <c r="AH51" s="81">
        <v>0</v>
      </c>
      <c r="AI51" s="81">
        <v>0</v>
      </c>
      <c r="AJ51" s="81">
        <v>0</v>
      </c>
      <c r="AK51" s="81">
        <v>0</v>
      </c>
      <c r="AL51" s="81">
        <v>0</v>
      </c>
      <c r="AM51" s="81">
        <v>0</v>
      </c>
      <c r="AN51" s="81">
        <v>0</v>
      </c>
      <c r="AO51" s="81">
        <v>579.34</v>
      </c>
      <c r="AP51" s="81">
        <v>0</v>
      </c>
      <c r="AQ51" s="81">
        <v>0</v>
      </c>
      <c r="AR51" s="81">
        <v>579.34</v>
      </c>
      <c r="AS51" s="81">
        <v>0</v>
      </c>
      <c r="AT51" s="81">
        <v>0</v>
      </c>
      <c r="AU51" s="81">
        <v>0</v>
      </c>
      <c r="AV51" s="81">
        <v>0</v>
      </c>
      <c r="AW51" s="81">
        <v>0</v>
      </c>
      <c r="AX51" s="81">
        <v>0</v>
      </c>
      <c r="AY51" s="81">
        <v>0</v>
      </c>
      <c r="AZ51" s="81">
        <v>0</v>
      </c>
      <c r="BA51" s="81">
        <v>165.44</v>
      </c>
      <c r="BB51" s="81">
        <v>0</v>
      </c>
      <c r="BC51" s="81">
        <v>0</v>
      </c>
      <c r="BD51" s="81">
        <v>0</v>
      </c>
      <c r="BE51" s="81">
        <v>0</v>
      </c>
      <c r="BF51" s="81">
        <v>0</v>
      </c>
      <c r="BG51" s="81">
        <v>0</v>
      </c>
      <c r="BH51" s="81">
        <v>0</v>
      </c>
      <c r="BI51" s="81">
        <v>3456.28</v>
      </c>
      <c r="BJ51" s="81">
        <v>927.64</v>
      </c>
      <c r="BK51" s="81">
        <v>2528.64</v>
      </c>
      <c r="BL51" s="81">
        <v>216.92</v>
      </c>
      <c r="BM51" s="81">
        <v>542.29999999999995</v>
      </c>
      <c r="BN51" s="81">
        <v>81.34</v>
      </c>
      <c r="BO51" s="81">
        <v>157.26</v>
      </c>
      <c r="BP51" s="81">
        <v>997.82</v>
      </c>
      <c r="BQ51" s="81">
        <v>4454.1000000000004</v>
      </c>
    </row>
    <row r="52" spans="1:69" hidden="1" x14ac:dyDescent="0.25">
      <c r="A52" s="81" t="s">
        <v>227</v>
      </c>
      <c r="B52" s="132">
        <v>46082</v>
      </c>
      <c r="C52" s="81" t="s">
        <v>78</v>
      </c>
      <c r="D52" s="81" t="s">
        <v>199</v>
      </c>
      <c r="E52" s="81" t="s">
        <v>200</v>
      </c>
      <c r="F52" s="81" t="s">
        <v>81</v>
      </c>
      <c r="G52" s="81" t="s">
        <v>218</v>
      </c>
      <c r="H52" s="81" t="s">
        <v>203</v>
      </c>
      <c r="I52" s="133">
        <v>45562</v>
      </c>
      <c r="J52" s="134"/>
      <c r="K52" s="81" t="s">
        <v>219</v>
      </c>
      <c r="L52" s="81" t="s">
        <v>228</v>
      </c>
      <c r="M52" s="81">
        <v>2656.25</v>
      </c>
      <c r="N52" s="81">
        <v>2656.25</v>
      </c>
      <c r="O52" s="81">
        <v>0</v>
      </c>
      <c r="P52" s="81">
        <f t="shared" si="0"/>
        <v>2656.25</v>
      </c>
      <c r="Q52" s="81">
        <v>0</v>
      </c>
      <c r="R52" s="81">
        <v>0</v>
      </c>
      <c r="S52" s="81">
        <v>0</v>
      </c>
      <c r="T52" s="81">
        <v>0</v>
      </c>
      <c r="U52" s="81">
        <v>0</v>
      </c>
      <c r="V52" s="81">
        <v>0</v>
      </c>
      <c r="W52" s="81">
        <v>0</v>
      </c>
      <c r="X52" s="81">
        <v>0</v>
      </c>
      <c r="Y52" s="81">
        <v>0</v>
      </c>
      <c r="Z52" s="81">
        <v>0</v>
      </c>
      <c r="AA52" s="81">
        <v>0</v>
      </c>
      <c r="AB52" s="81">
        <v>0</v>
      </c>
      <c r="AC52" s="81">
        <v>0</v>
      </c>
      <c r="AD52" s="81">
        <v>0</v>
      </c>
      <c r="AE52" s="81">
        <v>0</v>
      </c>
      <c r="AF52" s="81">
        <v>0</v>
      </c>
      <c r="AG52" s="81">
        <v>2656.25</v>
      </c>
      <c r="AH52" s="81">
        <v>0</v>
      </c>
      <c r="AI52" s="81">
        <v>0</v>
      </c>
      <c r="AJ52" s="81">
        <v>0</v>
      </c>
      <c r="AK52" s="81">
        <v>0</v>
      </c>
      <c r="AL52" s="81">
        <v>0</v>
      </c>
      <c r="AM52" s="81">
        <v>0</v>
      </c>
      <c r="AN52" s="81">
        <v>0</v>
      </c>
      <c r="AO52" s="81">
        <v>0</v>
      </c>
      <c r="AP52" s="81">
        <v>0</v>
      </c>
      <c r="AQ52" s="81">
        <v>0</v>
      </c>
      <c r="AR52" s="81">
        <v>0</v>
      </c>
      <c r="AS52" s="81">
        <v>0</v>
      </c>
      <c r="AT52" s="81">
        <v>0</v>
      </c>
      <c r="AU52" s="81">
        <v>0</v>
      </c>
      <c r="AV52" s="81">
        <v>0</v>
      </c>
      <c r="AW52" s="81">
        <v>0</v>
      </c>
      <c r="AX52" s="81">
        <v>0</v>
      </c>
      <c r="AY52" s="81">
        <v>0</v>
      </c>
      <c r="AZ52" s="81">
        <v>0</v>
      </c>
      <c r="BA52" s="81">
        <v>165.44</v>
      </c>
      <c r="BB52" s="81">
        <v>0</v>
      </c>
      <c r="BC52" s="81">
        <v>0</v>
      </c>
      <c r="BD52" s="81">
        <v>0</v>
      </c>
      <c r="BE52" s="81">
        <v>0</v>
      </c>
      <c r="BF52" s="81">
        <v>0</v>
      </c>
      <c r="BG52" s="81">
        <v>0</v>
      </c>
      <c r="BH52" s="81">
        <v>0</v>
      </c>
      <c r="BI52" s="81">
        <v>2821.69</v>
      </c>
      <c r="BJ52" s="81">
        <v>1277.74</v>
      </c>
      <c r="BK52" s="81">
        <v>1543.95</v>
      </c>
      <c r="BL52" s="81">
        <v>212.5</v>
      </c>
      <c r="BM52" s="81">
        <v>531.25</v>
      </c>
      <c r="BN52" s="81">
        <v>79.680000000000007</v>
      </c>
      <c r="BO52" s="81">
        <v>154.06</v>
      </c>
      <c r="BP52" s="81">
        <v>977.49</v>
      </c>
      <c r="BQ52" s="81">
        <v>3799.18</v>
      </c>
    </row>
    <row r="53" spans="1:69" hidden="1" x14ac:dyDescent="0.25">
      <c r="A53" s="81" t="s">
        <v>229</v>
      </c>
      <c r="B53" s="132">
        <v>46082</v>
      </c>
      <c r="C53" s="81" t="s">
        <v>78</v>
      </c>
      <c r="D53" s="81" t="s">
        <v>199</v>
      </c>
      <c r="E53" s="81" t="s">
        <v>200</v>
      </c>
      <c r="F53" s="81" t="s">
        <v>81</v>
      </c>
      <c r="G53" s="81" t="s">
        <v>230</v>
      </c>
      <c r="H53" s="81" t="s">
        <v>203</v>
      </c>
      <c r="I53" s="133">
        <v>45812</v>
      </c>
      <c r="J53" s="134"/>
      <c r="K53" s="81" t="s">
        <v>208</v>
      </c>
      <c r="L53" s="81" t="s">
        <v>231</v>
      </c>
      <c r="M53" s="81">
        <v>3500</v>
      </c>
      <c r="N53" s="81">
        <v>3500</v>
      </c>
      <c r="O53" s="81">
        <v>0</v>
      </c>
      <c r="P53" s="81">
        <f t="shared" si="0"/>
        <v>3500</v>
      </c>
      <c r="Q53" s="81">
        <v>0</v>
      </c>
      <c r="R53" s="81">
        <v>0</v>
      </c>
      <c r="S53" s="81">
        <v>0</v>
      </c>
      <c r="T53" s="81">
        <v>0</v>
      </c>
      <c r="U53" s="81">
        <v>0</v>
      </c>
      <c r="V53" s="81">
        <v>0</v>
      </c>
      <c r="W53" s="81">
        <v>0</v>
      </c>
      <c r="X53" s="81">
        <v>0</v>
      </c>
      <c r="Y53" s="81">
        <v>0</v>
      </c>
      <c r="Z53" s="81">
        <v>0</v>
      </c>
      <c r="AA53" s="81">
        <v>0</v>
      </c>
      <c r="AB53" s="81">
        <v>0</v>
      </c>
      <c r="AC53" s="81">
        <v>0</v>
      </c>
      <c r="AD53" s="81">
        <v>0</v>
      </c>
      <c r="AE53" s="81">
        <v>0</v>
      </c>
      <c r="AF53" s="81">
        <v>0</v>
      </c>
      <c r="AG53" s="81">
        <v>3500</v>
      </c>
      <c r="AH53" s="81">
        <v>0</v>
      </c>
      <c r="AI53" s="81">
        <v>0</v>
      </c>
      <c r="AJ53" s="81">
        <v>0</v>
      </c>
      <c r="AK53" s="81">
        <v>0</v>
      </c>
      <c r="AL53" s="81">
        <v>0</v>
      </c>
      <c r="AM53" s="81">
        <v>0</v>
      </c>
      <c r="AN53" s="81">
        <v>0</v>
      </c>
      <c r="AO53" s="81">
        <v>0</v>
      </c>
      <c r="AP53" s="81">
        <v>0</v>
      </c>
      <c r="AQ53" s="81">
        <v>0</v>
      </c>
      <c r="AR53" s="81">
        <v>0</v>
      </c>
      <c r="AS53" s="81">
        <v>0</v>
      </c>
      <c r="AT53" s="81">
        <v>0</v>
      </c>
      <c r="AU53" s="81">
        <v>0</v>
      </c>
      <c r="AV53" s="81">
        <v>0</v>
      </c>
      <c r="AW53" s="81">
        <v>0</v>
      </c>
      <c r="AX53" s="81">
        <v>0</v>
      </c>
      <c r="AY53" s="81">
        <v>0</v>
      </c>
      <c r="AZ53" s="81">
        <v>0</v>
      </c>
      <c r="BA53" s="81">
        <v>165.44</v>
      </c>
      <c r="BB53" s="81">
        <v>0</v>
      </c>
      <c r="BC53" s="81">
        <v>0</v>
      </c>
      <c r="BD53" s="81">
        <v>0</v>
      </c>
      <c r="BE53" s="81">
        <v>0</v>
      </c>
      <c r="BF53" s="81">
        <v>0</v>
      </c>
      <c r="BG53" s="81">
        <v>0</v>
      </c>
      <c r="BH53" s="81">
        <v>0</v>
      </c>
      <c r="BI53" s="81">
        <v>3665.44</v>
      </c>
      <c r="BJ53" s="81">
        <v>2667</v>
      </c>
      <c r="BK53" s="81">
        <v>998.44</v>
      </c>
      <c r="BL53" s="81">
        <v>280</v>
      </c>
      <c r="BM53" s="81">
        <v>700</v>
      </c>
      <c r="BN53" s="81">
        <v>105</v>
      </c>
      <c r="BO53" s="81">
        <v>203</v>
      </c>
      <c r="BP53" s="81">
        <v>1288</v>
      </c>
      <c r="BQ53" s="81">
        <v>4953.4399999999996</v>
      </c>
    </row>
    <row r="54" spans="1:69" hidden="1" x14ac:dyDescent="0.25">
      <c r="A54" s="81" t="s">
        <v>232</v>
      </c>
      <c r="B54" s="132">
        <v>46082</v>
      </c>
      <c r="C54" s="81" t="s">
        <v>78</v>
      </c>
      <c r="D54" s="81" t="s">
        <v>199</v>
      </c>
      <c r="E54" s="81" t="s">
        <v>200</v>
      </c>
      <c r="F54" s="81" t="s">
        <v>201</v>
      </c>
      <c r="G54" s="81" t="s">
        <v>233</v>
      </c>
      <c r="H54" s="81" t="s">
        <v>203</v>
      </c>
      <c r="I54" s="133">
        <v>45825</v>
      </c>
      <c r="J54" s="134"/>
      <c r="K54" s="81" t="s">
        <v>234</v>
      </c>
      <c r="L54" s="81" t="s">
        <v>235</v>
      </c>
      <c r="M54" s="81">
        <v>4250</v>
      </c>
      <c r="N54" s="81">
        <v>4108.33</v>
      </c>
      <c r="O54" s="81">
        <v>141.66999999999999</v>
      </c>
      <c r="P54" s="81">
        <f t="shared" si="0"/>
        <v>4250</v>
      </c>
      <c r="Q54" s="81">
        <v>0</v>
      </c>
      <c r="R54" s="81">
        <v>0</v>
      </c>
      <c r="S54" s="81">
        <v>0</v>
      </c>
      <c r="T54" s="81">
        <v>0</v>
      </c>
      <c r="U54" s="81">
        <v>0</v>
      </c>
      <c r="V54" s="81">
        <v>0</v>
      </c>
      <c r="W54" s="81">
        <v>0</v>
      </c>
      <c r="X54" s="81">
        <v>0</v>
      </c>
      <c r="Y54" s="81">
        <v>0</v>
      </c>
      <c r="Z54" s="81">
        <v>0</v>
      </c>
      <c r="AA54" s="81">
        <v>0</v>
      </c>
      <c r="AB54" s="81">
        <v>0</v>
      </c>
      <c r="AC54" s="81">
        <v>0</v>
      </c>
      <c r="AD54" s="81">
        <v>0</v>
      </c>
      <c r="AE54" s="81">
        <v>0</v>
      </c>
      <c r="AF54" s="81">
        <v>0</v>
      </c>
      <c r="AG54" s="81">
        <v>4250</v>
      </c>
      <c r="AH54" s="81">
        <v>0</v>
      </c>
      <c r="AI54" s="81">
        <v>0</v>
      </c>
      <c r="AJ54" s="81">
        <v>0</v>
      </c>
      <c r="AK54" s="81">
        <v>0</v>
      </c>
      <c r="AL54" s="81">
        <v>0</v>
      </c>
      <c r="AM54" s="81">
        <v>0</v>
      </c>
      <c r="AN54" s="81">
        <v>0</v>
      </c>
      <c r="AO54" s="81">
        <v>0</v>
      </c>
      <c r="AP54" s="81">
        <v>0</v>
      </c>
      <c r="AQ54" s="81">
        <v>0</v>
      </c>
      <c r="AR54" s="81">
        <v>0</v>
      </c>
      <c r="AS54" s="81">
        <v>0</v>
      </c>
      <c r="AT54" s="81">
        <v>0</v>
      </c>
      <c r="AU54" s="81">
        <v>0</v>
      </c>
      <c r="AV54" s="81">
        <v>0</v>
      </c>
      <c r="AW54" s="81">
        <v>0</v>
      </c>
      <c r="AX54" s="81">
        <v>0</v>
      </c>
      <c r="AY54" s="81">
        <v>0</v>
      </c>
      <c r="AZ54" s="81">
        <v>0</v>
      </c>
      <c r="BA54" s="81">
        <v>165.44</v>
      </c>
      <c r="BB54" s="81">
        <v>0</v>
      </c>
      <c r="BC54" s="81">
        <v>0</v>
      </c>
      <c r="BD54" s="81">
        <v>0</v>
      </c>
      <c r="BE54" s="81">
        <v>0</v>
      </c>
      <c r="BF54" s="81">
        <v>0</v>
      </c>
      <c r="BG54" s="81">
        <v>0</v>
      </c>
      <c r="BH54" s="81">
        <v>0</v>
      </c>
      <c r="BI54" s="81">
        <v>4415.4399999999996</v>
      </c>
      <c r="BJ54" s="81">
        <v>731.91</v>
      </c>
      <c r="BK54" s="81">
        <v>3683.53</v>
      </c>
      <c r="BL54" s="81">
        <v>340</v>
      </c>
      <c r="BM54" s="81">
        <v>850</v>
      </c>
      <c r="BN54" s="81">
        <v>127.5</v>
      </c>
      <c r="BO54" s="81">
        <v>246.5</v>
      </c>
      <c r="BP54" s="81">
        <v>1564</v>
      </c>
      <c r="BQ54" s="81">
        <v>5979.44</v>
      </c>
    </row>
    <row r="55" spans="1:69" hidden="1" x14ac:dyDescent="0.25">
      <c r="A55" s="81" t="s">
        <v>236</v>
      </c>
      <c r="B55" s="132">
        <v>46082</v>
      </c>
      <c r="C55" s="81" t="s">
        <v>78</v>
      </c>
      <c r="D55" s="81" t="s">
        <v>199</v>
      </c>
      <c r="E55" s="81" t="s">
        <v>200</v>
      </c>
      <c r="F55" s="81" t="s">
        <v>195</v>
      </c>
      <c r="G55" s="81" t="s">
        <v>195</v>
      </c>
      <c r="H55" s="81" t="s">
        <v>107</v>
      </c>
      <c r="I55" s="133">
        <v>45845</v>
      </c>
      <c r="J55" s="134"/>
      <c r="K55" s="81" t="s">
        <v>211</v>
      </c>
      <c r="L55" s="81" t="s">
        <v>212</v>
      </c>
      <c r="M55" s="81">
        <v>2098</v>
      </c>
      <c r="N55" s="81">
        <v>2098</v>
      </c>
      <c r="O55" s="81">
        <v>0</v>
      </c>
      <c r="P55" s="81">
        <f t="shared" si="0"/>
        <v>2098</v>
      </c>
      <c r="Q55" s="81">
        <v>0</v>
      </c>
      <c r="R55" s="81">
        <v>0</v>
      </c>
      <c r="S55" s="81">
        <v>0</v>
      </c>
      <c r="T55" s="81">
        <v>0</v>
      </c>
      <c r="U55" s="81">
        <v>0</v>
      </c>
      <c r="V55" s="81">
        <v>0</v>
      </c>
      <c r="W55" s="81">
        <v>0</v>
      </c>
      <c r="X55" s="81">
        <v>0</v>
      </c>
      <c r="Y55" s="81">
        <v>0</v>
      </c>
      <c r="Z55" s="81">
        <v>0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1">
        <v>2098</v>
      </c>
      <c r="AH55" s="81">
        <v>0</v>
      </c>
      <c r="AI55" s="81">
        <v>0</v>
      </c>
      <c r="AJ55" s="81">
        <v>0</v>
      </c>
      <c r="AK55" s="81">
        <v>0</v>
      </c>
      <c r="AL55" s="81">
        <v>929.47</v>
      </c>
      <c r="AM55" s="81">
        <v>0</v>
      </c>
      <c r="AN55" s="81">
        <v>0</v>
      </c>
      <c r="AO55" s="81">
        <v>0</v>
      </c>
      <c r="AP55" s="81">
        <v>0</v>
      </c>
      <c r="AQ55" s="81">
        <v>0</v>
      </c>
      <c r="AR55" s="81">
        <v>929.47</v>
      </c>
      <c r="AS55" s="81">
        <v>0</v>
      </c>
      <c r="AT55" s="81">
        <v>0</v>
      </c>
      <c r="AU55" s="81">
        <v>0</v>
      </c>
      <c r="AV55" s="81">
        <v>0</v>
      </c>
      <c r="AW55" s="81">
        <v>0</v>
      </c>
      <c r="AX55" s="81">
        <v>0</v>
      </c>
      <c r="AY55" s="81">
        <v>0</v>
      </c>
      <c r="AZ55" s="81">
        <v>0</v>
      </c>
      <c r="BA55" s="81">
        <v>165.44</v>
      </c>
      <c r="BB55" s="81">
        <v>0</v>
      </c>
      <c r="BC55" s="81">
        <v>0</v>
      </c>
      <c r="BD55" s="81">
        <v>0</v>
      </c>
      <c r="BE55" s="81">
        <v>0</v>
      </c>
      <c r="BF55" s="81">
        <v>0</v>
      </c>
      <c r="BG55" s="81">
        <v>0</v>
      </c>
      <c r="BH55" s="81">
        <v>0</v>
      </c>
      <c r="BI55" s="81">
        <v>3192.91</v>
      </c>
      <c r="BJ55" s="81">
        <v>164.5</v>
      </c>
      <c r="BK55" s="81">
        <v>3028.41</v>
      </c>
      <c r="BL55" s="81">
        <v>167.84</v>
      </c>
      <c r="BM55" s="81">
        <v>419.6</v>
      </c>
      <c r="BN55" s="81">
        <v>62.94</v>
      </c>
      <c r="BO55" s="81">
        <v>121.68</v>
      </c>
      <c r="BP55" s="81">
        <v>772.06</v>
      </c>
      <c r="BQ55" s="81">
        <v>3964.97</v>
      </c>
    </row>
    <row r="56" spans="1:69" hidden="1" x14ac:dyDescent="0.25">
      <c r="A56" s="81" t="s">
        <v>237</v>
      </c>
      <c r="B56" s="132">
        <v>46082</v>
      </c>
      <c r="C56" s="81" t="s">
        <v>78</v>
      </c>
      <c r="D56" s="81" t="s">
        <v>199</v>
      </c>
      <c r="E56" s="81" t="s">
        <v>200</v>
      </c>
      <c r="F56" s="81" t="s">
        <v>195</v>
      </c>
      <c r="G56" s="81" t="s">
        <v>195</v>
      </c>
      <c r="H56" s="81" t="s">
        <v>107</v>
      </c>
      <c r="I56" s="133">
        <v>45748</v>
      </c>
      <c r="J56" s="133">
        <v>46104</v>
      </c>
      <c r="K56" s="81" t="s">
        <v>211</v>
      </c>
      <c r="L56" s="81" t="s">
        <v>212</v>
      </c>
      <c r="M56" s="81">
        <v>2098</v>
      </c>
      <c r="N56" s="81">
        <v>0</v>
      </c>
      <c r="O56" s="81">
        <v>0</v>
      </c>
      <c r="P56" s="81">
        <f t="shared" si="0"/>
        <v>0</v>
      </c>
      <c r="Q56" s="81">
        <v>0</v>
      </c>
      <c r="R56" s="81">
        <v>0</v>
      </c>
      <c r="S56" s="81">
        <v>0</v>
      </c>
      <c r="T56" s="81">
        <v>0</v>
      </c>
      <c r="U56" s="81">
        <v>0</v>
      </c>
      <c r="V56" s="81">
        <v>0</v>
      </c>
      <c r="W56" s="81">
        <v>0</v>
      </c>
      <c r="X56" s="81">
        <v>0</v>
      </c>
      <c r="Y56" s="81">
        <v>0</v>
      </c>
      <c r="Z56" s="81">
        <v>0</v>
      </c>
      <c r="AA56" s="81">
        <v>0</v>
      </c>
      <c r="AB56" s="81">
        <v>8.43</v>
      </c>
      <c r="AC56" s="81">
        <v>0</v>
      </c>
      <c r="AD56" s="81">
        <v>0</v>
      </c>
      <c r="AE56" s="81">
        <v>0</v>
      </c>
      <c r="AF56" s="81">
        <v>0</v>
      </c>
      <c r="AG56" s="81">
        <v>8.43</v>
      </c>
      <c r="AH56" s="81">
        <v>0</v>
      </c>
      <c r="AI56" s="81">
        <v>0</v>
      </c>
      <c r="AJ56" s="81">
        <v>0</v>
      </c>
      <c r="AK56" s="81">
        <v>0</v>
      </c>
      <c r="AL56" s="81">
        <v>929.47</v>
      </c>
      <c r="AM56" s="81">
        <v>0</v>
      </c>
      <c r="AN56" s="81">
        <v>0</v>
      </c>
      <c r="AO56" s="81">
        <v>0</v>
      </c>
      <c r="AP56" s="81">
        <v>0</v>
      </c>
      <c r="AQ56" s="81">
        <v>0</v>
      </c>
      <c r="AR56" s="81">
        <v>929.47</v>
      </c>
      <c r="AS56" s="81">
        <v>0</v>
      </c>
      <c r="AT56" s="81">
        <v>416.67</v>
      </c>
      <c r="AU56" s="81">
        <v>0</v>
      </c>
      <c r="AV56" s="81">
        <v>0</v>
      </c>
      <c r="AW56" s="81">
        <v>0</v>
      </c>
      <c r="AX56" s="81">
        <v>0</v>
      </c>
      <c r="AY56" s="81">
        <v>0</v>
      </c>
      <c r="AZ56" s="81">
        <v>0</v>
      </c>
      <c r="BA56" s="81">
        <v>165.44</v>
      </c>
      <c r="BB56" s="81">
        <v>0</v>
      </c>
      <c r="BC56" s="81">
        <v>0</v>
      </c>
      <c r="BD56" s="81">
        <v>0</v>
      </c>
      <c r="BE56" s="81">
        <v>0</v>
      </c>
      <c r="BF56" s="81">
        <v>6606.85</v>
      </c>
      <c r="BG56" s="81">
        <v>327.54000000000002</v>
      </c>
      <c r="BH56" s="81">
        <v>6934.39</v>
      </c>
      <c r="BI56" s="81">
        <v>1520.01</v>
      </c>
      <c r="BJ56" s="81">
        <v>7625.87</v>
      </c>
      <c r="BK56" s="81">
        <v>0</v>
      </c>
      <c r="BL56" s="81">
        <v>0</v>
      </c>
      <c r="BM56" s="81">
        <v>1.69</v>
      </c>
      <c r="BN56" s="81">
        <v>0.25</v>
      </c>
      <c r="BO56" s="81">
        <v>0.48</v>
      </c>
      <c r="BP56" s="81">
        <v>2.42</v>
      </c>
      <c r="BQ56" s="81">
        <v>1522.43</v>
      </c>
    </row>
    <row r="57" spans="1:69" hidden="1" x14ac:dyDescent="0.25">
      <c r="A57" s="81" t="s">
        <v>238</v>
      </c>
      <c r="B57" s="132">
        <v>46082</v>
      </c>
      <c r="C57" s="81" t="s">
        <v>78</v>
      </c>
      <c r="D57" s="81" t="s">
        <v>199</v>
      </c>
      <c r="E57" s="81" t="s">
        <v>200</v>
      </c>
      <c r="F57" s="81" t="s">
        <v>195</v>
      </c>
      <c r="G57" s="81" t="s">
        <v>195</v>
      </c>
      <c r="H57" s="81" t="s">
        <v>107</v>
      </c>
      <c r="I57" s="133">
        <v>46055</v>
      </c>
      <c r="J57" s="134"/>
      <c r="K57" s="81" t="s">
        <v>211</v>
      </c>
      <c r="L57" s="81" t="s">
        <v>212</v>
      </c>
      <c r="M57" s="81">
        <v>2098</v>
      </c>
      <c r="N57" s="81">
        <v>2098</v>
      </c>
      <c r="O57" s="81">
        <v>0</v>
      </c>
      <c r="P57" s="81">
        <f t="shared" si="0"/>
        <v>2098</v>
      </c>
      <c r="Q57" s="81">
        <v>0</v>
      </c>
      <c r="R57" s="81">
        <v>0</v>
      </c>
      <c r="S57" s="81">
        <v>0</v>
      </c>
      <c r="T57" s="81">
        <v>0</v>
      </c>
      <c r="U57" s="81">
        <v>0</v>
      </c>
      <c r="V57" s="81">
        <v>0</v>
      </c>
      <c r="W57" s="81">
        <v>0</v>
      </c>
      <c r="X57" s="81">
        <v>0</v>
      </c>
      <c r="Y57" s="81">
        <v>0</v>
      </c>
      <c r="Z57" s="81">
        <v>0</v>
      </c>
      <c r="AA57" s="81">
        <v>0</v>
      </c>
      <c r="AB57" s="81">
        <v>0</v>
      </c>
      <c r="AC57" s="81">
        <v>0</v>
      </c>
      <c r="AD57" s="81">
        <v>0</v>
      </c>
      <c r="AE57" s="81">
        <v>0</v>
      </c>
      <c r="AF57" s="81">
        <v>0</v>
      </c>
      <c r="AG57" s="81">
        <v>2098</v>
      </c>
      <c r="AH57" s="81">
        <v>0</v>
      </c>
      <c r="AI57" s="81">
        <v>0</v>
      </c>
      <c r="AJ57" s="81">
        <v>0</v>
      </c>
      <c r="AK57" s="81">
        <v>0</v>
      </c>
      <c r="AL57" s="81">
        <v>929.47</v>
      </c>
      <c r="AM57" s="81">
        <v>0</v>
      </c>
      <c r="AN57" s="81">
        <v>0</v>
      </c>
      <c r="AO57" s="81">
        <v>0</v>
      </c>
      <c r="AP57" s="81">
        <v>0</v>
      </c>
      <c r="AQ57" s="81">
        <v>0</v>
      </c>
      <c r="AR57" s="81">
        <v>929.47</v>
      </c>
      <c r="AS57" s="81">
        <v>0</v>
      </c>
      <c r="AT57" s="81">
        <v>0</v>
      </c>
      <c r="AU57" s="81">
        <v>0</v>
      </c>
      <c r="AV57" s="81">
        <v>0</v>
      </c>
      <c r="AW57" s="81">
        <v>0</v>
      </c>
      <c r="AX57" s="81">
        <v>0</v>
      </c>
      <c r="AY57" s="81">
        <v>0</v>
      </c>
      <c r="AZ57" s="81">
        <v>0</v>
      </c>
      <c r="BA57" s="81">
        <v>0</v>
      </c>
      <c r="BB57" s="81">
        <v>0</v>
      </c>
      <c r="BC57" s="81">
        <v>0</v>
      </c>
      <c r="BD57" s="81">
        <v>0</v>
      </c>
      <c r="BE57" s="81">
        <v>0</v>
      </c>
      <c r="BF57" s="81">
        <v>0</v>
      </c>
      <c r="BG57" s="81">
        <v>0</v>
      </c>
      <c r="BH57" s="81">
        <v>0</v>
      </c>
      <c r="BI57" s="81">
        <v>3027.47</v>
      </c>
      <c r="BJ57" s="81">
        <v>164.5</v>
      </c>
      <c r="BK57" s="81">
        <v>2862.97</v>
      </c>
      <c r="BL57" s="81">
        <v>167.84</v>
      </c>
      <c r="BM57" s="81">
        <v>419.6</v>
      </c>
      <c r="BN57" s="81">
        <v>62.94</v>
      </c>
      <c r="BO57" s="81">
        <v>121.68</v>
      </c>
      <c r="BP57" s="81">
        <v>772.06</v>
      </c>
      <c r="BQ57" s="81">
        <v>3799.53</v>
      </c>
    </row>
    <row r="58" spans="1:69" hidden="1" x14ac:dyDescent="0.25">
      <c r="A58" s="81" t="s">
        <v>239</v>
      </c>
      <c r="B58" s="132">
        <v>46082</v>
      </c>
      <c r="C58" s="81" t="s">
        <v>123</v>
      </c>
      <c r="D58" s="81" t="s">
        <v>199</v>
      </c>
      <c r="E58" s="81" t="s">
        <v>200</v>
      </c>
      <c r="F58" s="81" t="s">
        <v>81</v>
      </c>
      <c r="G58" s="81" t="s">
        <v>240</v>
      </c>
      <c r="H58" s="81" t="s">
        <v>203</v>
      </c>
      <c r="I58" s="133">
        <v>45790</v>
      </c>
      <c r="J58" s="133">
        <v>46101</v>
      </c>
      <c r="K58" s="81" t="s">
        <v>241</v>
      </c>
      <c r="L58" s="81" t="s">
        <v>242</v>
      </c>
      <c r="M58" s="81">
        <v>1000</v>
      </c>
      <c r="N58" s="81">
        <v>0</v>
      </c>
      <c r="O58" s="81">
        <v>0</v>
      </c>
      <c r="P58" s="81">
        <f t="shared" si="0"/>
        <v>0</v>
      </c>
      <c r="Q58" s="81">
        <v>0</v>
      </c>
      <c r="R58" s="81">
        <v>0</v>
      </c>
      <c r="S58" s="81">
        <v>0</v>
      </c>
      <c r="T58" s="81">
        <v>0</v>
      </c>
      <c r="U58" s="81">
        <v>0</v>
      </c>
      <c r="V58" s="81">
        <v>0</v>
      </c>
      <c r="W58" s="81">
        <v>0</v>
      </c>
      <c r="X58" s="81">
        <v>0</v>
      </c>
      <c r="Y58" s="81">
        <v>0</v>
      </c>
      <c r="Z58" s="81">
        <v>0</v>
      </c>
      <c r="AA58" s="81">
        <v>0</v>
      </c>
      <c r="AB58" s="81">
        <v>0</v>
      </c>
      <c r="AC58" s="81">
        <v>0</v>
      </c>
      <c r="AD58" s="81">
        <v>0</v>
      </c>
      <c r="AE58" s="81">
        <v>0</v>
      </c>
      <c r="AF58" s="81">
        <v>0</v>
      </c>
      <c r="AG58" s="81">
        <v>0</v>
      </c>
      <c r="AH58" s="81">
        <v>0</v>
      </c>
      <c r="AI58" s="81">
        <v>0</v>
      </c>
      <c r="AJ58" s="81">
        <v>0</v>
      </c>
      <c r="AK58" s="81">
        <v>0</v>
      </c>
      <c r="AL58" s="81">
        <v>0</v>
      </c>
      <c r="AM58" s="81">
        <v>0</v>
      </c>
      <c r="AN58" s="81">
        <v>0</v>
      </c>
      <c r="AO58" s="81">
        <v>0</v>
      </c>
      <c r="AP58" s="81">
        <v>0</v>
      </c>
      <c r="AQ58" s="81">
        <v>0</v>
      </c>
      <c r="AR58" s="81">
        <v>0</v>
      </c>
      <c r="AS58" s="81">
        <v>666.67</v>
      </c>
      <c r="AT58" s="81">
        <v>0</v>
      </c>
      <c r="AU58" s="81">
        <v>0</v>
      </c>
      <c r="AV58" s="81">
        <v>0</v>
      </c>
      <c r="AW58" s="81">
        <v>0</v>
      </c>
      <c r="AX58" s="81">
        <v>0</v>
      </c>
      <c r="AY58" s="81">
        <v>0</v>
      </c>
      <c r="AZ58" s="81">
        <v>0</v>
      </c>
      <c r="BA58" s="81">
        <v>0</v>
      </c>
      <c r="BB58" s="81">
        <v>0</v>
      </c>
      <c r="BC58" s="81">
        <v>0</v>
      </c>
      <c r="BD58" s="81">
        <v>0</v>
      </c>
      <c r="BE58" s="81">
        <v>0</v>
      </c>
      <c r="BF58" s="81">
        <v>900</v>
      </c>
      <c r="BG58" s="81">
        <v>0</v>
      </c>
      <c r="BH58" s="81">
        <v>900</v>
      </c>
      <c r="BI58" s="81">
        <v>666.67</v>
      </c>
      <c r="BJ58" s="81">
        <v>900</v>
      </c>
      <c r="BK58" s="81">
        <v>0</v>
      </c>
      <c r="BL58" s="81">
        <v>0</v>
      </c>
      <c r="BM58" s="81">
        <v>0</v>
      </c>
      <c r="BN58" s="81">
        <v>0</v>
      </c>
      <c r="BO58" s="81">
        <v>0</v>
      </c>
      <c r="BP58" s="81">
        <v>0</v>
      </c>
      <c r="BQ58" s="81">
        <v>666.67</v>
      </c>
    </row>
    <row r="59" spans="1:69" hidden="1" x14ac:dyDescent="0.25">
      <c r="A59" s="81" t="s">
        <v>243</v>
      </c>
      <c r="B59" s="132">
        <v>46082</v>
      </c>
      <c r="C59" s="81" t="s">
        <v>123</v>
      </c>
      <c r="D59" s="81" t="s">
        <v>199</v>
      </c>
      <c r="E59" s="81" t="s">
        <v>200</v>
      </c>
      <c r="F59" s="81" t="s">
        <v>81</v>
      </c>
      <c r="G59" s="81" t="s">
        <v>244</v>
      </c>
      <c r="H59" s="81" t="s">
        <v>203</v>
      </c>
      <c r="I59" s="133">
        <v>45810</v>
      </c>
      <c r="J59" s="134"/>
      <c r="K59" s="81" t="s">
        <v>245</v>
      </c>
      <c r="L59" s="81" t="s">
        <v>242</v>
      </c>
      <c r="M59" s="81">
        <v>1000</v>
      </c>
      <c r="N59" s="81">
        <v>0</v>
      </c>
      <c r="O59" s="81">
        <v>0</v>
      </c>
      <c r="P59" s="81">
        <f t="shared" si="0"/>
        <v>0</v>
      </c>
      <c r="Q59" s="81">
        <v>0</v>
      </c>
      <c r="R59" s="81">
        <v>0</v>
      </c>
      <c r="S59" s="81">
        <v>0</v>
      </c>
      <c r="T59" s="81">
        <v>0</v>
      </c>
      <c r="U59" s="81">
        <v>0</v>
      </c>
      <c r="V59" s="81">
        <v>0</v>
      </c>
      <c r="W59" s="81">
        <v>0</v>
      </c>
      <c r="X59" s="81">
        <v>0</v>
      </c>
      <c r="Y59" s="81">
        <v>0</v>
      </c>
      <c r="Z59" s="81">
        <v>0</v>
      </c>
      <c r="AA59" s="81">
        <v>0</v>
      </c>
      <c r="AB59" s="81">
        <v>0</v>
      </c>
      <c r="AC59" s="81">
        <v>0</v>
      </c>
      <c r="AD59" s="81">
        <v>0</v>
      </c>
      <c r="AE59" s="81">
        <v>0</v>
      </c>
      <c r="AF59" s="81">
        <v>0</v>
      </c>
      <c r="AG59" s="81">
        <v>0</v>
      </c>
      <c r="AH59" s="81">
        <v>0</v>
      </c>
      <c r="AI59" s="81">
        <v>0</v>
      </c>
      <c r="AJ59" s="81">
        <v>0</v>
      </c>
      <c r="AK59" s="81">
        <v>0</v>
      </c>
      <c r="AL59" s="81">
        <v>0</v>
      </c>
      <c r="AM59" s="81">
        <v>0</v>
      </c>
      <c r="AN59" s="81">
        <v>0</v>
      </c>
      <c r="AO59" s="81">
        <v>0</v>
      </c>
      <c r="AP59" s="81">
        <v>0</v>
      </c>
      <c r="AQ59" s="81">
        <v>0</v>
      </c>
      <c r="AR59" s="81">
        <v>0</v>
      </c>
      <c r="AS59" s="81">
        <v>1000</v>
      </c>
      <c r="AT59" s="81">
        <v>0</v>
      </c>
      <c r="AU59" s="81">
        <v>0</v>
      </c>
      <c r="AV59" s="81">
        <v>0</v>
      </c>
      <c r="AW59" s="81">
        <v>0</v>
      </c>
      <c r="AX59" s="81">
        <v>0</v>
      </c>
      <c r="AY59" s="81">
        <v>0</v>
      </c>
      <c r="AZ59" s="81">
        <v>0</v>
      </c>
      <c r="BA59" s="81">
        <v>0</v>
      </c>
      <c r="BB59" s="81">
        <v>0</v>
      </c>
      <c r="BC59" s="81">
        <v>0</v>
      </c>
      <c r="BD59" s="81">
        <v>0</v>
      </c>
      <c r="BE59" s="81">
        <v>0</v>
      </c>
      <c r="BF59" s="81">
        <v>0</v>
      </c>
      <c r="BG59" s="81">
        <v>0</v>
      </c>
      <c r="BH59" s="81">
        <v>0</v>
      </c>
      <c r="BI59" s="81">
        <v>1000</v>
      </c>
      <c r="BJ59" s="81">
        <v>0</v>
      </c>
      <c r="BK59" s="81">
        <v>1000</v>
      </c>
      <c r="BL59" s="81">
        <v>0</v>
      </c>
      <c r="BM59" s="81">
        <v>0</v>
      </c>
      <c r="BN59" s="81">
        <v>0</v>
      </c>
      <c r="BO59" s="81">
        <v>0</v>
      </c>
      <c r="BP59" s="81">
        <v>0</v>
      </c>
      <c r="BQ59" s="81">
        <v>1000</v>
      </c>
    </row>
    <row r="60" spans="1:69" hidden="1" x14ac:dyDescent="0.25">
      <c r="A60" s="81" t="s">
        <v>246</v>
      </c>
      <c r="B60" s="132">
        <v>46082</v>
      </c>
      <c r="C60" s="81" t="s">
        <v>123</v>
      </c>
      <c r="D60" s="81" t="s">
        <v>199</v>
      </c>
      <c r="E60" s="81" t="s">
        <v>200</v>
      </c>
      <c r="F60" s="81" t="s">
        <v>195</v>
      </c>
      <c r="G60" s="81" t="s">
        <v>195</v>
      </c>
      <c r="H60" s="81" t="s">
        <v>107</v>
      </c>
      <c r="I60" s="133">
        <v>45824</v>
      </c>
      <c r="J60" s="134"/>
      <c r="K60" s="81" t="s">
        <v>211</v>
      </c>
      <c r="L60" s="81" t="s">
        <v>247</v>
      </c>
      <c r="M60" s="81">
        <v>1000</v>
      </c>
      <c r="N60" s="81">
        <v>0</v>
      </c>
      <c r="O60" s="81">
        <v>0</v>
      </c>
      <c r="P60" s="81">
        <f t="shared" si="0"/>
        <v>0</v>
      </c>
      <c r="Q60" s="81">
        <v>0</v>
      </c>
      <c r="R60" s="81">
        <v>0</v>
      </c>
      <c r="S60" s="81">
        <v>0</v>
      </c>
      <c r="T60" s="81">
        <v>0</v>
      </c>
      <c r="U60" s="81">
        <v>0</v>
      </c>
      <c r="V60" s="81">
        <v>0</v>
      </c>
      <c r="W60" s="81">
        <v>0</v>
      </c>
      <c r="X60" s="81">
        <v>0</v>
      </c>
      <c r="Y60" s="81">
        <v>0</v>
      </c>
      <c r="Z60" s="81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1">
        <v>0</v>
      </c>
      <c r="AH60" s="81">
        <v>0</v>
      </c>
      <c r="AI60" s="81">
        <v>0</v>
      </c>
      <c r="AJ60" s="81">
        <v>0</v>
      </c>
      <c r="AK60" s="81">
        <v>0</v>
      </c>
      <c r="AL60" s="81">
        <v>0</v>
      </c>
      <c r="AM60" s="81">
        <v>0</v>
      </c>
      <c r="AN60" s="81">
        <v>0</v>
      </c>
      <c r="AO60" s="81">
        <v>0</v>
      </c>
      <c r="AP60" s="81">
        <v>0</v>
      </c>
      <c r="AQ60" s="81">
        <v>0</v>
      </c>
      <c r="AR60" s="81">
        <v>0</v>
      </c>
      <c r="AS60" s="81">
        <v>1000</v>
      </c>
      <c r="AT60" s="81">
        <v>0</v>
      </c>
      <c r="AU60" s="81">
        <v>0</v>
      </c>
      <c r="AV60" s="81">
        <v>0</v>
      </c>
      <c r="AW60" s="81">
        <v>0</v>
      </c>
      <c r="AX60" s="81">
        <v>0</v>
      </c>
      <c r="AY60" s="81">
        <v>0</v>
      </c>
      <c r="AZ60" s="81">
        <v>0</v>
      </c>
      <c r="BA60" s="81">
        <v>0</v>
      </c>
      <c r="BB60" s="81">
        <v>0</v>
      </c>
      <c r="BC60" s="81">
        <v>0</v>
      </c>
      <c r="BD60" s="81">
        <v>0</v>
      </c>
      <c r="BE60" s="81">
        <v>0</v>
      </c>
      <c r="BF60" s="81">
        <v>0</v>
      </c>
      <c r="BG60" s="81">
        <v>0</v>
      </c>
      <c r="BH60" s="81">
        <v>0</v>
      </c>
      <c r="BI60" s="81">
        <v>1000</v>
      </c>
      <c r="BJ60" s="81">
        <v>0</v>
      </c>
      <c r="BK60" s="81">
        <v>1000</v>
      </c>
      <c r="BL60" s="81">
        <v>0</v>
      </c>
      <c r="BM60" s="81">
        <v>0</v>
      </c>
      <c r="BN60" s="81">
        <v>0</v>
      </c>
      <c r="BO60" s="81">
        <v>0</v>
      </c>
      <c r="BP60" s="81">
        <v>0</v>
      </c>
      <c r="BQ60" s="81">
        <v>1000</v>
      </c>
    </row>
    <row r="61" spans="1:69" hidden="1" x14ac:dyDescent="0.25">
      <c r="A61" s="81" t="s">
        <v>248</v>
      </c>
      <c r="B61" s="132">
        <v>46082</v>
      </c>
      <c r="C61" s="81" t="s">
        <v>123</v>
      </c>
      <c r="D61" s="81" t="s">
        <v>199</v>
      </c>
      <c r="E61" s="81" t="s">
        <v>200</v>
      </c>
      <c r="F61" s="81" t="s">
        <v>81</v>
      </c>
      <c r="G61" s="81" t="s">
        <v>244</v>
      </c>
      <c r="H61" s="81" t="s">
        <v>203</v>
      </c>
      <c r="I61" s="133">
        <v>45929</v>
      </c>
      <c r="J61" s="134"/>
      <c r="K61" s="81" t="s">
        <v>245</v>
      </c>
      <c r="L61" s="81" t="s">
        <v>242</v>
      </c>
      <c r="M61" s="81">
        <v>1000</v>
      </c>
      <c r="N61" s="81">
        <v>0</v>
      </c>
      <c r="O61" s="81">
        <v>0</v>
      </c>
      <c r="P61" s="81">
        <f t="shared" si="0"/>
        <v>0</v>
      </c>
      <c r="Q61" s="81">
        <v>0</v>
      </c>
      <c r="R61" s="81">
        <v>0</v>
      </c>
      <c r="S61" s="81">
        <v>0</v>
      </c>
      <c r="T61" s="81">
        <v>0</v>
      </c>
      <c r="U61" s="81">
        <v>0</v>
      </c>
      <c r="V61" s="81">
        <v>0</v>
      </c>
      <c r="W61" s="81">
        <v>0</v>
      </c>
      <c r="X61" s="81">
        <v>0</v>
      </c>
      <c r="Y61" s="81">
        <v>0</v>
      </c>
      <c r="Z61" s="81">
        <v>0</v>
      </c>
      <c r="AA61" s="81">
        <v>0</v>
      </c>
      <c r="AB61" s="81">
        <v>0</v>
      </c>
      <c r="AC61" s="81">
        <v>0</v>
      </c>
      <c r="AD61" s="81">
        <v>0</v>
      </c>
      <c r="AE61" s="81">
        <v>0</v>
      </c>
      <c r="AF61" s="81">
        <v>0</v>
      </c>
      <c r="AG61" s="81">
        <v>0</v>
      </c>
      <c r="AH61" s="81">
        <v>0</v>
      </c>
      <c r="AI61" s="81">
        <v>0</v>
      </c>
      <c r="AJ61" s="81">
        <v>0</v>
      </c>
      <c r="AK61" s="81">
        <v>0</v>
      </c>
      <c r="AL61" s="81">
        <v>0</v>
      </c>
      <c r="AM61" s="81">
        <v>0</v>
      </c>
      <c r="AN61" s="81">
        <v>0</v>
      </c>
      <c r="AO61" s="81">
        <v>0</v>
      </c>
      <c r="AP61" s="81">
        <v>0</v>
      </c>
      <c r="AQ61" s="81">
        <v>0</v>
      </c>
      <c r="AR61" s="81">
        <v>0</v>
      </c>
      <c r="AS61" s="81">
        <v>1000</v>
      </c>
      <c r="AT61" s="81">
        <v>0</v>
      </c>
      <c r="AU61" s="81">
        <v>0</v>
      </c>
      <c r="AV61" s="81">
        <v>0</v>
      </c>
      <c r="AW61" s="81">
        <v>0</v>
      </c>
      <c r="AX61" s="81">
        <v>0</v>
      </c>
      <c r="AY61" s="81">
        <v>0</v>
      </c>
      <c r="AZ61" s="81">
        <v>0</v>
      </c>
      <c r="BA61" s="81">
        <v>0</v>
      </c>
      <c r="BB61" s="81">
        <v>0</v>
      </c>
      <c r="BC61" s="81">
        <v>0</v>
      </c>
      <c r="BD61" s="81">
        <v>0</v>
      </c>
      <c r="BE61" s="81">
        <v>0</v>
      </c>
      <c r="BF61" s="81">
        <v>0</v>
      </c>
      <c r="BG61" s="81">
        <v>0</v>
      </c>
      <c r="BH61" s="81">
        <v>0</v>
      </c>
      <c r="BI61" s="81">
        <v>1000</v>
      </c>
      <c r="BJ61" s="81">
        <v>0</v>
      </c>
      <c r="BK61" s="81">
        <v>1000</v>
      </c>
      <c r="BL61" s="81">
        <v>0</v>
      </c>
      <c r="BM61" s="81">
        <v>0</v>
      </c>
      <c r="BN61" s="81">
        <v>0</v>
      </c>
      <c r="BO61" s="81">
        <v>0</v>
      </c>
      <c r="BP61" s="81">
        <v>0</v>
      </c>
      <c r="BQ61" s="81">
        <v>1000</v>
      </c>
    </row>
    <row r="62" spans="1:69" hidden="1" x14ac:dyDescent="0.25">
      <c r="A62" s="81" t="s">
        <v>249</v>
      </c>
      <c r="B62" s="132">
        <v>46082</v>
      </c>
      <c r="C62" s="81" t="s">
        <v>123</v>
      </c>
      <c r="D62" s="81" t="s">
        <v>199</v>
      </c>
      <c r="E62" s="81" t="s">
        <v>200</v>
      </c>
      <c r="F62" s="81" t="s">
        <v>81</v>
      </c>
      <c r="G62" s="81" t="s">
        <v>218</v>
      </c>
      <c r="H62" s="81" t="s">
        <v>203</v>
      </c>
      <c r="I62" s="133">
        <v>45958</v>
      </c>
      <c r="J62" s="134"/>
      <c r="K62" s="81" t="s">
        <v>219</v>
      </c>
      <c r="L62" s="81" t="s">
        <v>250</v>
      </c>
      <c r="M62" s="81">
        <v>1000</v>
      </c>
      <c r="N62" s="81">
        <v>0</v>
      </c>
      <c r="O62" s="81">
        <v>0</v>
      </c>
      <c r="P62" s="81">
        <f t="shared" si="0"/>
        <v>0</v>
      </c>
      <c r="Q62" s="81">
        <v>0</v>
      </c>
      <c r="R62" s="81">
        <v>0</v>
      </c>
      <c r="S62" s="81">
        <v>0</v>
      </c>
      <c r="T62" s="81">
        <v>0</v>
      </c>
      <c r="U62" s="81">
        <v>0</v>
      </c>
      <c r="V62" s="81">
        <v>0</v>
      </c>
      <c r="W62" s="81">
        <v>0</v>
      </c>
      <c r="X62" s="81">
        <v>0</v>
      </c>
      <c r="Y62" s="81">
        <v>0</v>
      </c>
      <c r="Z62" s="81">
        <v>0</v>
      </c>
      <c r="AA62" s="81">
        <v>0</v>
      </c>
      <c r="AB62" s="81">
        <v>0</v>
      </c>
      <c r="AC62" s="81">
        <v>0</v>
      </c>
      <c r="AD62" s="81">
        <v>0</v>
      </c>
      <c r="AE62" s="81">
        <v>0</v>
      </c>
      <c r="AF62" s="81">
        <v>0</v>
      </c>
      <c r="AG62" s="81">
        <v>0</v>
      </c>
      <c r="AH62" s="81">
        <v>0</v>
      </c>
      <c r="AI62" s="81">
        <v>0</v>
      </c>
      <c r="AJ62" s="81">
        <v>0</v>
      </c>
      <c r="AK62" s="81">
        <v>0</v>
      </c>
      <c r="AL62" s="81">
        <v>0</v>
      </c>
      <c r="AM62" s="81">
        <v>0</v>
      </c>
      <c r="AN62" s="81">
        <v>0</v>
      </c>
      <c r="AO62" s="81">
        <v>0</v>
      </c>
      <c r="AP62" s="81">
        <v>0</v>
      </c>
      <c r="AQ62" s="81">
        <v>0</v>
      </c>
      <c r="AR62" s="81">
        <v>0</v>
      </c>
      <c r="AS62" s="81">
        <v>1000</v>
      </c>
      <c r="AT62" s="81">
        <v>0</v>
      </c>
      <c r="AU62" s="81">
        <v>0</v>
      </c>
      <c r="AV62" s="81">
        <v>0</v>
      </c>
      <c r="AW62" s="81">
        <v>0</v>
      </c>
      <c r="AX62" s="81">
        <v>0</v>
      </c>
      <c r="AY62" s="81">
        <v>0</v>
      </c>
      <c r="AZ62" s="81">
        <v>0</v>
      </c>
      <c r="BA62" s="81">
        <v>0</v>
      </c>
      <c r="BB62" s="81">
        <v>0</v>
      </c>
      <c r="BC62" s="81">
        <v>0</v>
      </c>
      <c r="BD62" s="81">
        <v>0</v>
      </c>
      <c r="BE62" s="81">
        <v>0</v>
      </c>
      <c r="BF62" s="81">
        <v>0</v>
      </c>
      <c r="BG62" s="81">
        <v>0</v>
      </c>
      <c r="BH62" s="81">
        <v>0</v>
      </c>
      <c r="BI62" s="81">
        <v>1000</v>
      </c>
      <c r="BJ62" s="81">
        <v>0</v>
      </c>
      <c r="BK62" s="81">
        <v>1000</v>
      </c>
      <c r="BL62" s="81">
        <v>0</v>
      </c>
      <c r="BM62" s="81">
        <v>0</v>
      </c>
      <c r="BN62" s="81">
        <v>0</v>
      </c>
      <c r="BO62" s="81">
        <v>0</v>
      </c>
      <c r="BP62" s="81">
        <v>0</v>
      </c>
      <c r="BQ62" s="81">
        <v>1000</v>
      </c>
    </row>
    <row r="63" spans="1:69" hidden="1" x14ac:dyDescent="0.25">
      <c r="A63" s="81" t="s">
        <v>251</v>
      </c>
      <c r="B63" s="132">
        <v>46082</v>
      </c>
      <c r="C63" s="81" t="s">
        <v>123</v>
      </c>
      <c r="D63" s="81" t="s">
        <v>199</v>
      </c>
      <c r="E63" s="81" t="s">
        <v>200</v>
      </c>
      <c r="F63" s="81" t="s">
        <v>81</v>
      </c>
      <c r="G63" s="81" t="s">
        <v>81</v>
      </c>
      <c r="H63" s="81" t="s">
        <v>252</v>
      </c>
      <c r="I63" s="133">
        <v>45973</v>
      </c>
      <c r="J63" s="134"/>
      <c r="K63" s="81" t="s">
        <v>253</v>
      </c>
      <c r="L63" s="81" t="s">
        <v>242</v>
      </c>
      <c r="M63" s="81">
        <v>1000</v>
      </c>
      <c r="N63" s="81">
        <v>0</v>
      </c>
      <c r="O63" s="81">
        <v>0</v>
      </c>
      <c r="P63" s="81">
        <f t="shared" si="0"/>
        <v>0</v>
      </c>
      <c r="Q63" s="81">
        <v>0</v>
      </c>
      <c r="R63" s="81">
        <v>0</v>
      </c>
      <c r="S63" s="81">
        <v>0</v>
      </c>
      <c r="T63" s="81">
        <v>0</v>
      </c>
      <c r="U63" s="81">
        <v>0</v>
      </c>
      <c r="V63" s="81">
        <v>0</v>
      </c>
      <c r="W63" s="81">
        <v>0</v>
      </c>
      <c r="X63" s="81">
        <v>0</v>
      </c>
      <c r="Y63" s="81">
        <v>0</v>
      </c>
      <c r="Z63" s="81">
        <v>0</v>
      </c>
      <c r="AA63" s="81">
        <v>0</v>
      </c>
      <c r="AB63" s="81">
        <v>0</v>
      </c>
      <c r="AC63" s="81">
        <v>0</v>
      </c>
      <c r="AD63" s="81">
        <v>0</v>
      </c>
      <c r="AE63" s="81">
        <v>0</v>
      </c>
      <c r="AF63" s="81">
        <v>0</v>
      </c>
      <c r="AG63" s="81">
        <v>0</v>
      </c>
      <c r="AH63" s="81">
        <v>0</v>
      </c>
      <c r="AI63" s="81">
        <v>0</v>
      </c>
      <c r="AJ63" s="81">
        <v>0</v>
      </c>
      <c r="AK63" s="81">
        <v>0</v>
      </c>
      <c r="AL63" s="81">
        <v>0</v>
      </c>
      <c r="AM63" s="81">
        <v>0</v>
      </c>
      <c r="AN63" s="81">
        <v>0</v>
      </c>
      <c r="AO63" s="81">
        <v>0</v>
      </c>
      <c r="AP63" s="81">
        <v>0</v>
      </c>
      <c r="AQ63" s="81">
        <v>0</v>
      </c>
      <c r="AR63" s="81">
        <v>0</v>
      </c>
      <c r="AS63" s="81">
        <v>1000</v>
      </c>
      <c r="AT63" s="81">
        <v>0</v>
      </c>
      <c r="AU63" s="81">
        <v>0</v>
      </c>
      <c r="AV63" s="81">
        <v>0</v>
      </c>
      <c r="AW63" s="81">
        <v>0</v>
      </c>
      <c r="AX63" s="81">
        <v>0</v>
      </c>
      <c r="AY63" s="81">
        <v>0</v>
      </c>
      <c r="AZ63" s="81">
        <v>0</v>
      </c>
      <c r="BA63" s="81">
        <v>0</v>
      </c>
      <c r="BB63" s="81">
        <v>0</v>
      </c>
      <c r="BC63" s="81">
        <v>0</v>
      </c>
      <c r="BD63" s="81">
        <v>0</v>
      </c>
      <c r="BE63" s="81">
        <v>0</v>
      </c>
      <c r="BF63" s="81">
        <v>0</v>
      </c>
      <c r="BG63" s="81">
        <v>0</v>
      </c>
      <c r="BH63" s="81">
        <v>0</v>
      </c>
      <c r="BI63" s="81">
        <v>1000</v>
      </c>
      <c r="BJ63" s="81">
        <v>0</v>
      </c>
      <c r="BK63" s="81">
        <v>1000</v>
      </c>
      <c r="BL63" s="81">
        <v>0</v>
      </c>
      <c r="BM63" s="81">
        <v>0</v>
      </c>
      <c r="BN63" s="81">
        <v>0</v>
      </c>
      <c r="BO63" s="81">
        <v>0</v>
      </c>
      <c r="BP63" s="81">
        <v>0</v>
      </c>
      <c r="BQ63" s="81">
        <v>1000</v>
      </c>
    </row>
    <row r="64" spans="1:69" hidden="1" x14ac:dyDescent="0.25">
      <c r="A64" s="81" t="s">
        <v>254</v>
      </c>
      <c r="B64" s="132">
        <v>46082</v>
      </c>
      <c r="C64" s="81" t="s">
        <v>123</v>
      </c>
      <c r="D64" s="81" t="s">
        <v>199</v>
      </c>
      <c r="E64" s="81" t="s">
        <v>200</v>
      </c>
      <c r="F64" s="81" t="s">
        <v>195</v>
      </c>
      <c r="G64" s="81" t="s">
        <v>195</v>
      </c>
      <c r="H64" s="81" t="s">
        <v>107</v>
      </c>
      <c r="I64" s="133">
        <v>45950</v>
      </c>
      <c r="J64" s="134"/>
      <c r="K64" s="81" t="s">
        <v>211</v>
      </c>
      <c r="L64" s="81" t="s">
        <v>247</v>
      </c>
      <c r="M64" s="81">
        <v>1000</v>
      </c>
      <c r="N64" s="81">
        <v>0</v>
      </c>
      <c r="O64" s="81">
        <v>0</v>
      </c>
      <c r="P64" s="81">
        <f t="shared" si="0"/>
        <v>0</v>
      </c>
      <c r="Q64" s="81">
        <v>0</v>
      </c>
      <c r="R64" s="81">
        <v>0</v>
      </c>
      <c r="S64" s="81">
        <v>0</v>
      </c>
      <c r="T64" s="81">
        <v>0</v>
      </c>
      <c r="U64" s="81">
        <v>0</v>
      </c>
      <c r="V64" s="81">
        <v>0</v>
      </c>
      <c r="W64" s="81">
        <v>0</v>
      </c>
      <c r="X64" s="81">
        <v>0</v>
      </c>
      <c r="Y64" s="81">
        <v>0</v>
      </c>
      <c r="Z64" s="81">
        <v>0</v>
      </c>
      <c r="AA64" s="81">
        <v>0</v>
      </c>
      <c r="AB64" s="81">
        <v>0</v>
      </c>
      <c r="AC64" s="81">
        <v>0</v>
      </c>
      <c r="AD64" s="81">
        <v>0</v>
      </c>
      <c r="AE64" s="81">
        <v>0</v>
      </c>
      <c r="AF64" s="81">
        <v>0</v>
      </c>
      <c r="AG64" s="81">
        <v>0</v>
      </c>
      <c r="AH64" s="81">
        <v>0</v>
      </c>
      <c r="AI64" s="81">
        <v>0</v>
      </c>
      <c r="AJ64" s="81">
        <v>0</v>
      </c>
      <c r="AK64" s="81">
        <v>0</v>
      </c>
      <c r="AL64" s="81">
        <v>0</v>
      </c>
      <c r="AM64" s="81">
        <v>0</v>
      </c>
      <c r="AN64" s="81">
        <v>0</v>
      </c>
      <c r="AO64" s="81">
        <v>0</v>
      </c>
      <c r="AP64" s="81">
        <v>0</v>
      </c>
      <c r="AQ64" s="81">
        <v>0</v>
      </c>
      <c r="AR64" s="81">
        <v>0</v>
      </c>
      <c r="AS64" s="81">
        <v>1000</v>
      </c>
      <c r="AT64" s="81">
        <v>0</v>
      </c>
      <c r="AU64" s="81">
        <v>0</v>
      </c>
      <c r="AV64" s="81">
        <v>0</v>
      </c>
      <c r="AW64" s="81">
        <v>0</v>
      </c>
      <c r="AX64" s="81">
        <v>0</v>
      </c>
      <c r="AY64" s="81">
        <v>0</v>
      </c>
      <c r="AZ64" s="81">
        <v>0</v>
      </c>
      <c r="BA64" s="81">
        <v>0</v>
      </c>
      <c r="BB64" s="81">
        <v>0</v>
      </c>
      <c r="BC64" s="81">
        <v>0</v>
      </c>
      <c r="BD64" s="81">
        <v>0</v>
      </c>
      <c r="BE64" s="81">
        <v>0</v>
      </c>
      <c r="BF64" s="81">
        <v>0</v>
      </c>
      <c r="BG64" s="81">
        <v>0</v>
      </c>
      <c r="BH64" s="81">
        <v>0</v>
      </c>
      <c r="BI64" s="81">
        <v>1000</v>
      </c>
      <c r="BJ64" s="81">
        <v>0</v>
      </c>
      <c r="BK64" s="81">
        <v>1000</v>
      </c>
      <c r="BL64" s="81">
        <v>0</v>
      </c>
      <c r="BM64" s="81">
        <v>0</v>
      </c>
      <c r="BN64" s="81">
        <v>0</v>
      </c>
      <c r="BO64" s="81">
        <v>0</v>
      </c>
      <c r="BP64" s="81">
        <v>0</v>
      </c>
      <c r="BQ64" s="81">
        <v>1000</v>
      </c>
    </row>
    <row r="65" spans="1:69" hidden="1" x14ac:dyDescent="0.25">
      <c r="A65" s="81" t="s">
        <v>255</v>
      </c>
      <c r="B65" s="132">
        <v>46082</v>
      </c>
      <c r="C65" s="81" t="s">
        <v>123</v>
      </c>
      <c r="D65" s="81" t="s">
        <v>199</v>
      </c>
      <c r="E65" s="81" t="s">
        <v>200</v>
      </c>
      <c r="F65" s="81" t="s">
        <v>195</v>
      </c>
      <c r="G65" s="81" t="s">
        <v>195</v>
      </c>
      <c r="H65" s="81" t="s">
        <v>107</v>
      </c>
      <c r="I65" s="133">
        <v>46055</v>
      </c>
      <c r="J65" s="134"/>
      <c r="K65" s="81" t="s">
        <v>211</v>
      </c>
      <c r="L65" s="81" t="s">
        <v>247</v>
      </c>
      <c r="M65" s="81">
        <v>1000</v>
      </c>
      <c r="N65" s="81">
        <v>0</v>
      </c>
      <c r="O65" s="81">
        <v>0</v>
      </c>
      <c r="P65" s="81">
        <f t="shared" si="0"/>
        <v>0</v>
      </c>
      <c r="Q65" s="81">
        <v>0</v>
      </c>
      <c r="R65" s="81">
        <v>0</v>
      </c>
      <c r="S65" s="81">
        <v>0</v>
      </c>
      <c r="T65" s="81">
        <v>0</v>
      </c>
      <c r="U65" s="81">
        <v>0</v>
      </c>
      <c r="V65" s="81">
        <v>0</v>
      </c>
      <c r="W65" s="81">
        <v>0</v>
      </c>
      <c r="X65" s="81">
        <v>0</v>
      </c>
      <c r="Y65" s="81">
        <v>0</v>
      </c>
      <c r="Z65" s="81">
        <v>0</v>
      </c>
      <c r="AA65" s="81">
        <v>0</v>
      </c>
      <c r="AB65" s="81">
        <v>0</v>
      </c>
      <c r="AC65" s="81">
        <v>0</v>
      </c>
      <c r="AD65" s="81">
        <v>0</v>
      </c>
      <c r="AE65" s="81">
        <v>0</v>
      </c>
      <c r="AF65" s="81">
        <v>0</v>
      </c>
      <c r="AG65" s="81">
        <v>0</v>
      </c>
      <c r="AH65" s="81">
        <v>0</v>
      </c>
      <c r="AI65" s="81">
        <v>0</v>
      </c>
      <c r="AJ65" s="81">
        <v>0</v>
      </c>
      <c r="AK65" s="81">
        <v>0</v>
      </c>
      <c r="AL65" s="81">
        <v>0</v>
      </c>
      <c r="AM65" s="81">
        <v>0</v>
      </c>
      <c r="AN65" s="81">
        <v>0</v>
      </c>
      <c r="AO65" s="81">
        <v>0</v>
      </c>
      <c r="AP65" s="81">
        <v>0</v>
      </c>
      <c r="AQ65" s="81">
        <v>0</v>
      </c>
      <c r="AR65" s="81">
        <v>0</v>
      </c>
      <c r="AS65" s="81">
        <v>1500</v>
      </c>
      <c r="AT65" s="81">
        <v>0</v>
      </c>
      <c r="AU65" s="81">
        <v>0</v>
      </c>
      <c r="AV65" s="81">
        <v>0</v>
      </c>
      <c r="AW65" s="81">
        <v>0</v>
      </c>
      <c r="AX65" s="81">
        <v>0</v>
      </c>
      <c r="AY65" s="81">
        <v>0</v>
      </c>
      <c r="AZ65" s="81">
        <v>0</v>
      </c>
      <c r="BA65" s="81">
        <v>0</v>
      </c>
      <c r="BB65" s="81">
        <v>0</v>
      </c>
      <c r="BC65" s="81">
        <v>0</v>
      </c>
      <c r="BD65" s="81">
        <v>0</v>
      </c>
      <c r="BE65" s="81">
        <v>0</v>
      </c>
      <c r="BF65" s="81">
        <v>0</v>
      </c>
      <c r="BG65" s="81">
        <v>0</v>
      </c>
      <c r="BH65" s="81">
        <v>0</v>
      </c>
      <c r="BI65" s="81">
        <v>1500</v>
      </c>
      <c r="BJ65" s="81">
        <v>0</v>
      </c>
      <c r="BK65" s="81">
        <v>1500</v>
      </c>
      <c r="BL65" s="81">
        <v>0</v>
      </c>
      <c r="BM65" s="81">
        <v>0</v>
      </c>
      <c r="BN65" s="81">
        <v>0</v>
      </c>
      <c r="BO65" s="81">
        <v>0</v>
      </c>
      <c r="BP65" s="81">
        <v>0</v>
      </c>
      <c r="BQ65" s="81">
        <v>1500</v>
      </c>
    </row>
    <row r="66" spans="1:69" hidden="1" x14ac:dyDescent="0.25">
      <c r="A66" s="81" t="s">
        <v>256</v>
      </c>
      <c r="B66" s="132">
        <v>46082</v>
      </c>
      <c r="C66" s="81" t="s">
        <v>123</v>
      </c>
      <c r="D66" s="81" t="s">
        <v>199</v>
      </c>
      <c r="E66" s="81" t="s">
        <v>200</v>
      </c>
      <c r="F66" s="81" t="s">
        <v>201</v>
      </c>
      <c r="G66" s="81" t="s">
        <v>202</v>
      </c>
      <c r="H66" s="81" t="s">
        <v>203</v>
      </c>
      <c r="I66" s="133">
        <v>46071</v>
      </c>
      <c r="J66" s="134"/>
      <c r="K66" s="81" t="s">
        <v>204</v>
      </c>
      <c r="L66" s="81" t="s">
        <v>242</v>
      </c>
      <c r="M66" s="81">
        <v>1000</v>
      </c>
      <c r="N66" s="81">
        <v>0</v>
      </c>
      <c r="O66" s="81">
        <v>0</v>
      </c>
      <c r="P66" s="81">
        <f t="shared" si="0"/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1">
        <v>0</v>
      </c>
      <c r="AH66" s="81">
        <v>0</v>
      </c>
      <c r="AI66" s="81">
        <v>0</v>
      </c>
      <c r="AJ66" s="81">
        <v>0</v>
      </c>
      <c r="AK66" s="81">
        <v>0</v>
      </c>
      <c r="AL66" s="81">
        <v>0</v>
      </c>
      <c r="AM66" s="81">
        <v>0</v>
      </c>
      <c r="AN66" s="81">
        <v>0</v>
      </c>
      <c r="AO66" s="81">
        <v>0</v>
      </c>
      <c r="AP66" s="81">
        <v>0</v>
      </c>
      <c r="AQ66" s="81">
        <v>0</v>
      </c>
      <c r="AR66" s="81">
        <v>0</v>
      </c>
      <c r="AS66" s="81">
        <v>1000</v>
      </c>
      <c r="AT66" s="81">
        <v>0</v>
      </c>
      <c r="AU66" s="81">
        <v>0</v>
      </c>
      <c r="AV66" s="81">
        <v>0</v>
      </c>
      <c r="AW66" s="81">
        <v>0</v>
      </c>
      <c r="AX66" s="81">
        <v>0</v>
      </c>
      <c r="AY66" s="81">
        <v>0</v>
      </c>
      <c r="AZ66" s="81">
        <v>0</v>
      </c>
      <c r="BA66" s="81">
        <v>0</v>
      </c>
      <c r="BB66" s="81">
        <v>0</v>
      </c>
      <c r="BC66" s="81">
        <v>0</v>
      </c>
      <c r="BD66" s="81">
        <v>0</v>
      </c>
      <c r="BE66" s="81">
        <v>0</v>
      </c>
      <c r="BF66" s="81">
        <v>0</v>
      </c>
      <c r="BG66" s="81">
        <v>0</v>
      </c>
      <c r="BH66" s="81">
        <v>0</v>
      </c>
      <c r="BI66" s="81">
        <v>1000</v>
      </c>
      <c r="BJ66" s="81">
        <v>100</v>
      </c>
      <c r="BK66" s="81">
        <v>900</v>
      </c>
      <c r="BL66" s="81">
        <v>0</v>
      </c>
      <c r="BM66" s="81">
        <v>0</v>
      </c>
      <c r="BN66" s="81">
        <v>0</v>
      </c>
      <c r="BO66" s="81">
        <v>0</v>
      </c>
      <c r="BP66" s="81">
        <v>0</v>
      </c>
      <c r="BQ66" s="81">
        <v>1000</v>
      </c>
    </row>
    <row r="67" spans="1:69" hidden="1" x14ac:dyDescent="0.25">
      <c r="A67" s="81" t="s">
        <v>257</v>
      </c>
      <c r="B67" s="132">
        <v>46082</v>
      </c>
      <c r="C67" s="81" t="s">
        <v>123</v>
      </c>
      <c r="D67" s="81" t="s">
        <v>199</v>
      </c>
      <c r="E67" s="81" t="s">
        <v>200</v>
      </c>
      <c r="F67" s="81" t="s">
        <v>195</v>
      </c>
      <c r="G67" s="81" t="s">
        <v>195</v>
      </c>
      <c r="H67" s="81" t="s">
        <v>107</v>
      </c>
      <c r="I67" s="133">
        <v>46083</v>
      </c>
      <c r="J67" s="134"/>
      <c r="K67" s="81" t="s">
        <v>211</v>
      </c>
      <c r="L67" s="81" t="s">
        <v>247</v>
      </c>
      <c r="M67" s="81">
        <v>1000</v>
      </c>
      <c r="N67" s="81">
        <v>0</v>
      </c>
      <c r="O67" s="81">
        <v>0</v>
      </c>
      <c r="P67" s="81">
        <f t="shared" ref="P67:P120" si="1">N67+O67</f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1">
        <v>0</v>
      </c>
      <c r="AH67" s="81">
        <v>0</v>
      </c>
      <c r="AI67" s="81">
        <v>0</v>
      </c>
      <c r="AJ67" s="81">
        <v>0</v>
      </c>
      <c r="AK67" s="81">
        <v>0</v>
      </c>
      <c r="AL67" s="81">
        <v>0</v>
      </c>
      <c r="AM67" s="81">
        <v>0</v>
      </c>
      <c r="AN67" s="81">
        <v>0</v>
      </c>
      <c r="AO67" s="81">
        <v>0</v>
      </c>
      <c r="AP67" s="81">
        <v>0</v>
      </c>
      <c r="AQ67" s="81">
        <v>0</v>
      </c>
      <c r="AR67" s="81">
        <v>0</v>
      </c>
      <c r="AS67" s="81">
        <v>1500</v>
      </c>
      <c r="AT67" s="81">
        <v>0</v>
      </c>
      <c r="AU67" s="81">
        <v>0</v>
      </c>
      <c r="AV67" s="81">
        <v>0</v>
      </c>
      <c r="AW67" s="81">
        <v>0</v>
      </c>
      <c r="AX67" s="81">
        <v>0</v>
      </c>
      <c r="AY67" s="81">
        <v>0</v>
      </c>
      <c r="AZ67" s="81">
        <v>0</v>
      </c>
      <c r="BA67" s="81">
        <v>0</v>
      </c>
      <c r="BB67" s="81">
        <v>0</v>
      </c>
      <c r="BC67" s="81">
        <v>0</v>
      </c>
      <c r="BD67" s="81">
        <v>0</v>
      </c>
      <c r="BE67" s="81">
        <v>0</v>
      </c>
      <c r="BF67" s="81">
        <v>0</v>
      </c>
      <c r="BG67" s="81">
        <v>0</v>
      </c>
      <c r="BH67" s="81">
        <v>0</v>
      </c>
      <c r="BI67" s="81">
        <v>1500</v>
      </c>
      <c r="BJ67" s="81">
        <v>250</v>
      </c>
      <c r="BK67" s="81">
        <v>1250</v>
      </c>
      <c r="BL67" s="81">
        <v>0</v>
      </c>
      <c r="BM67" s="81">
        <v>0</v>
      </c>
      <c r="BN67" s="81">
        <v>0</v>
      </c>
      <c r="BO67" s="81">
        <v>0</v>
      </c>
      <c r="BP67" s="81">
        <v>0</v>
      </c>
      <c r="BQ67" s="81">
        <v>1500</v>
      </c>
    </row>
    <row r="68" spans="1:69" hidden="1" x14ac:dyDescent="0.25">
      <c r="A68" s="81" t="s">
        <v>258</v>
      </c>
      <c r="B68" s="132">
        <v>46082</v>
      </c>
      <c r="C68" s="81" t="s">
        <v>123</v>
      </c>
      <c r="D68" s="81" t="s">
        <v>199</v>
      </c>
      <c r="E68" s="81" t="s">
        <v>200</v>
      </c>
      <c r="F68" s="81" t="s">
        <v>81</v>
      </c>
      <c r="G68" s="81" t="s">
        <v>230</v>
      </c>
      <c r="H68" s="81" t="s">
        <v>203</v>
      </c>
      <c r="I68" s="133">
        <v>46083</v>
      </c>
      <c r="J68" s="134"/>
      <c r="K68" s="81" t="s">
        <v>208</v>
      </c>
      <c r="L68" s="81" t="s">
        <v>259</v>
      </c>
      <c r="M68" s="81">
        <v>1000</v>
      </c>
      <c r="N68" s="81">
        <v>0</v>
      </c>
      <c r="O68" s="81">
        <v>0</v>
      </c>
      <c r="P68" s="81">
        <f t="shared" si="1"/>
        <v>0</v>
      </c>
      <c r="Q68" s="81">
        <v>0</v>
      </c>
      <c r="R68" s="81">
        <v>0</v>
      </c>
      <c r="S68" s="81">
        <v>0</v>
      </c>
      <c r="T68" s="81">
        <v>0</v>
      </c>
      <c r="U68" s="81">
        <v>0</v>
      </c>
      <c r="V68" s="81">
        <v>0</v>
      </c>
      <c r="W68" s="81">
        <v>0</v>
      </c>
      <c r="X68" s="81">
        <v>0</v>
      </c>
      <c r="Y68" s="81">
        <v>0</v>
      </c>
      <c r="Z68" s="81">
        <v>0</v>
      </c>
      <c r="AA68" s="81">
        <v>0</v>
      </c>
      <c r="AB68" s="81">
        <v>0</v>
      </c>
      <c r="AC68" s="81">
        <v>0</v>
      </c>
      <c r="AD68" s="81">
        <v>0</v>
      </c>
      <c r="AE68" s="81">
        <v>0</v>
      </c>
      <c r="AF68" s="81">
        <v>0</v>
      </c>
      <c r="AG68" s="81">
        <v>0</v>
      </c>
      <c r="AH68" s="81">
        <v>0</v>
      </c>
      <c r="AI68" s="81">
        <v>0</v>
      </c>
      <c r="AJ68" s="81">
        <v>0</v>
      </c>
      <c r="AK68" s="81">
        <v>0</v>
      </c>
      <c r="AL68" s="81">
        <v>0</v>
      </c>
      <c r="AM68" s="81">
        <v>0</v>
      </c>
      <c r="AN68" s="81">
        <v>0</v>
      </c>
      <c r="AO68" s="81">
        <v>0</v>
      </c>
      <c r="AP68" s="81">
        <v>0</v>
      </c>
      <c r="AQ68" s="81">
        <v>0</v>
      </c>
      <c r="AR68" s="81">
        <v>0</v>
      </c>
      <c r="AS68" s="81">
        <v>1500</v>
      </c>
      <c r="AT68" s="81">
        <v>0</v>
      </c>
      <c r="AU68" s="81">
        <v>0</v>
      </c>
      <c r="AV68" s="81">
        <v>0</v>
      </c>
      <c r="AW68" s="81">
        <v>0</v>
      </c>
      <c r="AX68" s="81">
        <v>0</v>
      </c>
      <c r="AY68" s="81">
        <v>0</v>
      </c>
      <c r="AZ68" s="81">
        <v>0</v>
      </c>
      <c r="BA68" s="81">
        <v>0</v>
      </c>
      <c r="BB68" s="81">
        <v>0</v>
      </c>
      <c r="BC68" s="81">
        <v>0</v>
      </c>
      <c r="BD68" s="81">
        <v>0</v>
      </c>
      <c r="BE68" s="81">
        <v>0</v>
      </c>
      <c r="BF68" s="81">
        <v>0</v>
      </c>
      <c r="BG68" s="81">
        <v>0</v>
      </c>
      <c r="BH68" s="81">
        <v>0</v>
      </c>
      <c r="BI68" s="81">
        <v>1500</v>
      </c>
      <c r="BJ68" s="81">
        <v>250</v>
      </c>
      <c r="BK68" s="81">
        <v>1250</v>
      </c>
      <c r="BL68" s="81">
        <v>0</v>
      </c>
      <c r="BM68" s="81">
        <v>0</v>
      </c>
      <c r="BN68" s="81">
        <v>0</v>
      </c>
      <c r="BO68" s="81">
        <v>0</v>
      </c>
      <c r="BP68" s="81">
        <v>0</v>
      </c>
      <c r="BQ68" s="81">
        <v>1500</v>
      </c>
    </row>
    <row r="69" spans="1:69" hidden="1" x14ac:dyDescent="0.25">
      <c r="A69" s="81" t="s">
        <v>260</v>
      </c>
      <c r="B69" s="132">
        <v>46082</v>
      </c>
      <c r="C69" s="81" t="s">
        <v>123</v>
      </c>
      <c r="D69" s="81" t="s">
        <v>199</v>
      </c>
      <c r="E69" s="81" t="s">
        <v>200</v>
      </c>
      <c r="F69" s="81" t="s">
        <v>81</v>
      </c>
      <c r="G69" s="81" t="s">
        <v>240</v>
      </c>
      <c r="H69" s="81" t="s">
        <v>203</v>
      </c>
      <c r="I69" s="133">
        <v>46100</v>
      </c>
      <c r="J69" s="134"/>
      <c r="K69" s="81" t="s">
        <v>241</v>
      </c>
      <c r="L69" s="81" t="s">
        <v>261</v>
      </c>
      <c r="M69" s="81">
        <v>1000</v>
      </c>
      <c r="N69" s="81">
        <v>0</v>
      </c>
      <c r="O69" s="81">
        <v>0</v>
      </c>
      <c r="P69" s="81">
        <f t="shared" si="1"/>
        <v>0</v>
      </c>
      <c r="Q69" s="81">
        <v>0</v>
      </c>
      <c r="R69" s="81">
        <v>0</v>
      </c>
      <c r="S69" s="81">
        <v>0</v>
      </c>
      <c r="T69" s="81">
        <v>0</v>
      </c>
      <c r="U69" s="81">
        <v>0</v>
      </c>
      <c r="V69" s="81">
        <v>0</v>
      </c>
      <c r="W69" s="81">
        <v>0</v>
      </c>
      <c r="X69" s="81">
        <v>0</v>
      </c>
      <c r="Y69" s="81">
        <v>0</v>
      </c>
      <c r="Z69" s="81">
        <v>0</v>
      </c>
      <c r="AA69" s="81">
        <v>0</v>
      </c>
      <c r="AB69" s="81">
        <v>0</v>
      </c>
      <c r="AC69" s="81">
        <v>0</v>
      </c>
      <c r="AD69" s="81">
        <v>0</v>
      </c>
      <c r="AE69" s="81">
        <v>0</v>
      </c>
      <c r="AF69" s="81">
        <v>0</v>
      </c>
      <c r="AG69" s="81">
        <v>0</v>
      </c>
      <c r="AH69" s="81">
        <v>0</v>
      </c>
      <c r="AI69" s="81">
        <v>0</v>
      </c>
      <c r="AJ69" s="81">
        <v>0</v>
      </c>
      <c r="AK69" s="81">
        <v>0</v>
      </c>
      <c r="AL69" s="81">
        <v>0</v>
      </c>
      <c r="AM69" s="81">
        <v>0</v>
      </c>
      <c r="AN69" s="81">
        <v>0</v>
      </c>
      <c r="AO69" s="81">
        <v>0</v>
      </c>
      <c r="AP69" s="81">
        <v>0</v>
      </c>
      <c r="AQ69" s="81">
        <v>0</v>
      </c>
      <c r="AR69" s="81">
        <v>0</v>
      </c>
      <c r="AS69" s="81">
        <v>650</v>
      </c>
      <c r="AT69" s="81">
        <v>0</v>
      </c>
      <c r="AU69" s="81">
        <v>0</v>
      </c>
      <c r="AV69" s="81">
        <v>0</v>
      </c>
      <c r="AW69" s="81">
        <v>0</v>
      </c>
      <c r="AX69" s="81">
        <v>0</v>
      </c>
      <c r="AY69" s="81">
        <v>0</v>
      </c>
      <c r="AZ69" s="81">
        <v>0</v>
      </c>
      <c r="BA69" s="81">
        <v>0</v>
      </c>
      <c r="BB69" s="81">
        <v>0</v>
      </c>
      <c r="BC69" s="81">
        <v>0</v>
      </c>
      <c r="BD69" s="81">
        <v>0</v>
      </c>
      <c r="BE69" s="81">
        <v>0</v>
      </c>
      <c r="BF69" s="81">
        <v>0</v>
      </c>
      <c r="BG69" s="81">
        <v>0</v>
      </c>
      <c r="BH69" s="81">
        <v>0</v>
      </c>
      <c r="BI69" s="81">
        <v>650</v>
      </c>
      <c r="BJ69" s="81">
        <v>216.67</v>
      </c>
      <c r="BK69" s="81">
        <v>433.33</v>
      </c>
      <c r="BL69" s="81">
        <v>0</v>
      </c>
      <c r="BM69" s="81">
        <v>0</v>
      </c>
      <c r="BN69" s="81">
        <v>0</v>
      </c>
      <c r="BO69" s="81">
        <v>0</v>
      </c>
      <c r="BP69" s="81">
        <v>0</v>
      </c>
      <c r="BQ69" s="81">
        <v>650</v>
      </c>
    </row>
    <row r="70" spans="1:69" hidden="1" x14ac:dyDescent="0.25">
      <c r="A70" s="81" t="s">
        <v>262</v>
      </c>
      <c r="B70" s="132">
        <v>46082</v>
      </c>
      <c r="C70" s="81" t="s">
        <v>78</v>
      </c>
      <c r="D70" s="81" t="s">
        <v>263</v>
      </c>
      <c r="E70" s="81" t="s">
        <v>264</v>
      </c>
      <c r="F70" s="81" t="s">
        <v>87</v>
      </c>
      <c r="G70" s="81" t="s">
        <v>88</v>
      </c>
      <c r="H70" s="81" t="s">
        <v>265</v>
      </c>
      <c r="I70" s="133">
        <v>45915</v>
      </c>
      <c r="J70" s="134"/>
      <c r="K70" s="81" t="s">
        <v>266</v>
      </c>
      <c r="L70" s="81" t="s">
        <v>267</v>
      </c>
      <c r="M70" s="81">
        <v>2600</v>
      </c>
      <c r="N70" s="81">
        <v>2600</v>
      </c>
      <c r="O70" s="81">
        <v>0</v>
      </c>
      <c r="P70" s="81">
        <f t="shared" si="1"/>
        <v>2600</v>
      </c>
      <c r="Q70" s="81">
        <v>0</v>
      </c>
      <c r="R70" s="81">
        <v>0</v>
      </c>
      <c r="S70" s="81">
        <v>0</v>
      </c>
      <c r="T70" s="81">
        <v>0</v>
      </c>
      <c r="U70" s="81">
        <v>0</v>
      </c>
      <c r="V70" s="81">
        <v>0</v>
      </c>
      <c r="W70" s="81">
        <v>0</v>
      </c>
      <c r="X70" s="81">
        <v>0</v>
      </c>
      <c r="Y70" s="81">
        <v>0</v>
      </c>
      <c r="Z70" s="81">
        <v>0</v>
      </c>
      <c r="AA70" s="81">
        <v>79.95</v>
      </c>
      <c r="AB70" s="81">
        <v>15.38</v>
      </c>
      <c r="AC70" s="81">
        <v>0</v>
      </c>
      <c r="AD70" s="81">
        <v>0</v>
      </c>
      <c r="AE70" s="81">
        <v>0</v>
      </c>
      <c r="AF70" s="81">
        <v>0</v>
      </c>
      <c r="AG70" s="81">
        <v>2695.33</v>
      </c>
      <c r="AH70" s="81">
        <v>0</v>
      </c>
      <c r="AI70" s="81">
        <v>0</v>
      </c>
      <c r="AJ70" s="81">
        <v>0</v>
      </c>
      <c r="AK70" s="81">
        <v>0</v>
      </c>
      <c r="AL70" s="81">
        <v>0</v>
      </c>
      <c r="AM70" s="81">
        <v>0</v>
      </c>
      <c r="AN70" s="81">
        <v>0</v>
      </c>
      <c r="AO70" s="81">
        <v>456.6</v>
      </c>
      <c r="AP70" s="81">
        <v>0</v>
      </c>
      <c r="AQ70" s="81">
        <v>0</v>
      </c>
      <c r="AR70" s="81">
        <v>456.6</v>
      </c>
      <c r="AS70" s="81">
        <v>0</v>
      </c>
      <c r="AT70" s="81">
        <v>0</v>
      </c>
      <c r="AU70" s="81">
        <v>0</v>
      </c>
      <c r="AV70" s="81">
        <v>0</v>
      </c>
      <c r="AW70" s="81">
        <v>0</v>
      </c>
      <c r="AX70" s="81">
        <v>0</v>
      </c>
      <c r="AY70" s="81">
        <v>0</v>
      </c>
      <c r="AZ70" s="81">
        <v>0</v>
      </c>
      <c r="BA70" s="81">
        <v>0</v>
      </c>
      <c r="BB70" s="81">
        <v>0</v>
      </c>
      <c r="BC70" s="81">
        <v>0</v>
      </c>
      <c r="BD70" s="81">
        <v>0</v>
      </c>
      <c r="BE70" s="81">
        <v>0</v>
      </c>
      <c r="BF70" s="81">
        <v>0</v>
      </c>
      <c r="BG70" s="81">
        <v>0</v>
      </c>
      <c r="BH70" s="81">
        <v>0</v>
      </c>
      <c r="BI70" s="81">
        <v>3151.93</v>
      </c>
      <c r="BJ70" s="81">
        <v>1258.25</v>
      </c>
      <c r="BK70" s="81">
        <v>1893.68</v>
      </c>
      <c r="BL70" s="81">
        <v>215.62</v>
      </c>
      <c r="BM70" s="81">
        <v>539.07000000000005</v>
      </c>
      <c r="BN70" s="81">
        <v>80.849999999999994</v>
      </c>
      <c r="BO70" s="81">
        <v>156.32</v>
      </c>
      <c r="BP70" s="81">
        <v>991.86</v>
      </c>
      <c r="BQ70" s="81">
        <v>4143.79</v>
      </c>
    </row>
    <row r="71" spans="1:69" hidden="1" x14ac:dyDescent="0.25">
      <c r="A71" s="81" t="s">
        <v>268</v>
      </c>
      <c r="B71" s="132">
        <v>46082</v>
      </c>
      <c r="C71" s="81" t="s">
        <v>78</v>
      </c>
      <c r="D71" s="81" t="s">
        <v>263</v>
      </c>
      <c r="E71" s="81" t="s">
        <v>264</v>
      </c>
      <c r="F71" s="81" t="s">
        <v>87</v>
      </c>
      <c r="G71" s="81" t="s">
        <v>88</v>
      </c>
      <c r="H71" s="81" t="s">
        <v>265</v>
      </c>
      <c r="I71" s="133">
        <v>46050</v>
      </c>
      <c r="J71" s="133">
        <v>46097</v>
      </c>
      <c r="K71" s="81" t="s">
        <v>266</v>
      </c>
      <c r="L71" s="81" t="s">
        <v>90</v>
      </c>
      <c r="M71" s="81">
        <v>3679.83</v>
      </c>
      <c r="N71" s="81">
        <v>0</v>
      </c>
      <c r="O71" s="81">
        <v>0</v>
      </c>
      <c r="P71" s="81">
        <f t="shared" si="1"/>
        <v>0</v>
      </c>
      <c r="Q71" s="81">
        <v>0</v>
      </c>
      <c r="R71" s="81">
        <v>0</v>
      </c>
      <c r="S71" s="81">
        <v>0</v>
      </c>
      <c r="T71" s="81">
        <v>392.52</v>
      </c>
      <c r="U71" s="81">
        <v>0</v>
      </c>
      <c r="V71" s="81">
        <v>588.77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47.77</v>
      </c>
      <c r="AC71" s="81">
        <v>0</v>
      </c>
      <c r="AD71" s="81">
        <v>0</v>
      </c>
      <c r="AE71" s="81">
        <v>0</v>
      </c>
      <c r="AF71" s="81">
        <v>0</v>
      </c>
      <c r="AG71" s="81">
        <v>1029.06</v>
      </c>
      <c r="AH71" s="81">
        <v>0</v>
      </c>
      <c r="AI71" s="81">
        <v>0</v>
      </c>
      <c r="AJ71" s="81">
        <v>0</v>
      </c>
      <c r="AK71" s="81">
        <v>0</v>
      </c>
      <c r="AL71" s="81">
        <v>0</v>
      </c>
      <c r="AM71" s="81">
        <v>0</v>
      </c>
      <c r="AN71" s="81">
        <v>0</v>
      </c>
      <c r="AO71" s="81">
        <v>28.92</v>
      </c>
      <c r="AP71" s="81">
        <v>0</v>
      </c>
      <c r="AQ71" s="81">
        <v>0</v>
      </c>
      <c r="AR71" s="81">
        <v>28.92</v>
      </c>
      <c r="AS71" s="81">
        <v>0</v>
      </c>
      <c r="AT71" s="81">
        <v>266.67</v>
      </c>
      <c r="AU71" s="81">
        <v>0</v>
      </c>
      <c r="AV71" s="81">
        <v>0</v>
      </c>
      <c r="AW71" s="81">
        <v>0</v>
      </c>
      <c r="AX71" s="81">
        <v>0</v>
      </c>
      <c r="AY71" s="81">
        <v>0</v>
      </c>
      <c r="AZ71" s="81">
        <v>0</v>
      </c>
      <c r="BA71" s="81">
        <v>0</v>
      </c>
      <c r="BB71" s="81">
        <v>0</v>
      </c>
      <c r="BC71" s="81">
        <v>0</v>
      </c>
      <c r="BD71" s="81">
        <v>0</v>
      </c>
      <c r="BE71" s="81">
        <v>0</v>
      </c>
      <c r="BF71" s="81">
        <v>4483.47</v>
      </c>
      <c r="BG71" s="81">
        <v>0</v>
      </c>
      <c r="BH71" s="81">
        <v>4483.47</v>
      </c>
      <c r="BI71" s="81">
        <v>1324.65</v>
      </c>
      <c r="BJ71" s="81">
        <v>5802.38</v>
      </c>
      <c r="BK71" s="81">
        <v>0</v>
      </c>
      <c r="BL71" s="81">
        <v>255.89</v>
      </c>
      <c r="BM71" s="81">
        <v>205.81</v>
      </c>
      <c r="BN71" s="81">
        <v>30.87</v>
      </c>
      <c r="BO71" s="81">
        <v>59.68</v>
      </c>
      <c r="BP71" s="81">
        <v>552.25</v>
      </c>
      <c r="BQ71" s="81">
        <v>1876.9</v>
      </c>
    </row>
    <row r="72" spans="1:69" hidden="1" x14ac:dyDescent="0.25">
      <c r="A72" s="81" t="s">
        <v>269</v>
      </c>
      <c r="B72" s="132">
        <v>46082</v>
      </c>
      <c r="C72" s="81" t="s">
        <v>78</v>
      </c>
      <c r="D72" s="81" t="s">
        <v>263</v>
      </c>
      <c r="E72" s="81" t="s">
        <v>264</v>
      </c>
      <c r="F72" s="81" t="s">
        <v>81</v>
      </c>
      <c r="G72" s="81" t="s">
        <v>82</v>
      </c>
      <c r="H72" s="81" t="s">
        <v>265</v>
      </c>
      <c r="I72" s="133">
        <v>45323</v>
      </c>
      <c r="J72" s="134"/>
      <c r="K72" s="81" t="s">
        <v>270</v>
      </c>
      <c r="L72" s="81" t="s">
        <v>226</v>
      </c>
      <c r="M72" s="81">
        <v>2320</v>
      </c>
      <c r="N72" s="81">
        <v>2320</v>
      </c>
      <c r="O72" s="81">
        <v>0</v>
      </c>
      <c r="P72" s="81">
        <f t="shared" si="1"/>
        <v>2320</v>
      </c>
      <c r="Q72" s="81">
        <v>0</v>
      </c>
      <c r="R72" s="81">
        <v>0</v>
      </c>
      <c r="S72" s="81">
        <v>0</v>
      </c>
      <c r="T72" s="81">
        <v>0</v>
      </c>
      <c r="U72" s="81">
        <v>0</v>
      </c>
      <c r="V72" s="81">
        <v>0</v>
      </c>
      <c r="W72" s="81">
        <v>0</v>
      </c>
      <c r="X72" s="81">
        <v>0</v>
      </c>
      <c r="Y72" s="81">
        <v>0</v>
      </c>
      <c r="Z72" s="81">
        <v>0</v>
      </c>
      <c r="AA72" s="81">
        <v>237.8</v>
      </c>
      <c r="AB72" s="81">
        <v>45.73</v>
      </c>
      <c r="AC72" s="81">
        <v>0</v>
      </c>
      <c r="AD72" s="81">
        <v>0</v>
      </c>
      <c r="AE72" s="81">
        <v>0</v>
      </c>
      <c r="AF72" s="81">
        <v>0</v>
      </c>
      <c r="AG72" s="81">
        <v>2603.5300000000002</v>
      </c>
      <c r="AH72" s="81">
        <v>0</v>
      </c>
      <c r="AI72" s="81">
        <v>0</v>
      </c>
      <c r="AJ72" s="81">
        <v>0</v>
      </c>
      <c r="AK72" s="81">
        <v>0</v>
      </c>
      <c r="AL72" s="81">
        <v>0</v>
      </c>
      <c r="AM72" s="81">
        <v>0</v>
      </c>
      <c r="AN72" s="81">
        <v>0</v>
      </c>
      <c r="AO72" s="81">
        <v>456.6</v>
      </c>
      <c r="AP72" s="81">
        <v>0</v>
      </c>
      <c r="AQ72" s="81">
        <v>0</v>
      </c>
      <c r="AR72" s="81">
        <v>456.6</v>
      </c>
      <c r="AS72" s="81">
        <v>0</v>
      </c>
      <c r="AT72" s="81">
        <v>0</v>
      </c>
      <c r="AU72" s="81">
        <v>0</v>
      </c>
      <c r="AV72" s="81">
        <v>0</v>
      </c>
      <c r="AW72" s="81">
        <v>0</v>
      </c>
      <c r="AX72" s="81">
        <v>0</v>
      </c>
      <c r="AY72" s="81">
        <v>0</v>
      </c>
      <c r="AZ72" s="81">
        <v>0</v>
      </c>
      <c r="BA72" s="81">
        <v>0</v>
      </c>
      <c r="BB72" s="81">
        <v>0</v>
      </c>
      <c r="BC72" s="81">
        <v>0</v>
      </c>
      <c r="BD72" s="81">
        <v>0</v>
      </c>
      <c r="BE72" s="81">
        <v>0</v>
      </c>
      <c r="BF72" s="81">
        <v>0</v>
      </c>
      <c r="BG72" s="81">
        <v>0</v>
      </c>
      <c r="BH72" s="81">
        <v>0</v>
      </c>
      <c r="BI72" s="81">
        <v>3060.13</v>
      </c>
      <c r="BJ72" s="81">
        <v>695.85</v>
      </c>
      <c r="BK72" s="81">
        <v>2364.2800000000002</v>
      </c>
      <c r="BL72" s="81">
        <v>208.28</v>
      </c>
      <c r="BM72" s="81">
        <v>520.71</v>
      </c>
      <c r="BN72" s="81">
        <v>78.099999999999994</v>
      </c>
      <c r="BO72" s="81">
        <v>151</v>
      </c>
      <c r="BP72" s="81">
        <v>958.09</v>
      </c>
      <c r="BQ72" s="81">
        <v>4018.22</v>
      </c>
    </row>
    <row r="73" spans="1:69" hidden="1" x14ac:dyDescent="0.25">
      <c r="A73" s="81" t="s">
        <v>271</v>
      </c>
      <c r="B73" s="132">
        <v>46082</v>
      </c>
      <c r="C73" s="81" t="s">
        <v>78</v>
      </c>
      <c r="D73" s="81" t="s">
        <v>272</v>
      </c>
      <c r="E73" s="81" t="s">
        <v>273</v>
      </c>
      <c r="F73" s="81" t="s">
        <v>87</v>
      </c>
      <c r="G73" s="81" t="s">
        <v>88</v>
      </c>
      <c r="H73" s="81" t="s">
        <v>178</v>
      </c>
      <c r="I73" s="133">
        <v>45237</v>
      </c>
      <c r="J73" s="133">
        <v>46090</v>
      </c>
      <c r="K73" s="81" t="s">
        <v>184</v>
      </c>
      <c r="L73" s="81" t="s">
        <v>274</v>
      </c>
      <c r="M73" s="81">
        <v>2305.85</v>
      </c>
      <c r="N73" s="81">
        <v>0</v>
      </c>
      <c r="O73" s="81">
        <v>0</v>
      </c>
      <c r="P73" s="81">
        <f t="shared" si="1"/>
        <v>0</v>
      </c>
      <c r="Q73" s="81">
        <v>0</v>
      </c>
      <c r="R73" s="81">
        <v>0</v>
      </c>
      <c r="S73" s="81">
        <v>0</v>
      </c>
      <c r="T73" s="81">
        <v>0</v>
      </c>
      <c r="U73" s="81">
        <v>0</v>
      </c>
      <c r="V73" s="81">
        <v>0</v>
      </c>
      <c r="W73" s="81">
        <v>0</v>
      </c>
      <c r="X73" s="81">
        <v>0</v>
      </c>
      <c r="Y73" s="81">
        <v>0</v>
      </c>
      <c r="Z73" s="81">
        <v>0</v>
      </c>
      <c r="AA73" s="81">
        <v>0</v>
      </c>
      <c r="AB73" s="81">
        <v>0</v>
      </c>
      <c r="AC73" s="81">
        <v>0</v>
      </c>
      <c r="AD73" s="81">
        <v>0</v>
      </c>
      <c r="AE73" s="81">
        <v>0</v>
      </c>
      <c r="AF73" s="81">
        <v>0</v>
      </c>
      <c r="AG73" s="81">
        <v>0</v>
      </c>
      <c r="AH73" s="81">
        <v>0</v>
      </c>
      <c r="AI73" s="81">
        <v>0</v>
      </c>
      <c r="AJ73" s="81">
        <v>0</v>
      </c>
      <c r="AK73" s="81">
        <v>0</v>
      </c>
      <c r="AL73" s="81">
        <v>0</v>
      </c>
      <c r="AM73" s="81">
        <v>0</v>
      </c>
      <c r="AN73" s="81">
        <v>0</v>
      </c>
      <c r="AO73" s="81">
        <v>110.84</v>
      </c>
      <c r="AP73" s="81">
        <v>0</v>
      </c>
      <c r="AQ73" s="81">
        <v>0</v>
      </c>
      <c r="AR73" s="81">
        <v>110.84</v>
      </c>
      <c r="AS73" s="81">
        <v>0</v>
      </c>
      <c r="AT73" s="81">
        <v>500</v>
      </c>
      <c r="AU73" s="81">
        <v>0</v>
      </c>
      <c r="AV73" s="81">
        <v>0</v>
      </c>
      <c r="AW73" s="81">
        <v>0</v>
      </c>
      <c r="AX73" s="81">
        <v>0</v>
      </c>
      <c r="AY73" s="81">
        <v>0</v>
      </c>
      <c r="AZ73" s="81">
        <v>0</v>
      </c>
      <c r="BA73" s="81">
        <v>0</v>
      </c>
      <c r="BB73" s="81">
        <v>0</v>
      </c>
      <c r="BC73" s="81">
        <v>0</v>
      </c>
      <c r="BD73" s="81">
        <v>0</v>
      </c>
      <c r="BE73" s="81">
        <v>0</v>
      </c>
      <c r="BF73" s="81">
        <v>6369.91</v>
      </c>
      <c r="BG73" s="81">
        <v>199.81</v>
      </c>
      <c r="BH73" s="81">
        <v>6569.72</v>
      </c>
      <c r="BI73" s="81">
        <v>610.84</v>
      </c>
      <c r="BJ73" s="81">
        <v>7249.09</v>
      </c>
      <c r="BK73" s="81">
        <v>0</v>
      </c>
      <c r="BL73" s="81">
        <v>0</v>
      </c>
      <c r="BM73" s="81">
        <v>0</v>
      </c>
      <c r="BN73" s="81">
        <v>0</v>
      </c>
      <c r="BO73" s="81">
        <v>0</v>
      </c>
      <c r="BP73" s="81">
        <v>0</v>
      </c>
      <c r="BQ73" s="81">
        <v>610.84</v>
      </c>
    </row>
    <row r="74" spans="1:69" hidden="1" x14ac:dyDescent="0.25">
      <c r="A74" s="81" t="s">
        <v>275</v>
      </c>
      <c r="B74" s="132">
        <v>46082</v>
      </c>
      <c r="C74" s="81" t="s">
        <v>78</v>
      </c>
      <c r="D74" s="81" t="s">
        <v>272</v>
      </c>
      <c r="E74" s="81" t="s">
        <v>273</v>
      </c>
      <c r="F74" s="81" t="s">
        <v>81</v>
      </c>
      <c r="G74" s="81" t="s">
        <v>82</v>
      </c>
      <c r="H74" s="81" t="s">
        <v>178</v>
      </c>
      <c r="I74" s="133">
        <v>45733</v>
      </c>
      <c r="J74" s="134"/>
      <c r="K74" s="81" t="s">
        <v>276</v>
      </c>
      <c r="L74" s="81" t="s">
        <v>277</v>
      </c>
      <c r="M74" s="81">
        <v>2650</v>
      </c>
      <c r="N74" s="81">
        <v>2650</v>
      </c>
      <c r="O74" s="81">
        <v>0</v>
      </c>
      <c r="P74" s="81">
        <f t="shared" si="1"/>
        <v>2650</v>
      </c>
      <c r="Q74" s="81">
        <v>0</v>
      </c>
      <c r="R74" s="81">
        <v>0</v>
      </c>
      <c r="S74" s="81">
        <v>0</v>
      </c>
      <c r="T74" s="81">
        <v>0</v>
      </c>
      <c r="U74" s="81">
        <v>0</v>
      </c>
      <c r="V74" s="81">
        <v>0</v>
      </c>
      <c r="W74" s="81">
        <v>0</v>
      </c>
      <c r="X74" s="81">
        <v>0</v>
      </c>
      <c r="Y74" s="81">
        <v>0</v>
      </c>
      <c r="Z74" s="81">
        <v>0</v>
      </c>
      <c r="AA74" s="81">
        <v>34.909999999999997</v>
      </c>
      <c r="AB74" s="81">
        <v>6.71</v>
      </c>
      <c r="AC74" s="81">
        <v>0</v>
      </c>
      <c r="AD74" s="81">
        <v>0</v>
      </c>
      <c r="AE74" s="81">
        <v>0</v>
      </c>
      <c r="AF74" s="81">
        <v>265</v>
      </c>
      <c r="AG74" s="81">
        <v>2956.62</v>
      </c>
      <c r="AH74" s="81">
        <v>0</v>
      </c>
      <c r="AI74" s="81">
        <v>0</v>
      </c>
      <c r="AJ74" s="81">
        <v>0</v>
      </c>
      <c r="AK74" s="81">
        <v>0</v>
      </c>
      <c r="AL74" s="81">
        <v>0</v>
      </c>
      <c r="AM74" s="81">
        <v>0</v>
      </c>
      <c r="AN74" s="81">
        <v>0</v>
      </c>
      <c r="AO74" s="81">
        <v>533.04</v>
      </c>
      <c r="AP74" s="81">
        <v>0</v>
      </c>
      <c r="AQ74" s="81">
        <v>0</v>
      </c>
      <c r="AR74" s="81">
        <v>533.04</v>
      </c>
      <c r="AS74" s="81">
        <v>0</v>
      </c>
      <c r="AT74" s="81">
        <v>0</v>
      </c>
      <c r="AU74" s="81">
        <v>0</v>
      </c>
      <c r="AV74" s="81">
        <v>0</v>
      </c>
      <c r="AW74" s="81">
        <v>0</v>
      </c>
      <c r="AX74" s="81">
        <v>0</v>
      </c>
      <c r="AY74" s="81">
        <v>0</v>
      </c>
      <c r="AZ74" s="81">
        <v>0</v>
      </c>
      <c r="BA74" s="81">
        <v>0</v>
      </c>
      <c r="BB74" s="81">
        <v>0</v>
      </c>
      <c r="BC74" s="81">
        <v>0</v>
      </c>
      <c r="BD74" s="81">
        <v>0</v>
      </c>
      <c r="BE74" s="81">
        <v>0</v>
      </c>
      <c r="BF74" s="81">
        <v>0</v>
      </c>
      <c r="BG74" s="81">
        <v>0</v>
      </c>
      <c r="BH74" s="81">
        <v>0</v>
      </c>
      <c r="BI74" s="81">
        <v>3489.66</v>
      </c>
      <c r="BJ74" s="81">
        <v>1303.3800000000001</v>
      </c>
      <c r="BK74" s="81">
        <v>2186.2800000000002</v>
      </c>
      <c r="BL74" s="81">
        <v>236.52</v>
      </c>
      <c r="BM74" s="81">
        <v>591.32000000000005</v>
      </c>
      <c r="BN74" s="81">
        <v>135.26</v>
      </c>
      <c r="BO74" s="81">
        <v>171.48</v>
      </c>
      <c r="BP74" s="81">
        <v>1134.58</v>
      </c>
      <c r="BQ74" s="81">
        <v>4624.24</v>
      </c>
    </row>
    <row r="75" spans="1:69" hidden="1" x14ac:dyDescent="0.25">
      <c r="A75" s="81" t="s">
        <v>278</v>
      </c>
      <c r="B75" s="132">
        <v>46082</v>
      </c>
      <c r="C75" s="81" t="s">
        <v>78</v>
      </c>
      <c r="D75" s="81" t="s">
        <v>272</v>
      </c>
      <c r="E75" s="81" t="s">
        <v>273</v>
      </c>
      <c r="F75" s="81" t="s">
        <v>87</v>
      </c>
      <c r="G75" s="81" t="s">
        <v>88</v>
      </c>
      <c r="H75" s="81" t="s">
        <v>178</v>
      </c>
      <c r="I75" s="133">
        <v>44630</v>
      </c>
      <c r="J75" s="134"/>
      <c r="K75" s="81" t="s">
        <v>184</v>
      </c>
      <c r="L75" s="81" t="s">
        <v>90</v>
      </c>
      <c r="M75" s="81">
        <v>3679.83</v>
      </c>
      <c r="N75" s="81">
        <v>3679.83</v>
      </c>
      <c r="O75" s="81">
        <v>0</v>
      </c>
      <c r="P75" s="81">
        <f t="shared" si="1"/>
        <v>3679.83</v>
      </c>
      <c r="Q75" s="81">
        <v>0</v>
      </c>
      <c r="R75" s="81">
        <v>0</v>
      </c>
      <c r="S75" s="81">
        <v>0</v>
      </c>
      <c r="T75" s="81">
        <v>735.97</v>
      </c>
      <c r="U75" s="81">
        <v>0</v>
      </c>
      <c r="V75" s="81">
        <v>1103.95</v>
      </c>
      <c r="W75" s="81">
        <v>0</v>
      </c>
      <c r="X75" s="81">
        <v>0</v>
      </c>
      <c r="Y75" s="81">
        <v>0</v>
      </c>
      <c r="Z75" s="81">
        <v>0</v>
      </c>
      <c r="AA75" s="81">
        <v>0</v>
      </c>
      <c r="AB75" s="81">
        <v>0</v>
      </c>
      <c r="AC75" s="81">
        <v>0</v>
      </c>
      <c r="AD75" s="81">
        <v>0</v>
      </c>
      <c r="AE75" s="81">
        <v>0</v>
      </c>
      <c r="AF75" s="81">
        <v>0</v>
      </c>
      <c r="AG75" s="81">
        <v>5519.75</v>
      </c>
      <c r="AH75" s="81">
        <v>0</v>
      </c>
      <c r="AI75" s="81">
        <v>0</v>
      </c>
      <c r="AJ75" s="81">
        <v>0</v>
      </c>
      <c r="AK75" s="81">
        <v>0</v>
      </c>
      <c r="AL75" s="81">
        <v>0</v>
      </c>
      <c r="AM75" s="81">
        <v>0</v>
      </c>
      <c r="AN75" s="81">
        <v>0</v>
      </c>
      <c r="AO75" s="81">
        <v>533.04</v>
      </c>
      <c r="AP75" s="81">
        <v>0</v>
      </c>
      <c r="AQ75" s="81">
        <v>0</v>
      </c>
      <c r="AR75" s="81">
        <v>533.04</v>
      </c>
      <c r="AS75" s="81">
        <v>0</v>
      </c>
      <c r="AT75" s="81">
        <v>0</v>
      </c>
      <c r="AU75" s="81">
        <v>0</v>
      </c>
      <c r="AV75" s="81">
        <v>160</v>
      </c>
      <c r="AW75" s="81">
        <v>0</v>
      </c>
      <c r="AX75" s="81">
        <v>0</v>
      </c>
      <c r="AY75" s="81">
        <v>0</v>
      </c>
      <c r="AZ75" s="81">
        <v>0</v>
      </c>
      <c r="BA75" s="81">
        <v>0</v>
      </c>
      <c r="BB75" s="81">
        <v>0</v>
      </c>
      <c r="BC75" s="81">
        <v>0</v>
      </c>
      <c r="BD75" s="81">
        <v>0</v>
      </c>
      <c r="BE75" s="81">
        <v>0</v>
      </c>
      <c r="BF75" s="81">
        <v>0</v>
      </c>
      <c r="BG75" s="81">
        <v>0</v>
      </c>
      <c r="BH75" s="81">
        <v>0</v>
      </c>
      <c r="BI75" s="81">
        <v>6212.79</v>
      </c>
      <c r="BJ75" s="81">
        <v>2297.7600000000002</v>
      </c>
      <c r="BK75" s="81">
        <v>3915.03</v>
      </c>
      <c r="BL75" s="81">
        <v>441.58</v>
      </c>
      <c r="BM75" s="81">
        <v>1103.95</v>
      </c>
      <c r="BN75" s="81">
        <v>252.52</v>
      </c>
      <c r="BO75" s="81">
        <v>320.14</v>
      </c>
      <c r="BP75" s="81">
        <v>2118.19</v>
      </c>
      <c r="BQ75" s="81">
        <v>8330.98</v>
      </c>
    </row>
    <row r="76" spans="1:69" hidden="1" x14ac:dyDescent="0.25">
      <c r="A76" s="81" t="s">
        <v>279</v>
      </c>
      <c r="B76" s="132">
        <v>46082</v>
      </c>
      <c r="C76" s="81" t="s">
        <v>78</v>
      </c>
      <c r="D76" s="81" t="s">
        <v>272</v>
      </c>
      <c r="E76" s="81" t="s">
        <v>273</v>
      </c>
      <c r="F76" s="81" t="s">
        <v>87</v>
      </c>
      <c r="G76" s="81" t="s">
        <v>88</v>
      </c>
      <c r="H76" s="81" t="s">
        <v>178</v>
      </c>
      <c r="I76" s="133">
        <v>46001</v>
      </c>
      <c r="J76" s="133">
        <v>46090</v>
      </c>
      <c r="K76" s="81" t="s">
        <v>184</v>
      </c>
      <c r="L76" s="81" t="s">
        <v>274</v>
      </c>
      <c r="M76" s="81">
        <v>2155</v>
      </c>
      <c r="N76" s="81">
        <v>0</v>
      </c>
      <c r="O76" s="81">
        <v>0</v>
      </c>
      <c r="P76" s="81">
        <f t="shared" si="1"/>
        <v>0</v>
      </c>
      <c r="Q76" s="81">
        <v>0</v>
      </c>
      <c r="R76" s="81">
        <v>0</v>
      </c>
      <c r="S76" s="81">
        <v>0</v>
      </c>
      <c r="T76" s="81">
        <v>0</v>
      </c>
      <c r="U76" s="81">
        <v>0</v>
      </c>
      <c r="V76" s="81">
        <v>0</v>
      </c>
      <c r="W76" s="81">
        <v>0</v>
      </c>
      <c r="X76" s="81">
        <v>0</v>
      </c>
      <c r="Y76" s="81">
        <v>0</v>
      </c>
      <c r="Z76" s="81">
        <v>0</v>
      </c>
      <c r="AA76" s="81">
        <v>0</v>
      </c>
      <c r="AB76" s="81">
        <v>0</v>
      </c>
      <c r="AC76" s="81">
        <v>0</v>
      </c>
      <c r="AD76" s="81">
        <v>0</v>
      </c>
      <c r="AE76" s="81">
        <v>0</v>
      </c>
      <c r="AF76" s="81">
        <v>0</v>
      </c>
      <c r="AG76" s="81">
        <v>0</v>
      </c>
      <c r="AH76" s="81">
        <v>0</v>
      </c>
      <c r="AI76" s="81">
        <v>0</v>
      </c>
      <c r="AJ76" s="81">
        <v>0</v>
      </c>
      <c r="AK76" s="81">
        <v>0</v>
      </c>
      <c r="AL76" s="81">
        <v>0</v>
      </c>
      <c r="AM76" s="81">
        <v>0</v>
      </c>
      <c r="AN76" s="81">
        <v>0</v>
      </c>
      <c r="AO76" s="81">
        <v>110.84</v>
      </c>
      <c r="AP76" s="81">
        <v>0</v>
      </c>
      <c r="AQ76" s="81">
        <v>0</v>
      </c>
      <c r="AR76" s="81">
        <v>110.84</v>
      </c>
      <c r="AS76" s="81">
        <v>0</v>
      </c>
      <c r="AT76" s="81">
        <v>150</v>
      </c>
      <c r="AU76" s="81">
        <v>0</v>
      </c>
      <c r="AV76" s="81">
        <v>0</v>
      </c>
      <c r="AW76" s="81">
        <v>0</v>
      </c>
      <c r="AX76" s="81">
        <v>0</v>
      </c>
      <c r="AY76" s="81">
        <v>0</v>
      </c>
      <c r="AZ76" s="81">
        <v>0</v>
      </c>
      <c r="BA76" s="81">
        <v>0</v>
      </c>
      <c r="BB76" s="81">
        <v>0</v>
      </c>
      <c r="BC76" s="81">
        <v>0</v>
      </c>
      <c r="BD76" s="81">
        <v>0</v>
      </c>
      <c r="BE76" s="81">
        <v>0</v>
      </c>
      <c r="BF76" s="81">
        <v>1776.54</v>
      </c>
      <c r="BG76" s="81">
        <v>68.95</v>
      </c>
      <c r="BH76" s="81">
        <v>1845.49</v>
      </c>
      <c r="BI76" s="81">
        <v>260.83999999999997</v>
      </c>
      <c r="BJ76" s="81">
        <v>1984.84</v>
      </c>
      <c r="BK76" s="81">
        <v>0</v>
      </c>
      <c r="BL76" s="81">
        <v>0</v>
      </c>
      <c r="BM76" s="81">
        <v>0</v>
      </c>
      <c r="BN76" s="81">
        <v>0</v>
      </c>
      <c r="BO76" s="81">
        <v>0</v>
      </c>
      <c r="BP76" s="81">
        <v>0</v>
      </c>
      <c r="BQ76" s="81">
        <v>260.83999999999997</v>
      </c>
    </row>
    <row r="77" spans="1:69" hidden="1" x14ac:dyDescent="0.25">
      <c r="A77" s="81" t="s">
        <v>280</v>
      </c>
      <c r="B77" s="132">
        <v>46082</v>
      </c>
      <c r="C77" s="81" t="s">
        <v>78</v>
      </c>
      <c r="D77" s="81" t="s">
        <v>272</v>
      </c>
      <c r="E77" s="81" t="s">
        <v>273</v>
      </c>
      <c r="F77" s="81" t="s">
        <v>87</v>
      </c>
      <c r="G77" s="81" t="s">
        <v>88</v>
      </c>
      <c r="H77" s="81" t="s">
        <v>178</v>
      </c>
      <c r="I77" s="133">
        <v>46071</v>
      </c>
      <c r="J77" s="134"/>
      <c r="K77" s="81" t="s">
        <v>184</v>
      </c>
      <c r="L77" s="81" t="s">
        <v>274</v>
      </c>
      <c r="M77" s="81">
        <v>2155</v>
      </c>
      <c r="N77" s="81">
        <v>2155</v>
      </c>
      <c r="O77" s="81">
        <v>0</v>
      </c>
      <c r="P77" s="81">
        <f t="shared" si="1"/>
        <v>2155</v>
      </c>
      <c r="Q77" s="81">
        <v>0</v>
      </c>
      <c r="R77" s="81">
        <v>0</v>
      </c>
      <c r="S77" s="81">
        <v>0</v>
      </c>
      <c r="T77" s="81">
        <v>0</v>
      </c>
      <c r="U77" s="81">
        <v>0</v>
      </c>
      <c r="V77" s="81">
        <v>0</v>
      </c>
      <c r="W77" s="81">
        <v>0</v>
      </c>
      <c r="X77" s="81">
        <v>0</v>
      </c>
      <c r="Y77" s="81">
        <v>0</v>
      </c>
      <c r="Z77" s="81">
        <v>0</v>
      </c>
      <c r="AA77" s="81">
        <v>0</v>
      </c>
      <c r="AB77" s="81">
        <v>0</v>
      </c>
      <c r="AC77" s="81">
        <v>0</v>
      </c>
      <c r="AD77" s="81">
        <v>0</v>
      </c>
      <c r="AE77" s="81">
        <v>0</v>
      </c>
      <c r="AF77" s="81">
        <v>0</v>
      </c>
      <c r="AG77" s="81">
        <v>2155</v>
      </c>
      <c r="AH77" s="81">
        <v>0</v>
      </c>
      <c r="AI77" s="81">
        <v>0</v>
      </c>
      <c r="AJ77" s="81">
        <v>0</v>
      </c>
      <c r="AK77" s="81">
        <v>0</v>
      </c>
      <c r="AL77" s="81">
        <v>0</v>
      </c>
      <c r="AM77" s="81">
        <v>0</v>
      </c>
      <c r="AN77" s="81">
        <v>0</v>
      </c>
      <c r="AO77" s="81">
        <v>533.04</v>
      </c>
      <c r="AP77" s="81">
        <v>0</v>
      </c>
      <c r="AQ77" s="81">
        <v>0</v>
      </c>
      <c r="AR77" s="81">
        <v>533.04</v>
      </c>
      <c r="AS77" s="81">
        <v>0</v>
      </c>
      <c r="AT77" s="81">
        <v>0</v>
      </c>
      <c r="AU77" s="81">
        <v>0</v>
      </c>
      <c r="AV77" s="81">
        <v>0</v>
      </c>
      <c r="AW77" s="81">
        <v>0</v>
      </c>
      <c r="AX77" s="81">
        <v>0</v>
      </c>
      <c r="AY77" s="81">
        <v>0</v>
      </c>
      <c r="AZ77" s="81">
        <v>0</v>
      </c>
      <c r="BA77" s="81">
        <v>0</v>
      </c>
      <c r="BB77" s="81">
        <v>0</v>
      </c>
      <c r="BC77" s="81">
        <v>0</v>
      </c>
      <c r="BD77" s="81">
        <v>0</v>
      </c>
      <c r="BE77" s="81">
        <v>0</v>
      </c>
      <c r="BF77" s="81">
        <v>0</v>
      </c>
      <c r="BG77" s="81">
        <v>0</v>
      </c>
      <c r="BH77" s="81">
        <v>0</v>
      </c>
      <c r="BI77" s="81">
        <v>2688.04</v>
      </c>
      <c r="BJ77" s="81">
        <v>1031.6300000000001</v>
      </c>
      <c r="BK77" s="81">
        <v>1656.41</v>
      </c>
      <c r="BL77" s="81">
        <v>172.4</v>
      </c>
      <c r="BM77" s="81">
        <v>431</v>
      </c>
      <c r="BN77" s="81">
        <v>98.59</v>
      </c>
      <c r="BO77" s="81">
        <v>124.99</v>
      </c>
      <c r="BP77" s="81">
        <v>826.98</v>
      </c>
      <c r="BQ77" s="81">
        <v>3515.02</v>
      </c>
    </row>
    <row r="78" spans="1:69" hidden="1" x14ac:dyDescent="0.25">
      <c r="A78" s="81" t="s">
        <v>281</v>
      </c>
      <c r="B78" s="132">
        <v>46082</v>
      </c>
      <c r="C78" s="81" t="s">
        <v>78</v>
      </c>
      <c r="D78" s="81" t="s">
        <v>282</v>
      </c>
      <c r="E78" s="81" t="s">
        <v>283</v>
      </c>
      <c r="F78" s="81" t="s">
        <v>87</v>
      </c>
      <c r="G78" s="81" t="s">
        <v>88</v>
      </c>
      <c r="H78" s="81" t="s">
        <v>142</v>
      </c>
      <c r="I78" s="133">
        <v>44700</v>
      </c>
      <c r="J78" s="134"/>
      <c r="K78" s="81" t="s">
        <v>147</v>
      </c>
      <c r="L78" s="81" t="s">
        <v>90</v>
      </c>
      <c r="M78" s="81">
        <v>3679.83</v>
      </c>
      <c r="N78" s="81">
        <v>1226.6099999999999</v>
      </c>
      <c r="O78" s="81">
        <v>0</v>
      </c>
      <c r="P78" s="81">
        <f t="shared" si="1"/>
        <v>1226.6099999999999</v>
      </c>
      <c r="Q78" s="81">
        <v>0</v>
      </c>
      <c r="R78" s="81">
        <v>6114.99</v>
      </c>
      <c r="S78" s="81">
        <v>3057.49</v>
      </c>
      <c r="T78" s="81">
        <v>245.32</v>
      </c>
      <c r="U78" s="81">
        <v>0</v>
      </c>
      <c r="V78" s="81">
        <v>367.98</v>
      </c>
      <c r="W78" s="81">
        <v>0</v>
      </c>
      <c r="X78" s="81">
        <v>0</v>
      </c>
      <c r="Y78" s="81">
        <v>0</v>
      </c>
      <c r="Z78" s="81">
        <v>4.5</v>
      </c>
      <c r="AA78" s="81">
        <v>1625.4</v>
      </c>
      <c r="AB78" s="81">
        <v>361.2</v>
      </c>
      <c r="AC78" s="81">
        <v>0</v>
      </c>
      <c r="AD78" s="81">
        <v>0</v>
      </c>
      <c r="AE78" s="81">
        <v>0</v>
      </c>
      <c r="AF78" s="81">
        <v>0</v>
      </c>
      <c r="AG78" s="81">
        <v>13003.49</v>
      </c>
      <c r="AH78" s="81">
        <v>0</v>
      </c>
      <c r="AI78" s="81">
        <v>0</v>
      </c>
      <c r="AJ78" s="81">
        <v>0</v>
      </c>
      <c r="AK78" s="81">
        <v>0</v>
      </c>
      <c r="AL78" s="81">
        <v>0</v>
      </c>
      <c r="AM78" s="81">
        <v>0</v>
      </c>
      <c r="AN78" s="81">
        <v>0</v>
      </c>
      <c r="AO78" s="81">
        <v>196.71</v>
      </c>
      <c r="AP78" s="81">
        <v>0</v>
      </c>
      <c r="AQ78" s="81">
        <v>0</v>
      </c>
      <c r="AR78" s="81">
        <v>196.71</v>
      </c>
      <c r="AS78" s="81">
        <v>0</v>
      </c>
      <c r="AT78" s="81">
        <v>0</v>
      </c>
      <c r="AU78" s="81">
        <v>0</v>
      </c>
      <c r="AV78" s="81">
        <v>237.5</v>
      </c>
      <c r="AW78" s="81">
        <v>0</v>
      </c>
      <c r="AX78" s="81">
        <v>0</v>
      </c>
      <c r="AY78" s="81">
        <v>0</v>
      </c>
      <c r="AZ78" s="81">
        <v>3679.83</v>
      </c>
      <c r="BA78" s="81">
        <v>0</v>
      </c>
      <c r="BB78" s="81">
        <v>0</v>
      </c>
      <c r="BC78" s="81">
        <v>0</v>
      </c>
      <c r="BD78" s="81">
        <v>0</v>
      </c>
      <c r="BE78" s="81">
        <v>0</v>
      </c>
      <c r="BF78" s="81">
        <v>0</v>
      </c>
      <c r="BG78" s="81">
        <v>0</v>
      </c>
      <c r="BH78" s="81">
        <v>0</v>
      </c>
      <c r="BI78" s="81">
        <v>17117.53</v>
      </c>
      <c r="BJ78" s="81">
        <v>2658.97</v>
      </c>
      <c r="BK78" s="81">
        <v>5286.08</v>
      </c>
      <c r="BL78" s="81">
        <v>795.68</v>
      </c>
      <c r="BM78" s="81">
        <v>2600.6999999999998</v>
      </c>
      <c r="BN78" s="81">
        <v>195.05</v>
      </c>
      <c r="BO78" s="81">
        <v>754.2</v>
      </c>
      <c r="BP78" s="81">
        <v>4345.63</v>
      </c>
      <c r="BQ78" s="81">
        <v>21463.16</v>
      </c>
    </row>
    <row r="79" spans="1:69" hidden="1" x14ac:dyDescent="0.25">
      <c r="A79" s="81" t="s">
        <v>284</v>
      </c>
      <c r="B79" s="132">
        <v>46082</v>
      </c>
      <c r="C79" s="81" t="s">
        <v>78</v>
      </c>
      <c r="D79" s="81" t="s">
        <v>282</v>
      </c>
      <c r="E79" s="81" t="s">
        <v>283</v>
      </c>
      <c r="F79" s="81" t="s">
        <v>81</v>
      </c>
      <c r="G79" s="81" t="s">
        <v>82</v>
      </c>
      <c r="H79" s="81" t="s">
        <v>142</v>
      </c>
      <c r="I79" s="133">
        <v>44769</v>
      </c>
      <c r="J79" s="134"/>
      <c r="K79" s="81" t="s">
        <v>285</v>
      </c>
      <c r="L79" s="81" t="s">
        <v>226</v>
      </c>
      <c r="M79" s="81">
        <v>2482.4</v>
      </c>
      <c r="N79" s="81">
        <v>2482.4</v>
      </c>
      <c r="O79" s="81">
        <v>0</v>
      </c>
      <c r="P79" s="81">
        <f t="shared" si="1"/>
        <v>2482.4</v>
      </c>
      <c r="Q79" s="81">
        <v>0</v>
      </c>
      <c r="R79" s="81">
        <v>0</v>
      </c>
      <c r="S79" s="81">
        <v>0</v>
      </c>
      <c r="T79" s="81">
        <v>0</v>
      </c>
      <c r="U79" s="81">
        <v>0</v>
      </c>
      <c r="V79" s="81">
        <v>0</v>
      </c>
      <c r="W79" s="81">
        <v>0</v>
      </c>
      <c r="X79" s="81">
        <v>0</v>
      </c>
      <c r="Y79" s="81">
        <v>0</v>
      </c>
      <c r="Z79" s="81">
        <v>0</v>
      </c>
      <c r="AA79" s="81">
        <v>192.22</v>
      </c>
      <c r="AB79" s="81">
        <v>36.97</v>
      </c>
      <c r="AC79" s="81">
        <v>0</v>
      </c>
      <c r="AD79" s="81">
        <v>0</v>
      </c>
      <c r="AE79" s="81">
        <v>0</v>
      </c>
      <c r="AF79" s="81">
        <v>248.24</v>
      </c>
      <c r="AG79" s="81">
        <v>2959.83</v>
      </c>
      <c r="AH79" s="81">
        <v>0</v>
      </c>
      <c r="AI79" s="81">
        <v>0</v>
      </c>
      <c r="AJ79" s="81">
        <v>0</v>
      </c>
      <c r="AK79" s="81">
        <v>0</v>
      </c>
      <c r="AL79" s="81">
        <v>0</v>
      </c>
      <c r="AM79" s="81">
        <v>0</v>
      </c>
      <c r="AN79" s="81">
        <v>0</v>
      </c>
      <c r="AO79" s="81">
        <v>196.71</v>
      </c>
      <c r="AP79" s="81">
        <v>0</v>
      </c>
      <c r="AQ79" s="81">
        <v>0</v>
      </c>
      <c r="AR79" s="81">
        <v>196.71</v>
      </c>
      <c r="AS79" s="81">
        <v>0</v>
      </c>
      <c r="AT79" s="81">
        <v>0</v>
      </c>
      <c r="AU79" s="81">
        <v>0</v>
      </c>
      <c r="AV79" s="81">
        <v>0</v>
      </c>
      <c r="AW79" s="81">
        <v>0</v>
      </c>
      <c r="AX79" s="81">
        <v>0</v>
      </c>
      <c r="AY79" s="81">
        <v>0</v>
      </c>
      <c r="AZ79" s="81">
        <v>0</v>
      </c>
      <c r="BA79" s="81">
        <v>0</v>
      </c>
      <c r="BB79" s="81">
        <v>0</v>
      </c>
      <c r="BC79" s="81">
        <v>0</v>
      </c>
      <c r="BD79" s="81">
        <v>0</v>
      </c>
      <c r="BE79" s="81">
        <v>0</v>
      </c>
      <c r="BF79" s="81">
        <v>0</v>
      </c>
      <c r="BG79" s="81">
        <v>0</v>
      </c>
      <c r="BH79" s="81">
        <v>0</v>
      </c>
      <c r="BI79" s="81">
        <v>3156.54</v>
      </c>
      <c r="BJ79" s="81">
        <v>1990.93</v>
      </c>
      <c r="BK79" s="81">
        <v>1165.6099999999999</v>
      </c>
      <c r="BL79" s="81">
        <v>236.78</v>
      </c>
      <c r="BM79" s="81">
        <v>591.97</v>
      </c>
      <c r="BN79" s="81">
        <v>44.39</v>
      </c>
      <c r="BO79" s="81">
        <v>171.67</v>
      </c>
      <c r="BP79" s="81">
        <v>1044.81</v>
      </c>
      <c r="BQ79" s="81">
        <v>4201.3500000000004</v>
      </c>
    </row>
    <row r="80" spans="1:69" hidden="1" x14ac:dyDescent="0.25">
      <c r="A80" s="81" t="s">
        <v>286</v>
      </c>
      <c r="B80" s="132">
        <v>46082</v>
      </c>
      <c r="C80" s="81" t="s">
        <v>78</v>
      </c>
      <c r="D80" s="81" t="s">
        <v>282</v>
      </c>
      <c r="E80" s="81" t="s">
        <v>283</v>
      </c>
      <c r="F80" s="81" t="s">
        <v>81</v>
      </c>
      <c r="G80" s="81" t="s">
        <v>82</v>
      </c>
      <c r="H80" s="81" t="s">
        <v>142</v>
      </c>
      <c r="I80" s="133">
        <v>45376</v>
      </c>
      <c r="J80" s="134"/>
      <c r="K80" s="81" t="s">
        <v>285</v>
      </c>
      <c r="L80" s="81" t="s">
        <v>226</v>
      </c>
      <c r="M80" s="81">
        <v>2482.4</v>
      </c>
      <c r="N80" s="81">
        <v>2482.4</v>
      </c>
      <c r="O80" s="81">
        <v>0</v>
      </c>
      <c r="P80" s="81">
        <f t="shared" si="1"/>
        <v>2482.4</v>
      </c>
      <c r="Q80" s="81">
        <v>0</v>
      </c>
      <c r="R80" s="81">
        <v>0</v>
      </c>
      <c r="S80" s="81">
        <v>0</v>
      </c>
      <c r="T80" s="81">
        <v>0</v>
      </c>
      <c r="U80" s="81">
        <v>0</v>
      </c>
      <c r="V80" s="81">
        <v>0</v>
      </c>
      <c r="W80" s="81">
        <v>0</v>
      </c>
      <c r="X80" s="81">
        <v>0</v>
      </c>
      <c r="Y80" s="81">
        <v>0</v>
      </c>
      <c r="Z80" s="81">
        <v>1.88</v>
      </c>
      <c r="AA80" s="81">
        <v>585.54</v>
      </c>
      <c r="AB80" s="81">
        <v>112.6</v>
      </c>
      <c r="AC80" s="81">
        <v>0</v>
      </c>
      <c r="AD80" s="81">
        <v>0</v>
      </c>
      <c r="AE80" s="81">
        <v>0</v>
      </c>
      <c r="AF80" s="81">
        <v>0</v>
      </c>
      <c r="AG80" s="81">
        <v>3182.42</v>
      </c>
      <c r="AH80" s="81">
        <v>0</v>
      </c>
      <c r="AI80" s="81">
        <v>0</v>
      </c>
      <c r="AJ80" s="81">
        <v>0</v>
      </c>
      <c r="AK80" s="81">
        <v>0</v>
      </c>
      <c r="AL80" s="81">
        <v>0</v>
      </c>
      <c r="AM80" s="81">
        <v>0</v>
      </c>
      <c r="AN80" s="81">
        <v>0</v>
      </c>
      <c r="AO80" s="81">
        <v>196.71</v>
      </c>
      <c r="AP80" s="81">
        <v>0</v>
      </c>
      <c r="AQ80" s="81">
        <v>0</v>
      </c>
      <c r="AR80" s="81">
        <v>196.71</v>
      </c>
      <c r="AS80" s="81">
        <v>0</v>
      </c>
      <c r="AT80" s="81">
        <v>0</v>
      </c>
      <c r="AU80" s="81">
        <v>0</v>
      </c>
      <c r="AV80" s="81">
        <v>0</v>
      </c>
      <c r="AW80" s="81">
        <v>0</v>
      </c>
      <c r="AX80" s="81">
        <v>0</v>
      </c>
      <c r="AY80" s="81">
        <v>0</v>
      </c>
      <c r="AZ80" s="81">
        <v>0</v>
      </c>
      <c r="BA80" s="81">
        <v>0</v>
      </c>
      <c r="BB80" s="81">
        <v>0</v>
      </c>
      <c r="BC80" s="81">
        <v>0</v>
      </c>
      <c r="BD80" s="81">
        <v>0</v>
      </c>
      <c r="BE80" s="81">
        <v>0</v>
      </c>
      <c r="BF80" s="81">
        <v>0</v>
      </c>
      <c r="BG80" s="81">
        <v>0</v>
      </c>
      <c r="BH80" s="81">
        <v>0</v>
      </c>
      <c r="BI80" s="81">
        <v>3379.13</v>
      </c>
      <c r="BJ80" s="81">
        <v>1263.47</v>
      </c>
      <c r="BK80" s="81">
        <v>2115.66</v>
      </c>
      <c r="BL80" s="81">
        <v>254.59</v>
      </c>
      <c r="BM80" s="81">
        <v>636.48</v>
      </c>
      <c r="BN80" s="81">
        <v>47.73</v>
      </c>
      <c r="BO80" s="81">
        <v>184.58</v>
      </c>
      <c r="BP80" s="81">
        <v>1123.3800000000001</v>
      </c>
      <c r="BQ80" s="81">
        <v>4502.51</v>
      </c>
    </row>
    <row r="81" spans="1:69" hidden="1" x14ac:dyDescent="0.25">
      <c r="A81" s="81" t="s">
        <v>287</v>
      </c>
      <c r="B81" s="132">
        <v>46082</v>
      </c>
      <c r="C81" s="81" t="s">
        <v>78</v>
      </c>
      <c r="D81" s="81" t="s">
        <v>282</v>
      </c>
      <c r="E81" s="81" t="s">
        <v>283</v>
      </c>
      <c r="F81" s="81" t="s">
        <v>87</v>
      </c>
      <c r="G81" s="81" t="s">
        <v>88</v>
      </c>
      <c r="H81" s="81" t="s">
        <v>142</v>
      </c>
      <c r="I81" s="133">
        <v>45733</v>
      </c>
      <c r="J81" s="134"/>
      <c r="K81" s="81" t="s">
        <v>147</v>
      </c>
      <c r="L81" s="81" t="s">
        <v>288</v>
      </c>
      <c r="M81" s="81">
        <v>2587.5</v>
      </c>
      <c r="N81" s="81">
        <v>2587.5</v>
      </c>
      <c r="O81" s="81">
        <v>0</v>
      </c>
      <c r="P81" s="81">
        <f t="shared" si="1"/>
        <v>2587.5</v>
      </c>
      <c r="Q81" s="81">
        <v>0</v>
      </c>
      <c r="R81" s="81">
        <v>0</v>
      </c>
      <c r="S81" s="81">
        <v>0</v>
      </c>
      <c r="T81" s="81">
        <v>0</v>
      </c>
      <c r="U81" s="81">
        <v>0</v>
      </c>
      <c r="V81" s="81">
        <v>0</v>
      </c>
      <c r="W81" s="81">
        <v>0</v>
      </c>
      <c r="X81" s="81">
        <v>0</v>
      </c>
      <c r="Y81" s="81">
        <v>0</v>
      </c>
      <c r="Z81" s="81">
        <v>2.0499999999999998</v>
      </c>
      <c r="AA81" s="81">
        <v>0</v>
      </c>
      <c r="AB81" s="81">
        <v>0</v>
      </c>
      <c r="AC81" s="81">
        <v>0</v>
      </c>
      <c r="AD81" s="81">
        <v>0</v>
      </c>
      <c r="AE81" s="81">
        <v>0</v>
      </c>
      <c r="AF81" s="81">
        <v>0</v>
      </c>
      <c r="AG81" s="81">
        <v>2589.5500000000002</v>
      </c>
      <c r="AH81" s="81">
        <v>0</v>
      </c>
      <c r="AI81" s="81">
        <v>0</v>
      </c>
      <c r="AJ81" s="81">
        <v>0</v>
      </c>
      <c r="AK81" s="81">
        <v>0</v>
      </c>
      <c r="AL81" s="81">
        <v>0</v>
      </c>
      <c r="AM81" s="81">
        <v>0</v>
      </c>
      <c r="AN81" s="81">
        <v>0</v>
      </c>
      <c r="AO81" s="81">
        <v>196.71</v>
      </c>
      <c r="AP81" s="81">
        <v>0</v>
      </c>
      <c r="AQ81" s="81">
        <v>0</v>
      </c>
      <c r="AR81" s="81">
        <v>196.71</v>
      </c>
      <c r="AS81" s="81">
        <v>0</v>
      </c>
      <c r="AT81" s="81">
        <v>0</v>
      </c>
      <c r="AU81" s="81">
        <v>0</v>
      </c>
      <c r="AV81" s="81">
        <v>0</v>
      </c>
      <c r="AW81" s="81">
        <v>0</v>
      </c>
      <c r="AX81" s="81">
        <v>0</v>
      </c>
      <c r="AY81" s="81">
        <v>0</v>
      </c>
      <c r="AZ81" s="81">
        <v>0</v>
      </c>
      <c r="BA81" s="81">
        <v>0</v>
      </c>
      <c r="BB81" s="81">
        <v>0</v>
      </c>
      <c r="BC81" s="81">
        <v>0</v>
      </c>
      <c r="BD81" s="81">
        <v>0</v>
      </c>
      <c r="BE81" s="81">
        <v>0</v>
      </c>
      <c r="BF81" s="81">
        <v>0</v>
      </c>
      <c r="BG81" s="81">
        <v>0</v>
      </c>
      <c r="BH81" s="81">
        <v>0</v>
      </c>
      <c r="BI81" s="81">
        <v>2786.26</v>
      </c>
      <c r="BJ81" s="81">
        <v>1773.88</v>
      </c>
      <c r="BK81" s="81">
        <v>1012.38</v>
      </c>
      <c r="BL81" s="81">
        <v>207.16</v>
      </c>
      <c r="BM81" s="81">
        <v>517.91</v>
      </c>
      <c r="BN81" s="81">
        <v>38.840000000000003</v>
      </c>
      <c r="BO81" s="81">
        <v>150.19</v>
      </c>
      <c r="BP81" s="81">
        <v>914.1</v>
      </c>
      <c r="BQ81" s="81">
        <v>3700.36</v>
      </c>
    </row>
    <row r="82" spans="1:69" hidden="1" x14ac:dyDescent="0.25">
      <c r="A82" s="81" t="s">
        <v>289</v>
      </c>
      <c r="B82" s="132">
        <v>46082</v>
      </c>
      <c r="C82" s="81" t="s">
        <v>78</v>
      </c>
      <c r="D82" s="81" t="s">
        <v>282</v>
      </c>
      <c r="E82" s="81" t="s">
        <v>283</v>
      </c>
      <c r="F82" s="81" t="s">
        <v>87</v>
      </c>
      <c r="G82" s="81" t="s">
        <v>88</v>
      </c>
      <c r="H82" s="81" t="s">
        <v>142</v>
      </c>
      <c r="I82" s="133">
        <v>46048</v>
      </c>
      <c r="J82" s="134"/>
      <c r="K82" s="81" t="s">
        <v>147</v>
      </c>
      <c r="L82" s="81" t="s">
        <v>288</v>
      </c>
      <c r="M82" s="81">
        <v>2587.5</v>
      </c>
      <c r="N82" s="81">
        <v>2587.5</v>
      </c>
      <c r="O82" s="81">
        <v>0</v>
      </c>
      <c r="P82" s="81">
        <f t="shared" si="1"/>
        <v>2587.5</v>
      </c>
      <c r="Q82" s="81">
        <v>0</v>
      </c>
      <c r="R82" s="81">
        <v>0</v>
      </c>
      <c r="S82" s="81">
        <v>0</v>
      </c>
      <c r="T82" s="81">
        <v>0</v>
      </c>
      <c r="U82" s="81">
        <v>0</v>
      </c>
      <c r="V82" s="81">
        <v>0</v>
      </c>
      <c r="W82" s="81">
        <v>0</v>
      </c>
      <c r="X82" s="81">
        <v>0</v>
      </c>
      <c r="Y82" s="81">
        <v>0</v>
      </c>
      <c r="Z82" s="81">
        <v>0</v>
      </c>
      <c r="AA82" s="81">
        <v>0</v>
      </c>
      <c r="AB82" s="81">
        <v>0</v>
      </c>
      <c r="AC82" s="81">
        <v>0</v>
      </c>
      <c r="AD82" s="81">
        <v>0</v>
      </c>
      <c r="AE82" s="81">
        <v>0</v>
      </c>
      <c r="AF82" s="81">
        <v>0</v>
      </c>
      <c r="AG82" s="81">
        <v>2587.5</v>
      </c>
      <c r="AH82" s="81">
        <v>0</v>
      </c>
      <c r="AI82" s="81">
        <v>0</v>
      </c>
      <c r="AJ82" s="81">
        <v>0</v>
      </c>
      <c r="AK82" s="81">
        <v>0</v>
      </c>
      <c r="AL82" s="81">
        <v>0</v>
      </c>
      <c r="AM82" s="81">
        <v>0</v>
      </c>
      <c r="AN82" s="81">
        <v>0</v>
      </c>
      <c r="AO82" s="81">
        <v>196.71</v>
      </c>
      <c r="AP82" s="81">
        <v>0</v>
      </c>
      <c r="AQ82" s="81">
        <v>0</v>
      </c>
      <c r="AR82" s="81">
        <v>196.71</v>
      </c>
      <c r="AS82" s="81">
        <v>0</v>
      </c>
      <c r="AT82" s="81">
        <v>0</v>
      </c>
      <c r="AU82" s="81">
        <v>0</v>
      </c>
      <c r="AV82" s="81">
        <v>0</v>
      </c>
      <c r="AW82" s="81">
        <v>0</v>
      </c>
      <c r="AX82" s="81">
        <v>0</v>
      </c>
      <c r="AY82" s="81">
        <v>0</v>
      </c>
      <c r="AZ82" s="81">
        <v>0</v>
      </c>
      <c r="BA82" s="81">
        <v>0</v>
      </c>
      <c r="BB82" s="81">
        <v>0</v>
      </c>
      <c r="BC82" s="81">
        <v>0</v>
      </c>
      <c r="BD82" s="81">
        <v>0</v>
      </c>
      <c r="BE82" s="81">
        <v>0</v>
      </c>
      <c r="BF82" s="81">
        <v>0</v>
      </c>
      <c r="BG82" s="81">
        <v>0</v>
      </c>
      <c r="BH82" s="81">
        <v>0</v>
      </c>
      <c r="BI82" s="81">
        <v>2784.21</v>
      </c>
      <c r="BJ82" s="81">
        <v>2015.88</v>
      </c>
      <c r="BK82" s="81">
        <v>768.33</v>
      </c>
      <c r="BL82" s="81">
        <v>164.15</v>
      </c>
      <c r="BM82" s="81">
        <v>517.5</v>
      </c>
      <c r="BN82" s="81">
        <v>38.81</v>
      </c>
      <c r="BO82" s="81">
        <v>150.07</v>
      </c>
      <c r="BP82" s="81">
        <v>870.53</v>
      </c>
      <c r="BQ82" s="81">
        <v>3654.74</v>
      </c>
    </row>
    <row r="83" spans="1:69" hidden="1" x14ac:dyDescent="0.25">
      <c r="A83" s="81" t="s">
        <v>290</v>
      </c>
      <c r="B83" s="132">
        <v>46082</v>
      </c>
      <c r="C83" s="81" t="s">
        <v>78</v>
      </c>
      <c r="D83" s="81" t="s">
        <v>291</v>
      </c>
      <c r="E83" s="81" t="s">
        <v>292</v>
      </c>
      <c r="F83" s="81" t="s">
        <v>81</v>
      </c>
      <c r="G83" s="81" t="s">
        <v>293</v>
      </c>
      <c r="H83" s="81" t="s">
        <v>98</v>
      </c>
      <c r="I83" s="133">
        <v>40672</v>
      </c>
      <c r="J83" s="134"/>
      <c r="K83" s="134"/>
      <c r="L83" s="81" t="s">
        <v>294</v>
      </c>
      <c r="M83" s="81">
        <v>2098</v>
      </c>
      <c r="N83" s="81">
        <v>0</v>
      </c>
      <c r="O83" s="81">
        <v>0</v>
      </c>
      <c r="P83" s="81">
        <f t="shared" si="1"/>
        <v>0</v>
      </c>
      <c r="Q83" s="81">
        <v>0</v>
      </c>
      <c r="R83" s="81">
        <v>0</v>
      </c>
      <c r="S83" s="81">
        <v>0</v>
      </c>
      <c r="T83" s="81">
        <v>0</v>
      </c>
      <c r="U83" s="81">
        <v>0</v>
      </c>
      <c r="V83" s="81">
        <v>0</v>
      </c>
      <c r="W83" s="81">
        <v>0</v>
      </c>
      <c r="X83" s="81">
        <v>0</v>
      </c>
      <c r="Y83" s="81">
        <v>0</v>
      </c>
      <c r="Z83" s="81">
        <v>0</v>
      </c>
      <c r="AA83" s="81">
        <v>0</v>
      </c>
      <c r="AB83" s="81">
        <v>0</v>
      </c>
      <c r="AC83" s="81">
        <v>0</v>
      </c>
      <c r="AD83" s="81">
        <v>0</v>
      </c>
      <c r="AE83" s="81">
        <v>0</v>
      </c>
      <c r="AF83" s="81">
        <v>0</v>
      </c>
      <c r="AG83" s="81">
        <v>0</v>
      </c>
      <c r="AH83" s="81">
        <v>0</v>
      </c>
      <c r="AI83" s="81">
        <v>0</v>
      </c>
      <c r="AJ83" s="81">
        <v>0</v>
      </c>
      <c r="AK83" s="81">
        <v>0</v>
      </c>
      <c r="AL83" s="81">
        <v>0</v>
      </c>
      <c r="AM83" s="81">
        <v>0</v>
      </c>
      <c r="AN83" s="81">
        <v>0</v>
      </c>
      <c r="AO83" s="81">
        <v>0</v>
      </c>
      <c r="AP83" s="81">
        <v>0</v>
      </c>
      <c r="AQ83" s="81">
        <v>0</v>
      </c>
      <c r="AR83" s="81">
        <v>0</v>
      </c>
      <c r="AS83" s="81">
        <v>0</v>
      </c>
      <c r="AT83" s="81">
        <v>0</v>
      </c>
      <c r="AU83" s="81">
        <v>0</v>
      </c>
      <c r="AV83" s="81">
        <v>0</v>
      </c>
      <c r="AW83" s="81">
        <v>0</v>
      </c>
      <c r="AX83" s="81">
        <v>0</v>
      </c>
      <c r="AY83" s="81">
        <v>0</v>
      </c>
      <c r="AZ83" s="81">
        <v>0</v>
      </c>
      <c r="BA83" s="81">
        <v>0</v>
      </c>
      <c r="BB83" s="81">
        <v>0</v>
      </c>
      <c r="BC83" s="81">
        <v>0</v>
      </c>
      <c r="BD83" s="81">
        <v>0</v>
      </c>
      <c r="BE83" s="81">
        <v>0</v>
      </c>
      <c r="BF83" s="81">
        <v>0</v>
      </c>
      <c r="BG83" s="81">
        <v>0</v>
      </c>
      <c r="BH83" s="81">
        <v>0</v>
      </c>
      <c r="BI83" s="81">
        <v>0</v>
      </c>
      <c r="BJ83" s="81">
        <v>0</v>
      </c>
      <c r="BK83" s="81">
        <v>0</v>
      </c>
      <c r="BL83" s="81">
        <v>0</v>
      </c>
      <c r="BM83" s="81">
        <v>0</v>
      </c>
      <c r="BN83" s="81">
        <v>0</v>
      </c>
      <c r="BO83" s="81">
        <v>0</v>
      </c>
      <c r="BP83" s="81">
        <v>0</v>
      </c>
      <c r="BQ83" s="81">
        <v>0</v>
      </c>
    </row>
    <row r="84" spans="1:69" x14ac:dyDescent="0.25">
      <c r="A84" s="81" t="s">
        <v>295</v>
      </c>
      <c r="B84" s="132">
        <v>46082</v>
      </c>
      <c r="C84" s="81" t="s">
        <v>78</v>
      </c>
      <c r="D84" s="81" t="s">
        <v>291</v>
      </c>
      <c r="E84" s="81" t="s">
        <v>292</v>
      </c>
      <c r="F84" s="81" t="s">
        <v>96</v>
      </c>
      <c r="G84" s="81" t="s">
        <v>97</v>
      </c>
      <c r="H84" s="81" t="s">
        <v>98</v>
      </c>
      <c r="I84" s="133">
        <v>41074</v>
      </c>
      <c r="J84" s="134"/>
      <c r="K84" s="134"/>
      <c r="L84" s="81" t="s">
        <v>99</v>
      </c>
      <c r="M84" s="81">
        <v>2538.35</v>
      </c>
      <c r="N84" s="81">
        <v>0</v>
      </c>
      <c r="O84" s="81">
        <v>0</v>
      </c>
      <c r="P84" s="81">
        <f t="shared" si="1"/>
        <v>0</v>
      </c>
      <c r="Q84" s="81">
        <v>0</v>
      </c>
      <c r="R84" s="81">
        <v>0</v>
      </c>
      <c r="S84" s="81">
        <v>0</v>
      </c>
      <c r="T84" s="81">
        <v>0</v>
      </c>
      <c r="U84" s="81">
        <v>0</v>
      </c>
      <c r="V84" s="81">
        <v>0</v>
      </c>
      <c r="W84" s="81">
        <v>0</v>
      </c>
      <c r="X84" s="81">
        <v>0</v>
      </c>
      <c r="Y84" s="81">
        <v>0</v>
      </c>
      <c r="Z84" s="81">
        <v>0</v>
      </c>
      <c r="AA84" s="81">
        <v>0</v>
      </c>
      <c r="AB84" s="81">
        <v>0</v>
      </c>
      <c r="AC84" s="81">
        <v>0</v>
      </c>
      <c r="AD84" s="81">
        <v>0</v>
      </c>
      <c r="AE84" s="81">
        <v>0</v>
      </c>
      <c r="AF84" s="81">
        <v>0</v>
      </c>
      <c r="AG84" s="81">
        <v>0</v>
      </c>
      <c r="AH84" s="81">
        <v>0</v>
      </c>
      <c r="AI84" s="81">
        <v>0</v>
      </c>
      <c r="AJ84" s="81">
        <v>0</v>
      </c>
      <c r="AK84" s="81">
        <v>0</v>
      </c>
      <c r="AL84" s="81">
        <v>0</v>
      </c>
      <c r="AM84" s="81">
        <v>0</v>
      </c>
      <c r="AN84" s="81">
        <v>0</v>
      </c>
      <c r="AO84" s="81">
        <v>0</v>
      </c>
      <c r="AP84" s="81">
        <v>0</v>
      </c>
      <c r="AQ84" s="81">
        <v>0</v>
      </c>
      <c r="AR84" s="81">
        <v>0</v>
      </c>
      <c r="AS84" s="81">
        <v>0</v>
      </c>
      <c r="AT84" s="81">
        <v>0</v>
      </c>
      <c r="AU84" s="81">
        <v>0</v>
      </c>
      <c r="AV84" s="81">
        <v>0</v>
      </c>
      <c r="AW84" s="81">
        <v>0</v>
      </c>
      <c r="AX84" s="81">
        <v>0</v>
      </c>
      <c r="AY84" s="81">
        <v>0</v>
      </c>
      <c r="AZ84" s="81">
        <v>0</v>
      </c>
      <c r="BA84" s="81">
        <v>0</v>
      </c>
      <c r="BB84" s="81">
        <v>0</v>
      </c>
      <c r="BC84" s="81">
        <v>0</v>
      </c>
      <c r="BD84" s="81">
        <v>0</v>
      </c>
      <c r="BE84" s="81">
        <v>0</v>
      </c>
      <c r="BF84" s="81">
        <v>0</v>
      </c>
      <c r="BG84" s="81">
        <v>0</v>
      </c>
      <c r="BH84" s="81">
        <v>0</v>
      </c>
      <c r="BI84" s="81">
        <v>0</v>
      </c>
      <c r="BJ84" s="81">
        <v>59.06</v>
      </c>
      <c r="BK84" s="81">
        <v>0</v>
      </c>
      <c r="BL84" s="81">
        <v>0</v>
      </c>
      <c r="BM84" s="81">
        <v>0</v>
      </c>
      <c r="BN84" s="81">
        <v>0</v>
      </c>
      <c r="BO84" s="81">
        <v>0</v>
      </c>
      <c r="BP84" s="81">
        <v>0</v>
      </c>
      <c r="BQ84" s="81">
        <v>0</v>
      </c>
    </row>
    <row r="85" spans="1:69" hidden="1" x14ac:dyDescent="0.25">
      <c r="A85" s="81" t="s">
        <v>296</v>
      </c>
      <c r="B85" s="132">
        <v>46082</v>
      </c>
      <c r="C85" s="81" t="s">
        <v>78</v>
      </c>
      <c r="D85" s="81" t="s">
        <v>291</v>
      </c>
      <c r="E85" s="81" t="s">
        <v>292</v>
      </c>
      <c r="F85" s="81" t="s">
        <v>87</v>
      </c>
      <c r="G85" s="81" t="s">
        <v>88</v>
      </c>
      <c r="H85" s="81" t="s">
        <v>98</v>
      </c>
      <c r="I85" s="133">
        <v>44166</v>
      </c>
      <c r="J85" s="134"/>
      <c r="K85" s="81" t="s">
        <v>101</v>
      </c>
      <c r="L85" s="81" t="s">
        <v>297</v>
      </c>
      <c r="M85" s="81">
        <v>3679.83</v>
      </c>
      <c r="N85" s="81">
        <v>3679.83</v>
      </c>
      <c r="O85" s="81">
        <v>0</v>
      </c>
      <c r="P85" s="81">
        <f t="shared" si="1"/>
        <v>3679.83</v>
      </c>
      <c r="Q85" s="81">
        <v>0</v>
      </c>
      <c r="R85" s="81">
        <v>0</v>
      </c>
      <c r="S85" s="81">
        <v>0</v>
      </c>
      <c r="T85" s="81">
        <v>735.97</v>
      </c>
      <c r="U85" s="81">
        <v>0</v>
      </c>
      <c r="V85" s="81">
        <v>1103.95</v>
      </c>
      <c r="W85" s="81">
        <v>0</v>
      </c>
      <c r="X85" s="81">
        <v>0</v>
      </c>
      <c r="Y85" s="81">
        <v>0</v>
      </c>
      <c r="Z85" s="81">
        <v>0</v>
      </c>
      <c r="AA85" s="81">
        <v>176.63</v>
      </c>
      <c r="AB85" s="81">
        <v>33.97</v>
      </c>
      <c r="AC85" s="81">
        <v>0</v>
      </c>
      <c r="AD85" s="81">
        <v>0</v>
      </c>
      <c r="AE85" s="81">
        <v>0</v>
      </c>
      <c r="AF85" s="81">
        <v>0</v>
      </c>
      <c r="AG85" s="81">
        <v>5730.35</v>
      </c>
      <c r="AH85" s="81">
        <v>0</v>
      </c>
      <c r="AI85" s="81">
        <v>0</v>
      </c>
      <c r="AJ85" s="81">
        <v>0</v>
      </c>
      <c r="AK85" s="81">
        <v>0</v>
      </c>
      <c r="AL85" s="81">
        <v>0</v>
      </c>
      <c r="AM85" s="81">
        <v>0</v>
      </c>
      <c r="AN85" s="81">
        <v>0</v>
      </c>
      <c r="AO85" s="81">
        <v>579.34</v>
      </c>
      <c r="AP85" s="81">
        <v>450</v>
      </c>
      <c r="AQ85" s="81">
        <v>0</v>
      </c>
      <c r="AR85" s="81">
        <v>1029.3399999999999</v>
      </c>
      <c r="AS85" s="81">
        <v>0</v>
      </c>
      <c r="AT85" s="81">
        <v>0</v>
      </c>
      <c r="AU85" s="81">
        <v>0</v>
      </c>
      <c r="AV85" s="81">
        <v>2016</v>
      </c>
      <c r="AW85" s="81">
        <v>0</v>
      </c>
      <c r="AX85" s="81">
        <v>0</v>
      </c>
      <c r="AY85" s="81">
        <v>0</v>
      </c>
      <c r="AZ85" s="81">
        <v>0</v>
      </c>
      <c r="BA85" s="81">
        <v>0</v>
      </c>
      <c r="BB85" s="81">
        <v>0</v>
      </c>
      <c r="BC85" s="81">
        <v>0</v>
      </c>
      <c r="BD85" s="81">
        <v>0</v>
      </c>
      <c r="BE85" s="81">
        <v>0</v>
      </c>
      <c r="BF85" s="81">
        <v>0</v>
      </c>
      <c r="BG85" s="81">
        <v>0</v>
      </c>
      <c r="BH85" s="81">
        <v>0</v>
      </c>
      <c r="BI85" s="81">
        <v>8775.69</v>
      </c>
      <c r="BJ85" s="81">
        <v>4235.55</v>
      </c>
      <c r="BK85" s="81">
        <v>4540.1400000000003</v>
      </c>
      <c r="BL85" s="81">
        <v>458.42</v>
      </c>
      <c r="BM85" s="81">
        <v>1146.07</v>
      </c>
      <c r="BN85" s="81">
        <v>85.95</v>
      </c>
      <c r="BO85" s="81">
        <v>332.36</v>
      </c>
      <c r="BP85" s="81">
        <v>2022.8</v>
      </c>
      <c r="BQ85" s="81">
        <v>10798.49</v>
      </c>
    </row>
    <row r="86" spans="1:69" hidden="1" x14ac:dyDescent="0.25">
      <c r="A86" s="81" t="s">
        <v>298</v>
      </c>
      <c r="B86" s="132">
        <v>46082</v>
      </c>
      <c r="C86" s="81" t="s">
        <v>78</v>
      </c>
      <c r="D86" s="81" t="s">
        <v>291</v>
      </c>
      <c r="E86" s="81" t="s">
        <v>292</v>
      </c>
      <c r="F86" s="81" t="s">
        <v>81</v>
      </c>
      <c r="G86" s="81" t="s">
        <v>81</v>
      </c>
      <c r="H86" s="81" t="s">
        <v>98</v>
      </c>
      <c r="I86" s="133">
        <v>45600</v>
      </c>
      <c r="J86" s="134"/>
      <c r="K86" s="81" t="s">
        <v>225</v>
      </c>
      <c r="L86" s="81" t="s">
        <v>299</v>
      </c>
      <c r="M86" s="81">
        <v>1849.8</v>
      </c>
      <c r="N86" s="81">
        <v>1849.8</v>
      </c>
      <c r="O86" s="81">
        <v>0</v>
      </c>
      <c r="P86" s="81">
        <f t="shared" si="1"/>
        <v>1849.8</v>
      </c>
      <c r="Q86" s="81">
        <v>0</v>
      </c>
      <c r="R86" s="81">
        <v>0</v>
      </c>
      <c r="S86" s="81">
        <v>0</v>
      </c>
      <c r="T86" s="81">
        <v>0</v>
      </c>
      <c r="U86" s="81">
        <v>0</v>
      </c>
      <c r="V86" s="81">
        <v>0</v>
      </c>
      <c r="W86" s="81">
        <v>0</v>
      </c>
      <c r="X86" s="81">
        <v>0</v>
      </c>
      <c r="Y86" s="81">
        <v>0</v>
      </c>
      <c r="Z86" s="81">
        <v>0</v>
      </c>
      <c r="AA86" s="81">
        <v>0</v>
      </c>
      <c r="AB86" s="81">
        <v>0</v>
      </c>
      <c r="AC86" s="81">
        <v>0</v>
      </c>
      <c r="AD86" s="81">
        <v>0</v>
      </c>
      <c r="AE86" s="81">
        <v>0</v>
      </c>
      <c r="AF86" s="81">
        <v>0</v>
      </c>
      <c r="AG86" s="81">
        <v>1849.8</v>
      </c>
      <c r="AH86" s="81">
        <v>0</v>
      </c>
      <c r="AI86" s="81">
        <v>0</v>
      </c>
      <c r="AJ86" s="81">
        <v>0</v>
      </c>
      <c r="AK86" s="81">
        <v>0</v>
      </c>
      <c r="AL86" s="81">
        <v>0</v>
      </c>
      <c r="AM86" s="81">
        <v>0</v>
      </c>
      <c r="AN86" s="81">
        <v>0</v>
      </c>
      <c r="AO86" s="81">
        <v>0</v>
      </c>
      <c r="AP86" s="81">
        <v>0</v>
      </c>
      <c r="AQ86" s="81">
        <v>0</v>
      </c>
      <c r="AR86" s="81">
        <v>0</v>
      </c>
      <c r="AS86" s="81">
        <v>0</v>
      </c>
      <c r="AT86" s="81">
        <v>0</v>
      </c>
      <c r="AU86" s="81">
        <v>0</v>
      </c>
      <c r="AV86" s="81">
        <v>0</v>
      </c>
      <c r="AW86" s="81">
        <v>0</v>
      </c>
      <c r="AX86" s="81">
        <v>0</v>
      </c>
      <c r="AY86" s="81">
        <v>0</v>
      </c>
      <c r="AZ86" s="81">
        <v>0</v>
      </c>
      <c r="BA86" s="81">
        <v>0</v>
      </c>
      <c r="BB86" s="81">
        <v>0</v>
      </c>
      <c r="BC86" s="81">
        <v>0</v>
      </c>
      <c r="BD86" s="81">
        <v>0</v>
      </c>
      <c r="BE86" s="81">
        <v>0</v>
      </c>
      <c r="BF86" s="81">
        <v>0</v>
      </c>
      <c r="BG86" s="81">
        <v>0</v>
      </c>
      <c r="BH86" s="81">
        <v>0</v>
      </c>
      <c r="BI86" s="81">
        <v>1849.8</v>
      </c>
      <c r="BJ86" s="81">
        <v>882.16</v>
      </c>
      <c r="BK86" s="81">
        <v>967.64</v>
      </c>
      <c r="BL86" s="81">
        <v>147.97999999999999</v>
      </c>
      <c r="BM86" s="81">
        <v>369.96</v>
      </c>
      <c r="BN86" s="81">
        <v>27.74</v>
      </c>
      <c r="BO86" s="81">
        <v>107.28</v>
      </c>
      <c r="BP86" s="81">
        <v>652.96</v>
      </c>
      <c r="BQ86" s="81">
        <v>2502.7600000000002</v>
      </c>
    </row>
    <row r="87" spans="1:69" hidden="1" x14ac:dyDescent="0.25">
      <c r="A87" s="81" t="s">
        <v>300</v>
      </c>
      <c r="B87" s="132">
        <v>46082</v>
      </c>
      <c r="C87" s="81" t="s">
        <v>78</v>
      </c>
      <c r="D87" s="81" t="s">
        <v>291</v>
      </c>
      <c r="E87" s="81" t="s">
        <v>292</v>
      </c>
      <c r="F87" s="81" t="s">
        <v>87</v>
      </c>
      <c r="G87" s="81" t="s">
        <v>88</v>
      </c>
      <c r="H87" s="81" t="s">
        <v>98</v>
      </c>
      <c r="I87" s="133">
        <v>40118</v>
      </c>
      <c r="J87" s="134"/>
      <c r="K87" s="81" t="s">
        <v>101</v>
      </c>
      <c r="L87" s="81" t="s">
        <v>267</v>
      </c>
      <c r="M87" s="81">
        <v>2600</v>
      </c>
      <c r="N87" s="81">
        <v>2600</v>
      </c>
      <c r="O87" s="81">
        <v>0</v>
      </c>
      <c r="P87" s="81">
        <f t="shared" si="1"/>
        <v>2600</v>
      </c>
      <c r="Q87" s="81">
        <v>0</v>
      </c>
      <c r="R87" s="81">
        <v>0</v>
      </c>
      <c r="S87" s="81">
        <v>0</v>
      </c>
      <c r="T87" s="81">
        <v>0</v>
      </c>
      <c r="U87" s="81">
        <v>0</v>
      </c>
      <c r="V87" s="81">
        <v>0</v>
      </c>
      <c r="W87" s="81">
        <v>0</v>
      </c>
      <c r="X87" s="81">
        <v>0</v>
      </c>
      <c r="Y87" s="81">
        <v>0</v>
      </c>
      <c r="Z87" s="81">
        <v>0</v>
      </c>
      <c r="AA87" s="81">
        <v>0</v>
      </c>
      <c r="AB87" s="81">
        <v>0</v>
      </c>
      <c r="AC87" s="81">
        <v>0</v>
      </c>
      <c r="AD87" s="81">
        <v>0</v>
      </c>
      <c r="AE87" s="81">
        <v>0</v>
      </c>
      <c r="AF87" s="81">
        <v>0</v>
      </c>
      <c r="AG87" s="81">
        <v>2600</v>
      </c>
      <c r="AH87" s="81">
        <v>0</v>
      </c>
      <c r="AI87" s="81">
        <v>0</v>
      </c>
      <c r="AJ87" s="81">
        <v>0</v>
      </c>
      <c r="AK87" s="81">
        <v>0</v>
      </c>
      <c r="AL87" s="81">
        <v>0</v>
      </c>
      <c r="AM87" s="81">
        <v>0</v>
      </c>
      <c r="AN87" s="81">
        <v>0</v>
      </c>
      <c r="AO87" s="81">
        <v>579.34</v>
      </c>
      <c r="AP87" s="81">
        <v>1080</v>
      </c>
      <c r="AQ87" s="81">
        <v>0</v>
      </c>
      <c r="AR87" s="81">
        <v>1659.34</v>
      </c>
      <c r="AS87" s="81">
        <v>0</v>
      </c>
      <c r="AT87" s="81">
        <v>450</v>
      </c>
      <c r="AU87" s="81">
        <v>0</v>
      </c>
      <c r="AV87" s="81">
        <v>0</v>
      </c>
      <c r="AW87" s="81">
        <v>0</v>
      </c>
      <c r="AX87" s="81">
        <v>0</v>
      </c>
      <c r="AY87" s="81">
        <v>0</v>
      </c>
      <c r="AZ87" s="81">
        <v>0</v>
      </c>
      <c r="BA87" s="81">
        <v>0</v>
      </c>
      <c r="BB87" s="81">
        <v>0</v>
      </c>
      <c r="BC87" s="81">
        <v>0</v>
      </c>
      <c r="BD87" s="81">
        <v>0</v>
      </c>
      <c r="BE87" s="81">
        <v>0</v>
      </c>
      <c r="BF87" s="81">
        <v>0</v>
      </c>
      <c r="BG87" s="81">
        <v>0</v>
      </c>
      <c r="BH87" s="81">
        <v>0</v>
      </c>
      <c r="BI87" s="81">
        <v>4709.34</v>
      </c>
      <c r="BJ87" s="81">
        <v>261.48</v>
      </c>
      <c r="BK87" s="81">
        <v>4647.8599999999997</v>
      </c>
      <c r="BL87" s="81">
        <v>224</v>
      </c>
      <c r="BM87" s="81">
        <v>520</v>
      </c>
      <c r="BN87" s="81">
        <v>39</v>
      </c>
      <c r="BO87" s="81">
        <v>150.80000000000001</v>
      </c>
      <c r="BP87" s="81">
        <v>933.8</v>
      </c>
      <c r="BQ87" s="81">
        <v>5643.14</v>
      </c>
    </row>
    <row r="88" spans="1:69" hidden="1" x14ac:dyDescent="0.25">
      <c r="A88" s="81" t="s">
        <v>301</v>
      </c>
      <c r="B88" s="132">
        <v>46082</v>
      </c>
      <c r="C88" s="81" t="s">
        <v>78</v>
      </c>
      <c r="D88" s="81" t="s">
        <v>291</v>
      </c>
      <c r="E88" s="81" t="s">
        <v>292</v>
      </c>
      <c r="F88" s="81" t="s">
        <v>87</v>
      </c>
      <c r="G88" s="81" t="s">
        <v>88</v>
      </c>
      <c r="H88" s="81" t="s">
        <v>98</v>
      </c>
      <c r="I88" s="133">
        <v>44228</v>
      </c>
      <c r="J88" s="134"/>
      <c r="K88" s="81" t="s">
        <v>101</v>
      </c>
      <c r="L88" s="81" t="s">
        <v>302</v>
      </c>
      <c r="M88" s="81">
        <v>2893.8</v>
      </c>
      <c r="N88" s="81">
        <v>2893.8</v>
      </c>
      <c r="O88" s="81">
        <v>0</v>
      </c>
      <c r="P88" s="81">
        <f t="shared" si="1"/>
        <v>2893.8</v>
      </c>
      <c r="Q88" s="81">
        <v>0</v>
      </c>
      <c r="R88" s="81">
        <v>0</v>
      </c>
      <c r="S88" s="81">
        <v>0</v>
      </c>
      <c r="T88" s="81">
        <v>0</v>
      </c>
      <c r="U88" s="81">
        <v>324.2</v>
      </c>
      <c r="V88" s="81">
        <v>0</v>
      </c>
      <c r="W88" s="81">
        <v>0</v>
      </c>
      <c r="X88" s="81">
        <v>0</v>
      </c>
      <c r="Y88" s="81">
        <v>0</v>
      </c>
      <c r="Z88" s="81">
        <v>0</v>
      </c>
      <c r="AA88" s="81">
        <v>74.89</v>
      </c>
      <c r="AB88" s="81">
        <v>14.4</v>
      </c>
      <c r="AC88" s="81">
        <v>0</v>
      </c>
      <c r="AD88" s="81">
        <v>0</v>
      </c>
      <c r="AE88" s="81">
        <v>0</v>
      </c>
      <c r="AF88" s="81">
        <v>0</v>
      </c>
      <c r="AG88" s="81">
        <v>3307.29</v>
      </c>
      <c r="AH88" s="81">
        <v>0</v>
      </c>
      <c r="AI88" s="81">
        <v>0</v>
      </c>
      <c r="AJ88" s="81">
        <v>0</v>
      </c>
      <c r="AK88" s="81">
        <v>0</v>
      </c>
      <c r="AL88" s="81">
        <v>0</v>
      </c>
      <c r="AM88" s="81">
        <v>0</v>
      </c>
      <c r="AN88" s="81">
        <v>0</v>
      </c>
      <c r="AO88" s="81">
        <v>579.34</v>
      </c>
      <c r="AP88" s="81">
        <v>515</v>
      </c>
      <c r="AQ88" s="81">
        <v>0</v>
      </c>
      <c r="AR88" s="81">
        <v>1094.3399999999999</v>
      </c>
      <c r="AS88" s="81">
        <v>0</v>
      </c>
      <c r="AT88" s="81">
        <v>0</v>
      </c>
      <c r="AU88" s="81">
        <v>0</v>
      </c>
      <c r="AV88" s="81">
        <v>0</v>
      </c>
      <c r="AW88" s="81">
        <v>0</v>
      </c>
      <c r="AX88" s="81">
        <v>0</v>
      </c>
      <c r="AY88" s="81">
        <v>0</v>
      </c>
      <c r="AZ88" s="81">
        <v>0</v>
      </c>
      <c r="BA88" s="81">
        <v>0</v>
      </c>
      <c r="BB88" s="81">
        <v>0</v>
      </c>
      <c r="BC88" s="81">
        <v>0</v>
      </c>
      <c r="BD88" s="81">
        <v>0</v>
      </c>
      <c r="BE88" s="81">
        <v>0</v>
      </c>
      <c r="BF88" s="81">
        <v>0</v>
      </c>
      <c r="BG88" s="81">
        <v>0</v>
      </c>
      <c r="BH88" s="81">
        <v>0</v>
      </c>
      <c r="BI88" s="81">
        <v>4401.63</v>
      </c>
      <c r="BJ88" s="81">
        <v>1945.47</v>
      </c>
      <c r="BK88" s="81">
        <v>2456.16</v>
      </c>
      <c r="BL88" s="81">
        <v>264.58</v>
      </c>
      <c r="BM88" s="81">
        <v>661.46</v>
      </c>
      <c r="BN88" s="81">
        <v>49.6</v>
      </c>
      <c r="BO88" s="81">
        <v>191.82</v>
      </c>
      <c r="BP88" s="81">
        <v>1167.46</v>
      </c>
      <c r="BQ88" s="81">
        <v>5569.09</v>
      </c>
    </row>
    <row r="89" spans="1:69" hidden="1" x14ac:dyDescent="0.25">
      <c r="A89" s="81" t="s">
        <v>303</v>
      </c>
      <c r="B89" s="132">
        <v>46082</v>
      </c>
      <c r="C89" s="81" t="s">
        <v>78</v>
      </c>
      <c r="D89" s="81" t="s">
        <v>291</v>
      </c>
      <c r="E89" s="81" t="s">
        <v>292</v>
      </c>
      <c r="F89" s="81" t="s">
        <v>81</v>
      </c>
      <c r="G89" s="81" t="s">
        <v>82</v>
      </c>
      <c r="H89" s="81" t="s">
        <v>98</v>
      </c>
      <c r="I89" s="133">
        <v>44635</v>
      </c>
      <c r="J89" s="134"/>
      <c r="K89" s="81" t="s">
        <v>225</v>
      </c>
      <c r="L89" s="81" t="s">
        <v>85</v>
      </c>
      <c r="M89" s="81">
        <v>2950</v>
      </c>
      <c r="N89" s="81">
        <v>2950</v>
      </c>
      <c r="O89" s="81">
        <v>0</v>
      </c>
      <c r="P89" s="81">
        <f t="shared" si="1"/>
        <v>2950</v>
      </c>
      <c r="Q89" s="81">
        <v>0</v>
      </c>
      <c r="R89" s="81">
        <v>0</v>
      </c>
      <c r="S89" s="81">
        <v>0</v>
      </c>
      <c r="T89" s="81">
        <v>0</v>
      </c>
      <c r="U89" s="81">
        <v>0</v>
      </c>
      <c r="V89" s="81">
        <v>0</v>
      </c>
      <c r="W89" s="81">
        <v>0</v>
      </c>
      <c r="X89" s="81">
        <v>0</v>
      </c>
      <c r="Y89" s="81">
        <v>0</v>
      </c>
      <c r="Z89" s="81">
        <v>0</v>
      </c>
      <c r="AA89" s="81">
        <v>0</v>
      </c>
      <c r="AB89" s="81">
        <v>0</v>
      </c>
      <c r="AC89" s="81">
        <v>0</v>
      </c>
      <c r="AD89" s="81">
        <v>0</v>
      </c>
      <c r="AE89" s="81">
        <v>0</v>
      </c>
      <c r="AF89" s="81">
        <v>0</v>
      </c>
      <c r="AG89" s="81">
        <v>2950</v>
      </c>
      <c r="AH89" s="81">
        <v>0</v>
      </c>
      <c r="AI89" s="81">
        <v>0</v>
      </c>
      <c r="AJ89" s="81">
        <v>0</v>
      </c>
      <c r="AK89" s="81">
        <v>0</v>
      </c>
      <c r="AL89" s="81">
        <v>0</v>
      </c>
      <c r="AM89" s="81">
        <v>0</v>
      </c>
      <c r="AN89" s="81">
        <v>0</v>
      </c>
      <c r="AO89" s="81">
        <v>904.34</v>
      </c>
      <c r="AP89" s="81">
        <v>0</v>
      </c>
      <c r="AQ89" s="81">
        <v>0</v>
      </c>
      <c r="AR89" s="81">
        <v>904.34</v>
      </c>
      <c r="AS89" s="81">
        <v>0</v>
      </c>
      <c r="AT89" s="81">
        <v>0</v>
      </c>
      <c r="AU89" s="81">
        <v>0</v>
      </c>
      <c r="AV89" s="81">
        <v>0</v>
      </c>
      <c r="AW89" s="81">
        <v>0</v>
      </c>
      <c r="AX89" s="81">
        <v>0</v>
      </c>
      <c r="AY89" s="81">
        <v>0</v>
      </c>
      <c r="AZ89" s="81">
        <v>0</v>
      </c>
      <c r="BA89" s="81">
        <v>0</v>
      </c>
      <c r="BB89" s="81">
        <v>0</v>
      </c>
      <c r="BC89" s="81">
        <v>0</v>
      </c>
      <c r="BD89" s="81">
        <v>0</v>
      </c>
      <c r="BE89" s="81">
        <v>0</v>
      </c>
      <c r="BF89" s="81">
        <v>0</v>
      </c>
      <c r="BG89" s="81">
        <v>0</v>
      </c>
      <c r="BH89" s="81">
        <v>0</v>
      </c>
      <c r="BI89" s="81">
        <v>3854.34</v>
      </c>
      <c r="BJ89" s="81">
        <v>1463.83</v>
      </c>
      <c r="BK89" s="81">
        <v>2390.5100000000002</v>
      </c>
      <c r="BL89" s="81">
        <v>236</v>
      </c>
      <c r="BM89" s="81">
        <v>590</v>
      </c>
      <c r="BN89" s="81">
        <v>44.25</v>
      </c>
      <c r="BO89" s="81">
        <v>171.1</v>
      </c>
      <c r="BP89" s="81">
        <v>1041.3499999999999</v>
      </c>
      <c r="BQ89" s="81">
        <v>4895.6899999999996</v>
      </c>
    </row>
    <row r="90" spans="1:69" hidden="1" x14ac:dyDescent="0.25">
      <c r="A90" s="81" t="s">
        <v>304</v>
      </c>
      <c r="B90" s="132">
        <v>46082</v>
      </c>
      <c r="C90" s="81" t="s">
        <v>78</v>
      </c>
      <c r="D90" s="81" t="s">
        <v>291</v>
      </c>
      <c r="E90" s="81" t="s">
        <v>292</v>
      </c>
      <c r="F90" s="81" t="s">
        <v>81</v>
      </c>
      <c r="G90" s="81" t="s">
        <v>82</v>
      </c>
      <c r="H90" s="81" t="s">
        <v>107</v>
      </c>
      <c r="I90" s="133">
        <v>44783</v>
      </c>
      <c r="J90" s="134"/>
      <c r="K90" s="81" t="s">
        <v>211</v>
      </c>
      <c r="L90" s="81" t="s">
        <v>305</v>
      </c>
      <c r="M90" s="81">
        <v>3392</v>
      </c>
      <c r="N90" s="81">
        <v>3392</v>
      </c>
      <c r="O90" s="81">
        <v>0</v>
      </c>
      <c r="P90" s="81">
        <f t="shared" si="1"/>
        <v>3392</v>
      </c>
      <c r="Q90" s="81">
        <v>0</v>
      </c>
      <c r="R90" s="81">
        <v>0</v>
      </c>
      <c r="S90" s="81">
        <v>0</v>
      </c>
      <c r="T90" s="81">
        <v>0</v>
      </c>
      <c r="U90" s="81">
        <v>0</v>
      </c>
      <c r="V90" s="81">
        <v>0</v>
      </c>
      <c r="W90" s="81">
        <v>1356.8</v>
      </c>
      <c r="X90" s="81">
        <v>0</v>
      </c>
      <c r="Y90" s="81">
        <v>0</v>
      </c>
      <c r="Z90" s="81">
        <v>0</v>
      </c>
      <c r="AA90" s="81">
        <v>0</v>
      </c>
      <c r="AB90" s="81">
        <v>0</v>
      </c>
      <c r="AC90" s="81">
        <v>0</v>
      </c>
      <c r="AD90" s="81">
        <v>0</v>
      </c>
      <c r="AE90" s="81">
        <v>0</v>
      </c>
      <c r="AF90" s="81">
        <v>0</v>
      </c>
      <c r="AG90" s="81">
        <v>4748.8</v>
      </c>
      <c r="AH90" s="81">
        <v>0</v>
      </c>
      <c r="AI90" s="81">
        <v>0</v>
      </c>
      <c r="AJ90" s="81">
        <v>0</v>
      </c>
      <c r="AK90" s="81">
        <v>0</v>
      </c>
      <c r="AL90" s="81">
        <v>0</v>
      </c>
      <c r="AM90" s="81">
        <v>0</v>
      </c>
      <c r="AN90" s="81">
        <v>0</v>
      </c>
      <c r="AO90" s="81">
        <v>904.34</v>
      </c>
      <c r="AP90" s="81">
        <v>0</v>
      </c>
      <c r="AQ90" s="81">
        <v>0</v>
      </c>
      <c r="AR90" s="81">
        <v>904.34</v>
      </c>
      <c r="AS90" s="81">
        <v>0</v>
      </c>
      <c r="AT90" s="81">
        <v>0</v>
      </c>
      <c r="AU90" s="81">
        <v>0</v>
      </c>
      <c r="AV90" s="81">
        <v>0</v>
      </c>
      <c r="AW90" s="81">
        <v>0</v>
      </c>
      <c r="AX90" s="81">
        <v>0</v>
      </c>
      <c r="AY90" s="81">
        <v>0</v>
      </c>
      <c r="AZ90" s="81">
        <v>0</v>
      </c>
      <c r="BA90" s="81">
        <v>0</v>
      </c>
      <c r="BB90" s="81">
        <v>0</v>
      </c>
      <c r="BC90" s="81">
        <v>0</v>
      </c>
      <c r="BD90" s="81">
        <v>0</v>
      </c>
      <c r="BE90" s="81">
        <v>0</v>
      </c>
      <c r="BF90" s="81">
        <v>0</v>
      </c>
      <c r="BG90" s="81">
        <v>0</v>
      </c>
      <c r="BH90" s="81">
        <v>0</v>
      </c>
      <c r="BI90" s="81">
        <v>5653.14</v>
      </c>
      <c r="BJ90" s="81">
        <v>1863.33</v>
      </c>
      <c r="BK90" s="81">
        <v>3789.81</v>
      </c>
      <c r="BL90" s="81">
        <v>379.9</v>
      </c>
      <c r="BM90" s="81">
        <v>949.76</v>
      </c>
      <c r="BN90" s="81">
        <v>71.23</v>
      </c>
      <c r="BO90" s="81">
        <v>275.43</v>
      </c>
      <c r="BP90" s="81">
        <v>1676.32</v>
      </c>
      <c r="BQ90" s="81">
        <v>7329.46</v>
      </c>
    </row>
    <row r="91" spans="1:69" hidden="1" x14ac:dyDescent="0.25">
      <c r="A91" s="81" t="s">
        <v>306</v>
      </c>
      <c r="B91" s="132">
        <v>46082</v>
      </c>
      <c r="C91" s="81" t="s">
        <v>78</v>
      </c>
      <c r="D91" s="81" t="s">
        <v>291</v>
      </c>
      <c r="E91" s="81" t="s">
        <v>292</v>
      </c>
      <c r="F91" s="81" t="s">
        <v>87</v>
      </c>
      <c r="G91" s="81" t="s">
        <v>88</v>
      </c>
      <c r="H91" s="81" t="s">
        <v>98</v>
      </c>
      <c r="I91" s="133">
        <v>44942</v>
      </c>
      <c r="J91" s="134"/>
      <c r="K91" s="81" t="s">
        <v>101</v>
      </c>
      <c r="L91" s="81" t="s">
        <v>90</v>
      </c>
      <c r="M91" s="81">
        <v>3679.83</v>
      </c>
      <c r="N91" s="81">
        <v>3679.83</v>
      </c>
      <c r="O91" s="81">
        <v>0</v>
      </c>
      <c r="P91" s="81">
        <f t="shared" si="1"/>
        <v>3679.83</v>
      </c>
      <c r="Q91" s="81">
        <v>0</v>
      </c>
      <c r="R91" s="81">
        <v>0</v>
      </c>
      <c r="S91" s="81">
        <v>0</v>
      </c>
      <c r="T91" s="81">
        <v>0</v>
      </c>
      <c r="U91" s="81">
        <v>0</v>
      </c>
      <c r="V91" s="81">
        <v>1103.95</v>
      </c>
      <c r="W91" s="81">
        <v>0</v>
      </c>
      <c r="X91" s="81">
        <v>0</v>
      </c>
      <c r="Y91" s="81">
        <v>0</v>
      </c>
      <c r="Z91" s="81">
        <v>0</v>
      </c>
      <c r="AA91" s="81">
        <v>290.51</v>
      </c>
      <c r="AB91" s="81">
        <v>55.87</v>
      </c>
      <c r="AC91" s="81">
        <v>0</v>
      </c>
      <c r="AD91" s="81">
        <v>0</v>
      </c>
      <c r="AE91" s="81">
        <v>0</v>
      </c>
      <c r="AF91" s="81">
        <v>0</v>
      </c>
      <c r="AG91" s="81">
        <v>5130.16</v>
      </c>
      <c r="AH91" s="81">
        <v>0</v>
      </c>
      <c r="AI91" s="81">
        <v>0</v>
      </c>
      <c r="AJ91" s="81">
        <v>0</v>
      </c>
      <c r="AK91" s="81">
        <v>0</v>
      </c>
      <c r="AL91" s="81">
        <v>0</v>
      </c>
      <c r="AM91" s="81">
        <v>0</v>
      </c>
      <c r="AN91" s="81">
        <v>0</v>
      </c>
      <c r="AO91" s="81">
        <v>579.34</v>
      </c>
      <c r="AP91" s="81">
        <v>0</v>
      </c>
      <c r="AQ91" s="81">
        <v>0</v>
      </c>
      <c r="AR91" s="81">
        <v>579.34</v>
      </c>
      <c r="AS91" s="81">
        <v>0</v>
      </c>
      <c r="AT91" s="81">
        <v>0</v>
      </c>
      <c r="AU91" s="81">
        <v>0</v>
      </c>
      <c r="AV91" s="81">
        <v>0</v>
      </c>
      <c r="AW91" s="81">
        <v>0</v>
      </c>
      <c r="AX91" s="81">
        <v>0</v>
      </c>
      <c r="AY91" s="81">
        <v>0</v>
      </c>
      <c r="AZ91" s="81">
        <v>0</v>
      </c>
      <c r="BA91" s="81">
        <v>0</v>
      </c>
      <c r="BB91" s="81">
        <v>0</v>
      </c>
      <c r="BC91" s="81">
        <v>0</v>
      </c>
      <c r="BD91" s="81">
        <v>0</v>
      </c>
      <c r="BE91" s="81">
        <v>0</v>
      </c>
      <c r="BF91" s="81">
        <v>0</v>
      </c>
      <c r="BG91" s="81">
        <v>0</v>
      </c>
      <c r="BH91" s="81">
        <v>0</v>
      </c>
      <c r="BI91" s="81">
        <v>5709.5</v>
      </c>
      <c r="BJ91" s="81">
        <v>2031.72</v>
      </c>
      <c r="BK91" s="81">
        <v>3677.78</v>
      </c>
      <c r="BL91" s="81">
        <v>410.41</v>
      </c>
      <c r="BM91" s="81">
        <v>1026.03</v>
      </c>
      <c r="BN91" s="81">
        <v>76.95</v>
      </c>
      <c r="BO91" s="81">
        <v>297.54000000000002</v>
      </c>
      <c r="BP91" s="81">
        <v>1810.93</v>
      </c>
      <c r="BQ91" s="81">
        <v>7520.43</v>
      </c>
    </row>
    <row r="92" spans="1:69" hidden="1" x14ac:dyDescent="0.25">
      <c r="A92" s="81" t="s">
        <v>307</v>
      </c>
      <c r="B92" s="132">
        <v>46082</v>
      </c>
      <c r="C92" s="81" t="s">
        <v>78</v>
      </c>
      <c r="D92" s="81" t="s">
        <v>291</v>
      </c>
      <c r="E92" s="81" t="s">
        <v>292</v>
      </c>
      <c r="F92" s="81" t="s">
        <v>87</v>
      </c>
      <c r="G92" s="81" t="s">
        <v>88</v>
      </c>
      <c r="H92" s="81" t="s">
        <v>98</v>
      </c>
      <c r="I92" s="133">
        <v>43906</v>
      </c>
      <c r="J92" s="134"/>
      <c r="K92" s="81" t="s">
        <v>101</v>
      </c>
      <c r="L92" s="81" t="s">
        <v>308</v>
      </c>
      <c r="M92" s="81">
        <v>2967.69</v>
      </c>
      <c r="N92" s="81">
        <v>2967.69</v>
      </c>
      <c r="O92" s="81">
        <v>0</v>
      </c>
      <c r="P92" s="81">
        <f t="shared" si="1"/>
        <v>2967.69</v>
      </c>
      <c r="Q92" s="81">
        <v>0</v>
      </c>
      <c r="R92" s="81">
        <v>0</v>
      </c>
      <c r="S92" s="81">
        <v>0</v>
      </c>
      <c r="T92" s="81">
        <v>0</v>
      </c>
      <c r="U92" s="81">
        <v>0</v>
      </c>
      <c r="V92" s="81">
        <v>0</v>
      </c>
      <c r="W92" s="81">
        <v>0</v>
      </c>
      <c r="X92" s="81">
        <v>0</v>
      </c>
      <c r="Y92" s="81">
        <v>0</v>
      </c>
      <c r="Z92" s="81">
        <v>0</v>
      </c>
      <c r="AA92" s="81">
        <v>0</v>
      </c>
      <c r="AB92" s="81">
        <v>0</v>
      </c>
      <c r="AC92" s="81">
        <v>0</v>
      </c>
      <c r="AD92" s="81">
        <v>0</v>
      </c>
      <c r="AE92" s="81">
        <v>0</v>
      </c>
      <c r="AF92" s="81">
        <v>0</v>
      </c>
      <c r="AG92" s="81">
        <v>2967.69</v>
      </c>
      <c r="AH92" s="81">
        <v>0</v>
      </c>
      <c r="AI92" s="81">
        <v>0</v>
      </c>
      <c r="AJ92" s="81">
        <v>0</v>
      </c>
      <c r="AK92" s="81">
        <v>0</v>
      </c>
      <c r="AL92" s="81">
        <v>0</v>
      </c>
      <c r="AM92" s="81">
        <v>0</v>
      </c>
      <c r="AN92" s="81">
        <v>0</v>
      </c>
      <c r="AO92" s="81">
        <v>579.34</v>
      </c>
      <c r="AP92" s="81">
        <v>200</v>
      </c>
      <c r="AQ92" s="81">
        <v>0</v>
      </c>
      <c r="AR92" s="81">
        <v>779.34</v>
      </c>
      <c r="AS92" s="81">
        <v>0</v>
      </c>
      <c r="AT92" s="81">
        <v>0</v>
      </c>
      <c r="AU92" s="81">
        <v>0</v>
      </c>
      <c r="AV92" s="81">
        <v>0</v>
      </c>
      <c r="AW92" s="81">
        <v>0</v>
      </c>
      <c r="AX92" s="81">
        <v>0</v>
      </c>
      <c r="AY92" s="81">
        <v>0</v>
      </c>
      <c r="AZ92" s="81">
        <v>0</v>
      </c>
      <c r="BA92" s="81">
        <v>0</v>
      </c>
      <c r="BB92" s="81">
        <v>0</v>
      </c>
      <c r="BC92" s="81">
        <v>0</v>
      </c>
      <c r="BD92" s="81">
        <v>0</v>
      </c>
      <c r="BE92" s="81">
        <v>0</v>
      </c>
      <c r="BF92" s="81">
        <v>0</v>
      </c>
      <c r="BG92" s="81">
        <v>0</v>
      </c>
      <c r="BH92" s="81">
        <v>0</v>
      </c>
      <c r="BI92" s="81">
        <v>3747.03</v>
      </c>
      <c r="BJ92" s="81">
        <v>2422.81</v>
      </c>
      <c r="BK92" s="81">
        <v>1324.22</v>
      </c>
      <c r="BL92" s="81">
        <v>237.41</v>
      </c>
      <c r="BM92" s="81">
        <v>593.54</v>
      </c>
      <c r="BN92" s="81">
        <v>44.51</v>
      </c>
      <c r="BO92" s="81">
        <v>172.12</v>
      </c>
      <c r="BP92" s="81">
        <v>1047.58</v>
      </c>
      <c r="BQ92" s="81">
        <v>4794.6099999999997</v>
      </c>
    </row>
    <row r="93" spans="1:69" hidden="1" x14ac:dyDescent="0.25">
      <c r="A93" s="81" t="s">
        <v>309</v>
      </c>
      <c r="B93" s="132">
        <v>46082</v>
      </c>
      <c r="C93" s="81" t="s">
        <v>78</v>
      </c>
      <c r="D93" s="81" t="s">
        <v>291</v>
      </c>
      <c r="E93" s="81" t="s">
        <v>292</v>
      </c>
      <c r="F93" s="81" t="s">
        <v>87</v>
      </c>
      <c r="G93" s="81" t="s">
        <v>88</v>
      </c>
      <c r="H93" s="81" t="s">
        <v>98</v>
      </c>
      <c r="I93" s="133">
        <v>46064</v>
      </c>
      <c r="J93" s="134"/>
      <c r="K93" s="81" t="s">
        <v>101</v>
      </c>
      <c r="L93" s="81" t="s">
        <v>288</v>
      </c>
      <c r="M93" s="81">
        <v>2587.5</v>
      </c>
      <c r="N93" s="81">
        <v>2587.5</v>
      </c>
      <c r="O93" s="81">
        <v>0</v>
      </c>
      <c r="P93" s="81">
        <f t="shared" si="1"/>
        <v>2587.5</v>
      </c>
      <c r="Q93" s="81">
        <v>0</v>
      </c>
      <c r="R93" s="81">
        <v>0</v>
      </c>
      <c r="S93" s="81">
        <v>0</v>
      </c>
      <c r="T93" s="81">
        <v>0</v>
      </c>
      <c r="U93" s="81">
        <v>0</v>
      </c>
      <c r="V93" s="81">
        <v>0</v>
      </c>
      <c r="W93" s="81">
        <v>0</v>
      </c>
      <c r="X93" s="81">
        <v>0</v>
      </c>
      <c r="Y93" s="81">
        <v>0</v>
      </c>
      <c r="Z93" s="81">
        <v>0</v>
      </c>
      <c r="AA93" s="81">
        <v>0</v>
      </c>
      <c r="AB93" s="81">
        <v>0</v>
      </c>
      <c r="AC93" s="81">
        <v>0</v>
      </c>
      <c r="AD93" s="81">
        <v>0</v>
      </c>
      <c r="AE93" s="81">
        <v>0</v>
      </c>
      <c r="AF93" s="81">
        <v>0</v>
      </c>
      <c r="AG93" s="81">
        <v>2587.5</v>
      </c>
      <c r="AH93" s="81">
        <v>0</v>
      </c>
      <c r="AI93" s="81">
        <v>0</v>
      </c>
      <c r="AJ93" s="81">
        <v>0</v>
      </c>
      <c r="AK93" s="81">
        <v>0</v>
      </c>
      <c r="AL93" s="81">
        <v>0</v>
      </c>
      <c r="AM93" s="81">
        <v>0</v>
      </c>
      <c r="AN93" s="81">
        <v>0</v>
      </c>
      <c r="AO93" s="81">
        <v>579.34</v>
      </c>
      <c r="AP93" s="81">
        <v>0</v>
      </c>
      <c r="AQ93" s="81">
        <v>0</v>
      </c>
      <c r="AR93" s="81">
        <v>579.34</v>
      </c>
      <c r="AS93" s="81">
        <v>0</v>
      </c>
      <c r="AT93" s="81">
        <v>0</v>
      </c>
      <c r="AU93" s="81">
        <v>0</v>
      </c>
      <c r="AV93" s="81">
        <v>0</v>
      </c>
      <c r="AW93" s="81">
        <v>0</v>
      </c>
      <c r="AX93" s="81">
        <v>0</v>
      </c>
      <c r="AY93" s="81">
        <v>0</v>
      </c>
      <c r="AZ93" s="81">
        <v>0</v>
      </c>
      <c r="BA93" s="81">
        <v>0</v>
      </c>
      <c r="BB93" s="81">
        <v>0</v>
      </c>
      <c r="BC93" s="81">
        <v>0</v>
      </c>
      <c r="BD93" s="81">
        <v>0</v>
      </c>
      <c r="BE93" s="81">
        <v>0</v>
      </c>
      <c r="BF93" s="81">
        <v>0</v>
      </c>
      <c r="BG93" s="81">
        <v>0</v>
      </c>
      <c r="BH93" s="81">
        <v>0</v>
      </c>
      <c r="BI93" s="81">
        <v>3166.84</v>
      </c>
      <c r="BJ93" s="81">
        <v>1277.19</v>
      </c>
      <c r="BK93" s="81">
        <v>1889.65</v>
      </c>
      <c r="BL93" s="81">
        <v>207</v>
      </c>
      <c r="BM93" s="81">
        <v>517.5</v>
      </c>
      <c r="BN93" s="81">
        <v>38.81</v>
      </c>
      <c r="BO93" s="81">
        <v>150.07</v>
      </c>
      <c r="BP93" s="81">
        <v>913.38</v>
      </c>
      <c r="BQ93" s="81">
        <v>4080.22</v>
      </c>
    </row>
    <row r="94" spans="1:69" x14ac:dyDescent="0.25">
      <c r="A94" s="81" t="s">
        <v>310</v>
      </c>
      <c r="B94" s="132">
        <v>46082</v>
      </c>
      <c r="C94" s="81" t="s">
        <v>78</v>
      </c>
      <c r="D94" s="81" t="s">
        <v>311</v>
      </c>
      <c r="E94" s="81" t="s">
        <v>312</v>
      </c>
      <c r="F94" s="81" t="s">
        <v>96</v>
      </c>
      <c r="G94" s="81" t="s">
        <v>97</v>
      </c>
      <c r="H94" s="81" t="s">
        <v>313</v>
      </c>
      <c r="I94" s="133">
        <v>43234</v>
      </c>
      <c r="J94" s="134"/>
      <c r="K94" s="81" t="s">
        <v>314</v>
      </c>
      <c r="L94" s="81" t="s">
        <v>315</v>
      </c>
      <c r="M94" s="81">
        <v>2700</v>
      </c>
      <c r="N94" s="81">
        <v>2700</v>
      </c>
      <c r="O94" s="81">
        <v>0</v>
      </c>
      <c r="P94" s="81">
        <f t="shared" si="1"/>
        <v>2700</v>
      </c>
      <c r="Q94" s="81">
        <v>0</v>
      </c>
      <c r="R94" s="81">
        <v>0</v>
      </c>
      <c r="S94" s="81">
        <v>0</v>
      </c>
      <c r="T94" s="81">
        <v>540</v>
      </c>
      <c r="U94" s="81">
        <v>0</v>
      </c>
      <c r="V94" s="81">
        <v>0</v>
      </c>
      <c r="W94" s="81">
        <v>0</v>
      </c>
      <c r="X94" s="81">
        <v>0</v>
      </c>
      <c r="Y94" s="81">
        <v>135</v>
      </c>
      <c r="Z94" s="81">
        <v>0</v>
      </c>
      <c r="AA94" s="81">
        <v>838.76</v>
      </c>
      <c r="AB94" s="81">
        <v>161.30000000000001</v>
      </c>
      <c r="AC94" s="81">
        <v>0</v>
      </c>
      <c r="AD94" s="81">
        <v>0</v>
      </c>
      <c r="AE94" s="81">
        <v>0</v>
      </c>
      <c r="AF94" s="81">
        <v>0</v>
      </c>
      <c r="AG94" s="81">
        <v>4375.0600000000004</v>
      </c>
      <c r="AH94" s="81">
        <v>0</v>
      </c>
      <c r="AI94" s="81">
        <v>0</v>
      </c>
      <c r="AJ94" s="81">
        <v>0</v>
      </c>
      <c r="AK94" s="81">
        <v>0</v>
      </c>
      <c r="AL94" s="81">
        <v>0</v>
      </c>
      <c r="AM94" s="81">
        <v>0</v>
      </c>
      <c r="AN94" s="81">
        <v>0</v>
      </c>
      <c r="AO94" s="81">
        <v>0</v>
      </c>
      <c r="AP94" s="81">
        <v>0</v>
      </c>
      <c r="AQ94" s="81">
        <v>0</v>
      </c>
      <c r="AR94" s="81">
        <v>0</v>
      </c>
      <c r="AS94" s="81">
        <v>0</v>
      </c>
      <c r="AT94" s="81">
        <v>0</v>
      </c>
      <c r="AU94" s="81">
        <v>0</v>
      </c>
      <c r="AV94" s="81">
        <v>0</v>
      </c>
      <c r="AW94" s="81">
        <v>0</v>
      </c>
      <c r="AX94" s="81">
        <v>0</v>
      </c>
      <c r="AY94" s="81">
        <v>0</v>
      </c>
      <c r="AZ94" s="81">
        <v>0</v>
      </c>
      <c r="BA94" s="81">
        <v>0</v>
      </c>
      <c r="BB94" s="81">
        <v>0</v>
      </c>
      <c r="BC94" s="81">
        <v>0</v>
      </c>
      <c r="BD94" s="81">
        <v>0</v>
      </c>
      <c r="BE94" s="81">
        <v>0</v>
      </c>
      <c r="BF94" s="81">
        <v>0</v>
      </c>
      <c r="BG94" s="81">
        <v>0</v>
      </c>
      <c r="BH94" s="81">
        <v>0</v>
      </c>
      <c r="BI94" s="81">
        <v>4375.0600000000004</v>
      </c>
      <c r="BJ94" s="81">
        <v>1530.46</v>
      </c>
      <c r="BK94" s="81">
        <v>2844.6</v>
      </c>
      <c r="BL94" s="81">
        <v>350</v>
      </c>
      <c r="BM94" s="81">
        <v>875.01</v>
      </c>
      <c r="BN94" s="81">
        <v>65.62</v>
      </c>
      <c r="BO94" s="81">
        <v>253.75</v>
      </c>
      <c r="BP94" s="81">
        <v>1544.38</v>
      </c>
      <c r="BQ94" s="81">
        <v>5919.44</v>
      </c>
    </row>
    <row r="95" spans="1:69" hidden="1" x14ac:dyDescent="0.25">
      <c r="A95" s="81" t="s">
        <v>316</v>
      </c>
      <c r="B95" s="132">
        <v>46082</v>
      </c>
      <c r="C95" s="81" t="s">
        <v>78</v>
      </c>
      <c r="D95" s="81" t="s">
        <v>311</v>
      </c>
      <c r="E95" s="81" t="s">
        <v>312</v>
      </c>
      <c r="F95" s="81" t="s">
        <v>195</v>
      </c>
      <c r="G95" s="81" t="s">
        <v>317</v>
      </c>
      <c r="H95" s="81" t="s">
        <v>313</v>
      </c>
      <c r="I95" s="133">
        <v>43761</v>
      </c>
      <c r="J95" s="134"/>
      <c r="K95" s="81" t="s">
        <v>318</v>
      </c>
      <c r="L95" s="81" t="s">
        <v>319</v>
      </c>
      <c r="M95" s="81">
        <v>0</v>
      </c>
      <c r="N95" s="81">
        <v>0</v>
      </c>
      <c r="O95" s="81">
        <v>0</v>
      </c>
      <c r="P95" s="81">
        <f t="shared" si="1"/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5669.28</v>
      </c>
      <c r="AD95" s="81">
        <v>1090.25</v>
      </c>
      <c r="AE95" s="81">
        <v>0</v>
      </c>
      <c r="AF95" s="81">
        <v>0</v>
      </c>
      <c r="AG95" s="81">
        <v>6759.53</v>
      </c>
      <c r="AH95" s="81">
        <v>0</v>
      </c>
      <c r="AI95" s="81">
        <v>0</v>
      </c>
      <c r="AJ95" s="81">
        <v>0</v>
      </c>
      <c r="AK95" s="81">
        <v>0</v>
      </c>
      <c r="AL95" s="81">
        <v>0</v>
      </c>
      <c r="AM95" s="81">
        <v>0</v>
      </c>
      <c r="AN95" s="81">
        <v>0</v>
      </c>
      <c r="AO95" s="81">
        <v>0</v>
      </c>
      <c r="AP95" s="81">
        <v>0</v>
      </c>
      <c r="AQ95" s="81">
        <v>0</v>
      </c>
      <c r="AR95" s="81">
        <v>0</v>
      </c>
      <c r="AS95" s="81">
        <v>0</v>
      </c>
      <c r="AT95" s="81">
        <v>0</v>
      </c>
      <c r="AU95" s="81">
        <v>0</v>
      </c>
      <c r="AV95" s="81">
        <v>0</v>
      </c>
      <c r="AW95" s="81">
        <v>0</v>
      </c>
      <c r="AX95" s="81">
        <v>0</v>
      </c>
      <c r="AY95" s="81">
        <v>0</v>
      </c>
      <c r="AZ95" s="81">
        <v>0</v>
      </c>
      <c r="BA95" s="81">
        <v>0</v>
      </c>
      <c r="BB95" s="81">
        <v>0</v>
      </c>
      <c r="BC95" s="81">
        <v>0</v>
      </c>
      <c r="BD95" s="81">
        <v>0</v>
      </c>
      <c r="BE95" s="81">
        <v>0</v>
      </c>
      <c r="BF95" s="81">
        <v>0</v>
      </c>
      <c r="BG95" s="81">
        <v>0</v>
      </c>
      <c r="BH95" s="81">
        <v>0</v>
      </c>
      <c r="BI95" s="81">
        <v>6759.53</v>
      </c>
      <c r="BJ95" s="81">
        <v>2002.93</v>
      </c>
      <c r="BK95" s="81">
        <v>4756.6000000000004</v>
      </c>
      <c r="BL95" s="81">
        <v>540.76</v>
      </c>
      <c r="BM95" s="81">
        <v>1351.91</v>
      </c>
      <c r="BN95" s="81">
        <v>101.39</v>
      </c>
      <c r="BO95" s="81">
        <v>392.05</v>
      </c>
      <c r="BP95" s="81">
        <v>2386.11</v>
      </c>
      <c r="BQ95" s="81">
        <v>9145.64</v>
      </c>
    </row>
    <row r="96" spans="1:69" x14ac:dyDescent="0.25">
      <c r="A96" s="81" t="s">
        <v>320</v>
      </c>
      <c r="B96" s="132">
        <v>46082</v>
      </c>
      <c r="C96" s="81" t="s">
        <v>78</v>
      </c>
      <c r="D96" s="81" t="s">
        <v>311</v>
      </c>
      <c r="E96" s="81" t="s">
        <v>312</v>
      </c>
      <c r="F96" s="81" t="s">
        <v>96</v>
      </c>
      <c r="G96" s="81" t="s">
        <v>97</v>
      </c>
      <c r="H96" s="81" t="s">
        <v>313</v>
      </c>
      <c r="I96" s="133">
        <v>43888</v>
      </c>
      <c r="J96" s="134"/>
      <c r="K96" s="81" t="s">
        <v>314</v>
      </c>
      <c r="L96" s="81" t="s">
        <v>315</v>
      </c>
      <c r="M96" s="81">
        <v>2700</v>
      </c>
      <c r="N96" s="81">
        <v>2700</v>
      </c>
      <c r="O96" s="81">
        <v>0</v>
      </c>
      <c r="P96" s="81">
        <f t="shared" si="1"/>
        <v>2700</v>
      </c>
      <c r="Q96" s="81">
        <v>0</v>
      </c>
      <c r="R96" s="81">
        <v>0</v>
      </c>
      <c r="S96" s="81">
        <v>0</v>
      </c>
      <c r="T96" s="81">
        <v>540</v>
      </c>
      <c r="U96" s="81">
        <v>0</v>
      </c>
      <c r="V96" s="81">
        <v>0</v>
      </c>
      <c r="W96" s="81">
        <v>0</v>
      </c>
      <c r="X96" s="81">
        <v>0</v>
      </c>
      <c r="Y96" s="81">
        <v>135</v>
      </c>
      <c r="Z96" s="81">
        <v>0</v>
      </c>
      <c r="AA96" s="81">
        <v>64.819999999999993</v>
      </c>
      <c r="AB96" s="81">
        <v>12.47</v>
      </c>
      <c r="AC96" s="81">
        <v>0</v>
      </c>
      <c r="AD96" s="81">
        <v>0</v>
      </c>
      <c r="AE96" s="81">
        <v>0</v>
      </c>
      <c r="AF96" s="81">
        <v>0</v>
      </c>
      <c r="AG96" s="81">
        <v>3452.29</v>
      </c>
      <c r="AH96" s="81">
        <v>0</v>
      </c>
      <c r="AI96" s="81">
        <v>0</v>
      </c>
      <c r="AJ96" s="81">
        <v>0</v>
      </c>
      <c r="AK96" s="81">
        <v>0</v>
      </c>
      <c r="AL96" s="81">
        <v>0</v>
      </c>
      <c r="AM96" s="81">
        <v>0</v>
      </c>
      <c r="AN96" s="81">
        <v>0</v>
      </c>
      <c r="AO96" s="81">
        <v>0</v>
      </c>
      <c r="AP96" s="81">
        <v>612</v>
      </c>
      <c r="AQ96" s="81">
        <v>0</v>
      </c>
      <c r="AR96" s="81">
        <v>612</v>
      </c>
      <c r="AS96" s="81">
        <v>0</v>
      </c>
      <c r="AT96" s="81">
        <v>0</v>
      </c>
      <c r="AU96" s="81">
        <v>0</v>
      </c>
      <c r="AV96" s="81">
        <v>1323</v>
      </c>
      <c r="AW96" s="81">
        <v>0</v>
      </c>
      <c r="AX96" s="81">
        <v>0</v>
      </c>
      <c r="AY96" s="81">
        <v>0</v>
      </c>
      <c r="AZ96" s="81">
        <v>0</v>
      </c>
      <c r="BA96" s="81">
        <v>0</v>
      </c>
      <c r="BB96" s="81">
        <v>0</v>
      </c>
      <c r="BC96" s="81">
        <v>0</v>
      </c>
      <c r="BD96" s="81">
        <v>0</v>
      </c>
      <c r="BE96" s="81">
        <v>0</v>
      </c>
      <c r="BF96" s="81">
        <v>0</v>
      </c>
      <c r="BG96" s="81">
        <v>0</v>
      </c>
      <c r="BH96" s="81">
        <v>0</v>
      </c>
      <c r="BI96" s="81">
        <v>5387.29</v>
      </c>
      <c r="BJ96" s="81">
        <v>2449.2199999999998</v>
      </c>
      <c r="BK96" s="81">
        <v>2938.07</v>
      </c>
      <c r="BL96" s="81">
        <v>276.18</v>
      </c>
      <c r="BM96" s="81">
        <v>690.46</v>
      </c>
      <c r="BN96" s="81">
        <v>51.78</v>
      </c>
      <c r="BO96" s="81">
        <v>200.23</v>
      </c>
      <c r="BP96" s="81">
        <v>1218.6500000000001</v>
      </c>
      <c r="BQ96" s="81">
        <v>6605.94</v>
      </c>
    </row>
    <row r="97" spans="1:69" hidden="1" x14ac:dyDescent="0.25">
      <c r="A97" s="81" t="s">
        <v>321</v>
      </c>
      <c r="B97" s="132">
        <v>46082</v>
      </c>
      <c r="C97" s="81" t="s">
        <v>78</v>
      </c>
      <c r="D97" s="81" t="s">
        <v>311</v>
      </c>
      <c r="E97" s="81" t="s">
        <v>312</v>
      </c>
      <c r="F97" s="81" t="s">
        <v>81</v>
      </c>
      <c r="G97" s="81" t="s">
        <v>218</v>
      </c>
      <c r="H97" s="81" t="s">
        <v>313</v>
      </c>
      <c r="I97" s="133">
        <v>44267</v>
      </c>
      <c r="J97" s="134"/>
      <c r="K97" s="81" t="s">
        <v>322</v>
      </c>
      <c r="L97" s="81" t="s">
        <v>323</v>
      </c>
      <c r="M97" s="81">
        <v>3180</v>
      </c>
      <c r="N97" s="81">
        <v>0</v>
      </c>
      <c r="O97" s="81">
        <v>0</v>
      </c>
      <c r="P97" s="81">
        <f t="shared" si="1"/>
        <v>0</v>
      </c>
      <c r="Q97" s="81">
        <v>3427.64</v>
      </c>
      <c r="R97" s="81">
        <v>0</v>
      </c>
      <c r="S97" s="81">
        <v>0</v>
      </c>
      <c r="T97" s="81">
        <v>0</v>
      </c>
      <c r="U97" s="81">
        <v>0</v>
      </c>
      <c r="V97" s="81">
        <v>0</v>
      </c>
      <c r="W97" s="81">
        <v>0</v>
      </c>
      <c r="X97" s="81">
        <v>0</v>
      </c>
      <c r="Y97" s="81">
        <v>0</v>
      </c>
      <c r="Z97" s="81">
        <v>0</v>
      </c>
      <c r="AA97" s="81">
        <v>0</v>
      </c>
      <c r="AB97" s="81">
        <v>0</v>
      </c>
      <c r="AC97" s="81">
        <v>0</v>
      </c>
      <c r="AD97" s="81">
        <v>0</v>
      </c>
      <c r="AE97" s="81">
        <v>0</v>
      </c>
      <c r="AF97" s="81">
        <v>0</v>
      </c>
      <c r="AG97" s="81">
        <v>3427.64</v>
      </c>
      <c r="AH97" s="81">
        <v>0</v>
      </c>
      <c r="AI97" s="81">
        <v>0</v>
      </c>
      <c r="AJ97" s="81">
        <v>0</v>
      </c>
      <c r="AK97" s="81">
        <v>0</v>
      </c>
      <c r="AL97" s="81">
        <v>0</v>
      </c>
      <c r="AM97" s="81">
        <v>0</v>
      </c>
      <c r="AN97" s="81">
        <v>0</v>
      </c>
      <c r="AO97" s="81">
        <v>0</v>
      </c>
      <c r="AP97" s="81">
        <v>0</v>
      </c>
      <c r="AQ97" s="81">
        <v>0</v>
      </c>
      <c r="AR97" s="81">
        <v>0</v>
      </c>
      <c r="AS97" s="81">
        <v>0</v>
      </c>
      <c r="AT97" s="81">
        <v>0</v>
      </c>
      <c r="AU97" s="81">
        <v>0</v>
      </c>
      <c r="AV97" s="81">
        <v>0</v>
      </c>
      <c r="AW97" s="81">
        <v>0</v>
      </c>
      <c r="AX97" s="81">
        <v>0</v>
      </c>
      <c r="AY97" s="81">
        <v>0</v>
      </c>
      <c r="AZ97" s="81">
        <v>0</v>
      </c>
      <c r="BA97" s="81">
        <v>0</v>
      </c>
      <c r="BB97" s="81">
        <v>0</v>
      </c>
      <c r="BC97" s="81">
        <v>0</v>
      </c>
      <c r="BD97" s="81">
        <v>0</v>
      </c>
      <c r="BE97" s="81">
        <v>0</v>
      </c>
      <c r="BF97" s="81">
        <v>0</v>
      </c>
      <c r="BG97" s="81">
        <v>0</v>
      </c>
      <c r="BH97" s="81">
        <v>0</v>
      </c>
      <c r="BI97" s="81">
        <v>3427.64</v>
      </c>
      <c r="BJ97" s="81">
        <v>1717.88</v>
      </c>
      <c r="BK97" s="81">
        <v>1709.76</v>
      </c>
      <c r="BL97" s="81">
        <v>274.20999999999998</v>
      </c>
      <c r="BM97" s="81">
        <v>685.53</v>
      </c>
      <c r="BN97" s="81">
        <v>51.41</v>
      </c>
      <c r="BO97" s="81">
        <v>198.8</v>
      </c>
      <c r="BP97" s="81">
        <v>1209.95</v>
      </c>
      <c r="BQ97" s="81">
        <v>4637.59</v>
      </c>
    </row>
    <row r="98" spans="1:69" hidden="1" x14ac:dyDescent="0.25">
      <c r="A98" s="81" t="s">
        <v>324</v>
      </c>
      <c r="B98" s="132">
        <v>46082</v>
      </c>
      <c r="C98" s="81" t="s">
        <v>78</v>
      </c>
      <c r="D98" s="81" t="s">
        <v>311</v>
      </c>
      <c r="E98" s="81" t="s">
        <v>312</v>
      </c>
      <c r="F98" s="81" t="s">
        <v>81</v>
      </c>
      <c r="G98" s="81" t="s">
        <v>218</v>
      </c>
      <c r="H98" s="81" t="s">
        <v>107</v>
      </c>
      <c r="I98" s="133">
        <v>43866</v>
      </c>
      <c r="J98" s="134"/>
      <c r="K98" s="81" t="s">
        <v>211</v>
      </c>
      <c r="L98" s="81" t="s">
        <v>325</v>
      </c>
      <c r="M98" s="81">
        <v>3500</v>
      </c>
      <c r="N98" s="81">
        <v>3500</v>
      </c>
      <c r="O98" s="81">
        <v>0</v>
      </c>
      <c r="P98" s="81">
        <f t="shared" si="1"/>
        <v>3500</v>
      </c>
      <c r="Q98" s="81">
        <v>0</v>
      </c>
      <c r="R98" s="81">
        <v>0</v>
      </c>
      <c r="S98" s="81">
        <v>0</v>
      </c>
      <c r="T98" s="81">
        <v>0</v>
      </c>
      <c r="U98" s="81">
        <v>0</v>
      </c>
      <c r="V98" s="81">
        <v>0</v>
      </c>
      <c r="W98" s="81">
        <v>0</v>
      </c>
      <c r="X98" s="81">
        <v>0</v>
      </c>
      <c r="Y98" s="81">
        <v>0</v>
      </c>
      <c r="Z98" s="81">
        <v>0</v>
      </c>
      <c r="AA98" s="81">
        <v>0</v>
      </c>
      <c r="AB98" s="81">
        <v>0</v>
      </c>
      <c r="AC98" s="81">
        <v>0</v>
      </c>
      <c r="AD98" s="81">
        <v>0</v>
      </c>
      <c r="AE98" s="81">
        <v>0</v>
      </c>
      <c r="AF98" s="81">
        <v>0</v>
      </c>
      <c r="AG98" s="81">
        <v>3500</v>
      </c>
      <c r="AH98" s="81">
        <v>0</v>
      </c>
      <c r="AI98" s="81">
        <v>0</v>
      </c>
      <c r="AJ98" s="81">
        <v>0</v>
      </c>
      <c r="AK98" s="81">
        <v>0</v>
      </c>
      <c r="AL98" s="81">
        <v>0</v>
      </c>
      <c r="AM98" s="81">
        <v>0</v>
      </c>
      <c r="AN98" s="81">
        <v>0</v>
      </c>
      <c r="AO98" s="81">
        <v>0</v>
      </c>
      <c r="AP98" s="81">
        <v>0</v>
      </c>
      <c r="AQ98" s="81">
        <v>0</v>
      </c>
      <c r="AR98" s="81">
        <v>0</v>
      </c>
      <c r="AS98" s="81">
        <v>0</v>
      </c>
      <c r="AT98" s="81">
        <v>0</v>
      </c>
      <c r="AU98" s="81">
        <v>0</v>
      </c>
      <c r="AV98" s="81">
        <v>0</v>
      </c>
      <c r="AW98" s="81">
        <v>0</v>
      </c>
      <c r="AX98" s="81">
        <v>0</v>
      </c>
      <c r="AY98" s="81">
        <v>0</v>
      </c>
      <c r="AZ98" s="81">
        <v>0</v>
      </c>
      <c r="BA98" s="81">
        <v>0</v>
      </c>
      <c r="BB98" s="81">
        <v>0</v>
      </c>
      <c r="BC98" s="81">
        <v>0</v>
      </c>
      <c r="BD98" s="81">
        <v>0</v>
      </c>
      <c r="BE98" s="81">
        <v>0</v>
      </c>
      <c r="BF98" s="81">
        <v>0</v>
      </c>
      <c r="BG98" s="81">
        <v>0</v>
      </c>
      <c r="BH98" s="81">
        <v>0</v>
      </c>
      <c r="BI98" s="81">
        <v>3500</v>
      </c>
      <c r="BJ98" s="81">
        <v>1708.58</v>
      </c>
      <c r="BK98" s="81">
        <v>1791.42</v>
      </c>
      <c r="BL98" s="81">
        <v>280</v>
      </c>
      <c r="BM98" s="81">
        <v>700</v>
      </c>
      <c r="BN98" s="81">
        <v>52.5</v>
      </c>
      <c r="BO98" s="81">
        <v>203</v>
      </c>
      <c r="BP98" s="81">
        <v>1235.5</v>
      </c>
      <c r="BQ98" s="81">
        <v>4735.5</v>
      </c>
    </row>
    <row r="99" spans="1:69" hidden="1" x14ac:dyDescent="0.25">
      <c r="A99" s="81" t="s">
        <v>326</v>
      </c>
      <c r="B99" s="132">
        <v>46082</v>
      </c>
      <c r="C99" s="81" t="s">
        <v>78</v>
      </c>
      <c r="D99" s="81" t="s">
        <v>311</v>
      </c>
      <c r="E99" s="81" t="s">
        <v>312</v>
      </c>
      <c r="F99" s="81" t="s">
        <v>87</v>
      </c>
      <c r="G99" s="81" t="s">
        <v>88</v>
      </c>
      <c r="H99" s="81" t="s">
        <v>313</v>
      </c>
      <c r="I99" s="133">
        <v>44378</v>
      </c>
      <c r="J99" s="134"/>
      <c r="K99" s="81" t="s">
        <v>327</v>
      </c>
      <c r="L99" s="81" t="s">
        <v>267</v>
      </c>
      <c r="M99" s="81">
        <v>2600</v>
      </c>
      <c r="N99" s="81">
        <v>2600</v>
      </c>
      <c r="O99" s="81">
        <v>0</v>
      </c>
      <c r="P99" s="81">
        <f t="shared" si="1"/>
        <v>2600</v>
      </c>
      <c r="Q99" s="81">
        <v>0</v>
      </c>
      <c r="R99" s="81">
        <v>0</v>
      </c>
      <c r="S99" s="81">
        <v>0</v>
      </c>
      <c r="T99" s="81">
        <v>0</v>
      </c>
      <c r="U99" s="81">
        <v>0</v>
      </c>
      <c r="V99" s="81">
        <v>0</v>
      </c>
      <c r="W99" s="81">
        <v>0</v>
      </c>
      <c r="X99" s="81">
        <v>0</v>
      </c>
      <c r="Y99" s="81">
        <v>0</v>
      </c>
      <c r="Z99" s="81">
        <v>0</v>
      </c>
      <c r="AA99" s="81">
        <v>71.22</v>
      </c>
      <c r="AB99" s="81">
        <v>13.7</v>
      </c>
      <c r="AC99" s="81">
        <v>0</v>
      </c>
      <c r="AD99" s="81">
        <v>0</v>
      </c>
      <c r="AE99" s="81">
        <v>0</v>
      </c>
      <c r="AF99" s="81">
        <v>0</v>
      </c>
      <c r="AG99" s="81">
        <v>2684.92</v>
      </c>
      <c r="AH99" s="81">
        <v>0</v>
      </c>
      <c r="AI99" s="81">
        <v>0</v>
      </c>
      <c r="AJ99" s="81">
        <v>0</v>
      </c>
      <c r="AK99" s="81">
        <v>0</v>
      </c>
      <c r="AL99" s="81">
        <v>0</v>
      </c>
      <c r="AM99" s="81">
        <v>0</v>
      </c>
      <c r="AN99" s="81">
        <v>0</v>
      </c>
      <c r="AO99" s="81">
        <v>0</v>
      </c>
      <c r="AP99" s="81">
        <v>1710</v>
      </c>
      <c r="AQ99" s="81">
        <v>0</v>
      </c>
      <c r="AR99" s="81">
        <v>1710</v>
      </c>
      <c r="AS99" s="81">
        <v>0</v>
      </c>
      <c r="AT99" s="81">
        <v>0</v>
      </c>
      <c r="AU99" s="81">
        <v>0</v>
      </c>
      <c r="AV99" s="81">
        <v>0</v>
      </c>
      <c r="AW99" s="81">
        <v>0</v>
      </c>
      <c r="AX99" s="81">
        <v>0</v>
      </c>
      <c r="AY99" s="81">
        <v>0</v>
      </c>
      <c r="AZ99" s="81">
        <v>0</v>
      </c>
      <c r="BA99" s="81">
        <v>0</v>
      </c>
      <c r="BB99" s="81">
        <v>0</v>
      </c>
      <c r="BC99" s="81">
        <v>0</v>
      </c>
      <c r="BD99" s="81">
        <v>0</v>
      </c>
      <c r="BE99" s="81">
        <v>0</v>
      </c>
      <c r="BF99" s="81">
        <v>0</v>
      </c>
      <c r="BG99" s="81">
        <v>0</v>
      </c>
      <c r="BH99" s="81">
        <v>0</v>
      </c>
      <c r="BI99" s="81">
        <v>4394.92</v>
      </c>
      <c r="BJ99" s="81">
        <v>217.32</v>
      </c>
      <c r="BK99" s="81">
        <v>4177.6000000000004</v>
      </c>
      <c r="BL99" s="81">
        <v>214.79</v>
      </c>
      <c r="BM99" s="81">
        <v>536.98</v>
      </c>
      <c r="BN99" s="81">
        <v>40.270000000000003</v>
      </c>
      <c r="BO99" s="81">
        <v>155.72</v>
      </c>
      <c r="BP99" s="81">
        <v>947.76</v>
      </c>
      <c r="BQ99" s="81">
        <v>5342.68</v>
      </c>
    </row>
    <row r="100" spans="1:69" hidden="1" x14ac:dyDescent="0.25">
      <c r="A100" s="81" t="s">
        <v>328</v>
      </c>
      <c r="B100" s="132">
        <v>46082</v>
      </c>
      <c r="C100" s="81" t="s">
        <v>78</v>
      </c>
      <c r="D100" s="81" t="s">
        <v>311</v>
      </c>
      <c r="E100" s="81" t="s">
        <v>312</v>
      </c>
      <c r="F100" s="81" t="s">
        <v>87</v>
      </c>
      <c r="G100" s="81" t="s">
        <v>329</v>
      </c>
      <c r="H100" s="81" t="s">
        <v>313</v>
      </c>
      <c r="I100" s="133">
        <v>41786</v>
      </c>
      <c r="J100" s="134"/>
      <c r="K100" s="81" t="s">
        <v>330</v>
      </c>
      <c r="L100" s="81" t="s">
        <v>331</v>
      </c>
      <c r="M100" s="81">
        <v>3056.81</v>
      </c>
      <c r="N100" s="81">
        <v>3056.81</v>
      </c>
      <c r="O100" s="81">
        <v>0</v>
      </c>
      <c r="P100" s="81">
        <f t="shared" si="1"/>
        <v>3056.81</v>
      </c>
      <c r="Q100" s="81">
        <v>0</v>
      </c>
      <c r="R100" s="81">
        <v>0</v>
      </c>
      <c r="S100" s="81">
        <v>0</v>
      </c>
      <c r="T100" s="81">
        <v>611.36</v>
      </c>
      <c r="U100" s="81">
        <v>0</v>
      </c>
      <c r="V100" s="81">
        <v>0</v>
      </c>
      <c r="W100" s="81">
        <v>0</v>
      </c>
      <c r="X100" s="81">
        <v>0</v>
      </c>
      <c r="Y100" s="81">
        <v>0</v>
      </c>
      <c r="Z100" s="81">
        <v>0</v>
      </c>
      <c r="AA100" s="81">
        <v>534.89</v>
      </c>
      <c r="AB100" s="81">
        <v>102.86</v>
      </c>
      <c r="AC100" s="81">
        <v>0</v>
      </c>
      <c r="AD100" s="81">
        <v>0</v>
      </c>
      <c r="AE100" s="81">
        <v>0</v>
      </c>
      <c r="AF100" s="81">
        <v>0</v>
      </c>
      <c r="AG100" s="81">
        <v>4305.92</v>
      </c>
      <c r="AH100" s="81">
        <v>0</v>
      </c>
      <c r="AI100" s="81">
        <v>0</v>
      </c>
      <c r="AJ100" s="81">
        <v>0</v>
      </c>
      <c r="AK100" s="81">
        <v>0</v>
      </c>
      <c r="AL100" s="81">
        <v>0</v>
      </c>
      <c r="AM100" s="81">
        <v>0</v>
      </c>
      <c r="AN100" s="81">
        <v>0</v>
      </c>
      <c r="AO100" s="81">
        <v>0</v>
      </c>
      <c r="AP100" s="81">
        <v>0</v>
      </c>
      <c r="AQ100" s="81">
        <v>0</v>
      </c>
      <c r="AR100" s="81">
        <v>0</v>
      </c>
      <c r="AS100" s="81">
        <v>0</v>
      </c>
      <c r="AT100" s="81">
        <v>0</v>
      </c>
      <c r="AU100" s="81">
        <v>0</v>
      </c>
      <c r="AV100" s="81">
        <v>0</v>
      </c>
      <c r="AW100" s="81">
        <v>0</v>
      </c>
      <c r="AX100" s="81">
        <v>0</v>
      </c>
      <c r="AY100" s="81">
        <v>0</v>
      </c>
      <c r="AZ100" s="81">
        <v>0</v>
      </c>
      <c r="BA100" s="81">
        <v>0</v>
      </c>
      <c r="BB100" s="81">
        <v>0</v>
      </c>
      <c r="BC100" s="81">
        <v>0</v>
      </c>
      <c r="BD100" s="81">
        <v>0</v>
      </c>
      <c r="BE100" s="81">
        <v>0</v>
      </c>
      <c r="BF100" s="81">
        <v>0</v>
      </c>
      <c r="BG100" s="81">
        <v>0</v>
      </c>
      <c r="BH100" s="81">
        <v>0</v>
      </c>
      <c r="BI100" s="81">
        <v>4305.92</v>
      </c>
      <c r="BJ100" s="81">
        <v>2579.14</v>
      </c>
      <c r="BK100" s="81">
        <v>1726.78</v>
      </c>
      <c r="BL100" s="81">
        <v>344.47</v>
      </c>
      <c r="BM100" s="81">
        <v>861.18</v>
      </c>
      <c r="BN100" s="81">
        <v>64.58</v>
      </c>
      <c r="BO100" s="81">
        <v>249.74</v>
      </c>
      <c r="BP100" s="81">
        <v>1519.97</v>
      </c>
      <c r="BQ100" s="81">
        <v>5825.89</v>
      </c>
    </row>
    <row r="101" spans="1:69" hidden="1" x14ac:dyDescent="0.25">
      <c r="A101" s="81" t="s">
        <v>332</v>
      </c>
      <c r="B101" s="132">
        <v>46082</v>
      </c>
      <c r="C101" s="81" t="s">
        <v>78</v>
      </c>
      <c r="D101" s="81" t="s">
        <v>311</v>
      </c>
      <c r="E101" s="81" t="s">
        <v>312</v>
      </c>
      <c r="F101" s="81" t="s">
        <v>87</v>
      </c>
      <c r="G101" s="81" t="s">
        <v>88</v>
      </c>
      <c r="H101" s="81" t="s">
        <v>313</v>
      </c>
      <c r="I101" s="133">
        <v>45238</v>
      </c>
      <c r="J101" s="134"/>
      <c r="K101" s="81" t="s">
        <v>327</v>
      </c>
      <c r="L101" s="81" t="s">
        <v>333</v>
      </c>
      <c r="M101" s="81">
        <v>2350</v>
      </c>
      <c r="N101" s="81">
        <v>2350</v>
      </c>
      <c r="O101" s="81">
        <v>0</v>
      </c>
      <c r="P101" s="81">
        <f t="shared" si="1"/>
        <v>2350</v>
      </c>
      <c r="Q101" s="81">
        <v>0</v>
      </c>
      <c r="R101" s="81">
        <v>0</v>
      </c>
      <c r="S101" s="81">
        <v>0</v>
      </c>
      <c r="T101" s="81">
        <v>0</v>
      </c>
      <c r="U101" s="81">
        <v>0</v>
      </c>
      <c r="V101" s="81">
        <v>0</v>
      </c>
      <c r="W101" s="81">
        <v>0</v>
      </c>
      <c r="X101" s="81">
        <v>0</v>
      </c>
      <c r="Y101" s="81">
        <v>0</v>
      </c>
      <c r="Z101" s="81">
        <v>0</v>
      </c>
      <c r="AA101" s="81">
        <v>69.22</v>
      </c>
      <c r="AB101" s="81">
        <v>13.31</v>
      </c>
      <c r="AC101" s="81">
        <v>0</v>
      </c>
      <c r="AD101" s="81">
        <v>0</v>
      </c>
      <c r="AE101" s="81">
        <v>0</v>
      </c>
      <c r="AF101" s="81">
        <v>0</v>
      </c>
      <c r="AG101" s="81">
        <v>2432.5300000000002</v>
      </c>
      <c r="AH101" s="81">
        <v>0</v>
      </c>
      <c r="AI101" s="81">
        <v>0</v>
      </c>
      <c r="AJ101" s="81">
        <v>0</v>
      </c>
      <c r="AK101" s="81">
        <v>0</v>
      </c>
      <c r="AL101" s="81">
        <v>0</v>
      </c>
      <c r="AM101" s="81">
        <v>0</v>
      </c>
      <c r="AN101" s="81">
        <v>0</v>
      </c>
      <c r="AO101" s="81">
        <v>0</v>
      </c>
      <c r="AP101" s="81">
        <v>350</v>
      </c>
      <c r="AQ101" s="81">
        <v>0</v>
      </c>
      <c r="AR101" s="81">
        <v>350</v>
      </c>
      <c r="AS101" s="81">
        <v>0</v>
      </c>
      <c r="AT101" s="81">
        <v>0</v>
      </c>
      <c r="AU101" s="81">
        <v>0</v>
      </c>
      <c r="AV101" s="81">
        <v>0</v>
      </c>
      <c r="AW101" s="81">
        <v>0</v>
      </c>
      <c r="AX101" s="81">
        <v>0</v>
      </c>
      <c r="AY101" s="81">
        <v>0</v>
      </c>
      <c r="AZ101" s="81">
        <v>0</v>
      </c>
      <c r="BA101" s="81">
        <v>0</v>
      </c>
      <c r="BB101" s="81">
        <v>0</v>
      </c>
      <c r="BC101" s="81">
        <v>0</v>
      </c>
      <c r="BD101" s="81">
        <v>0</v>
      </c>
      <c r="BE101" s="81">
        <v>0</v>
      </c>
      <c r="BF101" s="81">
        <v>0</v>
      </c>
      <c r="BG101" s="81">
        <v>0</v>
      </c>
      <c r="BH101" s="81">
        <v>0</v>
      </c>
      <c r="BI101" s="81">
        <v>2782.53</v>
      </c>
      <c r="BJ101" s="81">
        <v>1166.22</v>
      </c>
      <c r="BK101" s="81">
        <v>1616.31</v>
      </c>
      <c r="BL101" s="81">
        <v>194.6</v>
      </c>
      <c r="BM101" s="81">
        <v>486.51</v>
      </c>
      <c r="BN101" s="81">
        <v>36.479999999999997</v>
      </c>
      <c r="BO101" s="81">
        <v>141.08000000000001</v>
      </c>
      <c r="BP101" s="81">
        <v>858.67</v>
      </c>
      <c r="BQ101" s="81">
        <v>3641.2</v>
      </c>
    </row>
    <row r="102" spans="1:69" hidden="1" x14ac:dyDescent="0.25">
      <c r="A102" s="81" t="s">
        <v>334</v>
      </c>
      <c r="B102" s="132">
        <v>46082</v>
      </c>
      <c r="C102" s="81" t="s">
        <v>78</v>
      </c>
      <c r="D102" s="81" t="s">
        <v>311</v>
      </c>
      <c r="E102" s="81" t="s">
        <v>312</v>
      </c>
      <c r="F102" s="81" t="s">
        <v>87</v>
      </c>
      <c r="G102" s="81" t="s">
        <v>329</v>
      </c>
      <c r="H102" s="81" t="s">
        <v>313</v>
      </c>
      <c r="I102" s="133">
        <v>45021</v>
      </c>
      <c r="J102" s="134"/>
      <c r="K102" s="81" t="s">
        <v>330</v>
      </c>
      <c r="L102" s="81" t="s">
        <v>333</v>
      </c>
      <c r="M102" s="81">
        <v>2350</v>
      </c>
      <c r="N102" s="81">
        <v>2350</v>
      </c>
      <c r="O102" s="81">
        <v>0</v>
      </c>
      <c r="P102" s="81">
        <f t="shared" si="1"/>
        <v>2350</v>
      </c>
      <c r="Q102" s="81">
        <v>0</v>
      </c>
      <c r="R102" s="81">
        <v>0</v>
      </c>
      <c r="S102" s="81">
        <v>0</v>
      </c>
      <c r="T102" s="81">
        <v>0</v>
      </c>
      <c r="U102" s="81">
        <v>0</v>
      </c>
      <c r="V102" s="81">
        <v>0</v>
      </c>
      <c r="W102" s="81">
        <v>0</v>
      </c>
      <c r="X102" s="81">
        <v>0</v>
      </c>
      <c r="Y102" s="81">
        <v>0</v>
      </c>
      <c r="Z102" s="81">
        <v>0</v>
      </c>
      <c r="AA102" s="81">
        <v>385.69</v>
      </c>
      <c r="AB102" s="81">
        <v>74.17</v>
      </c>
      <c r="AC102" s="81">
        <v>0</v>
      </c>
      <c r="AD102" s="81">
        <v>0</v>
      </c>
      <c r="AE102" s="81">
        <v>0</v>
      </c>
      <c r="AF102" s="81">
        <v>0</v>
      </c>
      <c r="AG102" s="81">
        <v>2809.86</v>
      </c>
      <c r="AH102" s="81">
        <v>0</v>
      </c>
      <c r="AI102" s="81">
        <v>0</v>
      </c>
      <c r="AJ102" s="81">
        <v>0</v>
      </c>
      <c r="AK102" s="81">
        <v>0</v>
      </c>
      <c r="AL102" s="81">
        <v>0</v>
      </c>
      <c r="AM102" s="81">
        <v>0</v>
      </c>
      <c r="AN102" s="81">
        <v>0</v>
      </c>
      <c r="AO102" s="81">
        <v>0</v>
      </c>
      <c r="AP102" s="81">
        <v>350</v>
      </c>
      <c r="AQ102" s="81">
        <v>0</v>
      </c>
      <c r="AR102" s="81">
        <v>350</v>
      </c>
      <c r="AS102" s="81">
        <v>0</v>
      </c>
      <c r="AT102" s="81">
        <v>0</v>
      </c>
      <c r="AU102" s="81">
        <v>0</v>
      </c>
      <c r="AV102" s="81">
        <v>0</v>
      </c>
      <c r="AW102" s="81">
        <v>0</v>
      </c>
      <c r="AX102" s="81">
        <v>0</v>
      </c>
      <c r="AY102" s="81">
        <v>0</v>
      </c>
      <c r="AZ102" s="81">
        <v>0</v>
      </c>
      <c r="BA102" s="81">
        <v>0</v>
      </c>
      <c r="BB102" s="81">
        <v>0</v>
      </c>
      <c r="BC102" s="81">
        <v>0</v>
      </c>
      <c r="BD102" s="81">
        <v>0</v>
      </c>
      <c r="BE102" s="81">
        <v>0</v>
      </c>
      <c r="BF102" s="81">
        <v>0</v>
      </c>
      <c r="BG102" s="81">
        <v>0</v>
      </c>
      <c r="BH102" s="81">
        <v>0</v>
      </c>
      <c r="BI102" s="81">
        <v>3159.86</v>
      </c>
      <c r="BJ102" s="81">
        <v>1168.56</v>
      </c>
      <c r="BK102" s="81">
        <v>1991.3</v>
      </c>
      <c r="BL102" s="81">
        <v>224.78</v>
      </c>
      <c r="BM102" s="81">
        <v>561.97</v>
      </c>
      <c r="BN102" s="81">
        <v>42.14</v>
      </c>
      <c r="BO102" s="81">
        <v>162.97</v>
      </c>
      <c r="BP102" s="81">
        <v>991.86</v>
      </c>
      <c r="BQ102" s="81">
        <v>4151.72</v>
      </c>
    </row>
    <row r="103" spans="1:69" hidden="1" x14ac:dyDescent="0.25">
      <c r="A103" s="81" t="s">
        <v>335</v>
      </c>
      <c r="B103" s="132">
        <v>46082</v>
      </c>
      <c r="C103" s="81" t="s">
        <v>78</v>
      </c>
      <c r="D103" s="81" t="s">
        <v>311</v>
      </c>
      <c r="E103" s="81" t="s">
        <v>312</v>
      </c>
      <c r="F103" s="81" t="s">
        <v>195</v>
      </c>
      <c r="G103" s="81" t="s">
        <v>317</v>
      </c>
      <c r="H103" s="81" t="s">
        <v>313</v>
      </c>
      <c r="I103" s="133">
        <v>45671</v>
      </c>
      <c r="J103" s="134"/>
      <c r="K103" s="81" t="s">
        <v>318</v>
      </c>
      <c r="L103" s="81" t="s">
        <v>319</v>
      </c>
      <c r="M103" s="81">
        <v>0</v>
      </c>
      <c r="N103" s="81">
        <v>0</v>
      </c>
      <c r="O103" s="81">
        <v>0</v>
      </c>
      <c r="P103" s="81">
        <f t="shared" si="1"/>
        <v>0</v>
      </c>
      <c r="Q103" s="81">
        <v>0</v>
      </c>
      <c r="R103" s="81">
        <v>0</v>
      </c>
      <c r="S103" s="81">
        <v>0</v>
      </c>
      <c r="T103" s="81">
        <v>0</v>
      </c>
      <c r="U103" s="81">
        <v>0</v>
      </c>
      <c r="V103" s="81">
        <v>0</v>
      </c>
      <c r="W103" s="81">
        <v>0</v>
      </c>
      <c r="X103" s="81">
        <v>0</v>
      </c>
      <c r="Y103" s="81">
        <v>0</v>
      </c>
      <c r="Z103" s="81">
        <v>0</v>
      </c>
      <c r="AA103" s="81">
        <v>0</v>
      </c>
      <c r="AB103" s="81">
        <v>0</v>
      </c>
      <c r="AC103" s="81">
        <v>3877.78</v>
      </c>
      <c r="AD103" s="81">
        <v>745.73</v>
      </c>
      <c r="AE103" s="81">
        <v>0</v>
      </c>
      <c r="AF103" s="81">
        <v>0</v>
      </c>
      <c r="AG103" s="81">
        <v>4623.51</v>
      </c>
      <c r="AH103" s="81">
        <v>0</v>
      </c>
      <c r="AI103" s="81">
        <v>0</v>
      </c>
      <c r="AJ103" s="81">
        <v>0</v>
      </c>
      <c r="AK103" s="81">
        <v>0</v>
      </c>
      <c r="AL103" s="81">
        <v>0</v>
      </c>
      <c r="AM103" s="81">
        <v>0</v>
      </c>
      <c r="AN103" s="81">
        <v>0</v>
      </c>
      <c r="AO103" s="81">
        <v>0</v>
      </c>
      <c r="AP103" s="81">
        <v>0</v>
      </c>
      <c r="AQ103" s="81">
        <v>0</v>
      </c>
      <c r="AR103" s="81">
        <v>0</v>
      </c>
      <c r="AS103" s="81">
        <v>0</v>
      </c>
      <c r="AT103" s="81">
        <v>0</v>
      </c>
      <c r="AU103" s="81">
        <v>0</v>
      </c>
      <c r="AV103" s="81">
        <v>0</v>
      </c>
      <c r="AW103" s="81">
        <v>0</v>
      </c>
      <c r="AX103" s="81">
        <v>0</v>
      </c>
      <c r="AY103" s="81">
        <v>0</v>
      </c>
      <c r="AZ103" s="81">
        <v>0</v>
      </c>
      <c r="BA103" s="81">
        <v>0</v>
      </c>
      <c r="BB103" s="81">
        <v>0</v>
      </c>
      <c r="BC103" s="81">
        <v>0</v>
      </c>
      <c r="BD103" s="81">
        <v>0</v>
      </c>
      <c r="BE103" s="81">
        <v>0</v>
      </c>
      <c r="BF103" s="81">
        <v>0</v>
      </c>
      <c r="BG103" s="81">
        <v>0</v>
      </c>
      <c r="BH103" s="81">
        <v>0</v>
      </c>
      <c r="BI103" s="81">
        <v>4623.51</v>
      </c>
      <c r="BJ103" s="81">
        <v>2734.1</v>
      </c>
      <c r="BK103" s="81">
        <v>1889.41</v>
      </c>
      <c r="BL103" s="81">
        <v>369.88</v>
      </c>
      <c r="BM103" s="81">
        <v>924.7</v>
      </c>
      <c r="BN103" s="81">
        <v>69.349999999999994</v>
      </c>
      <c r="BO103" s="81">
        <v>268.16000000000003</v>
      </c>
      <c r="BP103" s="81">
        <v>1632.09</v>
      </c>
      <c r="BQ103" s="81">
        <v>6255.6</v>
      </c>
    </row>
    <row r="104" spans="1:69" x14ac:dyDescent="0.25">
      <c r="A104" s="81" t="s">
        <v>336</v>
      </c>
      <c r="B104" s="132">
        <v>46082</v>
      </c>
      <c r="C104" s="81" t="s">
        <v>78</v>
      </c>
      <c r="D104" s="81" t="s">
        <v>311</v>
      </c>
      <c r="E104" s="81" t="s">
        <v>312</v>
      </c>
      <c r="F104" s="81" t="s">
        <v>96</v>
      </c>
      <c r="G104" s="81" t="s">
        <v>97</v>
      </c>
      <c r="H104" s="81" t="s">
        <v>313</v>
      </c>
      <c r="I104" s="133">
        <v>45701</v>
      </c>
      <c r="J104" s="133">
        <v>46093</v>
      </c>
      <c r="K104" s="81" t="s">
        <v>314</v>
      </c>
      <c r="L104" s="81" t="s">
        <v>337</v>
      </c>
      <c r="M104" s="81">
        <v>2308.81</v>
      </c>
      <c r="N104" s="81">
        <v>0</v>
      </c>
      <c r="O104" s="81">
        <v>0</v>
      </c>
      <c r="P104" s="81">
        <f t="shared" si="1"/>
        <v>0</v>
      </c>
      <c r="Q104" s="81">
        <v>0</v>
      </c>
      <c r="R104" s="81">
        <v>0</v>
      </c>
      <c r="S104" s="81">
        <v>0</v>
      </c>
      <c r="T104" s="81">
        <v>182.92</v>
      </c>
      <c r="U104" s="81">
        <v>0</v>
      </c>
      <c r="V104" s="81">
        <v>0</v>
      </c>
      <c r="W104" s="81">
        <v>0</v>
      </c>
      <c r="X104" s="81">
        <v>0</v>
      </c>
      <c r="Y104" s="81">
        <v>0</v>
      </c>
      <c r="Z104" s="81">
        <v>0</v>
      </c>
      <c r="AA104" s="81">
        <v>70.52</v>
      </c>
      <c r="AB104" s="81">
        <v>14.1</v>
      </c>
      <c r="AC104" s="81">
        <v>0</v>
      </c>
      <c r="AD104" s="81">
        <v>0</v>
      </c>
      <c r="AE104" s="81">
        <v>0</v>
      </c>
      <c r="AF104" s="81">
        <v>0</v>
      </c>
      <c r="AG104" s="81">
        <v>267.54000000000002</v>
      </c>
      <c r="AH104" s="81">
        <v>0</v>
      </c>
      <c r="AI104" s="81">
        <v>0</v>
      </c>
      <c r="AJ104" s="81">
        <v>0</v>
      </c>
      <c r="AK104" s="81">
        <v>0</v>
      </c>
      <c r="AL104" s="81">
        <v>0</v>
      </c>
      <c r="AM104" s="81">
        <v>0</v>
      </c>
      <c r="AN104" s="81">
        <v>0</v>
      </c>
      <c r="AO104" s="81">
        <v>0</v>
      </c>
      <c r="AP104" s="81">
        <v>0</v>
      </c>
      <c r="AQ104" s="81">
        <v>0</v>
      </c>
      <c r="AR104" s="81">
        <v>0</v>
      </c>
      <c r="AS104" s="81">
        <v>0</v>
      </c>
      <c r="AT104" s="81">
        <v>500</v>
      </c>
      <c r="AU104" s="81">
        <v>0</v>
      </c>
      <c r="AV104" s="81">
        <v>0</v>
      </c>
      <c r="AW104" s="81">
        <v>0</v>
      </c>
      <c r="AX104" s="81">
        <v>54.03</v>
      </c>
      <c r="AY104" s="81">
        <v>0</v>
      </c>
      <c r="AZ104" s="81">
        <v>0</v>
      </c>
      <c r="BA104" s="81">
        <v>0</v>
      </c>
      <c r="BB104" s="81">
        <v>0</v>
      </c>
      <c r="BC104" s="81">
        <v>0</v>
      </c>
      <c r="BD104" s="81">
        <v>0</v>
      </c>
      <c r="BE104" s="81">
        <v>0</v>
      </c>
      <c r="BF104" s="81">
        <v>7656.02</v>
      </c>
      <c r="BG104" s="81">
        <v>303.64</v>
      </c>
      <c r="BH104" s="81">
        <v>7959.66</v>
      </c>
      <c r="BI104" s="81">
        <v>821.57</v>
      </c>
      <c r="BJ104" s="81">
        <v>8788.2800000000007</v>
      </c>
      <c r="BK104" s="81">
        <v>0</v>
      </c>
      <c r="BL104" s="81">
        <v>0</v>
      </c>
      <c r="BM104" s="81">
        <v>53.51</v>
      </c>
      <c r="BN104" s="81">
        <v>4.01</v>
      </c>
      <c r="BO104" s="81">
        <v>15.51</v>
      </c>
      <c r="BP104" s="81">
        <v>73.03</v>
      </c>
      <c r="BQ104" s="81">
        <v>894.6</v>
      </c>
    </row>
    <row r="105" spans="1:69" hidden="1" x14ac:dyDescent="0.25">
      <c r="A105" s="81" t="s">
        <v>338</v>
      </c>
      <c r="B105" s="132">
        <v>46082</v>
      </c>
      <c r="C105" s="81" t="s">
        <v>78</v>
      </c>
      <c r="D105" s="81" t="s">
        <v>311</v>
      </c>
      <c r="E105" s="81" t="s">
        <v>312</v>
      </c>
      <c r="F105" s="81" t="s">
        <v>87</v>
      </c>
      <c r="G105" s="81" t="s">
        <v>329</v>
      </c>
      <c r="H105" s="81" t="s">
        <v>313</v>
      </c>
      <c r="I105" s="133">
        <v>45845</v>
      </c>
      <c r="J105" s="134"/>
      <c r="K105" s="81" t="s">
        <v>330</v>
      </c>
      <c r="L105" s="81" t="s">
        <v>274</v>
      </c>
      <c r="M105" s="81">
        <v>2155</v>
      </c>
      <c r="N105" s="81">
        <v>2155</v>
      </c>
      <c r="O105" s="81">
        <v>0</v>
      </c>
      <c r="P105" s="81">
        <f t="shared" si="1"/>
        <v>2155</v>
      </c>
      <c r="Q105" s="81">
        <v>0</v>
      </c>
      <c r="R105" s="81">
        <v>0</v>
      </c>
      <c r="S105" s="81">
        <v>0</v>
      </c>
      <c r="T105" s="81">
        <v>0</v>
      </c>
      <c r="U105" s="81">
        <v>0</v>
      </c>
      <c r="V105" s="81">
        <v>0</v>
      </c>
      <c r="W105" s="81">
        <v>0</v>
      </c>
      <c r="X105" s="81">
        <v>0</v>
      </c>
      <c r="Y105" s="81">
        <v>0</v>
      </c>
      <c r="Z105" s="81">
        <v>0</v>
      </c>
      <c r="AA105" s="81">
        <v>223.07</v>
      </c>
      <c r="AB105" s="81">
        <v>42.9</v>
      </c>
      <c r="AC105" s="81">
        <v>0</v>
      </c>
      <c r="AD105" s="81">
        <v>0</v>
      </c>
      <c r="AE105" s="81">
        <v>0</v>
      </c>
      <c r="AF105" s="81">
        <v>0</v>
      </c>
      <c r="AG105" s="81">
        <v>2420.9699999999998</v>
      </c>
      <c r="AH105" s="81">
        <v>0</v>
      </c>
      <c r="AI105" s="81">
        <v>0</v>
      </c>
      <c r="AJ105" s="81">
        <v>0</v>
      </c>
      <c r="AK105" s="81">
        <v>0</v>
      </c>
      <c r="AL105" s="81">
        <v>0</v>
      </c>
      <c r="AM105" s="81">
        <v>0</v>
      </c>
      <c r="AN105" s="81">
        <v>0</v>
      </c>
      <c r="AO105" s="81">
        <v>0</v>
      </c>
      <c r="AP105" s="81">
        <v>350</v>
      </c>
      <c r="AQ105" s="81">
        <v>0</v>
      </c>
      <c r="AR105" s="81">
        <v>350</v>
      </c>
      <c r="AS105" s="81">
        <v>0</v>
      </c>
      <c r="AT105" s="81">
        <v>0</v>
      </c>
      <c r="AU105" s="81">
        <v>0</v>
      </c>
      <c r="AV105" s="81">
        <v>0</v>
      </c>
      <c r="AW105" s="81">
        <v>0</v>
      </c>
      <c r="AX105" s="81">
        <v>0</v>
      </c>
      <c r="AY105" s="81">
        <v>0</v>
      </c>
      <c r="AZ105" s="81">
        <v>0</v>
      </c>
      <c r="BA105" s="81">
        <v>0</v>
      </c>
      <c r="BB105" s="81">
        <v>0</v>
      </c>
      <c r="BC105" s="81">
        <v>0</v>
      </c>
      <c r="BD105" s="81">
        <v>0</v>
      </c>
      <c r="BE105" s="81">
        <v>0</v>
      </c>
      <c r="BF105" s="81">
        <v>0</v>
      </c>
      <c r="BG105" s="81">
        <v>0</v>
      </c>
      <c r="BH105" s="81">
        <v>0</v>
      </c>
      <c r="BI105" s="81">
        <v>2770.97</v>
      </c>
      <c r="BJ105" s="81">
        <v>1587.03</v>
      </c>
      <c r="BK105" s="81">
        <v>1183.94</v>
      </c>
      <c r="BL105" s="81">
        <v>193.67</v>
      </c>
      <c r="BM105" s="81">
        <v>484.19</v>
      </c>
      <c r="BN105" s="81">
        <v>36.31</v>
      </c>
      <c r="BO105" s="81">
        <v>140.41</v>
      </c>
      <c r="BP105" s="81">
        <v>854.58</v>
      </c>
      <c r="BQ105" s="81">
        <v>3625.55</v>
      </c>
    </row>
    <row r="106" spans="1:69" hidden="1" x14ac:dyDescent="0.25">
      <c r="A106" s="81" t="s">
        <v>339</v>
      </c>
      <c r="B106" s="132">
        <v>46082</v>
      </c>
      <c r="C106" s="81" t="s">
        <v>78</v>
      </c>
      <c r="D106" s="81" t="s">
        <v>311</v>
      </c>
      <c r="E106" s="81" t="s">
        <v>312</v>
      </c>
      <c r="F106" s="81" t="s">
        <v>109</v>
      </c>
      <c r="G106" s="81" t="s">
        <v>81</v>
      </c>
      <c r="H106" s="81" t="s">
        <v>110</v>
      </c>
      <c r="I106" s="133">
        <v>45925</v>
      </c>
      <c r="J106" s="134"/>
      <c r="K106" s="81" t="s">
        <v>111</v>
      </c>
      <c r="L106" s="81" t="s">
        <v>340</v>
      </c>
      <c r="M106" s="81">
        <v>3500</v>
      </c>
      <c r="N106" s="81">
        <v>3500</v>
      </c>
      <c r="O106" s="81">
        <v>0</v>
      </c>
      <c r="P106" s="81">
        <f t="shared" si="1"/>
        <v>3500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1400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1">
        <v>4900</v>
      </c>
      <c r="AH106" s="81">
        <v>0</v>
      </c>
      <c r="AI106" s="81">
        <v>0</v>
      </c>
      <c r="AJ106" s="81">
        <v>0</v>
      </c>
      <c r="AK106" s="81">
        <v>0</v>
      </c>
      <c r="AL106" s="81">
        <v>0</v>
      </c>
      <c r="AM106" s="81">
        <v>0</v>
      </c>
      <c r="AN106" s="81">
        <v>0</v>
      </c>
      <c r="AO106" s="81">
        <v>0</v>
      </c>
      <c r="AP106" s="81">
        <v>100</v>
      </c>
      <c r="AQ106" s="81">
        <v>0</v>
      </c>
      <c r="AR106" s="81">
        <v>100</v>
      </c>
      <c r="AS106" s="81">
        <v>0</v>
      </c>
      <c r="AT106" s="81">
        <v>0</v>
      </c>
      <c r="AU106" s="81">
        <v>0</v>
      </c>
      <c r="AV106" s="81">
        <v>0</v>
      </c>
      <c r="AW106" s="81">
        <v>0</v>
      </c>
      <c r="AX106" s="81">
        <v>0</v>
      </c>
      <c r="AY106" s="81">
        <v>0</v>
      </c>
      <c r="AZ106" s="81">
        <v>0</v>
      </c>
      <c r="BA106" s="81">
        <v>0</v>
      </c>
      <c r="BB106" s="81">
        <v>0</v>
      </c>
      <c r="BC106" s="81">
        <v>0</v>
      </c>
      <c r="BD106" s="81">
        <v>0</v>
      </c>
      <c r="BE106" s="81">
        <v>0</v>
      </c>
      <c r="BF106" s="81">
        <v>0</v>
      </c>
      <c r="BG106" s="81">
        <v>0</v>
      </c>
      <c r="BH106" s="81">
        <v>0</v>
      </c>
      <c r="BI106" s="81">
        <v>5000</v>
      </c>
      <c r="BJ106" s="81">
        <v>527.5</v>
      </c>
      <c r="BK106" s="81">
        <v>4472.5</v>
      </c>
      <c r="BL106" s="81">
        <v>392</v>
      </c>
      <c r="BM106" s="81">
        <v>980</v>
      </c>
      <c r="BN106" s="81">
        <v>73.5</v>
      </c>
      <c r="BO106" s="81">
        <v>284.2</v>
      </c>
      <c r="BP106" s="81">
        <v>1729.7</v>
      </c>
      <c r="BQ106" s="81">
        <v>6729.7</v>
      </c>
    </row>
    <row r="107" spans="1:69" hidden="1" x14ac:dyDescent="0.25">
      <c r="A107" s="81" t="s">
        <v>341</v>
      </c>
      <c r="B107" s="132">
        <v>46082</v>
      </c>
      <c r="C107" s="81" t="s">
        <v>78</v>
      </c>
      <c r="D107" s="81" t="s">
        <v>311</v>
      </c>
      <c r="E107" s="81" t="s">
        <v>312</v>
      </c>
      <c r="F107" s="81" t="s">
        <v>81</v>
      </c>
      <c r="G107" s="81" t="s">
        <v>218</v>
      </c>
      <c r="H107" s="81" t="s">
        <v>313</v>
      </c>
      <c r="I107" s="133">
        <v>45962</v>
      </c>
      <c r="J107" s="134"/>
      <c r="K107" s="81" t="s">
        <v>322</v>
      </c>
      <c r="L107" s="81" t="s">
        <v>342</v>
      </c>
      <c r="M107" s="81">
        <v>2098</v>
      </c>
      <c r="N107" s="81">
        <v>2098</v>
      </c>
      <c r="O107" s="81">
        <v>0</v>
      </c>
      <c r="P107" s="81">
        <f t="shared" si="1"/>
        <v>2098</v>
      </c>
      <c r="Q107" s="81">
        <v>0</v>
      </c>
      <c r="R107" s="81">
        <v>0</v>
      </c>
      <c r="S107" s="81">
        <v>0</v>
      </c>
      <c r="T107" s="81">
        <v>0</v>
      </c>
      <c r="U107" s="81">
        <v>0</v>
      </c>
      <c r="V107" s="81">
        <v>0</v>
      </c>
      <c r="W107" s="81">
        <v>0</v>
      </c>
      <c r="X107" s="81">
        <v>0</v>
      </c>
      <c r="Y107" s="81">
        <v>0</v>
      </c>
      <c r="Z107" s="81">
        <v>0</v>
      </c>
      <c r="AA107" s="81">
        <v>131.47999999999999</v>
      </c>
      <c r="AB107" s="81">
        <v>25.28</v>
      </c>
      <c r="AC107" s="81">
        <v>0</v>
      </c>
      <c r="AD107" s="81">
        <v>0</v>
      </c>
      <c r="AE107" s="81">
        <v>0</v>
      </c>
      <c r="AF107" s="81">
        <v>0</v>
      </c>
      <c r="AG107" s="81">
        <v>2254.7600000000002</v>
      </c>
      <c r="AH107" s="81">
        <v>0</v>
      </c>
      <c r="AI107" s="81">
        <v>0</v>
      </c>
      <c r="AJ107" s="81">
        <v>0</v>
      </c>
      <c r="AK107" s="81">
        <v>0</v>
      </c>
      <c r="AL107" s="81">
        <v>0</v>
      </c>
      <c r="AM107" s="81">
        <v>0</v>
      </c>
      <c r="AN107" s="81">
        <v>0</v>
      </c>
      <c r="AO107" s="81">
        <v>0</v>
      </c>
      <c r="AP107" s="81">
        <v>0</v>
      </c>
      <c r="AQ107" s="81">
        <v>0</v>
      </c>
      <c r="AR107" s="81">
        <v>0</v>
      </c>
      <c r="AS107" s="81">
        <v>0</v>
      </c>
      <c r="AT107" s="81">
        <v>0</v>
      </c>
      <c r="AU107" s="81">
        <v>0</v>
      </c>
      <c r="AV107" s="81">
        <v>0</v>
      </c>
      <c r="AW107" s="81">
        <v>0</v>
      </c>
      <c r="AX107" s="81">
        <v>0</v>
      </c>
      <c r="AY107" s="81">
        <v>0</v>
      </c>
      <c r="AZ107" s="81">
        <v>0</v>
      </c>
      <c r="BA107" s="81">
        <v>0</v>
      </c>
      <c r="BB107" s="81">
        <v>0</v>
      </c>
      <c r="BC107" s="81">
        <v>0</v>
      </c>
      <c r="BD107" s="81">
        <v>0</v>
      </c>
      <c r="BE107" s="81">
        <v>0</v>
      </c>
      <c r="BF107" s="81">
        <v>0</v>
      </c>
      <c r="BG107" s="81">
        <v>0</v>
      </c>
      <c r="BH107" s="81">
        <v>0</v>
      </c>
      <c r="BI107" s="81">
        <v>2254.7600000000002</v>
      </c>
      <c r="BJ107" s="81">
        <v>211.33</v>
      </c>
      <c r="BK107" s="81">
        <v>2043.43</v>
      </c>
      <c r="BL107" s="81">
        <v>180.07</v>
      </c>
      <c r="BM107" s="81">
        <v>450.95</v>
      </c>
      <c r="BN107" s="81">
        <v>33.82</v>
      </c>
      <c r="BO107" s="81">
        <v>130.77000000000001</v>
      </c>
      <c r="BP107" s="81">
        <v>795.61</v>
      </c>
      <c r="BQ107" s="81">
        <v>3050.37</v>
      </c>
    </row>
    <row r="108" spans="1:69" hidden="1" x14ac:dyDescent="0.25">
      <c r="A108" s="81" t="s">
        <v>343</v>
      </c>
      <c r="B108" s="132">
        <v>46082</v>
      </c>
      <c r="C108" s="81" t="s">
        <v>78</v>
      </c>
      <c r="D108" s="81" t="s">
        <v>311</v>
      </c>
      <c r="E108" s="81" t="s">
        <v>312</v>
      </c>
      <c r="F108" s="81" t="s">
        <v>87</v>
      </c>
      <c r="G108" s="81" t="s">
        <v>329</v>
      </c>
      <c r="H108" s="81" t="s">
        <v>313</v>
      </c>
      <c r="I108" s="133">
        <v>45966</v>
      </c>
      <c r="J108" s="134"/>
      <c r="K108" s="81" t="s">
        <v>330</v>
      </c>
      <c r="L108" s="81" t="s">
        <v>274</v>
      </c>
      <c r="M108" s="81">
        <v>2155</v>
      </c>
      <c r="N108" s="81">
        <v>2155</v>
      </c>
      <c r="O108" s="81">
        <v>0</v>
      </c>
      <c r="P108" s="81">
        <f t="shared" si="1"/>
        <v>2155</v>
      </c>
      <c r="Q108" s="81">
        <v>0</v>
      </c>
      <c r="R108" s="81">
        <v>0</v>
      </c>
      <c r="S108" s="81">
        <v>0</v>
      </c>
      <c r="T108" s="81">
        <v>0</v>
      </c>
      <c r="U108" s="81">
        <v>0</v>
      </c>
      <c r="V108" s="81">
        <v>0</v>
      </c>
      <c r="W108" s="81">
        <v>0</v>
      </c>
      <c r="X108" s="81">
        <v>0</v>
      </c>
      <c r="Y108" s="81">
        <v>0</v>
      </c>
      <c r="Z108" s="81">
        <v>0</v>
      </c>
      <c r="AA108" s="81">
        <v>173.71</v>
      </c>
      <c r="AB108" s="81">
        <v>33.409999999999997</v>
      </c>
      <c r="AC108" s="81">
        <v>0</v>
      </c>
      <c r="AD108" s="81">
        <v>0</v>
      </c>
      <c r="AE108" s="81">
        <v>0</v>
      </c>
      <c r="AF108" s="81">
        <v>0</v>
      </c>
      <c r="AG108" s="81">
        <v>2362.12</v>
      </c>
      <c r="AH108" s="81">
        <v>0</v>
      </c>
      <c r="AI108" s="81">
        <v>0</v>
      </c>
      <c r="AJ108" s="81">
        <v>0</v>
      </c>
      <c r="AK108" s="81">
        <v>0</v>
      </c>
      <c r="AL108" s="81">
        <v>0</v>
      </c>
      <c r="AM108" s="81">
        <v>0</v>
      </c>
      <c r="AN108" s="81">
        <v>0</v>
      </c>
      <c r="AO108" s="81">
        <v>0</v>
      </c>
      <c r="AP108" s="81">
        <v>350</v>
      </c>
      <c r="AQ108" s="81">
        <v>0</v>
      </c>
      <c r="AR108" s="81">
        <v>350</v>
      </c>
      <c r="AS108" s="81">
        <v>0</v>
      </c>
      <c r="AT108" s="81">
        <v>0</v>
      </c>
      <c r="AU108" s="81">
        <v>0</v>
      </c>
      <c r="AV108" s="81">
        <v>0</v>
      </c>
      <c r="AW108" s="81">
        <v>0</v>
      </c>
      <c r="AX108" s="81">
        <v>0</v>
      </c>
      <c r="AY108" s="81">
        <v>0</v>
      </c>
      <c r="AZ108" s="81">
        <v>0</v>
      </c>
      <c r="BA108" s="81">
        <v>0</v>
      </c>
      <c r="BB108" s="81">
        <v>0</v>
      </c>
      <c r="BC108" s="81">
        <v>0</v>
      </c>
      <c r="BD108" s="81">
        <v>0</v>
      </c>
      <c r="BE108" s="81">
        <v>0</v>
      </c>
      <c r="BF108" s="81">
        <v>0</v>
      </c>
      <c r="BG108" s="81">
        <v>0</v>
      </c>
      <c r="BH108" s="81">
        <v>0</v>
      </c>
      <c r="BI108" s="81">
        <v>2712.12</v>
      </c>
      <c r="BJ108" s="81">
        <v>1193.28</v>
      </c>
      <c r="BK108" s="81">
        <v>1518.84</v>
      </c>
      <c r="BL108" s="81">
        <v>188.96</v>
      </c>
      <c r="BM108" s="81">
        <v>472.42</v>
      </c>
      <c r="BN108" s="81">
        <v>35.43</v>
      </c>
      <c r="BO108" s="81">
        <v>137</v>
      </c>
      <c r="BP108" s="81">
        <v>833.81</v>
      </c>
      <c r="BQ108" s="81">
        <v>3545.93</v>
      </c>
    </row>
    <row r="109" spans="1:69" hidden="1" x14ac:dyDescent="0.25">
      <c r="A109" s="81" t="s">
        <v>344</v>
      </c>
      <c r="B109" s="132">
        <v>46082</v>
      </c>
      <c r="C109" s="81" t="s">
        <v>78</v>
      </c>
      <c r="D109" s="81" t="s">
        <v>311</v>
      </c>
      <c r="E109" s="81" t="s">
        <v>312</v>
      </c>
      <c r="F109" s="81" t="s">
        <v>87</v>
      </c>
      <c r="G109" s="81" t="s">
        <v>329</v>
      </c>
      <c r="H109" s="81" t="s">
        <v>313</v>
      </c>
      <c r="I109" s="133">
        <v>45979</v>
      </c>
      <c r="J109" s="134"/>
      <c r="K109" s="81" t="s">
        <v>330</v>
      </c>
      <c r="L109" s="81" t="s">
        <v>274</v>
      </c>
      <c r="M109" s="81">
        <v>2155</v>
      </c>
      <c r="N109" s="81">
        <v>2155</v>
      </c>
      <c r="O109" s="81">
        <v>0</v>
      </c>
      <c r="P109" s="81">
        <f t="shared" si="1"/>
        <v>2155</v>
      </c>
      <c r="Q109" s="81">
        <v>0</v>
      </c>
      <c r="R109" s="81">
        <v>0</v>
      </c>
      <c r="S109" s="81">
        <v>0</v>
      </c>
      <c r="T109" s="81">
        <v>0</v>
      </c>
      <c r="U109" s="81">
        <v>0</v>
      </c>
      <c r="V109" s="81">
        <v>0</v>
      </c>
      <c r="W109" s="81">
        <v>0</v>
      </c>
      <c r="X109" s="81">
        <v>0</v>
      </c>
      <c r="Y109" s="81">
        <v>0</v>
      </c>
      <c r="Z109" s="81">
        <v>0</v>
      </c>
      <c r="AA109" s="81">
        <v>339.58</v>
      </c>
      <c r="AB109" s="81">
        <v>65.3</v>
      </c>
      <c r="AC109" s="81">
        <v>0</v>
      </c>
      <c r="AD109" s="81">
        <v>0</v>
      </c>
      <c r="AE109" s="81">
        <v>0</v>
      </c>
      <c r="AF109" s="81">
        <v>0</v>
      </c>
      <c r="AG109" s="81">
        <v>2559.88</v>
      </c>
      <c r="AH109" s="81">
        <v>0</v>
      </c>
      <c r="AI109" s="81">
        <v>0</v>
      </c>
      <c r="AJ109" s="81">
        <v>0</v>
      </c>
      <c r="AK109" s="81">
        <v>0</v>
      </c>
      <c r="AL109" s="81">
        <v>0</v>
      </c>
      <c r="AM109" s="81">
        <v>0</v>
      </c>
      <c r="AN109" s="81">
        <v>0</v>
      </c>
      <c r="AO109" s="81">
        <v>0</v>
      </c>
      <c r="AP109" s="81">
        <v>350</v>
      </c>
      <c r="AQ109" s="81">
        <v>0</v>
      </c>
      <c r="AR109" s="81">
        <v>350</v>
      </c>
      <c r="AS109" s="81">
        <v>0</v>
      </c>
      <c r="AT109" s="81">
        <v>0</v>
      </c>
      <c r="AU109" s="81">
        <v>0</v>
      </c>
      <c r="AV109" s="81">
        <v>0</v>
      </c>
      <c r="AW109" s="81">
        <v>0</v>
      </c>
      <c r="AX109" s="81">
        <v>0</v>
      </c>
      <c r="AY109" s="81">
        <v>0</v>
      </c>
      <c r="AZ109" s="81">
        <v>0</v>
      </c>
      <c r="BA109" s="81">
        <v>0</v>
      </c>
      <c r="BB109" s="81">
        <v>0</v>
      </c>
      <c r="BC109" s="81">
        <v>0</v>
      </c>
      <c r="BD109" s="81">
        <v>0</v>
      </c>
      <c r="BE109" s="81">
        <v>0</v>
      </c>
      <c r="BF109" s="81">
        <v>0</v>
      </c>
      <c r="BG109" s="81">
        <v>0</v>
      </c>
      <c r="BH109" s="81">
        <v>0</v>
      </c>
      <c r="BI109" s="81">
        <v>2909.88</v>
      </c>
      <c r="BJ109" s="81">
        <v>239.34</v>
      </c>
      <c r="BK109" s="81">
        <v>2670.54</v>
      </c>
      <c r="BL109" s="81">
        <v>204.79</v>
      </c>
      <c r="BM109" s="81">
        <v>511.98</v>
      </c>
      <c r="BN109" s="81">
        <v>38.39</v>
      </c>
      <c r="BO109" s="81">
        <v>148.47</v>
      </c>
      <c r="BP109" s="81">
        <v>903.63</v>
      </c>
      <c r="BQ109" s="81">
        <v>3813.51</v>
      </c>
    </row>
    <row r="110" spans="1:69" hidden="1" x14ac:dyDescent="0.25">
      <c r="A110" s="81" t="s">
        <v>345</v>
      </c>
      <c r="B110" s="132">
        <v>46082</v>
      </c>
      <c r="C110" s="81" t="s">
        <v>78</v>
      </c>
      <c r="D110" s="81" t="s">
        <v>311</v>
      </c>
      <c r="E110" s="81" t="s">
        <v>312</v>
      </c>
      <c r="F110" s="81" t="s">
        <v>195</v>
      </c>
      <c r="G110" s="81" t="s">
        <v>317</v>
      </c>
      <c r="H110" s="81" t="s">
        <v>313</v>
      </c>
      <c r="I110" s="133">
        <v>46048</v>
      </c>
      <c r="J110" s="133">
        <v>46092</v>
      </c>
      <c r="K110" s="81" t="s">
        <v>318</v>
      </c>
      <c r="L110" s="81" t="s">
        <v>346</v>
      </c>
      <c r="M110" s="81">
        <v>3000</v>
      </c>
      <c r="N110" s="81">
        <v>0</v>
      </c>
      <c r="O110" s="81">
        <v>0</v>
      </c>
      <c r="P110" s="81">
        <f t="shared" si="1"/>
        <v>0</v>
      </c>
      <c r="Q110" s="81">
        <v>0</v>
      </c>
      <c r="R110" s="81">
        <v>0</v>
      </c>
      <c r="S110" s="81">
        <v>0</v>
      </c>
      <c r="T110" s="81">
        <v>0</v>
      </c>
      <c r="U110" s="81">
        <v>0</v>
      </c>
      <c r="V110" s="81">
        <v>0</v>
      </c>
      <c r="W110" s="81">
        <v>0</v>
      </c>
      <c r="X110" s="81">
        <v>0</v>
      </c>
      <c r="Y110" s="81">
        <v>0</v>
      </c>
      <c r="Z110" s="81">
        <v>0</v>
      </c>
      <c r="AA110" s="81">
        <v>0</v>
      </c>
      <c r="AB110" s="81">
        <v>0</v>
      </c>
      <c r="AC110" s="81">
        <v>0</v>
      </c>
      <c r="AD110" s="81">
        <v>0</v>
      </c>
      <c r="AE110" s="81">
        <v>0</v>
      </c>
      <c r="AF110" s="81">
        <v>0</v>
      </c>
      <c r="AG110" s="81">
        <v>0</v>
      </c>
      <c r="AH110" s="81">
        <v>0</v>
      </c>
      <c r="AI110" s="81">
        <v>0</v>
      </c>
      <c r="AJ110" s="81">
        <v>0</v>
      </c>
      <c r="AK110" s="81">
        <v>0</v>
      </c>
      <c r="AL110" s="81">
        <v>0</v>
      </c>
      <c r="AM110" s="81">
        <v>0</v>
      </c>
      <c r="AN110" s="81">
        <v>0</v>
      </c>
      <c r="AO110" s="81">
        <v>0</v>
      </c>
      <c r="AP110" s="81">
        <v>0</v>
      </c>
      <c r="AQ110" s="81">
        <v>0</v>
      </c>
      <c r="AR110" s="81">
        <v>0</v>
      </c>
      <c r="AS110" s="81">
        <v>0</v>
      </c>
      <c r="AT110" s="81">
        <v>183.33</v>
      </c>
      <c r="AU110" s="81">
        <v>0</v>
      </c>
      <c r="AV110" s="81">
        <v>0</v>
      </c>
      <c r="AW110" s="81">
        <v>0</v>
      </c>
      <c r="AX110" s="81">
        <v>0</v>
      </c>
      <c r="AY110" s="81">
        <v>0</v>
      </c>
      <c r="AZ110" s="81">
        <v>0</v>
      </c>
      <c r="BA110" s="81">
        <v>0</v>
      </c>
      <c r="BB110" s="81">
        <v>0</v>
      </c>
      <c r="BC110" s="81">
        <v>0</v>
      </c>
      <c r="BD110" s="81">
        <v>0</v>
      </c>
      <c r="BE110" s="81">
        <v>0</v>
      </c>
      <c r="BF110" s="81">
        <v>1726.41</v>
      </c>
      <c r="BG110" s="81">
        <v>0</v>
      </c>
      <c r="BH110" s="81">
        <v>1726.41</v>
      </c>
      <c r="BI110" s="81">
        <v>183.33</v>
      </c>
      <c r="BJ110" s="81">
        <v>1866.66</v>
      </c>
      <c r="BK110" s="81">
        <v>0</v>
      </c>
      <c r="BL110" s="81">
        <v>88</v>
      </c>
      <c r="BM110" s="81">
        <v>0</v>
      </c>
      <c r="BN110" s="81">
        <v>0</v>
      </c>
      <c r="BO110" s="81">
        <v>0</v>
      </c>
      <c r="BP110" s="81">
        <v>88</v>
      </c>
      <c r="BQ110" s="81">
        <v>271.33</v>
      </c>
    </row>
    <row r="111" spans="1:69" hidden="1" x14ac:dyDescent="0.25">
      <c r="A111" s="81" t="s">
        <v>347</v>
      </c>
      <c r="B111" s="132">
        <v>46082</v>
      </c>
      <c r="C111" s="81" t="s">
        <v>78</v>
      </c>
      <c r="D111" s="81" t="s">
        <v>311</v>
      </c>
      <c r="E111" s="81" t="s">
        <v>312</v>
      </c>
      <c r="F111" s="81" t="s">
        <v>195</v>
      </c>
      <c r="G111" s="81" t="s">
        <v>317</v>
      </c>
      <c r="H111" s="81" t="s">
        <v>313</v>
      </c>
      <c r="I111" s="133">
        <v>46050</v>
      </c>
      <c r="J111" s="134"/>
      <c r="K111" s="81" t="s">
        <v>318</v>
      </c>
      <c r="L111" s="81" t="s">
        <v>348</v>
      </c>
      <c r="M111" s="81">
        <v>2500</v>
      </c>
      <c r="N111" s="81">
        <v>2250</v>
      </c>
      <c r="O111" s="81">
        <v>250</v>
      </c>
      <c r="P111" s="81">
        <f t="shared" si="1"/>
        <v>2500</v>
      </c>
      <c r="Q111" s="81">
        <v>0</v>
      </c>
      <c r="R111" s="81">
        <v>0</v>
      </c>
      <c r="S111" s="81">
        <v>0</v>
      </c>
      <c r="T111" s="81">
        <v>0</v>
      </c>
      <c r="U111" s="81">
        <v>0</v>
      </c>
      <c r="V111" s="81">
        <v>0</v>
      </c>
      <c r="W111" s="81">
        <v>0</v>
      </c>
      <c r="X111" s="81">
        <v>0</v>
      </c>
      <c r="Y111" s="81">
        <v>0</v>
      </c>
      <c r="Z111" s="81">
        <v>0</v>
      </c>
      <c r="AA111" s="81">
        <v>0</v>
      </c>
      <c r="AB111" s="81">
        <v>0</v>
      </c>
      <c r="AC111" s="81">
        <v>0</v>
      </c>
      <c r="AD111" s="81">
        <v>0</v>
      </c>
      <c r="AE111" s="81">
        <v>0</v>
      </c>
      <c r="AF111" s="81">
        <v>0</v>
      </c>
      <c r="AG111" s="81">
        <v>2500</v>
      </c>
      <c r="AH111" s="81">
        <v>0</v>
      </c>
      <c r="AI111" s="81">
        <v>0</v>
      </c>
      <c r="AJ111" s="81">
        <v>0</v>
      </c>
      <c r="AK111" s="81">
        <v>0</v>
      </c>
      <c r="AL111" s="81">
        <v>0</v>
      </c>
      <c r="AM111" s="81">
        <v>0</v>
      </c>
      <c r="AN111" s="81">
        <v>0</v>
      </c>
      <c r="AO111" s="81">
        <v>0</v>
      </c>
      <c r="AP111" s="81">
        <v>0</v>
      </c>
      <c r="AQ111" s="81">
        <v>0</v>
      </c>
      <c r="AR111" s="81">
        <v>0</v>
      </c>
      <c r="AS111" s="81">
        <v>0</v>
      </c>
      <c r="AT111" s="81">
        <v>0</v>
      </c>
      <c r="AU111" s="81">
        <v>0</v>
      </c>
      <c r="AV111" s="81">
        <v>0</v>
      </c>
      <c r="AW111" s="81">
        <v>0</v>
      </c>
      <c r="AX111" s="81">
        <v>0</v>
      </c>
      <c r="AY111" s="81">
        <v>0</v>
      </c>
      <c r="AZ111" s="81">
        <v>0</v>
      </c>
      <c r="BA111" s="81">
        <v>0</v>
      </c>
      <c r="BB111" s="81">
        <v>0</v>
      </c>
      <c r="BC111" s="81">
        <v>0</v>
      </c>
      <c r="BD111" s="81">
        <v>0</v>
      </c>
      <c r="BE111" s="81">
        <v>0</v>
      </c>
      <c r="BF111" s="81">
        <v>0</v>
      </c>
      <c r="BG111" s="81">
        <v>0</v>
      </c>
      <c r="BH111" s="81">
        <v>0</v>
      </c>
      <c r="BI111" s="81">
        <v>2500</v>
      </c>
      <c r="BJ111" s="81">
        <v>233.18</v>
      </c>
      <c r="BK111" s="81">
        <v>2266.8200000000002</v>
      </c>
      <c r="BL111" s="81">
        <v>200</v>
      </c>
      <c r="BM111" s="81">
        <v>500</v>
      </c>
      <c r="BN111" s="81">
        <v>37.5</v>
      </c>
      <c r="BO111" s="81">
        <v>145</v>
      </c>
      <c r="BP111" s="81">
        <v>882.5</v>
      </c>
      <c r="BQ111" s="81">
        <v>3382.5</v>
      </c>
    </row>
    <row r="112" spans="1:69" hidden="1" x14ac:dyDescent="0.25">
      <c r="A112" s="81" t="s">
        <v>349</v>
      </c>
      <c r="B112" s="132">
        <v>46082</v>
      </c>
      <c r="C112" s="81" t="s">
        <v>78</v>
      </c>
      <c r="D112" s="81" t="s">
        <v>311</v>
      </c>
      <c r="E112" s="81" t="s">
        <v>312</v>
      </c>
      <c r="F112" s="81" t="s">
        <v>87</v>
      </c>
      <c r="G112" s="81" t="s">
        <v>329</v>
      </c>
      <c r="H112" s="81" t="s">
        <v>313</v>
      </c>
      <c r="I112" s="133">
        <v>46055</v>
      </c>
      <c r="J112" s="134"/>
      <c r="K112" s="81" t="s">
        <v>330</v>
      </c>
      <c r="L112" s="81" t="s">
        <v>274</v>
      </c>
      <c r="M112" s="81">
        <v>2155</v>
      </c>
      <c r="N112" s="81">
        <v>2155</v>
      </c>
      <c r="O112" s="81">
        <v>0</v>
      </c>
      <c r="P112" s="81">
        <f t="shared" si="1"/>
        <v>2155</v>
      </c>
      <c r="Q112" s="81">
        <v>0</v>
      </c>
      <c r="R112" s="81">
        <v>0</v>
      </c>
      <c r="S112" s="81">
        <v>0</v>
      </c>
      <c r="T112" s="81">
        <v>0</v>
      </c>
      <c r="U112" s="81">
        <v>0</v>
      </c>
      <c r="V112" s="81">
        <v>0</v>
      </c>
      <c r="W112" s="81">
        <v>0</v>
      </c>
      <c r="X112" s="81">
        <v>0</v>
      </c>
      <c r="Y112" s="81">
        <v>0</v>
      </c>
      <c r="Z112" s="81">
        <v>0</v>
      </c>
      <c r="AA112" s="81">
        <v>100.83</v>
      </c>
      <c r="AB112" s="81">
        <v>19.39</v>
      </c>
      <c r="AC112" s="81">
        <v>0</v>
      </c>
      <c r="AD112" s="81">
        <v>0</v>
      </c>
      <c r="AE112" s="81">
        <v>0</v>
      </c>
      <c r="AF112" s="81">
        <v>0</v>
      </c>
      <c r="AG112" s="81">
        <v>2275.2199999999998</v>
      </c>
      <c r="AH112" s="81">
        <v>0</v>
      </c>
      <c r="AI112" s="81">
        <v>0</v>
      </c>
      <c r="AJ112" s="81">
        <v>0</v>
      </c>
      <c r="AK112" s="81">
        <v>0</v>
      </c>
      <c r="AL112" s="81">
        <v>0</v>
      </c>
      <c r="AM112" s="81">
        <v>0</v>
      </c>
      <c r="AN112" s="81">
        <v>0</v>
      </c>
      <c r="AO112" s="81">
        <v>0</v>
      </c>
      <c r="AP112" s="81">
        <v>350</v>
      </c>
      <c r="AQ112" s="81">
        <v>0</v>
      </c>
      <c r="AR112" s="81">
        <v>350</v>
      </c>
      <c r="AS112" s="81">
        <v>0</v>
      </c>
      <c r="AT112" s="81">
        <v>0</v>
      </c>
      <c r="AU112" s="81">
        <v>0</v>
      </c>
      <c r="AV112" s="81">
        <v>0</v>
      </c>
      <c r="AW112" s="81">
        <v>0</v>
      </c>
      <c r="AX112" s="81">
        <v>0</v>
      </c>
      <c r="AY112" s="81">
        <v>0</v>
      </c>
      <c r="AZ112" s="81">
        <v>0</v>
      </c>
      <c r="BA112" s="81">
        <v>0</v>
      </c>
      <c r="BB112" s="81">
        <v>0</v>
      </c>
      <c r="BC112" s="81">
        <v>0</v>
      </c>
      <c r="BD112" s="81">
        <v>0</v>
      </c>
      <c r="BE112" s="81">
        <v>0</v>
      </c>
      <c r="BF112" s="81">
        <v>0</v>
      </c>
      <c r="BG112" s="81">
        <v>0</v>
      </c>
      <c r="BH112" s="81">
        <v>0</v>
      </c>
      <c r="BI112" s="81">
        <v>2625.22</v>
      </c>
      <c r="BJ112" s="81">
        <v>210.02</v>
      </c>
      <c r="BK112" s="81">
        <v>2415.1999999999998</v>
      </c>
      <c r="BL112" s="81">
        <v>182.01</v>
      </c>
      <c r="BM112" s="81">
        <v>455.04</v>
      </c>
      <c r="BN112" s="81">
        <v>34.119999999999997</v>
      </c>
      <c r="BO112" s="81">
        <v>131.96</v>
      </c>
      <c r="BP112" s="81">
        <v>803.13</v>
      </c>
      <c r="BQ112" s="81">
        <v>3428.35</v>
      </c>
    </row>
    <row r="113" spans="1:69" hidden="1" x14ac:dyDescent="0.25">
      <c r="A113" s="81" t="s">
        <v>350</v>
      </c>
      <c r="B113" s="132">
        <v>46082</v>
      </c>
      <c r="C113" s="81" t="s">
        <v>78</v>
      </c>
      <c r="D113" s="81" t="s">
        <v>311</v>
      </c>
      <c r="E113" s="81" t="s">
        <v>312</v>
      </c>
      <c r="F113" s="81" t="s">
        <v>81</v>
      </c>
      <c r="G113" s="81" t="s">
        <v>207</v>
      </c>
      <c r="H113" s="81" t="s">
        <v>313</v>
      </c>
      <c r="I113" s="133">
        <v>46083</v>
      </c>
      <c r="J113" s="134"/>
      <c r="K113" s="81" t="s">
        <v>322</v>
      </c>
      <c r="L113" s="81" t="s">
        <v>351</v>
      </c>
      <c r="M113" s="81">
        <v>2098</v>
      </c>
      <c r="N113" s="81">
        <v>2098</v>
      </c>
      <c r="O113" s="81">
        <v>0</v>
      </c>
      <c r="P113" s="81">
        <f t="shared" si="1"/>
        <v>2098</v>
      </c>
      <c r="Q113" s="81">
        <v>0</v>
      </c>
      <c r="R113" s="81">
        <v>0</v>
      </c>
      <c r="S113" s="81">
        <v>0</v>
      </c>
      <c r="T113" s="81">
        <v>0</v>
      </c>
      <c r="U113" s="81">
        <v>0</v>
      </c>
      <c r="V113" s="81">
        <v>0</v>
      </c>
      <c r="W113" s="81">
        <v>0</v>
      </c>
      <c r="X113" s="81">
        <v>0</v>
      </c>
      <c r="Y113" s="81">
        <v>0</v>
      </c>
      <c r="Z113" s="81">
        <v>0</v>
      </c>
      <c r="AA113" s="81">
        <v>0</v>
      </c>
      <c r="AB113" s="81">
        <v>0</v>
      </c>
      <c r="AC113" s="81">
        <v>0</v>
      </c>
      <c r="AD113" s="81">
        <v>0</v>
      </c>
      <c r="AE113" s="81">
        <v>0</v>
      </c>
      <c r="AF113" s="81">
        <v>0</v>
      </c>
      <c r="AG113" s="81">
        <v>2098</v>
      </c>
      <c r="AH113" s="81">
        <v>0</v>
      </c>
      <c r="AI113" s="81">
        <v>0</v>
      </c>
      <c r="AJ113" s="81">
        <v>0</v>
      </c>
      <c r="AK113" s="81">
        <v>0</v>
      </c>
      <c r="AL113" s="81">
        <v>0</v>
      </c>
      <c r="AM113" s="81">
        <v>0</v>
      </c>
      <c r="AN113" s="81">
        <v>0</v>
      </c>
      <c r="AO113" s="81">
        <v>0</v>
      </c>
      <c r="AP113" s="81">
        <v>0</v>
      </c>
      <c r="AQ113" s="81">
        <v>0</v>
      </c>
      <c r="AR113" s="81">
        <v>0</v>
      </c>
      <c r="AS113" s="81">
        <v>0</v>
      </c>
      <c r="AT113" s="81">
        <v>0</v>
      </c>
      <c r="AU113" s="81">
        <v>0</v>
      </c>
      <c r="AV113" s="81">
        <v>0</v>
      </c>
      <c r="AW113" s="81">
        <v>0</v>
      </c>
      <c r="AX113" s="81">
        <v>0</v>
      </c>
      <c r="AY113" s="81">
        <v>0</v>
      </c>
      <c r="AZ113" s="81">
        <v>0</v>
      </c>
      <c r="BA113" s="81">
        <v>0</v>
      </c>
      <c r="BB113" s="81">
        <v>0</v>
      </c>
      <c r="BC113" s="81">
        <v>0</v>
      </c>
      <c r="BD113" s="81">
        <v>0</v>
      </c>
      <c r="BE113" s="81">
        <v>0</v>
      </c>
      <c r="BF113" s="81">
        <v>0</v>
      </c>
      <c r="BG113" s="81">
        <v>0</v>
      </c>
      <c r="BH113" s="81">
        <v>0</v>
      </c>
      <c r="BI113" s="81">
        <v>2098</v>
      </c>
      <c r="BJ113" s="81">
        <v>1031.77</v>
      </c>
      <c r="BK113" s="81">
        <v>1066.23</v>
      </c>
      <c r="BL113" s="81">
        <v>167.84</v>
      </c>
      <c r="BM113" s="81">
        <v>419.6</v>
      </c>
      <c r="BN113" s="81">
        <v>31.47</v>
      </c>
      <c r="BO113" s="81">
        <v>121.68</v>
      </c>
      <c r="BP113" s="81">
        <v>740.59</v>
      </c>
      <c r="BQ113" s="81">
        <v>2838.59</v>
      </c>
    </row>
    <row r="114" spans="1:69" hidden="1" x14ac:dyDescent="0.25">
      <c r="A114" s="81" t="s">
        <v>352</v>
      </c>
      <c r="B114" s="132">
        <v>46082</v>
      </c>
      <c r="C114" s="81" t="s">
        <v>123</v>
      </c>
      <c r="D114" s="81" t="s">
        <v>311</v>
      </c>
      <c r="E114" s="81" t="s">
        <v>312</v>
      </c>
      <c r="F114" s="81" t="s">
        <v>195</v>
      </c>
      <c r="G114" s="81" t="s">
        <v>195</v>
      </c>
      <c r="H114" s="81" t="s">
        <v>313</v>
      </c>
      <c r="I114" s="133">
        <v>45663</v>
      </c>
      <c r="J114" s="134"/>
      <c r="K114" s="81" t="s">
        <v>318</v>
      </c>
      <c r="L114" s="81" t="s">
        <v>247</v>
      </c>
      <c r="M114" s="81">
        <v>1000</v>
      </c>
      <c r="N114" s="81">
        <v>0</v>
      </c>
      <c r="O114" s="81">
        <v>0</v>
      </c>
      <c r="P114" s="81">
        <f t="shared" si="1"/>
        <v>0</v>
      </c>
      <c r="Q114" s="81">
        <v>0</v>
      </c>
      <c r="R114" s="81">
        <v>0</v>
      </c>
      <c r="S114" s="81">
        <v>0</v>
      </c>
      <c r="T114" s="81">
        <v>0</v>
      </c>
      <c r="U114" s="81">
        <v>0</v>
      </c>
      <c r="V114" s="81">
        <v>0</v>
      </c>
      <c r="W114" s="81">
        <v>0</v>
      </c>
      <c r="X114" s="81">
        <v>0</v>
      </c>
      <c r="Y114" s="81">
        <v>0</v>
      </c>
      <c r="Z114" s="81">
        <v>0</v>
      </c>
      <c r="AA114" s="81">
        <v>0</v>
      </c>
      <c r="AB114" s="81">
        <v>0</v>
      </c>
      <c r="AC114" s="81">
        <v>0</v>
      </c>
      <c r="AD114" s="81">
        <v>0</v>
      </c>
      <c r="AE114" s="81">
        <v>0</v>
      </c>
      <c r="AF114" s="81">
        <v>0</v>
      </c>
      <c r="AG114" s="81">
        <v>0</v>
      </c>
      <c r="AH114" s="81">
        <v>0</v>
      </c>
      <c r="AI114" s="81">
        <v>0</v>
      </c>
      <c r="AJ114" s="81">
        <v>0</v>
      </c>
      <c r="AK114" s="81">
        <v>0</v>
      </c>
      <c r="AL114" s="81">
        <v>0</v>
      </c>
      <c r="AM114" s="81">
        <v>0</v>
      </c>
      <c r="AN114" s="81">
        <v>0</v>
      </c>
      <c r="AO114" s="81">
        <v>0</v>
      </c>
      <c r="AP114" s="81">
        <v>0</v>
      </c>
      <c r="AQ114" s="81">
        <v>0</v>
      </c>
      <c r="AR114" s="81">
        <v>0</v>
      </c>
      <c r="AS114" s="81">
        <v>1000</v>
      </c>
      <c r="AT114" s="81">
        <v>0</v>
      </c>
      <c r="AU114" s="81">
        <v>0</v>
      </c>
      <c r="AV114" s="81">
        <v>0</v>
      </c>
      <c r="AW114" s="81">
        <v>0</v>
      </c>
      <c r="AX114" s="81">
        <v>0</v>
      </c>
      <c r="AY114" s="81">
        <v>0</v>
      </c>
      <c r="AZ114" s="81">
        <v>0</v>
      </c>
      <c r="BA114" s="81">
        <v>0</v>
      </c>
      <c r="BB114" s="81">
        <v>0</v>
      </c>
      <c r="BC114" s="81">
        <v>0</v>
      </c>
      <c r="BD114" s="81">
        <v>0</v>
      </c>
      <c r="BE114" s="81">
        <v>0</v>
      </c>
      <c r="BF114" s="81">
        <v>0</v>
      </c>
      <c r="BG114" s="81">
        <v>0</v>
      </c>
      <c r="BH114" s="81">
        <v>0</v>
      </c>
      <c r="BI114" s="81">
        <v>1000</v>
      </c>
      <c r="BJ114" s="81">
        <v>0</v>
      </c>
      <c r="BK114" s="81">
        <v>1000</v>
      </c>
      <c r="BL114" s="81">
        <v>0</v>
      </c>
      <c r="BM114" s="81">
        <v>0</v>
      </c>
      <c r="BN114" s="81">
        <v>0</v>
      </c>
      <c r="BO114" s="81">
        <v>0</v>
      </c>
      <c r="BP114" s="81">
        <v>0</v>
      </c>
      <c r="BQ114" s="81">
        <v>1000</v>
      </c>
    </row>
    <row r="115" spans="1:69" hidden="1" x14ac:dyDescent="0.25">
      <c r="A115" s="81" t="s">
        <v>353</v>
      </c>
      <c r="B115" s="132">
        <v>46082</v>
      </c>
      <c r="C115" s="81" t="s">
        <v>123</v>
      </c>
      <c r="D115" s="81" t="s">
        <v>311</v>
      </c>
      <c r="E115" s="81" t="s">
        <v>312</v>
      </c>
      <c r="F115" s="81" t="s">
        <v>81</v>
      </c>
      <c r="G115" s="81" t="s">
        <v>195</v>
      </c>
      <c r="H115" s="81" t="s">
        <v>313</v>
      </c>
      <c r="I115" s="133">
        <v>46071</v>
      </c>
      <c r="J115" s="134"/>
      <c r="K115" s="81" t="s">
        <v>322</v>
      </c>
      <c r="L115" s="81" t="s">
        <v>250</v>
      </c>
      <c r="M115" s="81">
        <v>1000</v>
      </c>
      <c r="N115" s="81">
        <v>0</v>
      </c>
      <c r="O115" s="81">
        <v>0</v>
      </c>
      <c r="P115" s="81">
        <f t="shared" si="1"/>
        <v>0</v>
      </c>
      <c r="Q115" s="81">
        <v>0</v>
      </c>
      <c r="R115" s="81">
        <v>0</v>
      </c>
      <c r="S115" s="81">
        <v>0</v>
      </c>
      <c r="T115" s="81">
        <v>0</v>
      </c>
      <c r="U115" s="81">
        <v>0</v>
      </c>
      <c r="V115" s="81">
        <v>0</v>
      </c>
      <c r="W115" s="81">
        <v>0</v>
      </c>
      <c r="X115" s="81">
        <v>0</v>
      </c>
      <c r="Y115" s="81">
        <v>0</v>
      </c>
      <c r="Z115" s="81">
        <v>0</v>
      </c>
      <c r="AA115" s="81">
        <v>0</v>
      </c>
      <c r="AB115" s="81">
        <v>0</v>
      </c>
      <c r="AC115" s="81">
        <v>0</v>
      </c>
      <c r="AD115" s="81">
        <v>0</v>
      </c>
      <c r="AE115" s="81">
        <v>0</v>
      </c>
      <c r="AF115" s="81">
        <v>0</v>
      </c>
      <c r="AG115" s="81">
        <v>0</v>
      </c>
      <c r="AH115" s="81">
        <v>0</v>
      </c>
      <c r="AI115" s="81">
        <v>0</v>
      </c>
      <c r="AJ115" s="81">
        <v>0</v>
      </c>
      <c r="AK115" s="81">
        <v>0</v>
      </c>
      <c r="AL115" s="81">
        <v>0</v>
      </c>
      <c r="AM115" s="81">
        <v>0</v>
      </c>
      <c r="AN115" s="81">
        <v>0</v>
      </c>
      <c r="AO115" s="81">
        <v>0</v>
      </c>
      <c r="AP115" s="81">
        <v>0</v>
      </c>
      <c r="AQ115" s="81">
        <v>0</v>
      </c>
      <c r="AR115" s="81">
        <v>0</v>
      </c>
      <c r="AS115" s="81">
        <v>1000</v>
      </c>
      <c r="AT115" s="81">
        <v>0</v>
      </c>
      <c r="AU115" s="81">
        <v>0</v>
      </c>
      <c r="AV115" s="81">
        <v>0</v>
      </c>
      <c r="AW115" s="81">
        <v>0</v>
      </c>
      <c r="AX115" s="81">
        <v>0</v>
      </c>
      <c r="AY115" s="81">
        <v>0</v>
      </c>
      <c r="AZ115" s="81">
        <v>0</v>
      </c>
      <c r="BA115" s="81">
        <v>0</v>
      </c>
      <c r="BB115" s="81">
        <v>0</v>
      </c>
      <c r="BC115" s="81">
        <v>0</v>
      </c>
      <c r="BD115" s="81">
        <v>0</v>
      </c>
      <c r="BE115" s="81">
        <v>0</v>
      </c>
      <c r="BF115" s="81">
        <v>0</v>
      </c>
      <c r="BG115" s="81">
        <v>0</v>
      </c>
      <c r="BH115" s="81">
        <v>0</v>
      </c>
      <c r="BI115" s="81">
        <v>1000</v>
      </c>
      <c r="BJ115" s="81">
        <v>0</v>
      </c>
      <c r="BK115" s="81">
        <v>1000</v>
      </c>
      <c r="BL115" s="81">
        <v>0</v>
      </c>
      <c r="BM115" s="81">
        <v>0</v>
      </c>
      <c r="BN115" s="81">
        <v>0</v>
      </c>
      <c r="BO115" s="81">
        <v>0</v>
      </c>
      <c r="BP115" s="81">
        <v>0</v>
      </c>
      <c r="BQ115" s="81">
        <v>1000</v>
      </c>
    </row>
    <row r="116" spans="1:69" hidden="1" x14ac:dyDescent="0.25">
      <c r="A116" s="81" t="s">
        <v>354</v>
      </c>
      <c r="B116" s="132">
        <v>46082</v>
      </c>
      <c r="C116" s="81" t="s">
        <v>78</v>
      </c>
      <c r="D116" s="81" t="s">
        <v>355</v>
      </c>
      <c r="E116" s="81" t="s">
        <v>356</v>
      </c>
      <c r="F116" s="81" t="s">
        <v>87</v>
      </c>
      <c r="G116" s="81" t="s">
        <v>88</v>
      </c>
      <c r="H116" s="81" t="s">
        <v>131</v>
      </c>
      <c r="I116" s="133">
        <v>44067</v>
      </c>
      <c r="J116" s="134"/>
      <c r="K116" s="81" t="s">
        <v>132</v>
      </c>
      <c r="L116" s="81" t="s">
        <v>90</v>
      </c>
      <c r="M116" s="81">
        <v>3679.83</v>
      </c>
      <c r="N116" s="81">
        <v>3679.83</v>
      </c>
      <c r="O116" s="81">
        <v>0</v>
      </c>
      <c r="P116" s="81">
        <f t="shared" si="1"/>
        <v>3679.83</v>
      </c>
      <c r="Q116" s="81">
        <v>0</v>
      </c>
      <c r="R116" s="81">
        <v>0</v>
      </c>
      <c r="S116" s="81">
        <v>0</v>
      </c>
      <c r="T116" s="81">
        <v>735.97</v>
      </c>
      <c r="U116" s="81">
        <v>0</v>
      </c>
      <c r="V116" s="81">
        <v>1103.95</v>
      </c>
      <c r="W116" s="81">
        <v>0</v>
      </c>
      <c r="X116" s="81">
        <v>0</v>
      </c>
      <c r="Y116" s="81">
        <v>0</v>
      </c>
      <c r="Z116" s="81">
        <v>0</v>
      </c>
      <c r="AA116" s="81">
        <v>198.02</v>
      </c>
      <c r="AB116" s="81">
        <v>38.08</v>
      </c>
      <c r="AC116" s="81">
        <v>0</v>
      </c>
      <c r="AD116" s="81">
        <v>0</v>
      </c>
      <c r="AE116" s="81">
        <v>0</v>
      </c>
      <c r="AF116" s="81">
        <v>0</v>
      </c>
      <c r="AG116" s="81">
        <v>5755.85</v>
      </c>
      <c r="AH116" s="81">
        <v>0</v>
      </c>
      <c r="AI116" s="81">
        <v>0</v>
      </c>
      <c r="AJ116" s="81">
        <v>0</v>
      </c>
      <c r="AK116" s="81">
        <v>0</v>
      </c>
      <c r="AL116" s="81">
        <v>0</v>
      </c>
      <c r="AM116" s="81">
        <v>0</v>
      </c>
      <c r="AN116" s="81">
        <v>0</v>
      </c>
      <c r="AO116" s="81">
        <v>781.93</v>
      </c>
      <c r="AP116" s="81">
        <v>0</v>
      </c>
      <c r="AQ116" s="81">
        <v>0</v>
      </c>
      <c r="AR116" s="81">
        <v>781.93</v>
      </c>
      <c r="AS116" s="81">
        <v>0</v>
      </c>
      <c r="AT116" s="81">
        <v>0</v>
      </c>
      <c r="AU116" s="81">
        <v>0</v>
      </c>
      <c r="AV116" s="81">
        <v>0</v>
      </c>
      <c r="AW116" s="81">
        <v>0</v>
      </c>
      <c r="AX116" s="81">
        <v>0</v>
      </c>
      <c r="AY116" s="81">
        <v>0</v>
      </c>
      <c r="AZ116" s="81">
        <v>0</v>
      </c>
      <c r="BA116" s="81">
        <v>0</v>
      </c>
      <c r="BB116" s="81">
        <v>0</v>
      </c>
      <c r="BC116" s="81">
        <v>0</v>
      </c>
      <c r="BD116" s="81">
        <v>0</v>
      </c>
      <c r="BE116" s="81">
        <v>0</v>
      </c>
      <c r="BF116" s="81">
        <v>0</v>
      </c>
      <c r="BG116" s="81">
        <v>0</v>
      </c>
      <c r="BH116" s="81">
        <v>0</v>
      </c>
      <c r="BI116" s="81">
        <v>6537.78</v>
      </c>
      <c r="BJ116" s="81">
        <v>2612.91</v>
      </c>
      <c r="BK116" s="81">
        <v>3924.87</v>
      </c>
      <c r="BL116" s="81">
        <v>460.46</v>
      </c>
      <c r="BM116" s="81">
        <v>1151.17</v>
      </c>
      <c r="BN116" s="81">
        <v>86.33</v>
      </c>
      <c r="BO116" s="81">
        <v>333.83</v>
      </c>
      <c r="BP116" s="81">
        <v>2031.79</v>
      </c>
      <c r="BQ116" s="81">
        <v>8569.57</v>
      </c>
    </row>
    <row r="117" spans="1:69" hidden="1" x14ac:dyDescent="0.25">
      <c r="A117" s="81" t="s">
        <v>357</v>
      </c>
      <c r="B117" s="132">
        <v>46082</v>
      </c>
      <c r="C117" s="81" t="s">
        <v>78</v>
      </c>
      <c r="D117" s="81" t="s">
        <v>355</v>
      </c>
      <c r="E117" s="81" t="s">
        <v>356</v>
      </c>
      <c r="F117" s="81" t="s">
        <v>81</v>
      </c>
      <c r="G117" s="81" t="s">
        <v>82</v>
      </c>
      <c r="H117" s="81" t="s">
        <v>131</v>
      </c>
      <c r="I117" s="133">
        <v>45880</v>
      </c>
      <c r="J117" s="134"/>
      <c r="K117" s="81" t="s">
        <v>270</v>
      </c>
      <c r="L117" s="81" t="s">
        <v>277</v>
      </c>
      <c r="M117" s="81">
        <v>2650</v>
      </c>
      <c r="N117" s="81">
        <v>2650</v>
      </c>
      <c r="O117" s="81">
        <v>0</v>
      </c>
      <c r="P117" s="81">
        <f t="shared" si="1"/>
        <v>2650</v>
      </c>
      <c r="Q117" s="81">
        <v>0</v>
      </c>
      <c r="R117" s="81">
        <v>0</v>
      </c>
      <c r="S117" s="81">
        <v>0</v>
      </c>
      <c r="T117" s="81">
        <v>0</v>
      </c>
      <c r="U117" s="81">
        <v>0</v>
      </c>
      <c r="V117" s="81">
        <v>0</v>
      </c>
      <c r="W117" s="81">
        <v>0</v>
      </c>
      <c r="X117" s="81">
        <v>0</v>
      </c>
      <c r="Y117" s="81">
        <v>0</v>
      </c>
      <c r="Z117" s="81">
        <v>0</v>
      </c>
      <c r="AA117" s="81">
        <v>382.59</v>
      </c>
      <c r="AB117" s="81">
        <v>73.58</v>
      </c>
      <c r="AC117" s="81">
        <v>0</v>
      </c>
      <c r="AD117" s="81">
        <v>0</v>
      </c>
      <c r="AE117" s="81">
        <v>0</v>
      </c>
      <c r="AF117" s="81">
        <v>265</v>
      </c>
      <c r="AG117" s="81">
        <v>3371.17</v>
      </c>
      <c r="AH117" s="81">
        <v>0</v>
      </c>
      <c r="AI117" s="81">
        <v>0</v>
      </c>
      <c r="AJ117" s="81">
        <v>0</v>
      </c>
      <c r="AK117" s="81">
        <v>0</v>
      </c>
      <c r="AL117" s="81">
        <v>0</v>
      </c>
      <c r="AM117" s="81">
        <v>0</v>
      </c>
      <c r="AN117" s="81">
        <v>0</v>
      </c>
      <c r="AO117" s="81">
        <v>252.45</v>
      </c>
      <c r="AP117" s="81">
        <v>0</v>
      </c>
      <c r="AQ117" s="81">
        <v>0</v>
      </c>
      <c r="AR117" s="81">
        <v>252.45</v>
      </c>
      <c r="AS117" s="81">
        <v>0</v>
      </c>
      <c r="AT117" s="81">
        <v>0</v>
      </c>
      <c r="AU117" s="81">
        <v>0</v>
      </c>
      <c r="AV117" s="81">
        <v>0</v>
      </c>
      <c r="AW117" s="81">
        <v>0</v>
      </c>
      <c r="AX117" s="81">
        <v>0</v>
      </c>
      <c r="AY117" s="81">
        <v>0</v>
      </c>
      <c r="AZ117" s="81">
        <v>0</v>
      </c>
      <c r="BA117" s="81">
        <v>0</v>
      </c>
      <c r="BB117" s="81">
        <v>0</v>
      </c>
      <c r="BC117" s="81">
        <v>0</v>
      </c>
      <c r="BD117" s="81">
        <v>0</v>
      </c>
      <c r="BE117" s="81">
        <v>0</v>
      </c>
      <c r="BF117" s="81">
        <v>0</v>
      </c>
      <c r="BG117" s="81">
        <v>0</v>
      </c>
      <c r="BH117" s="81">
        <v>0</v>
      </c>
      <c r="BI117" s="81">
        <v>3623.62</v>
      </c>
      <c r="BJ117" s="81">
        <v>293.12</v>
      </c>
      <c r="BK117" s="81">
        <v>3330.5</v>
      </c>
      <c r="BL117" s="81">
        <v>269.69</v>
      </c>
      <c r="BM117" s="81">
        <v>674.23</v>
      </c>
      <c r="BN117" s="81">
        <v>50.56</v>
      </c>
      <c r="BO117" s="81">
        <v>195.52</v>
      </c>
      <c r="BP117" s="81">
        <v>1190</v>
      </c>
      <c r="BQ117" s="81">
        <v>4813.62</v>
      </c>
    </row>
    <row r="118" spans="1:69" hidden="1" x14ac:dyDescent="0.25">
      <c r="A118" s="81" t="s">
        <v>358</v>
      </c>
      <c r="B118" s="132">
        <v>46082</v>
      </c>
      <c r="C118" s="81" t="s">
        <v>78</v>
      </c>
      <c r="D118" s="81" t="s">
        <v>355</v>
      </c>
      <c r="E118" s="81" t="s">
        <v>356</v>
      </c>
      <c r="F118" s="81" t="s">
        <v>81</v>
      </c>
      <c r="G118" s="81" t="s">
        <v>82</v>
      </c>
      <c r="H118" s="81" t="s">
        <v>131</v>
      </c>
      <c r="I118" s="133">
        <v>46034</v>
      </c>
      <c r="J118" s="134"/>
      <c r="K118" s="81" t="s">
        <v>270</v>
      </c>
      <c r="L118" s="81" t="s">
        <v>226</v>
      </c>
      <c r="M118" s="81">
        <v>2320</v>
      </c>
      <c r="N118" s="81">
        <v>2320</v>
      </c>
      <c r="O118" s="81">
        <v>0</v>
      </c>
      <c r="P118" s="81">
        <f t="shared" si="1"/>
        <v>2320</v>
      </c>
      <c r="Q118" s="81">
        <v>0</v>
      </c>
      <c r="R118" s="81">
        <v>0</v>
      </c>
      <c r="S118" s="81">
        <v>0</v>
      </c>
      <c r="T118" s="81">
        <v>0</v>
      </c>
      <c r="U118" s="81">
        <v>0</v>
      </c>
      <c r="V118" s="81">
        <v>0</v>
      </c>
      <c r="W118" s="81">
        <v>0</v>
      </c>
      <c r="X118" s="81">
        <v>0</v>
      </c>
      <c r="Y118" s="81">
        <v>0</v>
      </c>
      <c r="Z118" s="81">
        <v>0</v>
      </c>
      <c r="AA118" s="81">
        <v>236.35</v>
      </c>
      <c r="AB118" s="81">
        <v>66.81</v>
      </c>
      <c r="AC118" s="81">
        <v>0</v>
      </c>
      <c r="AD118" s="81">
        <v>0</v>
      </c>
      <c r="AE118" s="81">
        <v>0</v>
      </c>
      <c r="AF118" s="81">
        <v>0</v>
      </c>
      <c r="AG118" s="81">
        <v>2623.16</v>
      </c>
      <c r="AH118" s="81">
        <v>0</v>
      </c>
      <c r="AI118" s="81">
        <v>0</v>
      </c>
      <c r="AJ118" s="81">
        <v>0</v>
      </c>
      <c r="AK118" s="81">
        <v>0</v>
      </c>
      <c r="AL118" s="81">
        <v>0</v>
      </c>
      <c r="AM118" s="81">
        <v>0</v>
      </c>
      <c r="AN118" s="81">
        <v>0</v>
      </c>
      <c r="AO118" s="81">
        <v>456.6</v>
      </c>
      <c r="AP118" s="81">
        <v>0</v>
      </c>
      <c r="AQ118" s="81">
        <v>0</v>
      </c>
      <c r="AR118" s="81">
        <v>456.6</v>
      </c>
      <c r="AS118" s="81">
        <v>0</v>
      </c>
      <c r="AT118" s="81">
        <v>0</v>
      </c>
      <c r="AU118" s="81">
        <v>0</v>
      </c>
      <c r="AV118" s="81">
        <v>0</v>
      </c>
      <c r="AW118" s="81">
        <v>0</v>
      </c>
      <c r="AX118" s="81">
        <v>0</v>
      </c>
      <c r="AY118" s="81">
        <v>0</v>
      </c>
      <c r="AZ118" s="81">
        <v>0</v>
      </c>
      <c r="BA118" s="81">
        <v>0</v>
      </c>
      <c r="BB118" s="81">
        <v>0</v>
      </c>
      <c r="BC118" s="81">
        <v>0</v>
      </c>
      <c r="BD118" s="81">
        <v>0</v>
      </c>
      <c r="BE118" s="81">
        <v>0</v>
      </c>
      <c r="BF118" s="81">
        <v>0</v>
      </c>
      <c r="BG118" s="81">
        <v>0</v>
      </c>
      <c r="BH118" s="81">
        <v>0</v>
      </c>
      <c r="BI118" s="81">
        <v>3079.76</v>
      </c>
      <c r="BJ118" s="81">
        <v>225.6</v>
      </c>
      <c r="BK118" s="81">
        <v>2965.23</v>
      </c>
      <c r="BL118" s="81">
        <v>218.4</v>
      </c>
      <c r="BM118" s="81">
        <v>524.63</v>
      </c>
      <c r="BN118" s="81">
        <v>39.340000000000003</v>
      </c>
      <c r="BO118" s="81">
        <v>152.13999999999999</v>
      </c>
      <c r="BP118" s="81">
        <v>934.51</v>
      </c>
      <c r="BQ118" s="81">
        <v>4014.27</v>
      </c>
    </row>
    <row r="119" spans="1:69" hidden="1" x14ac:dyDescent="0.25">
      <c r="A119" s="81" t="s">
        <v>359</v>
      </c>
      <c r="B119" s="132">
        <v>46082</v>
      </c>
      <c r="C119" s="81" t="s">
        <v>78</v>
      </c>
      <c r="D119" s="81" t="s">
        <v>355</v>
      </c>
      <c r="E119" s="81" t="s">
        <v>356</v>
      </c>
      <c r="F119" s="81" t="s">
        <v>87</v>
      </c>
      <c r="G119" s="81" t="s">
        <v>88</v>
      </c>
      <c r="H119" s="81" t="s">
        <v>131</v>
      </c>
      <c r="I119" s="133">
        <v>46076</v>
      </c>
      <c r="J119" s="134"/>
      <c r="K119" s="81" t="s">
        <v>132</v>
      </c>
      <c r="L119" s="81" t="s">
        <v>360</v>
      </c>
      <c r="M119" s="81">
        <v>2333.09</v>
      </c>
      <c r="N119" s="81">
        <v>2333.09</v>
      </c>
      <c r="O119" s="81">
        <v>0</v>
      </c>
      <c r="P119" s="81">
        <f t="shared" si="1"/>
        <v>2333.09</v>
      </c>
      <c r="Q119" s="81">
        <v>0</v>
      </c>
      <c r="R119" s="81">
        <v>0</v>
      </c>
      <c r="S119" s="81">
        <v>0</v>
      </c>
      <c r="T119" s="81">
        <v>0</v>
      </c>
      <c r="U119" s="81">
        <v>0</v>
      </c>
      <c r="V119" s="81">
        <v>0</v>
      </c>
      <c r="W119" s="81">
        <v>0</v>
      </c>
      <c r="X119" s="81">
        <v>0</v>
      </c>
      <c r="Y119" s="81">
        <v>0</v>
      </c>
      <c r="Z119" s="81">
        <v>0</v>
      </c>
      <c r="AA119" s="81">
        <v>74.95</v>
      </c>
      <c r="AB119" s="81">
        <v>14.41</v>
      </c>
      <c r="AC119" s="81">
        <v>0</v>
      </c>
      <c r="AD119" s="81">
        <v>0</v>
      </c>
      <c r="AE119" s="81">
        <v>0</v>
      </c>
      <c r="AF119" s="81">
        <v>0</v>
      </c>
      <c r="AG119" s="81">
        <v>2422.4499999999998</v>
      </c>
      <c r="AH119" s="81">
        <v>0</v>
      </c>
      <c r="AI119" s="81">
        <v>0</v>
      </c>
      <c r="AJ119" s="81">
        <v>0</v>
      </c>
      <c r="AK119" s="81">
        <v>0</v>
      </c>
      <c r="AL119" s="81">
        <v>0</v>
      </c>
      <c r="AM119" s="81">
        <v>0</v>
      </c>
      <c r="AN119" s="81">
        <v>0</v>
      </c>
      <c r="AO119" s="81">
        <v>252.45</v>
      </c>
      <c r="AP119" s="81">
        <v>0</v>
      </c>
      <c r="AQ119" s="81">
        <v>0</v>
      </c>
      <c r="AR119" s="81">
        <v>252.45</v>
      </c>
      <c r="AS119" s="81">
        <v>0</v>
      </c>
      <c r="AT119" s="81">
        <v>0</v>
      </c>
      <c r="AU119" s="81">
        <v>0</v>
      </c>
      <c r="AV119" s="81">
        <v>0</v>
      </c>
      <c r="AW119" s="81">
        <v>0</v>
      </c>
      <c r="AX119" s="81">
        <v>0</v>
      </c>
      <c r="AY119" s="81">
        <v>0</v>
      </c>
      <c r="AZ119" s="81">
        <v>0</v>
      </c>
      <c r="BA119" s="81">
        <v>0</v>
      </c>
      <c r="BB119" s="81">
        <v>0</v>
      </c>
      <c r="BC119" s="81">
        <v>0</v>
      </c>
      <c r="BD119" s="81">
        <v>0</v>
      </c>
      <c r="BE119" s="81">
        <v>0</v>
      </c>
      <c r="BF119" s="81">
        <v>0</v>
      </c>
      <c r="BG119" s="81">
        <v>0</v>
      </c>
      <c r="BH119" s="81">
        <v>0</v>
      </c>
      <c r="BI119" s="81">
        <v>2674.9</v>
      </c>
      <c r="BJ119" s="81">
        <v>1127.7</v>
      </c>
      <c r="BK119" s="81">
        <v>1547.2</v>
      </c>
      <c r="BL119" s="81">
        <v>193.79</v>
      </c>
      <c r="BM119" s="81">
        <v>484.49</v>
      </c>
      <c r="BN119" s="81">
        <v>36.33</v>
      </c>
      <c r="BO119" s="81">
        <v>140.5</v>
      </c>
      <c r="BP119" s="81">
        <v>855.11</v>
      </c>
      <c r="BQ119" s="81">
        <v>3530.01</v>
      </c>
    </row>
    <row r="120" spans="1:69" hidden="1" x14ac:dyDescent="0.25">
      <c r="A120" s="81" t="s">
        <v>361</v>
      </c>
      <c r="B120" s="132">
        <v>46082</v>
      </c>
      <c r="C120" s="81" t="s">
        <v>78</v>
      </c>
      <c r="D120" s="81" t="s">
        <v>355</v>
      </c>
      <c r="E120" s="81" t="s">
        <v>356</v>
      </c>
      <c r="F120" s="81" t="s">
        <v>87</v>
      </c>
      <c r="G120" s="81" t="s">
        <v>88</v>
      </c>
      <c r="H120" s="81" t="s">
        <v>131</v>
      </c>
      <c r="I120" s="133">
        <v>46083</v>
      </c>
      <c r="J120" s="134"/>
      <c r="K120" s="81" t="s">
        <v>132</v>
      </c>
      <c r="L120" s="81" t="s">
        <v>274</v>
      </c>
      <c r="M120" s="81">
        <v>2155</v>
      </c>
      <c r="N120" s="81">
        <v>2155</v>
      </c>
      <c r="O120" s="81">
        <v>0</v>
      </c>
      <c r="P120" s="81">
        <f t="shared" si="1"/>
        <v>2155</v>
      </c>
      <c r="Q120" s="81">
        <v>0</v>
      </c>
      <c r="R120" s="81">
        <v>0</v>
      </c>
      <c r="S120" s="81">
        <v>0</v>
      </c>
      <c r="T120" s="81">
        <v>0</v>
      </c>
      <c r="U120" s="81">
        <v>0</v>
      </c>
      <c r="V120" s="81">
        <v>0</v>
      </c>
      <c r="W120" s="81">
        <v>0</v>
      </c>
      <c r="X120" s="81">
        <v>0</v>
      </c>
      <c r="Y120" s="81">
        <v>0</v>
      </c>
      <c r="Z120" s="81">
        <v>0</v>
      </c>
      <c r="AA120" s="81">
        <v>0</v>
      </c>
      <c r="AB120" s="81">
        <v>0</v>
      </c>
      <c r="AC120" s="81">
        <v>0</v>
      </c>
      <c r="AD120" s="81">
        <v>0</v>
      </c>
      <c r="AE120" s="81">
        <v>0</v>
      </c>
      <c r="AF120" s="81">
        <v>0</v>
      </c>
      <c r="AG120" s="81">
        <v>2155</v>
      </c>
      <c r="AH120" s="81">
        <v>0</v>
      </c>
      <c r="AI120" s="81">
        <v>0</v>
      </c>
      <c r="AJ120" s="81">
        <v>0</v>
      </c>
      <c r="AK120" s="81">
        <v>0</v>
      </c>
      <c r="AL120" s="81">
        <v>0</v>
      </c>
      <c r="AM120" s="81">
        <v>0</v>
      </c>
      <c r="AN120" s="81">
        <v>0</v>
      </c>
      <c r="AO120" s="81">
        <v>252.45</v>
      </c>
      <c r="AP120" s="81">
        <v>0</v>
      </c>
      <c r="AQ120" s="81">
        <v>0</v>
      </c>
      <c r="AR120" s="81">
        <v>252.45</v>
      </c>
      <c r="AS120" s="81">
        <v>0</v>
      </c>
      <c r="AT120" s="81">
        <v>500</v>
      </c>
      <c r="AU120" s="81">
        <v>0</v>
      </c>
      <c r="AV120" s="81">
        <v>0</v>
      </c>
      <c r="AW120" s="81">
        <v>0</v>
      </c>
      <c r="AX120" s="81">
        <v>0</v>
      </c>
      <c r="AY120" s="81">
        <v>0</v>
      </c>
      <c r="AZ120" s="81">
        <v>0</v>
      </c>
      <c r="BA120" s="81">
        <v>0</v>
      </c>
      <c r="BB120" s="81">
        <v>0</v>
      </c>
      <c r="BC120" s="81">
        <v>0</v>
      </c>
      <c r="BD120" s="81">
        <v>0</v>
      </c>
      <c r="BE120" s="81">
        <v>0</v>
      </c>
      <c r="BF120" s="81">
        <v>0</v>
      </c>
      <c r="BG120" s="81">
        <v>0</v>
      </c>
      <c r="BH120" s="81">
        <v>0</v>
      </c>
      <c r="BI120" s="81">
        <v>2907.45</v>
      </c>
      <c r="BJ120" s="81">
        <v>419.63</v>
      </c>
      <c r="BK120" s="81">
        <v>2487.8200000000002</v>
      </c>
      <c r="BL120" s="81">
        <v>172.4</v>
      </c>
      <c r="BM120" s="81">
        <v>431</v>
      </c>
      <c r="BN120" s="81">
        <v>32.32</v>
      </c>
      <c r="BO120" s="81">
        <v>124.99</v>
      </c>
      <c r="BP120" s="81">
        <v>760.71</v>
      </c>
      <c r="BQ120" s="81">
        <v>3668.16</v>
      </c>
    </row>
  </sheetData>
  <autoFilter ref="A1:BQ120" xr:uid="{FEBE7E8A-55A7-48EB-A299-AEDD0D20006F}">
    <filterColumn colId="11">
      <filters>
        <filter val="MOTORISTA CARRETEIRO"/>
        <filter val="MOTORISTA CARRETEIRO MANTENEDOR PLENO"/>
        <filter val="MOTORISTA CARRETEIRO MANTENEDOR PLENO II"/>
        <filter val="MOTORISTA CARRETEIRO MANTENEDOR SENIOR I"/>
        <filter val="MOTORISTA CARRETEIRO MANTENEDOR SENIOR II"/>
        <filter val="MOTORISTA CARRETEIRO MANTENEDOR SENIOR III"/>
        <filter val="MOTORISTA TRUCK MANTENEDOR JUNIOR"/>
        <filter val="MOTORISTA TRUCK MANTENEDOR SENIOR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2EB1-95CE-4987-ABDD-3F224DC327FB}">
  <dimension ref="A1:BS135"/>
  <sheetViews>
    <sheetView showGridLines="0" topLeftCell="P1" zoomScale="115" zoomScaleNormal="115" workbookViewId="0">
      <pane ySplit="1" topLeftCell="A113" activePane="bottomLeft" state="frozen"/>
      <selection pane="bottomLeft" activeCell="C119" sqref="C119"/>
    </sheetView>
  </sheetViews>
  <sheetFormatPr defaultColWidth="9.140625" defaultRowHeight="15" outlineLevelCol="1" x14ac:dyDescent="0.25"/>
  <cols>
    <col min="1" max="1" width="43.7109375" style="3" bestFit="1" customWidth="1"/>
    <col min="2" max="2" width="14.85546875" style="3" bestFit="1" customWidth="1"/>
    <col min="3" max="3" width="13" style="3" customWidth="1"/>
    <col min="4" max="4" width="29.5703125" style="3" customWidth="1" outlineLevel="1"/>
    <col min="5" max="5" width="6.42578125" style="3" customWidth="1" outlineLevel="1"/>
    <col min="6" max="6" width="10.7109375" style="3" customWidth="1" outlineLevel="1"/>
    <col min="7" max="7" width="16.5703125" style="3" customWidth="1" outlineLevel="1"/>
    <col min="8" max="8" width="13.42578125" style="3" customWidth="1" outlineLevel="1"/>
    <col min="9" max="9" width="26.7109375" style="3" customWidth="1" outlineLevel="1"/>
    <col min="10" max="10" width="28.5703125" style="3" customWidth="1"/>
    <col min="11" max="11" width="12.7109375" style="3" customWidth="1"/>
    <col min="12" max="12" width="11.7109375" style="52" customWidth="1"/>
    <col min="13" max="13" width="6" style="3" customWidth="1"/>
    <col min="14" max="14" width="31.5703125" style="3" bestFit="1" customWidth="1"/>
    <col min="15" max="15" width="7" style="3" customWidth="1"/>
    <col min="16" max="17" width="13.28515625" style="127" customWidth="1" outlineLevel="1"/>
    <col min="18" max="18" width="15.28515625" style="53" customWidth="1" outlineLevel="1"/>
    <col min="19" max="19" width="13.7109375" style="53" customWidth="1" outlineLevel="1"/>
    <col min="20" max="20" width="12.42578125" style="53" customWidth="1" outlineLevel="1"/>
    <col min="21" max="21" width="16.42578125" style="53" customWidth="1" outlineLevel="1"/>
    <col min="22" max="22" width="17.28515625" style="53" customWidth="1" outlineLevel="1"/>
    <col min="23" max="24" width="16.7109375" style="53" customWidth="1" outlineLevel="1"/>
    <col min="25" max="25" width="12.28515625" style="53" customWidth="1" outlineLevel="1"/>
    <col min="26" max="26" width="12.85546875" style="53" customWidth="1" outlineLevel="1"/>
    <col min="27" max="27" width="14.5703125" style="53" customWidth="1" outlineLevel="1"/>
    <col min="28" max="28" width="15" style="53" customWidth="1" outlineLevel="1"/>
    <col min="29" max="29" width="15.85546875" style="53" customWidth="1" outlineLevel="1"/>
    <col min="30" max="30" width="13.140625" style="53" customWidth="1" outlineLevel="1"/>
    <col min="31" max="31" width="15" style="53" customWidth="1" outlineLevel="1"/>
    <col min="32" max="32" width="16.7109375" style="53" customWidth="1" outlineLevel="1"/>
    <col min="33" max="33" width="17.140625" style="53" customWidth="1" outlineLevel="1"/>
    <col min="34" max="34" width="17.140625" style="122" customWidth="1" outlineLevel="1"/>
    <col min="35" max="35" width="11.28515625" style="53" customWidth="1" outlineLevel="1"/>
    <col min="36" max="38" width="14" style="53" customWidth="1" outlineLevel="1"/>
    <col min="39" max="39" width="15.5703125" style="53" customWidth="1" outlineLevel="1"/>
    <col min="40" max="40" width="15.85546875" style="53" customWidth="1" outlineLevel="1"/>
    <col min="41" max="41" width="15.5703125" style="53" customWidth="1" outlineLevel="1"/>
    <col min="42" max="42" width="12.5703125" style="53" customWidth="1" outlineLevel="1"/>
    <col min="43" max="43" width="15.28515625" style="53" customWidth="1" outlineLevel="1"/>
    <col min="44" max="44" width="17" style="53" customWidth="1" outlineLevel="1"/>
    <col min="45" max="46" width="14.5703125" style="53" customWidth="1" outlineLevel="1"/>
    <col min="47" max="47" width="12.42578125" style="53" customWidth="1" outlineLevel="1"/>
    <col min="48" max="48" width="16.85546875" style="53" customWidth="1" outlineLevel="1"/>
    <col min="49" max="49" width="16.28515625" style="53" customWidth="1" outlineLevel="1"/>
    <col min="50" max="50" width="12.85546875" style="53" customWidth="1" outlineLevel="1"/>
    <col min="51" max="51" width="14" style="53" customWidth="1" outlineLevel="1"/>
    <col min="52" max="52" width="16.5703125" style="118" customWidth="1" outlineLevel="1"/>
    <col min="53" max="54" width="16.5703125" style="53" customWidth="1" outlineLevel="1"/>
    <col min="55" max="55" width="14.5703125" style="122" customWidth="1" outlineLevel="1"/>
    <col min="56" max="56" width="15.5703125" style="53" customWidth="1" outlineLevel="1"/>
    <col min="57" max="57" width="13.7109375" style="53" customWidth="1" outlineLevel="1"/>
    <col min="58" max="58" width="15.28515625" style="53" customWidth="1"/>
    <col min="59" max="59" width="12.42578125" style="53" customWidth="1" outlineLevel="1"/>
    <col min="60" max="60" width="15.5703125" style="53" customWidth="1" outlineLevel="1"/>
    <col min="61" max="61" width="14.140625" style="53" customWidth="1" outlineLevel="1"/>
    <col min="62" max="62" width="15.140625" style="53" customWidth="1" outlineLevel="1"/>
    <col min="63" max="63" width="12.42578125" style="53" customWidth="1" outlineLevel="1"/>
    <col min="64" max="64" width="10.85546875" style="53" customWidth="1" outlineLevel="1"/>
    <col min="65" max="65" width="13.140625" style="53" customWidth="1" outlineLevel="1"/>
    <col min="66" max="66" width="10.85546875" style="53" customWidth="1" outlineLevel="1"/>
    <col min="67" max="67" width="13.7109375" style="53" customWidth="1" outlineLevel="1"/>
    <col min="68" max="68" width="21.140625" style="53" bestFit="1" customWidth="1"/>
    <col min="69" max="69" width="13.5703125" style="53" customWidth="1"/>
    <col min="70" max="70" width="21.28515625" style="110" customWidth="1"/>
    <col min="71" max="71" width="10.28515625" style="3" bestFit="1" customWidth="1"/>
    <col min="72" max="16384" width="9.140625" style="3"/>
  </cols>
  <sheetData>
    <row r="1" spans="1:71" s="51" customFormat="1" ht="60" x14ac:dyDescent="0.25">
      <c r="A1" s="92" t="s">
        <v>362</v>
      </c>
      <c r="B1" s="93" t="s">
        <v>363</v>
      </c>
      <c r="C1" s="92" t="s">
        <v>2</v>
      </c>
      <c r="D1" s="92" t="s">
        <v>12</v>
      </c>
      <c r="E1" s="92" t="s">
        <v>364</v>
      </c>
      <c r="F1" s="92" t="s">
        <v>365</v>
      </c>
      <c r="G1" s="92" t="s">
        <v>13</v>
      </c>
      <c r="H1" s="92" t="s">
        <v>14</v>
      </c>
      <c r="I1" s="92" t="s">
        <v>366</v>
      </c>
      <c r="J1" s="96" t="s">
        <v>0</v>
      </c>
      <c r="K1" s="92" t="s">
        <v>367</v>
      </c>
      <c r="L1" s="94" t="s">
        <v>368</v>
      </c>
      <c r="M1" s="92" t="s">
        <v>369</v>
      </c>
      <c r="N1" s="92" t="s">
        <v>370</v>
      </c>
      <c r="O1" s="92" t="s">
        <v>371</v>
      </c>
      <c r="P1" s="129" t="s">
        <v>20</v>
      </c>
      <c r="Q1" s="125" t="s">
        <v>372</v>
      </c>
      <c r="R1" s="95" t="s">
        <v>373</v>
      </c>
      <c r="S1" s="95" t="s">
        <v>374</v>
      </c>
      <c r="T1" s="95" t="s">
        <v>375</v>
      </c>
      <c r="U1" s="95" t="s">
        <v>376</v>
      </c>
      <c r="V1" s="95" t="s">
        <v>377</v>
      </c>
      <c r="W1" s="95" t="s">
        <v>378</v>
      </c>
      <c r="X1" s="95" t="s">
        <v>31</v>
      </c>
      <c r="Y1" s="95" t="s">
        <v>379</v>
      </c>
      <c r="Z1" s="95" t="s">
        <v>380</v>
      </c>
      <c r="AA1" s="95" t="s">
        <v>381</v>
      </c>
      <c r="AB1" s="95" t="s">
        <v>382</v>
      </c>
      <c r="AC1" s="95" t="s">
        <v>383</v>
      </c>
      <c r="AD1" s="95" t="s">
        <v>384</v>
      </c>
      <c r="AE1" s="95" t="s">
        <v>385</v>
      </c>
      <c r="AF1" s="95" t="s">
        <v>386</v>
      </c>
      <c r="AG1" s="95" t="s">
        <v>387</v>
      </c>
      <c r="AH1" s="120" t="s">
        <v>52</v>
      </c>
      <c r="AI1" s="95" t="s">
        <v>388</v>
      </c>
      <c r="AJ1" s="95" t="s">
        <v>389</v>
      </c>
      <c r="AK1" s="92" t="s">
        <v>390</v>
      </c>
      <c r="AL1" s="95" t="s">
        <v>391</v>
      </c>
      <c r="AM1" s="95" t="s">
        <v>392</v>
      </c>
      <c r="AN1" s="95" t="s">
        <v>393</v>
      </c>
      <c r="AO1" s="95" t="s">
        <v>394</v>
      </c>
      <c r="AP1" s="95" t="s">
        <v>395</v>
      </c>
      <c r="AQ1" s="95" t="s">
        <v>396</v>
      </c>
      <c r="AR1" s="95" t="s">
        <v>397</v>
      </c>
      <c r="AS1" s="95" t="s">
        <v>398</v>
      </c>
      <c r="AT1" s="95" t="s">
        <v>399</v>
      </c>
      <c r="AU1" s="95" t="s">
        <v>400</v>
      </c>
      <c r="AV1" s="95" t="s">
        <v>401</v>
      </c>
      <c r="AW1" s="95" t="s">
        <v>402</v>
      </c>
      <c r="AX1" s="95" t="s">
        <v>403</v>
      </c>
      <c r="AY1" s="92" t="s">
        <v>404</v>
      </c>
      <c r="AZ1" s="96" t="s">
        <v>405</v>
      </c>
      <c r="BA1" s="95" t="s">
        <v>406</v>
      </c>
      <c r="BB1" s="95" t="s">
        <v>407</v>
      </c>
      <c r="BC1" s="124" t="s">
        <v>408</v>
      </c>
      <c r="BD1" s="92" t="s">
        <v>68</v>
      </c>
      <c r="BE1" s="92" t="s">
        <v>409</v>
      </c>
      <c r="BF1" s="96" t="s">
        <v>410</v>
      </c>
      <c r="BG1" s="92" t="s">
        <v>411</v>
      </c>
      <c r="BH1" s="92" t="s">
        <v>412</v>
      </c>
      <c r="BI1" s="92" t="s">
        <v>413</v>
      </c>
      <c r="BJ1" s="92" t="s">
        <v>414</v>
      </c>
      <c r="BK1" s="95" t="s">
        <v>415</v>
      </c>
      <c r="BL1" s="95" t="s">
        <v>73</v>
      </c>
      <c r="BM1" s="95" t="s">
        <v>74</v>
      </c>
      <c r="BN1" s="95" t="s">
        <v>71</v>
      </c>
      <c r="BO1" s="92" t="s">
        <v>75</v>
      </c>
      <c r="BP1" s="92" t="s">
        <v>416</v>
      </c>
      <c r="BQ1" s="92" t="s">
        <v>417</v>
      </c>
      <c r="BR1" s="108" t="s">
        <v>67</v>
      </c>
      <c r="BS1" s="92" t="s">
        <v>418</v>
      </c>
    </row>
    <row r="2" spans="1:71" x14ac:dyDescent="0.25">
      <c r="A2" s="59" t="s">
        <v>262</v>
      </c>
      <c r="B2" s="88">
        <v>46082</v>
      </c>
      <c r="C2" s="59" t="s">
        <v>5</v>
      </c>
      <c r="D2" s="59" t="str">
        <f>VLOOKUP(A2,'Custo_Fopag (2)'!A:$BQ,4,0)</f>
        <v>G3S FL 11 - MARINGA</v>
      </c>
      <c r="E2" s="59"/>
      <c r="F2" s="59"/>
      <c r="G2" s="59" t="str">
        <f>VLOOKUP(A2,'Custo_Fopag (2)'!$A:$BQ,5,0)</f>
        <v>20.947.332/0011-67</v>
      </c>
      <c r="H2" s="59" t="str">
        <f>VLOOKUP(A2,'Custo_Fopag (2)'!$A:$BQ,6,0)</f>
        <v>OPERACIONAL</v>
      </c>
      <c r="I2" s="59" t="str">
        <f>VLOOKUP(A2,'Custo_Fopag (2)'!$A:$BQ,7,0)</f>
        <v>PATIO</v>
      </c>
      <c r="J2" s="59" t="str">
        <f>VLOOKUP(A2,'Custo_Fopag (2)'!$A:$BQ,8,0)</f>
        <v>SELETIVA MARINGA CIDADE ALTA</v>
      </c>
      <c r="K2" s="78">
        <f>VLOOKUP(A2,'Custo_Fopag (2)'!$A:$BQ,9,0)</f>
        <v>45915</v>
      </c>
      <c r="N2" s="3" t="str">
        <f>VLOOKUP(A2,'Custo_Fopag (2)'!$A:$BQ,11,0)</f>
        <v>1.2.8.3. OPERACIONAL</v>
      </c>
      <c r="O2" s="3" t="str">
        <f>VLOOKUP(A2,'Custo_Fopag (2)'!$A:$BQ,12,0)</f>
        <v>AUXILIAR DE PATIO SENIOR</v>
      </c>
      <c r="P2" s="126">
        <f>VLOOKUP(A2,'Custo_Fopag (2)'!$A:$BQ,13,0)</f>
        <v>2600</v>
      </c>
      <c r="Q2" s="127">
        <f>VLOOKUP(A2,'Custo_Fopag (2)'!$A:$BQ,16,0)</f>
        <v>2600</v>
      </c>
      <c r="R2" s="56">
        <f>VLOOKUP(A2,'Custo_Fopag (2)'!$A:$BQ,17,0)</f>
        <v>0</v>
      </c>
      <c r="S2" s="54">
        <f>VLOOKUP(A2,'Custo_Fopag (2)'!$A:$BP,18,0)</f>
        <v>0</v>
      </c>
      <c r="T2" s="54">
        <f>VLOOKUP(A2,'Custo_Fopag (2)'!$A:$BQ,20,0)</f>
        <v>0</v>
      </c>
      <c r="U2" s="54">
        <f>VLOOKUP(A2,'Custo_Fopag (2)'!$A:$BQ,21,0)</f>
        <v>0</v>
      </c>
      <c r="V2" s="54">
        <f>VLOOKUP(A2,'Custo_Fopag (2)'!$A:$BQ,22,0)</f>
        <v>0</v>
      </c>
      <c r="W2" s="54">
        <f>VLOOKUP(A2,'Custo_Fopag (2)'!$A:$BQ,23,0)</f>
        <v>0</v>
      </c>
      <c r="X2" s="54">
        <f>VLOOKUP(A2,'Custo_Fopag (2)'!$A:$BQ,24,0)</f>
        <v>0</v>
      </c>
      <c r="Y2" s="55">
        <f>VLOOKUP(A2,'Custo_Fopag (2)'!$A:$BQ,25,0)</f>
        <v>0</v>
      </c>
      <c r="Z2" s="54">
        <f>VLOOKUP(A2,'Custo_Fopag (2)'!$A:$BQ,26,0)</f>
        <v>0</v>
      </c>
      <c r="AA2" s="54">
        <f>VLOOKUP(A2,'Custo_Fopag (2)'!$A:$BQ,27,0)</f>
        <v>79.95</v>
      </c>
      <c r="AB2" s="54">
        <f>VLOOKUP(A2,'Custo_Fopag (2)'!$A:$BQ,28,0)</f>
        <v>15.38</v>
      </c>
      <c r="AC2" s="54">
        <f>VLOOKUP(A2,'Custo_Fopag (2)'!$A:$BQ,29,0)</f>
        <v>0</v>
      </c>
      <c r="AD2" s="54">
        <f>VLOOKUP(A2,'Custo_Fopag (2)'!$A:$BQ,30,0)</f>
        <v>0</v>
      </c>
      <c r="AE2" s="54">
        <f>VLOOKUP(A2,'Custo_Fopag (2)'!$A:$BQ,31,0)</f>
        <v>0</v>
      </c>
      <c r="AF2" s="54">
        <f>VLOOKUP(A2,'Custo_Fopag (2)'!$A:$BQ,32,0)</f>
        <v>0</v>
      </c>
      <c r="AG2" s="54">
        <f t="shared" ref="AG2:AG33" si="0">SUM(Q2:AF2)</f>
        <v>2695.33</v>
      </c>
      <c r="AH2" s="121">
        <f>VLOOKUP(A2,'Custo_Fopag (2)'!$A:$BQ,45,0)</f>
        <v>0</v>
      </c>
      <c r="AI2" s="54">
        <f>_xlfn.XLOOKUP(A2,Beneficios!A:A,Beneficios!B:B,0,0,1)</f>
        <v>512.87</v>
      </c>
      <c r="AJ2" s="54">
        <f>VLOOKUP(A2,'Custo_Fopag (2)'!$A:$BQ,47,0)</f>
        <v>0</v>
      </c>
      <c r="AK2" s="54">
        <v>0</v>
      </c>
      <c r="AL2" s="54">
        <f>VLOOKUP(A2,'Custo_Fopag (2)'!$A:$BQ,35,0)</f>
        <v>0</v>
      </c>
      <c r="AM2" s="54">
        <f>VLOOKUP(A2,'Custo_Fopag (2)'!$A:$BQ,36,0)</f>
        <v>0</v>
      </c>
      <c r="AN2" s="54">
        <f>VLOOKUP(A2,'Custo_Fopag (2)'!$A:$BQ,37,0)</f>
        <v>0</v>
      </c>
      <c r="AO2" s="54">
        <f>VLOOKUP(A2,'Custo_Fopag (2)'!$A:$BQ,39,0)</f>
        <v>0</v>
      </c>
      <c r="AP2" s="54">
        <f>VLOOKUP(A2,'Custo_Fopag (2)'!$A:$BQ,42,0)</f>
        <v>0</v>
      </c>
      <c r="AQ2" s="54">
        <f>VLOOKUP(A2,'Custo_Fopag (2)'!$A:$BQ,40,0)</f>
        <v>0</v>
      </c>
      <c r="AR2" s="54">
        <f>VLOOKUP(A2,'Custo_Fopag (2)'!$A:$BQ,41,0)</f>
        <v>456.6</v>
      </c>
      <c r="AS2" s="54">
        <f>VLOOKUP(A2,'Custo_Fopag (2)'!$A:$BQ,38,0)</f>
        <v>0</v>
      </c>
      <c r="AT2" s="54">
        <f>VLOOKUP(A2,'Custo_Fopag (2)'!$A:$BQ,43,0)</f>
        <v>0</v>
      </c>
      <c r="AU2" s="54">
        <f>VLOOKUP(A2,'Custo_Fopag (2)'!$A:$BQ,48,0)</f>
        <v>0</v>
      </c>
      <c r="AV2" s="54">
        <f>VLOOKUP(A2,'Custo_Fopag (2)'!$A:$BQ,49,0)</f>
        <v>0</v>
      </c>
      <c r="AW2" s="54">
        <f>VLOOKUP(A2,'Custo_Fopag (2)'!$A:$BQ,19,0)</f>
        <v>0</v>
      </c>
      <c r="AX2" s="54">
        <f>VLOOKUP(A2,'Custo_Fopag (2)'!$A:$BQ,50,0)</f>
        <v>0</v>
      </c>
      <c r="AY2" s="54">
        <f>VLOOKUP(A2,'Custo_Fopag (2)'!$A:$BQ,51,0)</f>
        <v>0</v>
      </c>
      <c r="AZ2" s="117">
        <v>0</v>
      </c>
      <c r="BA2" s="54">
        <f>VLOOKUP(A2,'Custo_Fopag (2)'!$A:$BQ,54,0)</f>
        <v>0</v>
      </c>
      <c r="BB2" s="54">
        <f>VLOOKUP(A2,'Custo_Fopag (2)'!$A:$BQ,52,0)</f>
        <v>0</v>
      </c>
      <c r="BC2" s="122">
        <f t="shared" ref="BC2:BC33" si="1">SUM(AH2:BB2)</f>
        <v>969.47</v>
      </c>
      <c r="BD2" s="54">
        <f t="shared" ref="BD2:BD33" si="2">BC2+AG2</f>
        <v>3664.8</v>
      </c>
      <c r="BE2" s="57"/>
      <c r="BF2" s="54">
        <f t="shared" ref="BF2:BF33" si="3">BD2+BE2</f>
        <v>3664.8</v>
      </c>
      <c r="BG2" s="54">
        <f t="shared" ref="BG2:BG33" si="4">AG2/12</f>
        <v>224.61083333333332</v>
      </c>
      <c r="BH2" s="54">
        <f t="shared" ref="BH2:BH33" si="5">BG2</f>
        <v>224.61083333333332</v>
      </c>
      <c r="BI2" s="54">
        <f t="shared" ref="BI2:BI33" si="6">BH2/3</f>
        <v>74.870277777777773</v>
      </c>
      <c r="BJ2" s="54">
        <f t="shared" ref="BJ2:BJ33" si="7">SUM(BG2:BI2)</f>
        <v>524.09194444444438</v>
      </c>
      <c r="BK2" s="54">
        <f>VLOOKUP(A2,'Custo_Fopag (2)'!$A:$BQ,65,0)</f>
        <v>539.07000000000005</v>
      </c>
      <c r="BL2" s="54">
        <f>VLOOKUP(A2,'Custo_Fopag (2)'!$A:$BQP,66,0)</f>
        <v>80.849999999999994</v>
      </c>
      <c r="BM2" s="54">
        <f>VLOOKUP(A2,'Custo_Fopag (2)'!$A:$BQ,67,0)</f>
        <v>156.32</v>
      </c>
      <c r="BN2" s="54">
        <f>VLOOKUP(A2,'Custo_Fopag (2)'!$A:$BQ,64,0)</f>
        <v>215.62</v>
      </c>
      <c r="BO2" s="54">
        <f t="shared" ref="BO2:BO33" si="8">SUM(BK2:BN2)</f>
        <v>991.86</v>
      </c>
      <c r="BP2" s="54">
        <f t="shared" ref="BP2:BP33" si="9">BF2+BO2</f>
        <v>4656.66</v>
      </c>
      <c r="BQ2" s="54">
        <f t="shared" ref="BQ2:BQ33" si="10">BF2+BJ2+BO2</f>
        <v>5180.7519444444442</v>
      </c>
      <c r="BR2" s="109">
        <f>VLOOKUP(A2,'Custo_Fopag (2)'!$A:$BQ,60,0)</f>
        <v>0</v>
      </c>
      <c r="BS2" s="83" t="str">
        <f t="shared" ref="BS2:BS33" si="11">IF(ISBLANK(L2),"Ativo","Desligado")</f>
        <v>Ativo</v>
      </c>
    </row>
    <row r="3" spans="1:71" x14ac:dyDescent="0.25">
      <c r="A3" s="59" t="s">
        <v>324</v>
      </c>
      <c r="B3" s="88">
        <v>46082</v>
      </c>
      <c r="C3" s="59" t="s">
        <v>5</v>
      </c>
      <c r="D3" s="59" t="str">
        <f>VLOOKUP(A3,'Custo_Fopag (2)'!A:$BQ,4,0)</f>
        <v>G3S FL 05 - PRES PRUD</v>
      </c>
      <c r="E3" s="59"/>
      <c r="F3" s="59"/>
      <c r="G3" s="59" t="str">
        <f>VLOOKUP(A3,'Custo_Fopag (2)'!$A:$BQ,5,0)</f>
        <v>20.947.332/0005-19</v>
      </c>
      <c r="H3" s="59" t="str">
        <f>VLOOKUP(A3,'Custo_Fopag (2)'!$A:$BQ,6,0)</f>
        <v>ADMINISTRATIVO</v>
      </c>
      <c r="I3" s="59" t="str">
        <f>VLOOKUP(A3,'Custo_Fopag (2)'!$A:$BQ,7,0)</f>
        <v>FINANCEIRO</v>
      </c>
      <c r="J3" s="59" t="str">
        <f>VLOOKUP(A3,'Custo_Fopag (2)'!$A:$BQ,8,0)</f>
        <v>SELETIVA CORPORATIVO SUCATA</v>
      </c>
      <c r="K3" s="78">
        <f>VLOOKUP(A3,'Custo_Fopag (2)'!$A:$BQ,9,0)</f>
        <v>43866</v>
      </c>
      <c r="N3" s="3" t="str">
        <f>VLOOKUP(A3,'Custo_Fopag (2)'!$A:$BQ,11,0)</f>
        <v>1.2.1.1 APOIO</v>
      </c>
      <c r="O3" s="3" t="str">
        <f>VLOOKUP(A3,'Custo_Fopag (2)'!$A:$BQ,12,0)</f>
        <v>ANALISTA FINANCEIRO SENIOR I</v>
      </c>
      <c r="P3" s="126">
        <f>VLOOKUP(A3,'Custo_Fopag (2)'!$A:$BQ,13,0)</f>
        <v>3500</v>
      </c>
      <c r="Q3" s="127">
        <f>VLOOKUP(A3,'Custo_Fopag (2)'!$A:$BQ,16,0)</f>
        <v>3500</v>
      </c>
      <c r="R3" s="56">
        <f>VLOOKUP(A3,'Custo_Fopag (2)'!$A:$BQ,17,0)</f>
        <v>0</v>
      </c>
      <c r="S3" s="54">
        <f>VLOOKUP(A3,'Custo_Fopag (2)'!$A:$BP,18,0)</f>
        <v>0</v>
      </c>
      <c r="T3" s="54">
        <f>VLOOKUP(A3,'Custo_Fopag (2)'!$A:$BQ,20,0)</f>
        <v>0</v>
      </c>
      <c r="U3" s="54">
        <f>VLOOKUP(A3,'Custo_Fopag (2)'!$A:$BQ,21,0)</f>
        <v>0</v>
      </c>
      <c r="V3" s="54">
        <f>VLOOKUP(A3,'Custo_Fopag (2)'!$A:$BQ,22,0)</f>
        <v>0</v>
      </c>
      <c r="W3" s="54">
        <f>VLOOKUP(A3,'Custo_Fopag (2)'!$A:$BQ,23,0)</f>
        <v>0</v>
      </c>
      <c r="X3" s="54">
        <f>VLOOKUP(A3,'Custo_Fopag (2)'!$A:$BQ,24,0)</f>
        <v>0</v>
      </c>
      <c r="Y3" s="55">
        <f>VLOOKUP(A3,'Custo_Fopag (2)'!$A:$BQ,25,0)</f>
        <v>0</v>
      </c>
      <c r="Z3" s="54">
        <f>VLOOKUP(A3,'Custo_Fopag (2)'!$A:$BQ,26,0)</f>
        <v>0</v>
      </c>
      <c r="AA3" s="54">
        <f>VLOOKUP(A3,'Custo_Fopag (2)'!$A:$BQ,27,0)</f>
        <v>0</v>
      </c>
      <c r="AB3" s="54">
        <f>VLOOKUP(A3,'Custo_Fopag (2)'!$A:$BQ,28,0)</f>
        <v>0</v>
      </c>
      <c r="AC3" s="54">
        <f>VLOOKUP(A3,'Custo_Fopag (2)'!$A:$BQ,29,0)</f>
        <v>0</v>
      </c>
      <c r="AD3" s="54">
        <f>VLOOKUP(A3,'Custo_Fopag (2)'!$A:$BQ,30,0)</f>
        <v>0</v>
      </c>
      <c r="AE3" s="54">
        <f>VLOOKUP(A3,'Custo_Fopag (2)'!$A:$BQ,31,0)</f>
        <v>0</v>
      </c>
      <c r="AF3" s="54">
        <f>VLOOKUP(A3,'Custo_Fopag (2)'!$A:$BQ,32,0)</f>
        <v>0</v>
      </c>
      <c r="AG3" s="54">
        <f t="shared" si="0"/>
        <v>3500</v>
      </c>
      <c r="AH3" s="121">
        <f>VLOOKUP(A3,'Custo_Fopag (2)'!$A:$BQ,45,0)</f>
        <v>0</v>
      </c>
      <c r="AI3" s="54">
        <f>_xlfn.XLOOKUP(A3,Beneficios!A:A,Beneficios!B:B,0,0,1)</f>
        <v>521.87</v>
      </c>
      <c r="AJ3" s="54">
        <f>VLOOKUP(A3,'Custo_Fopag (2)'!$A:$BQ,47,0)</f>
        <v>0</v>
      </c>
      <c r="AK3" s="54">
        <v>0</v>
      </c>
      <c r="AL3" s="54">
        <f>VLOOKUP(A3,'Custo_Fopag (2)'!$A:$BQ,35,0)</f>
        <v>0</v>
      </c>
      <c r="AM3" s="54">
        <f>VLOOKUP(A3,'Custo_Fopag (2)'!$A:$BQ,36,0)</f>
        <v>0</v>
      </c>
      <c r="AN3" s="54">
        <f>VLOOKUP(A3,'Custo_Fopag (2)'!$A:$BQ,37,0)</f>
        <v>0</v>
      </c>
      <c r="AO3" s="54">
        <f>VLOOKUP(A3,'Custo_Fopag (2)'!$A:$BQ,39,0)</f>
        <v>0</v>
      </c>
      <c r="AP3" s="54">
        <f>VLOOKUP(A3,'Custo_Fopag (2)'!$A:$BQ,42,0)</f>
        <v>0</v>
      </c>
      <c r="AQ3" s="54">
        <f>VLOOKUP(A3,'Custo_Fopag (2)'!$A:$BQ,40,0)</f>
        <v>0</v>
      </c>
      <c r="AR3" s="54">
        <f>VLOOKUP(A3,'Custo_Fopag (2)'!$A:$BQ,41,0)</f>
        <v>0</v>
      </c>
      <c r="AS3" s="54">
        <f>VLOOKUP(A3,'Custo_Fopag (2)'!$A:$BQ,38,0)</f>
        <v>0</v>
      </c>
      <c r="AT3" s="54">
        <f>VLOOKUP(A3,'Custo_Fopag (2)'!$A:$BQ,43,0)</f>
        <v>0</v>
      </c>
      <c r="AU3" s="54">
        <f>VLOOKUP(A3,'Custo_Fopag (2)'!$A:$BQ,48,0)</f>
        <v>0</v>
      </c>
      <c r="AV3" s="54">
        <f>VLOOKUP(A3,'Custo_Fopag (2)'!$A:$BQ,49,0)</f>
        <v>0</v>
      </c>
      <c r="AW3" s="54">
        <f>VLOOKUP(A3,'Custo_Fopag (2)'!$A:$BQ,19,0)</f>
        <v>0</v>
      </c>
      <c r="AX3" s="54">
        <f>VLOOKUP(A3,'Custo_Fopag (2)'!$A:$BQ,50,0)</f>
        <v>0</v>
      </c>
      <c r="AY3" s="54">
        <f>VLOOKUP(A3,'Custo_Fopag (2)'!$A:$BQ,51,0)</f>
        <v>0</v>
      </c>
      <c r="AZ3" s="117">
        <v>0</v>
      </c>
      <c r="BA3" s="54">
        <f>VLOOKUP(A3,'Custo_Fopag (2)'!$A:$BQ,54,0)</f>
        <v>0</v>
      </c>
      <c r="BB3" s="54">
        <f>VLOOKUP(A3,'Custo_Fopag (2)'!$A:$BQ,52,0)</f>
        <v>0</v>
      </c>
      <c r="BC3" s="122">
        <f t="shared" si="1"/>
        <v>521.87</v>
      </c>
      <c r="BD3" s="54">
        <f t="shared" si="2"/>
        <v>4021.87</v>
      </c>
      <c r="BE3" s="57"/>
      <c r="BF3" s="54">
        <f t="shared" si="3"/>
        <v>4021.87</v>
      </c>
      <c r="BG3" s="54">
        <f t="shared" si="4"/>
        <v>291.66666666666669</v>
      </c>
      <c r="BH3" s="54">
        <f t="shared" si="5"/>
        <v>291.66666666666669</v>
      </c>
      <c r="BI3" s="54">
        <f t="shared" si="6"/>
        <v>97.222222222222229</v>
      </c>
      <c r="BJ3" s="54">
        <f t="shared" si="7"/>
        <v>680.55555555555566</v>
      </c>
      <c r="BK3" s="54">
        <f>VLOOKUP(A3,'Custo_Fopag (2)'!$A:$BQ,65,0)</f>
        <v>700</v>
      </c>
      <c r="BL3" s="54">
        <f>VLOOKUP(A3,'Custo_Fopag (2)'!$A:$BQP,66,0)</f>
        <v>52.5</v>
      </c>
      <c r="BM3" s="54">
        <f>VLOOKUP(A3,'Custo_Fopag (2)'!$A:$BQ,67,0)</f>
        <v>203</v>
      </c>
      <c r="BN3" s="54">
        <f>VLOOKUP(A3,'Custo_Fopag (2)'!$A:$BQ,64,0)</f>
        <v>280</v>
      </c>
      <c r="BO3" s="54">
        <f t="shared" si="8"/>
        <v>1235.5</v>
      </c>
      <c r="BP3" s="54">
        <f t="shared" si="9"/>
        <v>5257.37</v>
      </c>
      <c r="BQ3" s="54">
        <f t="shared" si="10"/>
        <v>5937.9255555555555</v>
      </c>
      <c r="BR3" s="109">
        <f>VLOOKUP(A3,'Custo_Fopag (2)'!$A:$BQ,60,0)</f>
        <v>0</v>
      </c>
      <c r="BS3" s="83" t="str">
        <f t="shared" si="11"/>
        <v>Ativo</v>
      </c>
    </row>
    <row r="4" spans="1:71" x14ac:dyDescent="0.25">
      <c r="A4" s="59" t="s">
        <v>198</v>
      </c>
      <c r="B4" s="88">
        <v>46082</v>
      </c>
      <c r="C4" s="59" t="s">
        <v>5</v>
      </c>
      <c r="D4" s="59" t="str">
        <f>VLOOKUP(A4,'Custo_Fopag (2)'!A:$BQ,4,0)</f>
        <v>G3S FL 10 - PRES PRUD</v>
      </c>
      <c r="E4" s="59"/>
      <c r="F4" s="59"/>
      <c r="G4" s="59" t="str">
        <f>VLOOKUP(A4,'Custo_Fopag (2)'!$A:$BQ,5,0)</f>
        <v>20.947.332/0010-86</v>
      </c>
      <c r="H4" s="59" t="str">
        <f>VLOOKUP(A4,'Custo_Fopag (2)'!$A:$BQ,6,0)</f>
        <v>GESTÃO DE GENTE</v>
      </c>
      <c r="I4" s="59" t="str">
        <f>VLOOKUP(A4,'Custo_Fopag (2)'!$A:$BQ,7,0)</f>
        <v>DEPTO PESSOAL</v>
      </c>
      <c r="J4" s="59" t="str">
        <f>VLOOKUP(A4,'Custo_Fopag (2)'!$A:$BQ,8,0)</f>
        <v>PILARES</v>
      </c>
      <c r="K4" s="78">
        <f>VLOOKUP(A4,'Custo_Fopag (2)'!$A:$BQ,9,0)</f>
        <v>43692</v>
      </c>
      <c r="N4" s="3" t="str">
        <f>VLOOKUP(A4,'Custo_Fopag (2)'!$A:$BQ,11,0)</f>
        <v>1.1.10 PESSOAS</v>
      </c>
      <c r="O4" s="3" t="str">
        <f>VLOOKUP(A4,'Custo_Fopag (2)'!$A:$BQ,12,0)</f>
        <v>ANALISTA DE DEPTO PESSOAL</v>
      </c>
      <c r="P4" s="126">
        <f>VLOOKUP(A4,'Custo_Fopag (2)'!$A:$BQ,13,0)</f>
        <v>4568.75</v>
      </c>
      <c r="Q4" s="127">
        <f>VLOOKUP(A4,'Custo_Fopag (2)'!$A:$BQ,16,0)</f>
        <v>4568.75</v>
      </c>
      <c r="R4" s="115">
        <f>VLOOKUP(A4,'Custo_Fopag (2)'!$A:$BQ,17,0)</f>
        <v>0</v>
      </c>
      <c r="S4" s="114">
        <f>VLOOKUP(A4,'Custo_Fopag (2)'!$A:$BP,18,0)</f>
        <v>0</v>
      </c>
      <c r="T4" s="114">
        <f>VLOOKUP(A4,'Custo_Fopag (2)'!$A:$BQ,20,0)</f>
        <v>0</v>
      </c>
      <c r="U4" s="114">
        <f>VLOOKUP(A4,'Custo_Fopag (2)'!$A:$BQ,21,0)</f>
        <v>0</v>
      </c>
      <c r="V4" s="114">
        <f>VLOOKUP(A4,'Custo_Fopag (2)'!$A:$BQ,22,0)</f>
        <v>0</v>
      </c>
      <c r="W4" s="114">
        <f>VLOOKUP(A4,'Custo_Fopag (2)'!$A:$BQ,23,0)</f>
        <v>0</v>
      </c>
      <c r="X4" s="114">
        <f>VLOOKUP(A4,'Custo_Fopag (2)'!$A:$BQ,24,0)</f>
        <v>0</v>
      </c>
      <c r="Y4" s="116">
        <f>VLOOKUP(A4,'Custo_Fopag (2)'!$A:$BQ,25,0)</f>
        <v>0</v>
      </c>
      <c r="Z4" s="114">
        <f>VLOOKUP(A4,'Custo_Fopag (2)'!$A:$BQ,26,0)</f>
        <v>0</v>
      </c>
      <c r="AA4" s="114">
        <f>VLOOKUP(A4,'Custo_Fopag (2)'!$A:$BQ,27,0)</f>
        <v>0</v>
      </c>
      <c r="AB4" s="114">
        <f>VLOOKUP(A4,'Custo_Fopag (2)'!$A:$BQ,28,0)</f>
        <v>0</v>
      </c>
      <c r="AC4" s="114">
        <f>VLOOKUP(A4,'Custo_Fopag (2)'!$A:$BQ,29,0)</f>
        <v>0</v>
      </c>
      <c r="AD4" s="114">
        <f>VLOOKUP(A4,'Custo_Fopag (2)'!$A:$BQ,30,0)</f>
        <v>0</v>
      </c>
      <c r="AE4" s="114">
        <f>VLOOKUP(A4,'Custo_Fopag (2)'!$A:$BQ,31,0)</f>
        <v>0</v>
      </c>
      <c r="AF4" s="114">
        <f>VLOOKUP(A4,'Custo_Fopag (2)'!$A:$BQ,32,0)</f>
        <v>0</v>
      </c>
      <c r="AG4" s="54">
        <f t="shared" si="0"/>
        <v>4568.75</v>
      </c>
      <c r="AH4" s="121">
        <f>VLOOKUP(A4,'Custo_Fopag (2)'!$A:$BQ,45,0)</f>
        <v>0</v>
      </c>
      <c r="AI4" s="54">
        <f>_xlfn.XLOOKUP(A4,Beneficios!A:A,Beneficios!B:B,0,0,1)</f>
        <v>512.87</v>
      </c>
      <c r="AJ4" s="54">
        <f>VLOOKUP(A4,'Custo_Fopag (2)'!$A:$BQ,47,0)</f>
        <v>0</v>
      </c>
      <c r="AK4" s="54">
        <v>0</v>
      </c>
      <c r="AL4" s="54">
        <f>VLOOKUP(A4,'Custo_Fopag (2)'!$A:$BQ,35,0)</f>
        <v>0</v>
      </c>
      <c r="AM4" s="54">
        <f>VLOOKUP(A4,'Custo_Fopag (2)'!$A:$BQ,36,0)</f>
        <v>0</v>
      </c>
      <c r="AN4" s="54">
        <f>VLOOKUP(A4,'Custo_Fopag (2)'!$A:$BQ,37,0)</f>
        <v>0</v>
      </c>
      <c r="AO4" s="54">
        <f>VLOOKUP(A4,'Custo_Fopag (2)'!$A:$BQ,39,0)</f>
        <v>0</v>
      </c>
      <c r="AP4" s="54">
        <f>VLOOKUP(A4,'Custo_Fopag (2)'!$A:$BQ,42,0)</f>
        <v>0</v>
      </c>
      <c r="AQ4" s="54">
        <f>VLOOKUP(A4,'Custo_Fopag (2)'!$A:$BQ,40,0)</f>
        <v>0</v>
      </c>
      <c r="AR4" s="54">
        <f>VLOOKUP(A4,'Custo_Fopag (2)'!$A:$BQ,41,0)</f>
        <v>0</v>
      </c>
      <c r="AS4" s="54">
        <f>VLOOKUP(A4,'Custo_Fopag (2)'!$A:$BQ,38,0)</f>
        <v>0</v>
      </c>
      <c r="AT4" s="54">
        <f>VLOOKUP(A4,'Custo_Fopag (2)'!$A:$BQ,43,0)</f>
        <v>0</v>
      </c>
      <c r="AU4" s="54">
        <f>VLOOKUP(A4,'Custo_Fopag (2)'!$A:$BQ,48,0)</f>
        <v>0</v>
      </c>
      <c r="AV4" s="54">
        <f>VLOOKUP(A4,'Custo_Fopag (2)'!$A:$BQ,49,0)</f>
        <v>0</v>
      </c>
      <c r="AW4" s="54">
        <f>VLOOKUP(A4,'Custo_Fopag (2)'!$A:$BQ,19,0)</f>
        <v>0</v>
      </c>
      <c r="AX4" s="54">
        <f>VLOOKUP(A4,'Custo_Fopag (2)'!$A:$BQ,50,0)</f>
        <v>0</v>
      </c>
      <c r="AY4" s="54">
        <f>VLOOKUP(A4,'Custo_Fopag (2)'!$A:$BQ,51,0)</f>
        <v>0</v>
      </c>
      <c r="AZ4" s="117">
        <v>0</v>
      </c>
      <c r="BA4" s="54">
        <f>VLOOKUP(A4,'Custo_Fopag (2)'!$A:$BQ,54,0)</f>
        <v>0</v>
      </c>
      <c r="BB4" s="54">
        <f>VLOOKUP(A4,'Custo_Fopag (2)'!$A:$BQ,52,0)</f>
        <v>0</v>
      </c>
      <c r="BC4" s="122">
        <f t="shared" si="1"/>
        <v>512.87</v>
      </c>
      <c r="BD4" s="54">
        <f t="shared" si="2"/>
        <v>5081.62</v>
      </c>
      <c r="BE4" s="57"/>
      <c r="BF4" s="54">
        <f t="shared" si="3"/>
        <v>5081.62</v>
      </c>
      <c r="BG4" s="54">
        <f t="shared" si="4"/>
        <v>380.72916666666669</v>
      </c>
      <c r="BH4" s="54">
        <f t="shared" si="5"/>
        <v>380.72916666666669</v>
      </c>
      <c r="BI4" s="54">
        <f t="shared" si="6"/>
        <v>126.90972222222223</v>
      </c>
      <c r="BJ4" s="54">
        <f t="shared" si="7"/>
        <v>888.36805555555566</v>
      </c>
      <c r="BK4" s="54">
        <f>VLOOKUP(A4,'Custo_Fopag (2)'!$A:$BQ,65,0)</f>
        <v>913.75</v>
      </c>
      <c r="BL4" s="54">
        <f>VLOOKUP(A4,'Custo_Fopag (2)'!$A:$BQP,66,0)</f>
        <v>137.06</v>
      </c>
      <c r="BM4" s="54">
        <f>VLOOKUP(A4,'Custo_Fopag (2)'!$A:$BQ,67,0)</f>
        <v>264.98</v>
      </c>
      <c r="BN4" s="54">
        <f>VLOOKUP(A4,'Custo_Fopag (2)'!$A:$BQ,64,0)</f>
        <v>365.5</v>
      </c>
      <c r="BO4" s="54">
        <f t="shared" si="8"/>
        <v>1681.29</v>
      </c>
      <c r="BP4" s="54">
        <f t="shared" si="9"/>
        <v>6762.91</v>
      </c>
      <c r="BQ4" s="54">
        <f t="shared" si="10"/>
        <v>7651.2780555555555</v>
      </c>
      <c r="BR4" s="109">
        <f>VLOOKUP(A4,'Custo_Fopag (2)'!$A:$BQ,60,0)</f>
        <v>0</v>
      </c>
      <c r="BS4" s="83" t="str">
        <f t="shared" si="11"/>
        <v>Ativo</v>
      </c>
    </row>
    <row r="5" spans="1:71" x14ac:dyDescent="0.25">
      <c r="A5" s="3" t="s">
        <v>268</v>
      </c>
      <c r="B5" s="88">
        <v>46082</v>
      </c>
      <c r="C5" s="59" t="s">
        <v>5</v>
      </c>
      <c r="D5" s="59" t="str">
        <f>VLOOKUP(A5,'Custo_Fopag (2)'!A:$BQ,4,0)</f>
        <v>G3S FL 11 - MARINGA</v>
      </c>
      <c r="E5" s="59"/>
      <c r="F5" s="59"/>
      <c r="G5" s="59" t="str">
        <f>VLOOKUP(A5,'Custo_Fopag (2)'!$A:$BQ,5,0)</f>
        <v>20.947.332/0011-67</v>
      </c>
      <c r="H5" s="59" t="str">
        <f>VLOOKUP(A5,'Custo_Fopag (2)'!$A:$BQ,6,0)</f>
        <v>OPERACIONAL</v>
      </c>
      <c r="I5" s="59" t="str">
        <f>VLOOKUP(A5,'Custo_Fopag (2)'!$A:$BQ,7,0)</f>
        <v>PATIO</v>
      </c>
      <c r="J5" s="59" t="str">
        <f>VLOOKUP(A5,'Custo_Fopag (2)'!$A:$BQ,8,0)</f>
        <v>SELETIVA MARINGA CIDADE ALTA</v>
      </c>
      <c r="K5" s="78">
        <f>VLOOKUP(A5,'Custo_Fopag (2)'!$A:$BQ,9,0)</f>
        <v>46050</v>
      </c>
      <c r="L5" s="52">
        <f>VLOOKUP(A5,'Custo_Fopag (2)'!$A:$BQ,10,0)</f>
        <v>46097</v>
      </c>
      <c r="N5" s="3" t="str">
        <f>VLOOKUP(A5,'Custo_Fopag (2)'!$A:$BQ,11,0)</f>
        <v>1.2.8.3. OPERACIONAL</v>
      </c>
      <c r="O5" s="3" t="str">
        <f>VLOOKUP(A5,'Custo_Fopag (2)'!$A:$BQ,12,0)</f>
        <v>GERENTE DE PATIO SENIOR</v>
      </c>
      <c r="P5" s="126">
        <f>VLOOKUP(A5,'Custo_Fopag (2)'!$A:$BQ,13,0)</f>
        <v>3679.83</v>
      </c>
      <c r="Q5" s="127">
        <f>VLOOKUP(A5,'Custo_Fopag (2)'!$A:$BQ,16,0)</f>
        <v>0</v>
      </c>
      <c r="R5" s="56">
        <f>VLOOKUP(A5,'Custo_Fopag (2)'!$A:$BQ,17,0)</f>
        <v>0</v>
      </c>
      <c r="S5" s="54">
        <f>VLOOKUP(A5,'Custo_Fopag (2)'!$A:$BP,18,0)</f>
        <v>0</v>
      </c>
      <c r="T5" s="54">
        <f>VLOOKUP(A5,'Custo_Fopag (2)'!$A:$BQ,20,0)</f>
        <v>392.52</v>
      </c>
      <c r="U5" s="54">
        <f>VLOOKUP(A5,'Custo_Fopag (2)'!$A:$BQ,21,0)</f>
        <v>0</v>
      </c>
      <c r="V5" s="54">
        <f>VLOOKUP(A5,'Custo_Fopag (2)'!$A:$BQ,22,0)</f>
        <v>588.77</v>
      </c>
      <c r="W5" s="54">
        <f>VLOOKUP(A5,'Custo_Fopag (2)'!$A:$BQ,23,0)</f>
        <v>0</v>
      </c>
      <c r="X5" s="54">
        <f>VLOOKUP(A5,'Custo_Fopag (2)'!$A:$BQ,24,0)</f>
        <v>0</v>
      </c>
      <c r="Y5" s="55">
        <f>VLOOKUP(A5,'Custo_Fopag (2)'!$A:$BQ,25,0)</f>
        <v>0</v>
      </c>
      <c r="Z5" s="54">
        <f>VLOOKUP(A5,'Custo_Fopag (2)'!$A:$BQ,26,0)</f>
        <v>0</v>
      </c>
      <c r="AA5" s="54">
        <f>VLOOKUP(A5,'Custo_Fopag (2)'!$A:$BQ,27,0)</f>
        <v>0</v>
      </c>
      <c r="AB5" s="54">
        <f>VLOOKUP(A5,'Custo_Fopag (2)'!$A:$BQ,28,0)</f>
        <v>47.77</v>
      </c>
      <c r="AC5" s="54">
        <f>VLOOKUP(A5,'Custo_Fopag (2)'!$A:$BQ,29,0)</f>
        <v>0</v>
      </c>
      <c r="AD5" s="54">
        <f>VLOOKUP(A5,'Custo_Fopag (2)'!$A:$BQ,30,0)</f>
        <v>0</v>
      </c>
      <c r="AE5" s="54">
        <f>VLOOKUP(A5,'Custo_Fopag (2)'!$A:$BQ,31,0)</f>
        <v>0</v>
      </c>
      <c r="AF5" s="54">
        <f>VLOOKUP(A5,'Custo_Fopag (2)'!$A:$BQ,32,0)</f>
        <v>0</v>
      </c>
      <c r="AG5" s="54">
        <f t="shared" si="0"/>
        <v>1029.06</v>
      </c>
      <c r="AH5" s="121">
        <f>VLOOKUP(A5,'Custo_Fopag (2)'!$A:$BQ,45,0)</f>
        <v>0</v>
      </c>
      <c r="AI5" s="54">
        <f>_xlfn.XLOOKUP(A5,'Custo_Fopag (2)'!A:A,'Custo_Fopag (2)'!AT:AT,0,0,1)</f>
        <v>266.67</v>
      </c>
      <c r="AJ5" s="54">
        <f>VLOOKUP(A5,'Custo_Fopag (2)'!$A:$BQ,47,0)</f>
        <v>0</v>
      </c>
      <c r="AK5" s="54">
        <v>0</v>
      </c>
      <c r="AL5" s="54">
        <f>VLOOKUP(A5,'Custo_Fopag (2)'!$A:$BQ,35,0)</f>
        <v>0</v>
      </c>
      <c r="AM5" s="54">
        <f>VLOOKUP(A5,'Custo_Fopag (2)'!$A:$BQ,36,0)</f>
        <v>0</v>
      </c>
      <c r="AN5" s="54">
        <f>VLOOKUP(A5,'Custo_Fopag (2)'!$A:$BQ,37,0)</f>
        <v>0</v>
      </c>
      <c r="AO5" s="54">
        <f>VLOOKUP(A5,'Custo_Fopag (2)'!$A:$BQ,39,0)</f>
        <v>0</v>
      </c>
      <c r="AP5" s="54">
        <f>VLOOKUP(A5,'Custo_Fopag (2)'!$A:$BQ,42,0)</f>
        <v>0</v>
      </c>
      <c r="AQ5" s="54">
        <f>VLOOKUP(A5,'Custo_Fopag (2)'!$A:$BQ,40,0)</f>
        <v>0</v>
      </c>
      <c r="AR5" s="54">
        <f>VLOOKUP(A5,'Custo_Fopag (2)'!$A:$BQ,41,0)</f>
        <v>28.92</v>
      </c>
      <c r="AS5" s="54">
        <f>VLOOKUP(A5,'Custo_Fopag (2)'!$A:$BQ,38,0)</f>
        <v>0</v>
      </c>
      <c r="AT5" s="54">
        <f>VLOOKUP(A5,'Custo_Fopag (2)'!$A:$BQ,43,0)</f>
        <v>0</v>
      </c>
      <c r="AU5" s="54">
        <f>VLOOKUP(A5,'Custo_Fopag (2)'!$A:$BQ,48,0)</f>
        <v>0</v>
      </c>
      <c r="AV5" s="54">
        <f>VLOOKUP(A5,'Custo_Fopag (2)'!$A:$BQ,49,0)</f>
        <v>0</v>
      </c>
      <c r="AW5" s="54">
        <f>VLOOKUP(A5,'Custo_Fopag (2)'!$A:$BQ,19,0)</f>
        <v>0</v>
      </c>
      <c r="AX5" s="54">
        <f>VLOOKUP(A5,'Custo_Fopag (2)'!$A:$BQ,50,0)</f>
        <v>0</v>
      </c>
      <c r="AY5" s="54">
        <f>VLOOKUP(A5,'Custo_Fopag (2)'!$A:$BQ,51,0)</f>
        <v>0</v>
      </c>
      <c r="AZ5" s="117">
        <v>0</v>
      </c>
      <c r="BA5" s="54">
        <f>VLOOKUP(A5,'Custo_Fopag (2)'!$A:$BQ,54,0)</f>
        <v>0</v>
      </c>
      <c r="BB5" s="54">
        <f>VLOOKUP(A5,'Custo_Fopag (2)'!$A:$BQ,52,0)</f>
        <v>0</v>
      </c>
      <c r="BC5" s="122">
        <f t="shared" si="1"/>
        <v>295.59000000000003</v>
      </c>
      <c r="BD5" s="54">
        <f t="shared" si="2"/>
        <v>1324.65</v>
      </c>
      <c r="BE5" s="57"/>
      <c r="BF5" s="54">
        <f t="shared" si="3"/>
        <v>1324.65</v>
      </c>
      <c r="BG5" s="54">
        <f t="shared" si="4"/>
        <v>85.754999999999995</v>
      </c>
      <c r="BH5" s="54">
        <f t="shared" si="5"/>
        <v>85.754999999999995</v>
      </c>
      <c r="BI5" s="54">
        <f t="shared" si="6"/>
        <v>28.584999999999997</v>
      </c>
      <c r="BJ5" s="54">
        <f t="shared" si="7"/>
        <v>200.095</v>
      </c>
      <c r="BK5" s="54">
        <f>VLOOKUP(A5,'Custo_Fopag (2)'!$A:$BQ,65,0)</f>
        <v>205.81</v>
      </c>
      <c r="BL5" s="54">
        <f>VLOOKUP(A5,'Custo_Fopag (2)'!$A:$BQP,66,0)</f>
        <v>30.87</v>
      </c>
      <c r="BM5" s="54">
        <f>VLOOKUP(A5,'Custo_Fopag (2)'!$A:$BQ,67,0)</f>
        <v>59.68</v>
      </c>
      <c r="BN5" s="54">
        <f>VLOOKUP(A5,'Custo_Fopag (2)'!$A:$BQ,64,0)</f>
        <v>255.89</v>
      </c>
      <c r="BO5" s="54">
        <f t="shared" si="8"/>
        <v>552.25</v>
      </c>
      <c r="BP5" s="54">
        <f t="shared" si="9"/>
        <v>1876.9</v>
      </c>
      <c r="BQ5" s="54">
        <f t="shared" si="10"/>
        <v>2076.9949999999999</v>
      </c>
      <c r="BR5" s="109">
        <f>VLOOKUP(A5,'Custo_Fopag (2)'!$A:$BQ,60,0)</f>
        <v>4483.47</v>
      </c>
      <c r="BS5" s="83" t="str">
        <f t="shared" si="11"/>
        <v>Desligado</v>
      </c>
    </row>
    <row r="6" spans="1:71" x14ac:dyDescent="0.25">
      <c r="A6" s="59" t="s">
        <v>304</v>
      </c>
      <c r="B6" s="88">
        <v>46082</v>
      </c>
      <c r="C6" s="59" t="s">
        <v>5</v>
      </c>
      <c r="D6" s="59" t="str">
        <f>VLOOKUP(A6,'Custo_Fopag (2)'!A:$BQ,4,0)</f>
        <v>G3S  FL 04 - PRES PRUD</v>
      </c>
      <c r="E6" s="59"/>
      <c r="F6" s="59"/>
      <c r="G6" s="59" t="str">
        <f>VLOOKUP(A6,'Custo_Fopag (2)'!$A:$BQ,5,0)</f>
        <v>20.947.332/0004-38</v>
      </c>
      <c r="H6" s="59" t="str">
        <f>VLOOKUP(A6,'Custo_Fopag (2)'!$A:$BQ,6,0)</f>
        <v>ADMINISTRATIVO</v>
      </c>
      <c r="I6" s="59" t="str">
        <f>VLOOKUP(A6,'Custo_Fopag (2)'!$A:$BQ,7,0)</f>
        <v>ATENDIMENTO</v>
      </c>
      <c r="J6" s="59" t="str">
        <f>VLOOKUP(A6,'Custo_Fopag (2)'!$A:$BQ,8,0)</f>
        <v>SELETIVA CORPORATIVO SUCATA</v>
      </c>
      <c r="K6" s="78">
        <f>VLOOKUP(A6,'Custo_Fopag (2)'!$A:$BQ,9,0)</f>
        <v>44783</v>
      </c>
      <c r="N6" s="3" t="str">
        <f>VLOOKUP(A6,'Custo_Fopag (2)'!$A:$BQ,11,0)</f>
        <v>1.2.1.1 APOIO</v>
      </c>
      <c r="O6" s="3" t="str">
        <f>VLOOKUP(A6,'Custo_Fopag (2)'!$A:$BQ,12,0)</f>
        <v>SUPERVISOR(A) ADMINISTRATIVO(A)</v>
      </c>
      <c r="P6" s="126">
        <f>VLOOKUP(A6,'Custo_Fopag (2)'!$A:$BQ,13,0)</f>
        <v>3392</v>
      </c>
      <c r="Q6" s="127">
        <f>VLOOKUP(A6,'Custo_Fopag (2)'!$A:$BQ,16,0)</f>
        <v>3392</v>
      </c>
      <c r="R6" s="56">
        <f>VLOOKUP(A6,'Custo_Fopag (2)'!$A:$BQ,17,0)</f>
        <v>0</v>
      </c>
      <c r="S6" s="54">
        <f>VLOOKUP(A6,'Custo_Fopag (2)'!$A:$BP,18,0)</f>
        <v>0</v>
      </c>
      <c r="T6" s="54">
        <f>VLOOKUP(A6,'Custo_Fopag (2)'!$A:$BQ,20,0)</f>
        <v>0</v>
      </c>
      <c r="U6" s="54">
        <f>VLOOKUP(A6,'Custo_Fopag (2)'!$A:$BQ,21,0)</f>
        <v>0</v>
      </c>
      <c r="V6" s="54">
        <f>VLOOKUP(A6,'Custo_Fopag (2)'!$A:$BQ,22,0)</f>
        <v>0</v>
      </c>
      <c r="W6" s="54">
        <f>VLOOKUP(A6,'Custo_Fopag (2)'!$A:$BQ,23,0)</f>
        <v>1356.8</v>
      </c>
      <c r="X6" s="54">
        <f>VLOOKUP(A6,'Custo_Fopag (2)'!$A:$BQ,24,0)</f>
        <v>0</v>
      </c>
      <c r="Y6" s="55">
        <f>VLOOKUP(A6,'Custo_Fopag (2)'!$A:$BQ,25,0)</f>
        <v>0</v>
      </c>
      <c r="Z6" s="54">
        <f>VLOOKUP(A6,'Custo_Fopag (2)'!$A:$BQ,26,0)</f>
        <v>0</v>
      </c>
      <c r="AA6" s="54">
        <f>VLOOKUP(A6,'Custo_Fopag (2)'!$A:$BQ,27,0)</f>
        <v>0</v>
      </c>
      <c r="AB6" s="54">
        <f>VLOOKUP(A6,'Custo_Fopag (2)'!$A:$BQ,28,0)</f>
        <v>0</v>
      </c>
      <c r="AC6" s="54">
        <f>VLOOKUP(A6,'Custo_Fopag (2)'!$A:$BQ,29,0)</f>
        <v>0</v>
      </c>
      <c r="AD6" s="54">
        <f>VLOOKUP(A6,'Custo_Fopag (2)'!$A:$BQ,30,0)</f>
        <v>0</v>
      </c>
      <c r="AE6" s="54">
        <f>VLOOKUP(A6,'Custo_Fopag (2)'!$A:$BQ,31,0)</f>
        <v>0</v>
      </c>
      <c r="AF6" s="54">
        <f>VLOOKUP(A6,'Custo_Fopag (2)'!$A:$BQ,32,0)</f>
        <v>0</v>
      </c>
      <c r="AG6" s="54">
        <f t="shared" si="0"/>
        <v>4748.8</v>
      </c>
      <c r="AH6" s="121">
        <f>VLOOKUP(A6,'Custo_Fopag (2)'!$A:$BQ,45,0)</f>
        <v>0</v>
      </c>
      <c r="AI6" s="54">
        <f>_xlfn.XLOOKUP(A6,Beneficios!A:A,Beneficios!B:B,0,0,1)</f>
        <v>521.87</v>
      </c>
      <c r="AJ6" s="54">
        <f>VLOOKUP(A6,'Custo_Fopag (2)'!$A:$BQ,47,0)</f>
        <v>0</v>
      </c>
      <c r="AK6" s="54">
        <v>0</v>
      </c>
      <c r="AL6" s="54">
        <f>VLOOKUP(A6,'Custo_Fopag (2)'!$A:$BQ,35,0)</f>
        <v>0</v>
      </c>
      <c r="AM6" s="54">
        <f>VLOOKUP(A6,'Custo_Fopag (2)'!$A:$BQ,36,0)</f>
        <v>0</v>
      </c>
      <c r="AN6" s="54">
        <f>VLOOKUP(A6,'Custo_Fopag (2)'!$A:$BQ,37,0)</f>
        <v>0</v>
      </c>
      <c r="AO6" s="54">
        <f>VLOOKUP(A6,'Custo_Fopag (2)'!$A:$BQ,39,0)</f>
        <v>0</v>
      </c>
      <c r="AP6" s="54">
        <f>VLOOKUP(A6,'Custo_Fopag (2)'!$A:$BQ,42,0)</f>
        <v>0</v>
      </c>
      <c r="AQ6" s="54">
        <f>VLOOKUP(A6,'Custo_Fopag (2)'!$A:$BQ,40,0)</f>
        <v>0</v>
      </c>
      <c r="AR6" s="54">
        <f>VLOOKUP(A6,'Custo_Fopag (2)'!$A:$BQ,41,0)</f>
        <v>904.34</v>
      </c>
      <c r="AS6" s="54">
        <f>VLOOKUP(A6,'Custo_Fopag (2)'!$A:$BQ,38,0)</f>
        <v>0</v>
      </c>
      <c r="AT6" s="54">
        <f>VLOOKUP(A6,'Custo_Fopag (2)'!$A:$BQ,43,0)</f>
        <v>0</v>
      </c>
      <c r="AU6" s="54">
        <f>VLOOKUP(A6,'Custo_Fopag (2)'!$A:$BQ,48,0)</f>
        <v>0</v>
      </c>
      <c r="AV6" s="54">
        <f>VLOOKUP(A6,'Custo_Fopag (2)'!$A:$BQ,49,0)</f>
        <v>0</v>
      </c>
      <c r="AW6" s="54">
        <f>VLOOKUP(A6,'Custo_Fopag (2)'!$A:$BQ,19,0)</f>
        <v>0</v>
      </c>
      <c r="AX6" s="54">
        <f>VLOOKUP(A6,'Custo_Fopag (2)'!$A:$BQ,50,0)</f>
        <v>0</v>
      </c>
      <c r="AY6" s="54">
        <f>VLOOKUP(A6,'Custo_Fopag (2)'!$A:$BQ,51,0)</f>
        <v>0</v>
      </c>
      <c r="AZ6" s="117">
        <v>0</v>
      </c>
      <c r="BA6" s="54">
        <f>VLOOKUP(A6,'Custo_Fopag (2)'!$A:$BQ,54,0)</f>
        <v>0</v>
      </c>
      <c r="BB6" s="54">
        <f>VLOOKUP(A6,'Custo_Fopag (2)'!$A:$BQ,52,0)</f>
        <v>0</v>
      </c>
      <c r="BC6" s="122">
        <f t="shared" si="1"/>
        <v>1426.21</v>
      </c>
      <c r="BD6" s="54">
        <f t="shared" si="2"/>
        <v>6175.01</v>
      </c>
      <c r="BE6" s="57"/>
      <c r="BF6" s="54">
        <f t="shared" si="3"/>
        <v>6175.01</v>
      </c>
      <c r="BG6" s="54">
        <f t="shared" si="4"/>
        <v>395.73333333333335</v>
      </c>
      <c r="BH6" s="54">
        <f t="shared" si="5"/>
        <v>395.73333333333335</v>
      </c>
      <c r="BI6" s="54">
        <f t="shared" si="6"/>
        <v>131.91111111111113</v>
      </c>
      <c r="BJ6" s="54">
        <f t="shared" si="7"/>
        <v>923.37777777777785</v>
      </c>
      <c r="BK6" s="54">
        <f>VLOOKUP(A6,'Custo_Fopag (2)'!$A:$BQ,65,0)</f>
        <v>949.76</v>
      </c>
      <c r="BL6" s="54">
        <f>VLOOKUP(A6,'Custo_Fopag (2)'!$A:$BQP,66,0)</f>
        <v>71.23</v>
      </c>
      <c r="BM6" s="54">
        <f>VLOOKUP(A6,'Custo_Fopag (2)'!$A:$BQ,67,0)</f>
        <v>275.43</v>
      </c>
      <c r="BN6" s="54">
        <f>VLOOKUP(A6,'Custo_Fopag (2)'!$A:$BQ,64,0)</f>
        <v>379.9</v>
      </c>
      <c r="BO6" s="54">
        <f t="shared" si="8"/>
        <v>1676.3200000000002</v>
      </c>
      <c r="BP6" s="54">
        <f t="shared" si="9"/>
        <v>7851.33</v>
      </c>
      <c r="BQ6" s="54">
        <f t="shared" si="10"/>
        <v>8774.7077777777777</v>
      </c>
      <c r="BR6" s="109">
        <f>VLOOKUP(A6,'Custo_Fopag (2)'!$A:$BQ,60,0)</f>
        <v>0</v>
      </c>
      <c r="BS6" s="83" t="str">
        <f t="shared" si="11"/>
        <v>Ativo</v>
      </c>
    </row>
    <row r="7" spans="1:71" x14ac:dyDescent="0.25">
      <c r="A7" s="3" t="s">
        <v>358</v>
      </c>
      <c r="B7" s="88">
        <v>46082</v>
      </c>
      <c r="C7" s="59" t="s">
        <v>5</v>
      </c>
      <c r="D7" s="59" t="str">
        <f>VLOOKUP(A7,'Custo_Fopag (2)'!A:$BQ,4,0)</f>
        <v>G3S FL 06 - MARINGA</v>
      </c>
      <c r="E7" s="59"/>
      <c r="F7" s="59"/>
      <c r="G7" s="59" t="str">
        <f>VLOOKUP(A7,'Custo_Fopag (2)'!$A:$BQ,5,0)</f>
        <v>20.947.332/0006-08</v>
      </c>
      <c r="H7" s="59" t="str">
        <f>VLOOKUP(A7,'Custo_Fopag (2)'!$A:$BQ,6,0)</f>
        <v>ADMINISTRATIVO</v>
      </c>
      <c r="I7" s="59" t="str">
        <f>VLOOKUP(A7,'Custo_Fopag (2)'!$A:$BQ,7,0)</f>
        <v>ATENDIMENTO</v>
      </c>
      <c r="J7" s="59" t="str">
        <f>VLOOKUP(A7,'Custo_Fopag (2)'!$A:$BQ,8,0)</f>
        <v>SELETIVA MARINGA DISTRITO</v>
      </c>
      <c r="K7" s="78">
        <f>VLOOKUP(A7,'Custo_Fopag (2)'!$A:$BQ,9,0)</f>
        <v>46034</v>
      </c>
      <c r="N7" s="3" t="str">
        <f>VLOOKUP(A7,'Custo_Fopag (2)'!$A:$BQ,11,0)</f>
        <v>1.2.4.1 ADMINISTRATIVO</v>
      </c>
      <c r="O7" s="3" t="str">
        <f>VLOOKUP(A7,'Custo_Fopag (2)'!$A:$BQ,12,0)</f>
        <v>AUX ADMINISTRATIVO JUNIOR</v>
      </c>
      <c r="P7" s="126">
        <f>VLOOKUP(A7,'Custo_Fopag (2)'!$A:$BQ,13,0)</f>
        <v>2320</v>
      </c>
      <c r="Q7" s="127">
        <f>VLOOKUP(A7,'Custo_Fopag (2)'!$A:$BQ,16,0)</f>
        <v>2320</v>
      </c>
      <c r="R7" s="56">
        <f>VLOOKUP(A7,'Custo_Fopag (2)'!$A:$BQ,17,0)</f>
        <v>0</v>
      </c>
      <c r="S7" s="54">
        <f>VLOOKUP(A7,'Custo_Fopag (2)'!$A:$BP,18,0)</f>
        <v>0</v>
      </c>
      <c r="T7" s="54">
        <f>VLOOKUP(A7,'Custo_Fopag (2)'!$A:$BQ,20,0)</f>
        <v>0</v>
      </c>
      <c r="U7" s="54">
        <f>VLOOKUP(A7,'Custo_Fopag (2)'!$A:$BQ,21,0)</f>
        <v>0</v>
      </c>
      <c r="V7" s="54">
        <f>VLOOKUP(A7,'Custo_Fopag (2)'!$A:$BQ,22,0)</f>
        <v>0</v>
      </c>
      <c r="W7" s="54">
        <f>VLOOKUP(A7,'Custo_Fopag (2)'!$A:$BQ,23,0)</f>
        <v>0</v>
      </c>
      <c r="X7" s="54">
        <f>VLOOKUP(A7,'Custo_Fopag (2)'!$A:$BQ,24,0)</f>
        <v>0</v>
      </c>
      <c r="Y7" s="55">
        <f>VLOOKUP(A7,'Custo_Fopag (2)'!$A:$BQ,25,0)</f>
        <v>0</v>
      </c>
      <c r="Z7" s="54">
        <f>VLOOKUP(A7,'Custo_Fopag (2)'!$A:$BQ,26,0)</f>
        <v>0</v>
      </c>
      <c r="AA7" s="54">
        <f>VLOOKUP(A7,'Custo_Fopag (2)'!$A:$BQ,27,0)</f>
        <v>236.35</v>
      </c>
      <c r="AB7" s="54">
        <f>VLOOKUP(A7,'Custo_Fopag (2)'!$A:$BQ,28,0)</f>
        <v>66.81</v>
      </c>
      <c r="AC7" s="54">
        <f>VLOOKUP(A7,'Custo_Fopag (2)'!$A:$BQ,29,0)</f>
        <v>0</v>
      </c>
      <c r="AD7" s="54">
        <f>VLOOKUP(A7,'Custo_Fopag (2)'!$A:$BQ,30,0)</f>
        <v>0</v>
      </c>
      <c r="AE7" s="54">
        <f>VLOOKUP(A7,'Custo_Fopag (2)'!$A:$BQ,31,0)</f>
        <v>0</v>
      </c>
      <c r="AF7" s="54">
        <f>VLOOKUP(A7,'Custo_Fopag (2)'!$A:$BQ,32,0)</f>
        <v>0</v>
      </c>
      <c r="AG7" s="54">
        <f t="shared" si="0"/>
        <v>2623.16</v>
      </c>
      <c r="AH7" s="121">
        <f>VLOOKUP(A7,'Custo_Fopag (2)'!$A:$BQ,45,0)</f>
        <v>0</v>
      </c>
      <c r="AI7" s="54">
        <f>_xlfn.XLOOKUP(A7,Beneficios!A:A,Beneficios!B:B,0,0,1)</f>
        <v>0</v>
      </c>
      <c r="AJ7" s="54">
        <f>VLOOKUP(A7,'Custo_Fopag (2)'!$A:$BQ,47,0)</f>
        <v>0</v>
      </c>
      <c r="AK7" s="54">
        <v>0</v>
      </c>
      <c r="AL7" s="54">
        <f>VLOOKUP(A7,'Custo_Fopag (2)'!$A:$BQ,35,0)</f>
        <v>0</v>
      </c>
      <c r="AM7" s="54">
        <f>VLOOKUP(A7,'Custo_Fopag (2)'!$A:$BQ,36,0)</f>
        <v>0</v>
      </c>
      <c r="AN7" s="54">
        <f>VLOOKUP(A7,'Custo_Fopag (2)'!$A:$BQ,37,0)</f>
        <v>0</v>
      </c>
      <c r="AO7" s="54">
        <f>VLOOKUP(A7,'Custo_Fopag (2)'!$A:$BQ,39,0)</f>
        <v>0</v>
      </c>
      <c r="AP7" s="54">
        <f>VLOOKUP(A7,'Custo_Fopag (2)'!$A:$BQ,42,0)</f>
        <v>0</v>
      </c>
      <c r="AQ7" s="54">
        <f>VLOOKUP(A7,'Custo_Fopag (2)'!$A:$BQ,40,0)</f>
        <v>0</v>
      </c>
      <c r="AR7" s="54">
        <f>VLOOKUP(A7,'Custo_Fopag (2)'!$A:$BQ,41,0)</f>
        <v>456.6</v>
      </c>
      <c r="AS7" s="54">
        <f>VLOOKUP(A7,'Custo_Fopag (2)'!$A:$BQ,38,0)</f>
        <v>0</v>
      </c>
      <c r="AT7" s="54">
        <f>VLOOKUP(A7,'Custo_Fopag (2)'!$A:$BQ,43,0)</f>
        <v>0</v>
      </c>
      <c r="AU7" s="54">
        <f>VLOOKUP(A7,'Custo_Fopag (2)'!$A:$BQ,48,0)</f>
        <v>0</v>
      </c>
      <c r="AV7" s="54">
        <f>VLOOKUP(A7,'Custo_Fopag (2)'!$A:$BQ,49,0)</f>
        <v>0</v>
      </c>
      <c r="AW7" s="54">
        <f>VLOOKUP(A7,'Custo_Fopag (2)'!$A:$BQ,19,0)</f>
        <v>0</v>
      </c>
      <c r="AX7" s="54">
        <f>VLOOKUP(A7,'Custo_Fopag (2)'!$A:$BQ,50,0)</f>
        <v>0</v>
      </c>
      <c r="AY7" s="54">
        <f>VLOOKUP(A7,'Custo_Fopag (2)'!$A:$BQ,51,0)</f>
        <v>0</v>
      </c>
      <c r="AZ7" s="117">
        <v>0</v>
      </c>
      <c r="BA7" s="54">
        <f>VLOOKUP(A7,'Custo_Fopag (2)'!$A:$BQ,54,0)</f>
        <v>0</v>
      </c>
      <c r="BB7" s="54">
        <f>VLOOKUP(A7,'Custo_Fopag (2)'!$A:$BQ,52,0)</f>
        <v>0</v>
      </c>
      <c r="BC7" s="122">
        <f t="shared" si="1"/>
        <v>456.6</v>
      </c>
      <c r="BD7" s="54">
        <f t="shared" si="2"/>
        <v>3079.7599999999998</v>
      </c>
      <c r="BE7" s="57"/>
      <c r="BF7" s="54">
        <f t="shared" si="3"/>
        <v>3079.7599999999998</v>
      </c>
      <c r="BG7" s="54">
        <f t="shared" si="4"/>
        <v>218.59666666666666</v>
      </c>
      <c r="BH7" s="54">
        <f t="shared" si="5"/>
        <v>218.59666666666666</v>
      </c>
      <c r="BI7" s="54">
        <f t="shared" si="6"/>
        <v>72.865555555555559</v>
      </c>
      <c r="BJ7" s="54">
        <f t="shared" si="7"/>
        <v>510.05888888888887</v>
      </c>
      <c r="BK7" s="54">
        <f>VLOOKUP(A7,'Custo_Fopag (2)'!$A:$BQ,65,0)</f>
        <v>524.63</v>
      </c>
      <c r="BL7" s="54">
        <f>VLOOKUP(A7,'Custo_Fopag (2)'!$A:$BQP,66,0)</f>
        <v>39.340000000000003</v>
      </c>
      <c r="BM7" s="54">
        <f>VLOOKUP(A7,'Custo_Fopag (2)'!$A:$BQ,67,0)</f>
        <v>152.13999999999999</v>
      </c>
      <c r="BN7" s="54">
        <f>VLOOKUP(A7,'Custo_Fopag (2)'!$A:$BQ,64,0)</f>
        <v>218.4</v>
      </c>
      <c r="BO7" s="54">
        <f t="shared" si="8"/>
        <v>934.51</v>
      </c>
      <c r="BP7" s="54">
        <f t="shared" si="9"/>
        <v>4014.2699999999995</v>
      </c>
      <c r="BQ7" s="54">
        <f t="shared" si="10"/>
        <v>4524.3288888888883</v>
      </c>
      <c r="BR7" s="109">
        <f>VLOOKUP(A7,'Custo_Fopag (2)'!$A:$BQ,60,0)</f>
        <v>0</v>
      </c>
      <c r="BS7" s="83" t="str">
        <f t="shared" si="11"/>
        <v>Ativo</v>
      </c>
    </row>
    <row r="8" spans="1:71" x14ac:dyDescent="0.25">
      <c r="A8" s="59" t="s">
        <v>206</v>
      </c>
      <c r="B8" s="88">
        <v>46082</v>
      </c>
      <c r="C8" s="59" t="s">
        <v>5</v>
      </c>
      <c r="D8" s="59" t="str">
        <f>VLOOKUP(A8,'Custo_Fopag (2)'!A:$BQ,4,0)</f>
        <v>G3S FL 10 - PRES PRUD</v>
      </c>
      <c r="E8" s="59"/>
      <c r="F8" s="59"/>
      <c r="G8" s="59" t="str">
        <f>VLOOKUP(A8,'Custo_Fopag (2)'!$A:$BQ,5,0)</f>
        <v>20.947.332/0010-86</v>
      </c>
      <c r="H8" s="59" t="str">
        <f>VLOOKUP(A8,'Custo_Fopag (2)'!$A:$BQ,6,0)</f>
        <v>ADMINISTRATIVO</v>
      </c>
      <c r="I8" s="59" t="str">
        <f>VLOOKUP(A8,'Custo_Fopag (2)'!$A:$BQ,7,0)</f>
        <v>CONTABILIDADE</v>
      </c>
      <c r="J8" s="59" t="str">
        <f>VLOOKUP(A8,'Custo_Fopag (2)'!$A:$BQ,8,0)</f>
        <v>PILARES</v>
      </c>
      <c r="K8" s="78">
        <f>VLOOKUP(A8,'Custo_Fopag (2)'!$A:$BQ,9,0)</f>
        <v>45552</v>
      </c>
      <c r="N8" s="3" t="str">
        <f>VLOOKUP(A8,'Custo_Fopag (2)'!$A:$BQ,11,0)</f>
        <v>1.1.4 CONTABILIDADE/FISCAL</v>
      </c>
      <c r="O8" s="3" t="str">
        <f>VLOOKUP(A8,'Custo_Fopag (2)'!$A:$BQ,12,0)</f>
        <v>ANALISTA CONTABIL JUNIOR</v>
      </c>
      <c r="P8" s="126">
        <f>VLOOKUP(A8,'Custo_Fopag (2)'!$A:$BQ,13,0)</f>
        <v>2656.25</v>
      </c>
      <c r="Q8" s="127">
        <f>VLOOKUP(A8,'Custo_Fopag (2)'!$A:$BQ,16,0)</f>
        <v>2656.25</v>
      </c>
      <c r="R8" s="56">
        <f>VLOOKUP(A8,'Custo_Fopag (2)'!$A:$BQ,17,0)</f>
        <v>0</v>
      </c>
      <c r="S8" s="54">
        <f>VLOOKUP(A8,'Custo_Fopag (2)'!$A:$BP,18,0)</f>
        <v>0</v>
      </c>
      <c r="T8" s="54">
        <f>VLOOKUP(A8,'Custo_Fopag (2)'!$A:$BQ,20,0)</f>
        <v>0</v>
      </c>
      <c r="U8" s="54">
        <f>VLOOKUP(A8,'Custo_Fopag (2)'!$A:$BQ,21,0)</f>
        <v>0</v>
      </c>
      <c r="V8" s="54">
        <f>VLOOKUP(A8,'Custo_Fopag (2)'!$A:$BQ,22,0)</f>
        <v>0</v>
      </c>
      <c r="W8" s="54">
        <f>VLOOKUP(A8,'Custo_Fopag (2)'!$A:$BQ,23,0)</f>
        <v>0</v>
      </c>
      <c r="X8" s="54">
        <f>VLOOKUP(A8,'Custo_Fopag (2)'!$A:$BQ,24,0)</f>
        <v>0</v>
      </c>
      <c r="Y8" s="55">
        <f>VLOOKUP(A8,'Custo_Fopag (2)'!$A:$BQ,25,0)</f>
        <v>0</v>
      </c>
      <c r="Z8" s="54">
        <f>VLOOKUP(A8,'Custo_Fopag (2)'!$A:$BQ,26,0)</f>
        <v>0</v>
      </c>
      <c r="AA8" s="54">
        <f>VLOOKUP(A8,'Custo_Fopag (2)'!$A:$BQ,27,0)</f>
        <v>0</v>
      </c>
      <c r="AB8" s="54">
        <f>VLOOKUP(A8,'Custo_Fopag (2)'!$A:$BQ,28,0)</f>
        <v>0</v>
      </c>
      <c r="AC8" s="54">
        <f>VLOOKUP(A8,'Custo_Fopag (2)'!$A:$BQ,29,0)</f>
        <v>0</v>
      </c>
      <c r="AD8" s="54">
        <f>VLOOKUP(A8,'Custo_Fopag (2)'!$A:$BQ,30,0)</f>
        <v>0</v>
      </c>
      <c r="AE8" s="54">
        <f>VLOOKUP(A8,'Custo_Fopag (2)'!$A:$BQ,31,0)</f>
        <v>0</v>
      </c>
      <c r="AF8" s="54">
        <f>VLOOKUP(A8,'Custo_Fopag (2)'!$A:$BQ,32,0)</f>
        <v>0</v>
      </c>
      <c r="AG8" s="54">
        <f t="shared" si="0"/>
        <v>2656.25</v>
      </c>
      <c r="AH8" s="121">
        <f>VLOOKUP(A8,'Custo_Fopag (2)'!$A:$BQ,45,0)</f>
        <v>0</v>
      </c>
      <c r="AI8" s="54">
        <f>_xlfn.XLOOKUP(A8,Beneficios!A:A,Beneficios!B:B,0,0,1)</f>
        <v>521.87</v>
      </c>
      <c r="AJ8" s="54">
        <f>VLOOKUP(A8,'Custo_Fopag (2)'!$A:$BQ,47,0)</f>
        <v>0</v>
      </c>
      <c r="AK8" s="54">
        <v>0</v>
      </c>
      <c r="AL8" s="54">
        <f>VLOOKUP(A8,'Custo_Fopag (2)'!$A:$BQ,35,0)</f>
        <v>0</v>
      </c>
      <c r="AM8" s="54">
        <f>VLOOKUP(A8,'Custo_Fopag (2)'!$A:$BQ,36,0)</f>
        <v>0</v>
      </c>
      <c r="AN8" s="54">
        <f>VLOOKUP(A8,'Custo_Fopag (2)'!$A:$BQ,37,0)</f>
        <v>0</v>
      </c>
      <c r="AO8" s="54">
        <f>VLOOKUP(A8,'Custo_Fopag (2)'!$A:$BQ,39,0)</f>
        <v>0</v>
      </c>
      <c r="AP8" s="54">
        <f>VLOOKUP(A8,'Custo_Fopag (2)'!$A:$BQ,42,0)</f>
        <v>0</v>
      </c>
      <c r="AQ8" s="54">
        <f>VLOOKUP(A8,'Custo_Fopag (2)'!$A:$BQ,40,0)</f>
        <v>0</v>
      </c>
      <c r="AR8" s="54">
        <f>VLOOKUP(A8,'Custo_Fopag (2)'!$A:$BQ,41,0)</f>
        <v>0</v>
      </c>
      <c r="AS8" s="54">
        <f>VLOOKUP(A8,'Custo_Fopag (2)'!$A:$BQ,38,0)</f>
        <v>0</v>
      </c>
      <c r="AT8" s="54">
        <f>VLOOKUP(A8,'Custo_Fopag (2)'!$A:$BQ,43,0)</f>
        <v>0</v>
      </c>
      <c r="AU8" s="54">
        <f>VLOOKUP(A8,'Custo_Fopag (2)'!$A:$BQ,48,0)</f>
        <v>0</v>
      </c>
      <c r="AV8" s="54">
        <f>VLOOKUP(A8,'Custo_Fopag (2)'!$A:$BQ,49,0)</f>
        <v>0</v>
      </c>
      <c r="AW8" s="54">
        <f>VLOOKUP(A8,'Custo_Fopag (2)'!$A:$BQ,19,0)</f>
        <v>0</v>
      </c>
      <c r="AX8" s="54">
        <f>VLOOKUP(A8,'Custo_Fopag (2)'!$A:$BQ,50,0)</f>
        <v>0</v>
      </c>
      <c r="AY8" s="54">
        <f>VLOOKUP(A8,'Custo_Fopag (2)'!$A:$BQ,51,0)</f>
        <v>0</v>
      </c>
      <c r="AZ8" s="117">
        <v>0</v>
      </c>
      <c r="BA8" s="54">
        <f>VLOOKUP(A8,'Custo_Fopag (2)'!$A:$BQ,54,0)</f>
        <v>0</v>
      </c>
      <c r="BB8" s="54">
        <f>VLOOKUP(A8,'Custo_Fopag (2)'!$A:$BQ,52,0)</f>
        <v>0</v>
      </c>
      <c r="BC8" s="122">
        <f t="shared" si="1"/>
        <v>521.87</v>
      </c>
      <c r="BD8" s="54">
        <f t="shared" si="2"/>
        <v>3178.12</v>
      </c>
      <c r="BE8" s="57"/>
      <c r="BF8" s="54">
        <f t="shared" si="3"/>
        <v>3178.12</v>
      </c>
      <c r="BG8" s="54">
        <f t="shared" si="4"/>
        <v>221.35416666666666</v>
      </c>
      <c r="BH8" s="54">
        <f t="shared" si="5"/>
        <v>221.35416666666666</v>
      </c>
      <c r="BI8" s="54">
        <f t="shared" si="6"/>
        <v>73.784722222222214</v>
      </c>
      <c r="BJ8" s="54">
        <f t="shared" si="7"/>
        <v>516.49305555555554</v>
      </c>
      <c r="BK8" s="54">
        <f>VLOOKUP(A8,'Custo_Fopag (2)'!$A:$BQ,65,0)</f>
        <v>531.25</v>
      </c>
      <c r="BL8" s="54">
        <f>VLOOKUP(A8,'Custo_Fopag (2)'!$A:$BQP,66,0)</f>
        <v>79.680000000000007</v>
      </c>
      <c r="BM8" s="54">
        <f>VLOOKUP(A8,'Custo_Fopag (2)'!$A:$BQ,67,0)</f>
        <v>154.06</v>
      </c>
      <c r="BN8" s="54">
        <f>VLOOKUP(A8,'Custo_Fopag (2)'!$A:$BQ,64,0)</f>
        <v>212.5</v>
      </c>
      <c r="BO8" s="54">
        <f t="shared" si="8"/>
        <v>977.49</v>
      </c>
      <c r="BP8" s="54">
        <f t="shared" si="9"/>
        <v>4155.6099999999997</v>
      </c>
      <c r="BQ8" s="54">
        <f t="shared" si="10"/>
        <v>4672.1030555555553</v>
      </c>
      <c r="BR8" s="109">
        <f>VLOOKUP(A8,'Custo_Fopag (2)'!$A:$BQ,60,0)</f>
        <v>0</v>
      </c>
      <c r="BS8" s="83" t="str">
        <f t="shared" si="11"/>
        <v>Ativo</v>
      </c>
    </row>
    <row r="9" spans="1:71" x14ac:dyDescent="0.25">
      <c r="A9" s="3" t="s">
        <v>309</v>
      </c>
      <c r="B9" s="88">
        <v>46082</v>
      </c>
      <c r="C9" s="3" t="s">
        <v>5</v>
      </c>
      <c r="D9" s="59" t="str">
        <f>VLOOKUP(A9,'Custo_Fopag (2)'!A:$BQ,4,0)</f>
        <v>G3S  FL 04 - PRES PRUD</v>
      </c>
      <c r="E9" s="59"/>
      <c r="F9" s="59"/>
      <c r="G9" s="59" t="str">
        <f>VLOOKUP(A9,'Custo_Fopag (2)'!$A:$BQ,5,0)</f>
        <v>20.947.332/0004-38</v>
      </c>
      <c r="H9" s="59" t="str">
        <f>VLOOKUP(A9,'Custo_Fopag (2)'!$A:$BQ,6,0)</f>
        <v>OPERACIONAL</v>
      </c>
      <c r="I9" s="59" t="str">
        <f>VLOOKUP(A9,'Custo_Fopag (2)'!$A:$BQ,7,0)</f>
        <v>PATIO</v>
      </c>
      <c r="J9" s="59" t="str">
        <f>VLOOKUP(A9,'Custo_Fopag (2)'!$A:$BQ,8,0)</f>
        <v>SELETIVA PRESIDENTE PRUDENTE</v>
      </c>
      <c r="K9" s="78">
        <f>VLOOKUP(A9,'Custo_Fopag (2)'!$A:$BQ,9,0)</f>
        <v>46064</v>
      </c>
      <c r="N9" s="3" t="str">
        <f>VLOOKUP(A9,'Custo_Fopag (2)'!$A:$BQ,11,0)</f>
        <v>1.2.5.3 OPERACIONAL</v>
      </c>
      <c r="O9" s="3" t="str">
        <f>VLOOKUP(A9,'Custo_Fopag (2)'!$A:$BQ,12,0)</f>
        <v>MACARIQUEIRO PLENO</v>
      </c>
      <c r="P9" s="126">
        <f>VLOOKUP(A9,'Custo_Fopag (2)'!$A:$BQ,13,0)</f>
        <v>2587.5</v>
      </c>
      <c r="Q9" s="127">
        <f>VLOOKUP(A9,'Custo_Fopag (2)'!$A:$BQ,16,0)</f>
        <v>2587.5</v>
      </c>
      <c r="R9" s="56">
        <f>VLOOKUP(A9,'Custo_Fopag (2)'!$A:$BQ,17,0)</f>
        <v>0</v>
      </c>
      <c r="S9" s="54">
        <f>VLOOKUP(A9,'Custo_Fopag (2)'!$A:$BP,18,0)</f>
        <v>0</v>
      </c>
      <c r="T9" s="54">
        <f>VLOOKUP(A9,'Custo_Fopag (2)'!$A:$BQ,20,0)</f>
        <v>0</v>
      </c>
      <c r="U9" s="54">
        <f>VLOOKUP(A9,'Custo_Fopag (2)'!$A:$BQ,21,0)</f>
        <v>0</v>
      </c>
      <c r="V9" s="54">
        <f>VLOOKUP(A9,'Custo_Fopag (2)'!$A:$BQ,22,0)</f>
        <v>0</v>
      </c>
      <c r="W9" s="54">
        <f>VLOOKUP(A9,'Custo_Fopag (2)'!$A:$BQ,23,0)</f>
        <v>0</v>
      </c>
      <c r="X9" s="54">
        <f>VLOOKUP(A9,'Custo_Fopag (2)'!$A:$BQ,24,0)</f>
        <v>0</v>
      </c>
      <c r="Y9" s="55">
        <f>VLOOKUP(A9,'Custo_Fopag (2)'!$A:$BQ,25,0)</f>
        <v>0</v>
      </c>
      <c r="Z9" s="54">
        <f>VLOOKUP(A9,'Custo_Fopag (2)'!$A:$BQ,26,0)</f>
        <v>0</v>
      </c>
      <c r="AA9" s="54">
        <f>VLOOKUP(A9,'Custo_Fopag (2)'!$A:$BQ,27,0)</f>
        <v>0</v>
      </c>
      <c r="AB9" s="54">
        <f>VLOOKUP(A9,'Custo_Fopag (2)'!$A:$BQ,28,0)</f>
        <v>0</v>
      </c>
      <c r="AC9" s="54">
        <f>VLOOKUP(A9,'Custo_Fopag (2)'!$A:$BQ,29,0)</f>
        <v>0</v>
      </c>
      <c r="AD9" s="54">
        <f>VLOOKUP(A9,'Custo_Fopag (2)'!$A:$BQ,30,0)</f>
        <v>0</v>
      </c>
      <c r="AE9" s="54">
        <f>VLOOKUP(A9,'Custo_Fopag (2)'!$A:$BQ,31,0)</f>
        <v>0</v>
      </c>
      <c r="AF9" s="54">
        <f>VLOOKUP(A9,'Custo_Fopag (2)'!$A:$BQ,32,0)</f>
        <v>0</v>
      </c>
      <c r="AG9" s="54">
        <f t="shared" si="0"/>
        <v>2587.5</v>
      </c>
      <c r="AH9" s="121">
        <f>VLOOKUP(A9,'Custo_Fopag (2)'!$A:$BQ,45,0)</f>
        <v>0</v>
      </c>
      <c r="AI9" s="54">
        <f>_xlfn.XLOOKUP(A9,Beneficios!A:A,Beneficios!B:B,0,0,1)</f>
        <v>512.87</v>
      </c>
      <c r="AJ9" s="54">
        <f>VLOOKUP(A9,'Custo_Fopag (2)'!$A:$BQ,47,0)</f>
        <v>0</v>
      </c>
      <c r="AK9" s="54">
        <v>0</v>
      </c>
      <c r="AL9" s="54">
        <f>VLOOKUP(A9,'Custo_Fopag (2)'!$A:$BQ,35,0)</f>
        <v>0</v>
      </c>
      <c r="AM9" s="54">
        <f>VLOOKUP(A9,'Custo_Fopag (2)'!$A:$BQ,36,0)</f>
        <v>0</v>
      </c>
      <c r="AN9" s="54">
        <f>VLOOKUP(A9,'Custo_Fopag (2)'!$A:$BQ,37,0)</f>
        <v>0</v>
      </c>
      <c r="AO9" s="54">
        <f>VLOOKUP(A9,'Custo_Fopag (2)'!$A:$BQ,39,0)</f>
        <v>0</v>
      </c>
      <c r="AP9" s="54">
        <f>VLOOKUP(A9,'Custo_Fopag (2)'!$A:$BQ,42,0)</f>
        <v>0</v>
      </c>
      <c r="AQ9" s="54">
        <f>VLOOKUP(A9,'Custo_Fopag (2)'!$A:$BQ,40,0)</f>
        <v>0</v>
      </c>
      <c r="AR9" s="54">
        <f>VLOOKUP(A9,'Custo_Fopag (2)'!$A:$BQ,41,0)</f>
        <v>579.34</v>
      </c>
      <c r="AS9" s="54">
        <f>VLOOKUP(A9,'Custo_Fopag (2)'!$A:$BQ,38,0)</f>
        <v>0</v>
      </c>
      <c r="AT9" s="54">
        <f>VLOOKUP(A9,'Custo_Fopag (2)'!$A:$BQ,43,0)</f>
        <v>0</v>
      </c>
      <c r="AU9" s="54">
        <f>VLOOKUP(A9,'Custo_Fopag (2)'!$A:$BQ,48,0)</f>
        <v>0</v>
      </c>
      <c r="AV9" s="54">
        <f>VLOOKUP(A9,'Custo_Fopag (2)'!$A:$BQ,49,0)</f>
        <v>0</v>
      </c>
      <c r="AW9" s="54">
        <f>VLOOKUP(A9,'Custo_Fopag (2)'!$A:$BQ,19,0)</f>
        <v>0</v>
      </c>
      <c r="AX9" s="54">
        <f>VLOOKUP(A9,'Custo_Fopag (2)'!$A:$BQ,50,0)</f>
        <v>0</v>
      </c>
      <c r="AY9" s="54">
        <f>VLOOKUP(A9,'Custo_Fopag (2)'!$A:$BQ,51,0)</f>
        <v>0</v>
      </c>
      <c r="AZ9" s="117">
        <v>0</v>
      </c>
      <c r="BA9" s="54">
        <f>VLOOKUP(A9,'Custo_Fopag (2)'!$A:$BQ,54,0)</f>
        <v>0</v>
      </c>
      <c r="BB9" s="54">
        <f>VLOOKUP(A9,'Custo_Fopag (2)'!$A:$BQ,52,0)</f>
        <v>0</v>
      </c>
      <c r="BC9" s="122">
        <f t="shared" si="1"/>
        <v>1092.21</v>
      </c>
      <c r="BD9" s="54">
        <f t="shared" si="2"/>
        <v>3679.71</v>
      </c>
      <c r="BE9" s="57"/>
      <c r="BF9" s="54">
        <f t="shared" si="3"/>
        <v>3679.71</v>
      </c>
      <c r="BG9" s="54">
        <f t="shared" si="4"/>
        <v>215.625</v>
      </c>
      <c r="BH9" s="54">
        <f t="shared" si="5"/>
        <v>215.625</v>
      </c>
      <c r="BI9" s="54">
        <f t="shared" si="6"/>
        <v>71.875</v>
      </c>
      <c r="BJ9" s="54">
        <f t="shared" si="7"/>
        <v>503.125</v>
      </c>
      <c r="BK9" s="54">
        <f>VLOOKUP(A9,'Custo_Fopag (2)'!$A:$BQ,65,0)</f>
        <v>517.5</v>
      </c>
      <c r="BL9" s="54">
        <f>VLOOKUP(A9,'Custo_Fopag (2)'!$A:$BQP,66,0)</f>
        <v>38.81</v>
      </c>
      <c r="BM9" s="54">
        <f>VLOOKUP(A9,'Custo_Fopag (2)'!$A:$BQ,67,0)</f>
        <v>150.07</v>
      </c>
      <c r="BN9" s="54">
        <f>VLOOKUP(A9,'Custo_Fopag (2)'!$A:$BQ,64,0)</f>
        <v>207</v>
      </c>
      <c r="BO9" s="54">
        <f t="shared" si="8"/>
        <v>913.37999999999988</v>
      </c>
      <c r="BP9" s="54">
        <f t="shared" si="9"/>
        <v>4593.09</v>
      </c>
      <c r="BQ9" s="54">
        <f t="shared" si="10"/>
        <v>5096.2150000000001</v>
      </c>
      <c r="BR9" s="109">
        <f>VLOOKUP(A9,'Custo_Fopag (2)'!$A:$BQ,60,0)</f>
        <v>0</v>
      </c>
      <c r="BS9" s="83" t="str">
        <f t="shared" si="11"/>
        <v>Ativo</v>
      </c>
    </row>
    <row r="10" spans="1:71" x14ac:dyDescent="0.25">
      <c r="A10" s="106" t="s">
        <v>339</v>
      </c>
      <c r="B10" s="88">
        <v>46082</v>
      </c>
      <c r="C10" s="59" t="s">
        <v>5</v>
      </c>
      <c r="D10" s="59" t="str">
        <f>VLOOKUP(A10,'Custo_Fopag (2)'!A:$BQ,4,0)</f>
        <v>G3S FL 05 - PRES PRUD</v>
      </c>
      <c r="E10" s="59"/>
      <c r="F10" s="59"/>
      <c r="G10" s="59" t="str">
        <f>VLOOKUP(A10,'Custo_Fopag (2)'!$A:$BQ,5,0)</f>
        <v>20.947.332/0005-19</v>
      </c>
      <c r="H10" s="59" t="str">
        <f>VLOOKUP(A10,'Custo_Fopag (2)'!$A:$BQ,6,0)</f>
        <v>TRANSMOVE</v>
      </c>
      <c r="I10" s="59" t="str">
        <f>VLOOKUP(A10,'Custo_Fopag (2)'!$A:$BQ,7,0)</f>
        <v>ADMINISTRATIVO</v>
      </c>
      <c r="J10" s="59" t="str">
        <f>VLOOKUP(A10,'Custo_Fopag (2)'!$A:$BQ,8,0)</f>
        <v>TRANSMOVE GSL</v>
      </c>
      <c r="K10" s="78">
        <f>VLOOKUP(A10,'Custo_Fopag (2)'!$A:$BQ,9,0)</f>
        <v>45925</v>
      </c>
      <c r="N10" s="3" t="str">
        <f>VLOOKUP(A10,'Custo_Fopag (2)'!$A:$BQ,11,0)</f>
        <v>1.4.1.2 ADMINISTRATIVO</v>
      </c>
      <c r="O10" s="3" t="str">
        <f>VLOOKUP(A10,'Custo_Fopag (2)'!$A:$BQ,12,0)</f>
        <v>SUPERVISOR(A) DE LOGISTICA</v>
      </c>
      <c r="P10" s="126">
        <f>VLOOKUP(A10,'Custo_Fopag (2)'!$A:$BQ,13,0)</f>
        <v>3500</v>
      </c>
      <c r="Q10" s="127">
        <f>VLOOKUP(A10,'Custo_Fopag (2)'!$A:$BQ,16,0)</f>
        <v>3500</v>
      </c>
      <c r="R10" s="56">
        <f>VLOOKUP(A10,'Custo_Fopag (2)'!$A:$BQ,17,0)</f>
        <v>0</v>
      </c>
      <c r="S10" s="54">
        <f>VLOOKUP(A10,'Custo_Fopag (2)'!$A:$BP,18,0)</f>
        <v>0</v>
      </c>
      <c r="T10" s="54">
        <f>VLOOKUP(A10,'Custo_Fopag (2)'!$A:$BQ,20,0)</f>
        <v>0</v>
      </c>
      <c r="U10" s="54">
        <f>VLOOKUP(A10,'Custo_Fopag (2)'!$A:$BQ,21,0)</f>
        <v>0</v>
      </c>
      <c r="V10" s="54">
        <f>VLOOKUP(A10,'Custo_Fopag (2)'!$A:$BQ,22,0)</f>
        <v>0</v>
      </c>
      <c r="W10" s="54">
        <f>VLOOKUP(A10,'Custo_Fopag (2)'!$A:$BQ,23,0)</f>
        <v>1400</v>
      </c>
      <c r="X10" s="54">
        <f>VLOOKUP(A10,'Custo_Fopag (2)'!$A:$BQ,24,0)</f>
        <v>0</v>
      </c>
      <c r="Y10" s="55">
        <f>VLOOKUP(A10,'Custo_Fopag (2)'!$A:$BQ,25,0)</f>
        <v>0</v>
      </c>
      <c r="Z10" s="54">
        <f>VLOOKUP(A10,'Custo_Fopag (2)'!$A:$BQ,26,0)</f>
        <v>0</v>
      </c>
      <c r="AA10" s="54">
        <f>VLOOKUP(A10,'Custo_Fopag (2)'!$A:$BQ,27,0)</f>
        <v>0</v>
      </c>
      <c r="AB10" s="54">
        <f>VLOOKUP(A10,'Custo_Fopag (2)'!$A:$BQ,28,0)</f>
        <v>0</v>
      </c>
      <c r="AC10" s="54">
        <f>VLOOKUP(A10,'Custo_Fopag (2)'!$A:$BQ,29,0)</f>
        <v>0</v>
      </c>
      <c r="AD10" s="54">
        <f>VLOOKUP(A10,'Custo_Fopag (2)'!$A:$BQ,30,0)</f>
        <v>0</v>
      </c>
      <c r="AE10" s="54">
        <f>VLOOKUP(A10,'Custo_Fopag (2)'!$A:$BQ,31,0)</f>
        <v>0</v>
      </c>
      <c r="AF10" s="54">
        <f>VLOOKUP(A10,'Custo_Fopag (2)'!$A:$BQ,32,0)</f>
        <v>0</v>
      </c>
      <c r="AG10" s="54">
        <f t="shared" si="0"/>
        <v>4900</v>
      </c>
      <c r="AH10" s="121">
        <f>VLOOKUP(A10,'Custo_Fopag (2)'!$A:$BQ,45,0)</f>
        <v>0</v>
      </c>
      <c r="AI10" s="54">
        <f>_xlfn.XLOOKUP(A10,Beneficios!A:A,Beneficios!B:B,0,0,1)</f>
        <v>0</v>
      </c>
      <c r="AJ10" s="54">
        <f>VLOOKUP(A10,'Custo_Fopag (2)'!$A:$BQ,47,0)</f>
        <v>0</v>
      </c>
      <c r="AK10" s="54">
        <v>0</v>
      </c>
      <c r="AL10" s="54">
        <f>VLOOKUP(A10,'Custo_Fopag (2)'!$A:$BQ,35,0)</f>
        <v>0</v>
      </c>
      <c r="AM10" s="54">
        <f>VLOOKUP(A10,'Custo_Fopag (2)'!$A:$BQ,36,0)</f>
        <v>0</v>
      </c>
      <c r="AN10" s="54">
        <f>VLOOKUP(A10,'Custo_Fopag (2)'!$A:$BQ,37,0)</f>
        <v>0</v>
      </c>
      <c r="AO10" s="54">
        <f>VLOOKUP(A10,'Custo_Fopag (2)'!$A:$BQ,39,0)</f>
        <v>0</v>
      </c>
      <c r="AP10" s="54">
        <f>VLOOKUP(A10,'Custo_Fopag (2)'!$A:$BQ,42,0)</f>
        <v>100</v>
      </c>
      <c r="AQ10" s="54">
        <f>VLOOKUP(A10,'Custo_Fopag (2)'!$A:$BQ,40,0)</f>
        <v>0</v>
      </c>
      <c r="AR10" s="54">
        <f>VLOOKUP(A10,'Custo_Fopag (2)'!$A:$BQ,41,0)</f>
        <v>0</v>
      </c>
      <c r="AS10" s="54">
        <f>VLOOKUP(A10,'Custo_Fopag (2)'!$A:$BQ,38,0)</f>
        <v>0</v>
      </c>
      <c r="AT10" s="54">
        <f>VLOOKUP(A10,'Custo_Fopag (2)'!$A:$BQ,43,0)</f>
        <v>0</v>
      </c>
      <c r="AU10" s="54">
        <f>VLOOKUP(A10,'Custo_Fopag (2)'!$A:$BQ,48,0)</f>
        <v>0</v>
      </c>
      <c r="AV10" s="54">
        <f>VLOOKUP(A10,'Custo_Fopag (2)'!$A:$BQ,49,0)</f>
        <v>0</v>
      </c>
      <c r="AW10" s="54">
        <f>VLOOKUP(A10,'Custo_Fopag (2)'!$A:$BQ,19,0)</f>
        <v>0</v>
      </c>
      <c r="AX10" s="54">
        <f>VLOOKUP(A10,'Custo_Fopag (2)'!$A:$BQ,50,0)</f>
        <v>0</v>
      </c>
      <c r="AY10" s="54">
        <f>VLOOKUP(A10,'Custo_Fopag (2)'!$A:$BQ,51,0)</f>
        <v>0</v>
      </c>
      <c r="AZ10" s="117">
        <v>0</v>
      </c>
      <c r="BA10" s="54">
        <f>VLOOKUP(A10,'Custo_Fopag (2)'!$A:$BQ,54,0)</f>
        <v>0</v>
      </c>
      <c r="BB10" s="54">
        <f>VLOOKUP(A10,'Custo_Fopag (2)'!$A:$BQ,52,0)</f>
        <v>0</v>
      </c>
      <c r="BC10" s="122">
        <f t="shared" si="1"/>
        <v>100</v>
      </c>
      <c r="BD10" s="54">
        <f t="shared" si="2"/>
        <v>5000</v>
      </c>
      <c r="BE10" s="57">
        <v>4238.33</v>
      </c>
      <c r="BF10" s="54">
        <f t="shared" si="3"/>
        <v>9238.33</v>
      </c>
      <c r="BG10" s="54">
        <f t="shared" si="4"/>
        <v>408.33333333333331</v>
      </c>
      <c r="BH10" s="54">
        <f t="shared" si="5"/>
        <v>408.33333333333331</v>
      </c>
      <c r="BI10" s="54">
        <f t="shared" si="6"/>
        <v>136.11111111111111</v>
      </c>
      <c r="BJ10" s="54">
        <f t="shared" si="7"/>
        <v>952.77777777777771</v>
      </c>
      <c r="BK10" s="54">
        <f>VLOOKUP(A10,'Custo_Fopag (2)'!$A:$BQ,65,0)</f>
        <v>980</v>
      </c>
      <c r="BL10" s="54">
        <f>VLOOKUP(A10,'Custo_Fopag (2)'!$A:$BQP,66,0)</f>
        <v>73.5</v>
      </c>
      <c r="BM10" s="54">
        <f>VLOOKUP(A10,'Custo_Fopag (2)'!$A:$BQ,67,0)</f>
        <v>284.2</v>
      </c>
      <c r="BN10" s="54">
        <f>VLOOKUP(A10,'Custo_Fopag (2)'!$A:$BQ,64,0)</f>
        <v>392</v>
      </c>
      <c r="BO10" s="54">
        <f t="shared" si="8"/>
        <v>1729.7</v>
      </c>
      <c r="BP10" s="54">
        <f t="shared" si="9"/>
        <v>10968.03</v>
      </c>
      <c r="BQ10" s="54">
        <f t="shared" si="10"/>
        <v>11920.807777777778</v>
      </c>
      <c r="BR10" s="109">
        <f>VLOOKUP(A10,'Custo_Fopag (2)'!$A:$BQ,60,0)</f>
        <v>0</v>
      </c>
      <c r="BS10" s="83" t="str">
        <f t="shared" si="11"/>
        <v>Ativo</v>
      </c>
    </row>
    <row r="11" spans="1:71" x14ac:dyDescent="0.25">
      <c r="A11" s="59" t="s">
        <v>303</v>
      </c>
      <c r="B11" s="88">
        <v>46082</v>
      </c>
      <c r="C11" s="59" t="s">
        <v>5</v>
      </c>
      <c r="D11" s="59" t="str">
        <f>VLOOKUP(A11,'Custo_Fopag (2)'!A:$BQ,4,0)</f>
        <v>G3S  FL 04 - PRES PRUD</v>
      </c>
      <c r="E11" s="59"/>
      <c r="F11" s="59"/>
      <c r="G11" s="59" t="str">
        <f>VLOOKUP(A11,'Custo_Fopag (2)'!$A:$BQ,5,0)</f>
        <v>20.947.332/0004-38</v>
      </c>
      <c r="H11" s="59" t="str">
        <f>VLOOKUP(A11,'Custo_Fopag (2)'!$A:$BQ,6,0)</f>
        <v>ADMINISTRATIVO</v>
      </c>
      <c r="I11" s="59" t="str">
        <f>VLOOKUP(A11,'Custo_Fopag (2)'!$A:$BQ,7,0)</f>
        <v>ATENDIMENTO</v>
      </c>
      <c r="J11" s="59" t="str">
        <f>VLOOKUP(A11,'Custo_Fopag (2)'!$A:$BQ,8,0)</f>
        <v>SELETIVA PRESIDENTE PRUDENTE</v>
      </c>
      <c r="K11" s="78">
        <f>VLOOKUP(A11,'Custo_Fopag (2)'!$A:$BQ,9,0)</f>
        <v>44635</v>
      </c>
      <c r="N11" s="3" t="str">
        <f>VLOOKUP(A11,'Custo_Fopag (2)'!$A:$BQ,11,0)</f>
        <v>1.2.5.1 ADMINISTRATIVO</v>
      </c>
      <c r="O11" s="3" t="str">
        <f>VLOOKUP(A11,'Custo_Fopag (2)'!$A:$BQ,12,0)</f>
        <v>AUX ADMINISTRATIVO SENIOR</v>
      </c>
      <c r="P11" s="126">
        <f>VLOOKUP(A11,'Custo_Fopag (2)'!$A:$BQ,13,0)</f>
        <v>2950</v>
      </c>
      <c r="Q11" s="127">
        <f>VLOOKUP(A11,'Custo_Fopag (2)'!$A:$BQ,16,0)</f>
        <v>2950</v>
      </c>
      <c r="R11" s="56">
        <f>VLOOKUP(A11,'Custo_Fopag (2)'!$A:$BQ,17,0)</f>
        <v>0</v>
      </c>
      <c r="S11" s="54">
        <f>VLOOKUP(A11,'Custo_Fopag (2)'!$A:$BP,18,0)</f>
        <v>0</v>
      </c>
      <c r="T11" s="54">
        <f>VLOOKUP(A11,'Custo_Fopag (2)'!$A:$BQ,20,0)</f>
        <v>0</v>
      </c>
      <c r="U11" s="54">
        <f>VLOOKUP(A11,'Custo_Fopag (2)'!$A:$BQ,21,0)</f>
        <v>0</v>
      </c>
      <c r="V11" s="54">
        <f>VLOOKUP(A11,'Custo_Fopag (2)'!$A:$BQ,22,0)</f>
        <v>0</v>
      </c>
      <c r="W11" s="54">
        <f>VLOOKUP(A11,'Custo_Fopag (2)'!$A:$BQ,23,0)</f>
        <v>0</v>
      </c>
      <c r="X11" s="54">
        <f>VLOOKUP(A11,'Custo_Fopag (2)'!$A:$BQ,24,0)</f>
        <v>0</v>
      </c>
      <c r="Y11" s="55">
        <f>VLOOKUP(A11,'Custo_Fopag (2)'!$A:$BQ,25,0)</f>
        <v>0</v>
      </c>
      <c r="Z11" s="54">
        <f>VLOOKUP(A11,'Custo_Fopag (2)'!$A:$BQ,26,0)</f>
        <v>0</v>
      </c>
      <c r="AA11" s="54">
        <f>VLOOKUP(A11,'Custo_Fopag (2)'!$A:$BQ,27,0)</f>
        <v>0</v>
      </c>
      <c r="AB11" s="54">
        <f>VLOOKUP(A11,'Custo_Fopag (2)'!$A:$BQ,28,0)</f>
        <v>0</v>
      </c>
      <c r="AC11" s="54">
        <f>VLOOKUP(A11,'Custo_Fopag (2)'!$A:$BQ,29,0)</f>
        <v>0</v>
      </c>
      <c r="AD11" s="54">
        <f>VLOOKUP(A11,'Custo_Fopag (2)'!$A:$BQ,30,0)</f>
        <v>0</v>
      </c>
      <c r="AE11" s="54">
        <f>VLOOKUP(A11,'Custo_Fopag (2)'!$A:$BQ,31,0)</f>
        <v>0</v>
      </c>
      <c r="AF11" s="54">
        <f>VLOOKUP(A11,'Custo_Fopag (2)'!$A:$BQ,32,0)</f>
        <v>0</v>
      </c>
      <c r="AG11" s="54">
        <f t="shared" si="0"/>
        <v>2950</v>
      </c>
      <c r="AH11" s="121">
        <f>VLOOKUP(A11,'Custo_Fopag (2)'!$A:$BQ,45,0)</f>
        <v>0</v>
      </c>
      <c r="AI11" s="54">
        <f>_xlfn.XLOOKUP(A11,Beneficios!A:A,Beneficios!B:B,0,0,1)</f>
        <v>512.87</v>
      </c>
      <c r="AJ11" s="54">
        <f>VLOOKUP(A11,'Custo_Fopag (2)'!$A:$BQ,47,0)</f>
        <v>0</v>
      </c>
      <c r="AK11" s="54">
        <v>0</v>
      </c>
      <c r="AL11" s="54">
        <f>VLOOKUP(A11,'Custo_Fopag (2)'!$A:$BQ,35,0)</f>
        <v>0</v>
      </c>
      <c r="AM11" s="54">
        <f>VLOOKUP(A11,'Custo_Fopag (2)'!$A:$BQ,36,0)</f>
        <v>0</v>
      </c>
      <c r="AN11" s="54">
        <f>VLOOKUP(A11,'Custo_Fopag (2)'!$A:$BQ,37,0)</f>
        <v>0</v>
      </c>
      <c r="AO11" s="54">
        <f>VLOOKUP(A11,'Custo_Fopag (2)'!$A:$BQ,39,0)</f>
        <v>0</v>
      </c>
      <c r="AP11" s="54">
        <f>VLOOKUP(A11,'Custo_Fopag (2)'!$A:$BQ,42,0)</f>
        <v>0</v>
      </c>
      <c r="AQ11" s="54">
        <f>VLOOKUP(A11,'Custo_Fopag (2)'!$A:$BQ,40,0)</f>
        <v>0</v>
      </c>
      <c r="AR11" s="54">
        <f>VLOOKUP(A11,'Custo_Fopag (2)'!$A:$BQ,41,0)</f>
        <v>904.34</v>
      </c>
      <c r="AS11" s="54">
        <f>VLOOKUP(A11,'Custo_Fopag (2)'!$A:$BQ,38,0)</f>
        <v>0</v>
      </c>
      <c r="AT11" s="54">
        <f>VLOOKUP(A11,'Custo_Fopag (2)'!$A:$BQ,43,0)</f>
        <v>0</v>
      </c>
      <c r="AU11" s="54">
        <f>VLOOKUP(A11,'Custo_Fopag (2)'!$A:$BQ,48,0)</f>
        <v>0</v>
      </c>
      <c r="AV11" s="54">
        <f>VLOOKUP(A11,'Custo_Fopag (2)'!$A:$BQ,49,0)</f>
        <v>0</v>
      </c>
      <c r="AW11" s="54">
        <f>VLOOKUP(A11,'Custo_Fopag (2)'!$A:$BQ,19,0)</f>
        <v>0</v>
      </c>
      <c r="AX11" s="54">
        <f>VLOOKUP(A11,'Custo_Fopag (2)'!$A:$BQ,50,0)</f>
        <v>0</v>
      </c>
      <c r="AY11" s="54">
        <f>VLOOKUP(A11,'Custo_Fopag (2)'!$A:$BQ,51,0)</f>
        <v>0</v>
      </c>
      <c r="AZ11" s="117">
        <v>0</v>
      </c>
      <c r="BA11" s="54">
        <f>VLOOKUP(A11,'Custo_Fopag (2)'!$A:$BQ,54,0)</f>
        <v>0</v>
      </c>
      <c r="BB11" s="54">
        <f>VLOOKUP(A11,'Custo_Fopag (2)'!$A:$BQ,52,0)</f>
        <v>0</v>
      </c>
      <c r="BC11" s="122">
        <f t="shared" si="1"/>
        <v>1417.21</v>
      </c>
      <c r="BD11" s="54">
        <f t="shared" si="2"/>
        <v>4367.21</v>
      </c>
      <c r="BE11" s="57"/>
      <c r="BF11" s="54">
        <f t="shared" si="3"/>
        <v>4367.21</v>
      </c>
      <c r="BG11" s="54">
        <f t="shared" si="4"/>
        <v>245.83333333333334</v>
      </c>
      <c r="BH11" s="54">
        <f t="shared" si="5"/>
        <v>245.83333333333334</v>
      </c>
      <c r="BI11" s="54">
        <f t="shared" si="6"/>
        <v>81.944444444444443</v>
      </c>
      <c r="BJ11" s="54">
        <f t="shared" si="7"/>
        <v>573.61111111111109</v>
      </c>
      <c r="BK11" s="54">
        <f>VLOOKUP(A11,'Custo_Fopag (2)'!$A:$BQ,65,0)</f>
        <v>590</v>
      </c>
      <c r="BL11" s="54">
        <f>VLOOKUP(A11,'Custo_Fopag (2)'!$A:$BQP,66,0)</f>
        <v>44.25</v>
      </c>
      <c r="BM11" s="54">
        <f>VLOOKUP(A11,'Custo_Fopag (2)'!$A:$BQ,67,0)</f>
        <v>171.1</v>
      </c>
      <c r="BN11" s="54">
        <f>VLOOKUP(A11,'Custo_Fopag (2)'!$A:$BQ,64,0)</f>
        <v>236</v>
      </c>
      <c r="BO11" s="54">
        <f t="shared" si="8"/>
        <v>1041.3499999999999</v>
      </c>
      <c r="BP11" s="54">
        <f t="shared" si="9"/>
        <v>5408.5599999999995</v>
      </c>
      <c r="BQ11" s="54">
        <f t="shared" si="10"/>
        <v>5982.1711111111108</v>
      </c>
      <c r="BR11" s="109">
        <f>VLOOKUP(A11,'Custo_Fopag (2)'!$A:$BQ,60,0)</f>
        <v>0</v>
      </c>
      <c r="BS11" s="83" t="str">
        <f t="shared" si="11"/>
        <v>Ativo</v>
      </c>
    </row>
    <row r="12" spans="1:71" x14ac:dyDescent="0.25">
      <c r="A12" s="59" t="s">
        <v>300</v>
      </c>
      <c r="B12" s="88">
        <v>46082</v>
      </c>
      <c r="C12" s="59" t="s">
        <v>5</v>
      </c>
      <c r="D12" s="59" t="str">
        <f>VLOOKUP(A12,'Custo_Fopag (2)'!A:$BQ,4,0)</f>
        <v>G3S  FL 04 - PRES PRUD</v>
      </c>
      <c r="E12" s="59"/>
      <c r="F12" s="59"/>
      <c r="G12" s="59" t="str">
        <f>VLOOKUP(A12,'Custo_Fopag (2)'!$A:$BQ,5,0)</f>
        <v>20.947.332/0004-38</v>
      </c>
      <c r="H12" s="59" t="str">
        <f>VLOOKUP(A12,'Custo_Fopag (2)'!$A:$BQ,6,0)</f>
        <v>OPERACIONAL</v>
      </c>
      <c r="I12" s="59" t="str">
        <f>VLOOKUP(A12,'Custo_Fopag (2)'!$A:$BQ,7,0)</f>
        <v>PATIO</v>
      </c>
      <c r="J12" s="59" t="str">
        <f>VLOOKUP(A12,'Custo_Fopag (2)'!$A:$BQ,8,0)</f>
        <v>SELETIVA PRESIDENTE PRUDENTE</v>
      </c>
      <c r="K12" s="78">
        <f>VLOOKUP(A12,'Custo_Fopag (2)'!$A:$BQ,9,0)</f>
        <v>40118</v>
      </c>
      <c r="N12" s="3" t="str">
        <f>VLOOKUP(A12,'Custo_Fopag (2)'!$A:$BQ,11,0)</f>
        <v>1.2.5.3 OPERACIONAL</v>
      </c>
      <c r="O12" s="3" t="str">
        <f>VLOOKUP(A12,'Custo_Fopag (2)'!$A:$BQ,12,0)</f>
        <v>AUXILIAR DE PATIO SENIOR</v>
      </c>
      <c r="P12" s="126">
        <f>VLOOKUP(A12,'Custo_Fopag (2)'!$A:$BQ,13,0)</f>
        <v>2600</v>
      </c>
      <c r="Q12" s="127">
        <f>VLOOKUP(A12,'Custo_Fopag (2)'!$A:$BQ,16,0)</f>
        <v>2600</v>
      </c>
      <c r="R12" s="56">
        <f>VLOOKUP(A12,'Custo_Fopag (2)'!$A:$BQ,17,0)</f>
        <v>0</v>
      </c>
      <c r="S12" s="54">
        <f>VLOOKUP(A12,'Custo_Fopag (2)'!$A:$BP,18,0)</f>
        <v>0</v>
      </c>
      <c r="T12" s="54">
        <f>VLOOKUP(A12,'Custo_Fopag (2)'!$A:$BQ,20,0)</f>
        <v>0</v>
      </c>
      <c r="U12" s="54">
        <f>VLOOKUP(A12,'Custo_Fopag (2)'!$A:$BQ,21,0)</f>
        <v>0</v>
      </c>
      <c r="V12" s="54">
        <f>VLOOKUP(A12,'Custo_Fopag (2)'!$A:$BQ,22,0)</f>
        <v>0</v>
      </c>
      <c r="W12" s="54">
        <f>VLOOKUP(A12,'Custo_Fopag (2)'!$A:$BQ,23,0)</f>
        <v>0</v>
      </c>
      <c r="X12" s="54">
        <f>VLOOKUP(A12,'Custo_Fopag (2)'!$A:$BQ,24,0)</f>
        <v>0</v>
      </c>
      <c r="Y12" s="55">
        <f>VLOOKUP(A12,'Custo_Fopag (2)'!$A:$BQ,25,0)</f>
        <v>0</v>
      </c>
      <c r="Z12" s="54">
        <f>VLOOKUP(A12,'Custo_Fopag (2)'!$A:$BQ,26,0)</f>
        <v>0</v>
      </c>
      <c r="AA12" s="54">
        <f>VLOOKUP(A12,'Custo_Fopag (2)'!$A:$BQ,27,0)</f>
        <v>0</v>
      </c>
      <c r="AB12" s="54">
        <f>VLOOKUP(A12,'Custo_Fopag (2)'!$A:$BQ,28,0)</f>
        <v>0</v>
      </c>
      <c r="AC12" s="54">
        <f>VLOOKUP(A12,'Custo_Fopag (2)'!$A:$BQ,29,0)</f>
        <v>0</v>
      </c>
      <c r="AD12" s="54">
        <f>VLOOKUP(A12,'Custo_Fopag (2)'!$A:$BQ,30,0)</f>
        <v>0</v>
      </c>
      <c r="AE12" s="54">
        <f>VLOOKUP(A12,'Custo_Fopag (2)'!$A:$BQ,31,0)</f>
        <v>0</v>
      </c>
      <c r="AF12" s="54">
        <f>VLOOKUP(A12,'Custo_Fopag (2)'!$A:$BQ,32,0)</f>
        <v>0</v>
      </c>
      <c r="AG12" s="54">
        <f t="shared" si="0"/>
        <v>2600</v>
      </c>
      <c r="AH12" s="121">
        <f>VLOOKUP(A12,'Custo_Fopag (2)'!$A:$BQ,45,0)</f>
        <v>0</v>
      </c>
      <c r="AI12" s="54">
        <f>_xlfn.XLOOKUP(A12,'Custo_Fopag (2)'!A:A,'Custo_Fopag (2)'!AT:AT,0,0,1)</f>
        <v>450</v>
      </c>
      <c r="AJ12" s="54">
        <f>VLOOKUP(A12,'Custo_Fopag (2)'!$A:$BQ,47,0)</f>
        <v>0</v>
      </c>
      <c r="AK12" s="54">
        <v>0</v>
      </c>
      <c r="AL12" s="54">
        <f>VLOOKUP(A12,'Custo_Fopag (2)'!$A:$BQ,35,0)</f>
        <v>0</v>
      </c>
      <c r="AM12" s="54">
        <f>VLOOKUP(A12,'Custo_Fopag (2)'!$A:$BQ,36,0)</f>
        <v>0</v>
      </c>
      <c r="AN12" s="54">
        <f>VLOOKUP(A12,'Custo_Fopag (2)'!$A:$BQ,37,0)</f>
        <v>0</v>
      </c>
      <c r="AO12" s="54">
        <f>VLOOKUP(A12,'Custo_Fopag (2)'!$A:$BQ,39,0)</f>
        <v>0</v>
      </c>
      <c r="AP12" s="54">
        <f>VLOOKUP(A12,'Custo_Fopag (2)'!$A:$BQ,42,0)</f>
        <v>1080</v>
      </c>
      <c r="AQ12" s="54">
        <f>VLOOKUP(A12,'Custo_Fopag (2)'!$A:$BQ,40,0)</f>
        <v>0</v>
      </c>
      <c r="AR12" s="54">
        <f>VLOOKUP(A12,'Custo_Fopag (2)'!$A:$BQ,41,0)</f>
        <v>579.34</v>
      </c>
      <c r="AS12" s="54">
        <f>VLOOKUP(A12,'Custo_Fopag (2)'!$A:$BQ,38,0)</f>
        <v>0</v>
      </c>
      <c r="AT12" s="54">
        <f>VLOOKUP(A12,'Custo_Fopag (2)'!$A:$BQ,43,0)</f>
        <v>0</v>
      </c>
      <c r="AU12" s="54">
        <f>VLOOKUP(A12,'Custo_Fopag (2)'!$A:$BQ,48,0)</f>
        <v>0</v>
      </c>
      <c r="AV12" s="54">
        <f>VLOOKUP(A12,'Custo_Fopag (2)'!$A:$BQ,49,0)</f>
        <v>0</v>
      </c>
      <c r="AW12" s="54">
        <f>VLOOKUP(A12,'Custo_Fopag (2)'!$A:$BQ,19,0)</f>
        <v>0</v>
      </c>
      <c r="AX12" s="54">
        <f>VLOOKUP(A12,'Custo_Fopag (2)'!$A:$BQ,50,0)</f>
        <v>0</v>
      </c>
      <c r="AY12" s="54">
        <f>VLOOKUP(A12,'Custo_Fopag (2)'!$A:$BQ,51,0)</f>
        <v>0</v>
      </c>
      <c r="AZ12" s="117">
        <v>0</v>
      </c>
      <c r="BA12" s="54">
        <f>VLOOKUP(A12,'Custo_Fopag (2)'!$A:$BQ,54,0)</f>
        <v>0</v>
      </c>
      <c r="BB12" s="54">
        <f>VLOOKUP(A12,'Custo_Fopag (2)'!$A:$BQ,52,0)</f>
        <v>0</v>
      </c>
      <c r="BC12" s="122">
        <f t="shared" si="1"/>
        <v>2109.34</v>
      </c>
      <c r="BD12" s="54">
        <f t="shared" si="2"/>
        <v>4709.34</v>
      </c>
      <c r="BE12" s="57"/>
      <c r="BF12" s="54">
        <f t="shared" si="3"/>
        <v>4709.34</v>
      </c>
      <c r="BG12" s="54">
        <f t="shared" si="4"/>
        <v>216.66666666666666</v>
      </c>
      <c r="BH12" s="54">
        <f t="shared" si="5"/>
        <v>216.66666666666666</v>
      </c>
      <c r="BI12" s="54">
        <f t="shared" si="6"/>
        <v>72.222222222222214</v>
      </c>
      <c r="BJ12" s="54">
        <f t="shared" si="7"/>
        <v>505.55555555555554</v>
      </c>
      <c r="BK12" s="54">
        <f>VLOOKUP(A12,'Custo_Fopag (2)'!$A:$BQ,65,0)</f>
        <v>520</v>
      </c>
      <c r="BL12" s="54">
        <f>VLOOKUP(A12,'Custo_Fopag (2)'!$A:$BQP,66,0)</f>
        <v>39</v>
      </c>
      <c r="BM12" s="54">
        <f>VLOOKUP(A12,'Custo_Fopag (2)'!$A:$BQ,67,0)</f>
        <v>150.80000000000001</v>
      </c>
      <c r="BN12" s="54">
        <f>VLOOKUP(A12,'Custo_Fopag (2)'!$A:$BQ,64,0)</f>
        <v>224</v>
      </c>
      <c r="BO12" s="54">
        <f t="shared" si="8"/>
        <v>933.8</v>
      </c>
      <c r="BP12" s="54">
        <f t="shared" si="9"/>
        <v>5643.14</v>
      </c>
      <c r="BQ12" s="54">
        <f t="shared" si="10"/>
        <v>6148.695555555556</v>
      </c>
      <c r="BR12" s="109">
        <f>VLOOKUP(A12,'Custo_Fopag (2)'!$A:$BQ,60,0)</f>
        <v>0</v>
      </c>
      <c r="BS12" s="83" t="str">
        <f t="shared" si="11"/>
        <v>Ativo</v>
      </c>
    </row>
    <row r="13" spans="1:71" x14ac:dyDescent="0.25">
      <c r="A13" s="59" t="s">
        <v>139</v>
      </c>
      <c r="B13" s="88">
        <v>46082</v>
      </c>
      <c r="C13" s="59" t="s">
        <v>5</v>
      </c>
      <c r="D13" s="59" t="str">
        <f>VLOOKUP(A13,'Custo_Fopag (2)'!A:$BQ,4,0)</f>
        <v>G S FL 03 - DOURADOS</v>
      </c>
      <c r="E13" s="59"/>
      <c r="F13" s="59"/>
      <c r="G13" s="59" t="str">
        <f>VLOOKUP(A13,'Custo_Fopag (2)'!$A:$BQ,5,0)</f>
        <v>20.504.237/0003-89</v>
      </c>
      <c r="H13" s="59" t="str">
        <f>VLOOKUP(A13,'Custo_Fopag (2)'!$A:$BQ,6,0)</f>
        <v>LOGISTICA</v>
      </c>
      <c r="I13" s="59" t="str">
        <f>VLOOKUP(A13,'Custo_Fopag (2)'!$A:$BQ,7,0)</f>
        <v>TRANSPORTE</v>
      </c>
      <c r="J13" s="59" t="str">
        <f>VLOOKUP(A13,'Custo_Fopag (2)'!$A:$BQ,8,0)</f>
        <v>SELETIVA DOURADOS</v>
      </c>
      <c r="K13" s="78">
        <f>VLOOKUP(A13,'Custo_Fopag (2)'!$A:$BQ,9,0)</f>
        <v>43521</v>
      </c>
      <c r="N13" s="3" t="str">
        <f>VLOOKUP(A13,'Custo_Fopag (2)'!$A:$BQ,11,0)</f>
        <v>1.7.5.4 LOGISTICA</v>
      </c>
      <c r="O13" s="3" t="str">
        <f>VLOOKUP(A13,'Custo_Fopag (2)'!$A:$BQ,12,0)</f>
        <v>MOTORISTA CARRETEIRO MANTENEDOR SENIOR I</v>
      </c>
      <c r="P13" s="126">
        <f>VLOOKUP(A13,'Custo_Fopag (2)'!$A:$BQ,13,0)</f>
        <v>2690.66</v>
      </c>
      <c r="Q13" s="127">
        <f>VLOOKUP(A13,'Custo_Fopag (2)'!$A:$BQ,16,0)</f>
        <v>2690.66</v>
      </c>
      <c r="R13" s="56">
        <f>VLOOKUP(A13,'Custo_Fopag (2)'!$A:$BQ,17,0)</f>
        <v>0</v>
      </c>
      <c r="S13" s="54">
        <f>VLOOKUP(A13,'Custo_Fopag (2)'!$A:$BP,18,0)</f>
        <v>0</v>
      </c>
      <c r="T13" s="54">
        <f>VLOOKUP(A13,'Custo_Fopag (2)'!$A:$BQ,20,0)</f>
        <v>538.13</v>
      </c>
      <c r="U13" s="54">
        <f>VLOOKUP(A13,'Custo_Fopag (2)'!$A:$BQ,21,0)</f>
        <v>0</v>
      </c>
      <c r="V13" s="54">
        <f>VLOOKUP(A13,'Custo_Fopag (2)'!$A:$BQ,22,0)</f>
        <v>0</v>
      </c>
      <c r="W13" s="54">
        <f>VLOOKUP(A13,'Custo_Fopag (2)'!$A:$BQ,23,0)</f>
        <v>0</v>
      </c>
      <c r="X13" s="54">
        <f>VLOOKUP(A13,'Custo_Fopag (2)'!$A:$BQ,24,0)</f>
        <v>0</v>
      </c>
      <c r="Y13" s="55">
        <f>VLOOKUP(A13,'Custo_Fopag (2)'!$A:$BQ,25,0)</f>
        <v>0</v>
      </c>
      <c r="Z13" s="54">
        <f>VLOOKUP(A13,'Custo_Fopag (2)'!$A:$BQ,26,0)</f>
        <v>0</v>
      </c>
      <c r="AA13" s="54">
        <f>VLOOKUP(A13,'Custo_Fopag (2)'!$A:$BQ,27,0)</f>
        <v>731.61</v>
      </c>
      <c r="AB13" s="54">
        <f>VLOOKUP(A13,'Custo_Fopag (2)'!$A:$BQ,28,0)</f>
        <v>140.69</v>
      </c>
      <c r="AC13" s="54">
        <f>VLOOKUP(A13,'Custo_Fopag (2)'!$A:$BQ,29,0)</f>
        <v>0</v>
      </c>
      <c r="AD13" s="54">
        <f>VLOOKUP(A13,'Custo_Fopag (2)'!$A:$BQ,30,0)</f>
        <v>0</v>
      </c>
      <c r="AE13" s="54">
        <f>VLOOKUP(A13,'Custo_Fopag (2)'!$A:$BQ,31,0)</f>
        <v>0</v>
      </c>
      <c r="AF13" s="54">
        <f>VLOOKUP(A13,'Custo_Fopag (2)'!$A:$BQ,32,0)</f>
        <v>0</v>
      </c>
      <c r="AG13" s="54">
        <f t="shared" si="0"/>
        <v>4101.09</v>
      </c>
      <c r="AH13" s="121">
        <f>VLOOKUP(A13,'Custo_Fopag (2)'!$A:$BQ,45,0)</f>
        <v>0</v>
      </c>
      <c r="AI13" s="54">
        <f>_xlfn.XLOOKUP(A13,Beneficios!A:A,Beneficios!B:B,0,0,1)</f>
        <v>512.87</v>
      </c>
      <c r="AJ13" s="54">
        <f>VLOOKUP(A13,'Custo_Fopag (2)'!$A:$BQ,47,0)</f>
        <v>0</v>
      </c>
      <c r="AK13" s="54">
        <v>0</v>
      </c>
      <c r="AL13" s="54">
        <f>VLOOKUP(A13,'Custo_Fopag (2)'!$A:$BQ,35,0)</f>
        <v>0</v>
      </c>
      <c r="AM13" s="54">
        <f>VLOOKUP(A13,'Custo_Fopag (2)'!$A:$BQ,36,0)</f>
        <v>445.29</v>
      </c>
      <c r="AN13" s="54">
        <f>VLOOKUP(A13,'Custo_Fopag (2)'!$A:$BQ,37,0)</f>
        <v>0</v>
      </c>
      <c r="AO13" s="54">
        <f>VLOOKUP(A13,'Custo_Fopag (2)'!$A:$BQ,39,0)</f>
        <v>0</v>
      </c>
      <c r="AP13" s="54">
        <f>VLOOKUP(A13,'Custo_Fopag (2)'!$A:$BQ,42,0)</f>
        <v>0</v>
      </c>
      <c r="AQ13" s="54">
        <f>VLOOKUP(A13,'Custo_Fopag (2)'!$A:$BQ,40,0)</f>
        <v>0</v>
      </c>
      <c r="AR13" s="54">
        <f>VLOOKUP(A13,'Custo_Fopag (2)'!$A:$BQ,41,0)</f>
        <v>600</v>
      </c>
      <c r="AS13" s="54">
        <f>VLOOKUP(A13,'Custo_Fopag (2)'!$A:$BQ,38,0)</f>
        <v>0</v>
      </c>
      <c r="AT13" s="54">
        <f>VLOOKUP(A13,'Custo_Fopag (2)'!$A:$BQ,43,0)</f>
        <v>0</v>
      </c>
      <c r="AU13" s="54">
        <f>VLOOKUP(A13,'Custo_Fopag (2)'!$A:$BQ,48,0)</f>
        <v>1401</v>
      </c>
      <c r="AV13" s="54">
        <f>VLOOKUP(A13,'Custo_Fopag (2)'!$A:$BQ,49,0)</f>
        <v>0</v>
      </c>
      <c r="AW13" s="54">
        <f>VLOOKUP(A13,'Custo_Fopag (2)'!$A:$BQ,19,0)</f>
        <v>0</v>
      </c>
      <c r="AX13" s="54">
        <f>VLOOKUP(A13,'Custo_Fopag (2)'!$A:$BQ,50,0)</f>
        <v>0</v>
      </c>
      <c r="AY13" s="54">
        <v>96.2</v>
      </c>
      <c r="AZ13" s="117">
        <v>0</v>
      </c>
      <c r="BA13" s="54">
        <f>VLOOKUP(A13,'Custo_Fopag (2)'!$A:$BQ,54,0)</f>
        <v>0</v>
      </c>
      <c r="BB13" s="54">
        <f>VLOOKUP(A13,'Custo_Fopag (2)'!$A:$BQ,52,0)</f>
        <v>0</v>
      </c>
      <c r="BC13" s="122">
        <f t="shared" si="1"/>
        <v>3055.3599999999997</v>
      </c>
      <c r="BD13" s="54">
        <f t="shared" si="2"/>
        <v>7156.45</v>
      </c>
      <c r="BE13" s="57"/>
      <c r="BF13" s="54">
        <f t="shared" si="3"/>
        <v>7156.45</v>
      </c>
      <c r="BG13" s="54">
        <f t="shared" si="4"/>
        <v>341.75749999999999</v>
      </c>
      <c r="BH13" s="54">
        <f t="shared" si="5"/>
        <v>341.75749999999999</v>
      </c>
      <c r="BI13" s="54">
        <f t="shared" si="6"/>
        <v>113.91916666666667</v>
      </c>
      <c r="BJ13" s="54">
        <f t="shared" si="7"/>
        <v>797.43416666666667</v>
      </c>
      <c r="BK13" s="54">
        <f>VLOOKUP(A13,'Custo_Fopag (2)'!$A:$BQ,65,0)</f>
        <v>820.22</v>
      </c>
      <c r="BL13" s="54">
        <f>VLOOKUP(A13,'Custo_Fopag (2)'!$A:$BQP,66,0)</f>
        <v>123.03</v>
      </c>
      <c r="BM13" s="54">
        <f>VLOOKUP(A13,'Custo_Fopag (2)'!$A:$BQ,67,0)</f>
        <v>237.86</v>
      </c>
      <c r="BN13" s="54">
        <f>VLOOKUP(A13,'Custo_Fopag (2)'!$A:$BQ,64,0)</f>
        <v>328.08</v>
      </c>
      <c r="BO13" s="54">
        <f t="shared" si="8"/>
        <v>1509.19</v>
      </c>
      <c r="BP13" s="54">
        <f t="shared" si="9"/>
        <v>8665.64</v>
      </c>
      <c r="BQ13" s="54">
        <f t="shared" si="10"/>
        <v>9463.0741666666672</v>
      </c>
      <c r="BR13" s="109">
        <f>VLOOKUP(A13,'Custo_Fopag (2)'!$A:$BQ,60,0)</f>
        <v>0</v>
      </c>
      <c r="BS13" s="83" t="str">
        <f t="shared" si="11"/>
        <v>Ativo</v>
      </c>
    </row>
    <row r="14" spans="1:71" x14ac:dyDescent="0.25">
      <c r="A14" s="59" t="s">
        <v>175</v>
      </c>
      <c r="B14" s="88">
        <v>46082</v>
      </c>
      <c r="C14" s="59" t="s">
        <v>5</v>
      </c>
      <c r="D14" s="59" t="str">
        <f>VLOOKUP(A14,'Custo_Fopag (2)'!A:$BQ,4,0)</f>
        <v>G S FL 06 - CAMPO GRANDE</v>
      </c>
      <c r="E14" s="59"/>
      <c r="F14" s="59"/>
      <c r="G14" s="59" t="str">
        <f>VLOOKUP(A14,'Custo_Fopag (2)'!$A:$BQ,5,0)</f>
        <v>20.504.237/0006-21</v>
      </c>
      <c r="H14" s="59" t="str">
        <f>VLOOKUP(A14,'Custo_Fopag (2)'!$A:$BQ,6,0)</f>
        <v>LOGISTICA</v>
      </c>
      <c r="I14" s="59" t="str">
        <f>VLOOKUP(A14,'Custo_Fopag (2)'!$A:$BQ,7,0)</f>
        <v>TRANSPORTE</v>
      </c>
      <c r="J14" s="59" t="str">
        <f>VLOOKUP(A14,'Custo_Fopag (2)'!$A:$BQ,8,0)</f>
        <v>SELETIVA C GRANDE</v>
      </c>
      <c r="K14" s="78">
        <f>VLOOKUP(A14,'Custo_Fopag (2)'!$A:$BQ,9,0)</f>
        <v>45597</v>
      </c>
      <c r="N14" s="3" t="str">
        <f>VLOOKUP(A14,'Custo_Fopag (2)'!$A:$BQ,11,0)</f>
        <v>1.7.4.4 LOGISTICA</v>
      </c>
      <c r="O14" s="3" t="str">
        <f>VLOOKUP(A14,'Custo_Fopag (2)'!$A:$BQ,12,0)</f>
        <v>MOTORISTA CARRETEIRO MANTENEDOR PLENO</v>
      </c>
      <c r="P14" s="126">
        <f>VLOOKUP(A14,'Custo_Fopag (2)'!$A:$BQ,13,0)</f>
        <v>2591</v>
      </c>
      <c r="Q14" s="127">
        <f>VLOOKUP(A14,'Custo_Fopag (2)'!$A:$BQ,16,0)</f>
        <v>2591</v>
      </c>
      <c r="R14" s="56">
        <f>VLOOKUP(A14,'Custo_Fopag (2)'!$A:$BQ,17,0)</f>
        <v>0</v>
      </c>
      <c r="S14" s="54">
        <f>VLOOKUP(A14,'Custo_Fopag (2)'!$A:$BP,18,0)</f>
        <v>0</v>
      </c>
      <c r="T14" s="54">
        <f>VLOOKUP(A14,'Custo_Fopag (2)'!$A:$BQ,20,0)</f>
        <v>516.24</v>
      </c>
      <c r="U14" s="54">
        <f>VLOOKUP(A14,'Custo_Fopag (2)'!$A:$BQ,21,0)</f>
        <v>0</v>
      </c>
      <c r="V14" s="54">
        <f>VLOOKUP(A14,'Custo_Fopag (2)'!$A:$BQ,22,0)</f>
        <v>0</v>
      </c>
      <c r="W14" s="54">
        <f>VLOOKUP(A14,'Custo_Fopag (2)'!$A:$BQ,23,0)</f>
        <v>0</v>
      </c>
      <c r="X14" s="54">
        <f>VLOOKUP(A14,'Custo_Fopag (2)'!$A:$BQ,24,0)</f>
        <v>0</v>
      </c>
      <c r="Y14" s="55">
        <f>VLOOKUP(A14,'Custo_Fopag (2)'!$A:$BQ,25,0)</f>
        <v>0</v>
      </c>
      <c r="Z14" s="54">
        <f>VLOOKUP(A14,'Custo_Fopag (2)'!$A:$BQ,26,0)</f>
        <v>0</v>
      </c>
      <c r="AA14" s="54">
        <f>VLOOKUP(A14,'Custo_Fopag (2)'!$A:$BQ,27,0)</f>
        <v>395.36</v>
      </c>
      <c r="AB14" s="54">
        <f>VLOOKUP(A14,'Custo_Fopag (2)'!$A:$BQ,28,0)</f>
        <v>76.03</v>
      </c>
      <c r="AC14" s="54">
        <f>VLOOKUP(A14,'Custo_Fopag (2)'!$A:$BQ,29,0)</f>
        <v>0</v>
      </c>
      <c r="AD14" s="54">
        <f>VLOOKUP(A14,'Custo_Fopag (2)'!$A:$BQ,30,0)</f>
        <v>0</v>
      </c>
      <c r="AE14" s="54">
        <f>VLOOKUP(A14,'Custo_Fopag (2)'!$A:$BQ,31,0)</f>
        <v>0</v>
      </c>
      <c r="AF14" s="54">
        <f>VLOOKUP(A14,'Custo_Fopag (2)'!$A:$BQ,32,0)</f>
        <v>0</v>
      </c>
      <c r="AG14" s="54">
        <f t="shared" si="0"/>
        <v>3578.63</v>
      </c>
      <c r="AH14" s="121">
        <f>VLOOKUP(A14,'Custo_Fopag (2)'!$A:$BQ,45,0)</f>
        <v>0</v>
      </c>
      <c r="AI14" s="54">
        <f>_xlfn.XLOOKUP(A14,Beneficios!A:A,Beneficios!B:B,0,0,1)</f>
        <v>512.87</v>
      </c>
      <c r="AJ14" s="54">
        <f>VLOOKUP(A14,'Custo_Fopag (2)'!$A:$BQ,47,0)</f>
        <v>0</v>
      </c>
      <c r="AK14" s="54">
        <v>0</v>
      </c>
      <c r="AL14" s="54">
        <f>VLOOKUP(A14,'Custo_Fopag (2)'!$A:$BQ,35,0)</f>
        <v>0</v>
      </c>
      <c r="AM14" s="54">
        <f>VLOOKUP(A14,'Custo_Fopag (2)'!$A:$BQ,36,0)</f>
        <v>290.52</v>
      </c>
      <c r="AN14" s="54">
        <f>VLOOKUP(A14,'Custo_Fopag (2)'!$A:$BQ,37,0)</f>
        <v>0</v>
      </c>
      <c r="AO14" s="54">
        <f>VLOOKUP(A14,'Custo_Fopag (2)'!$A:$BQ,39,0)</f>
        <v>0</v>
      </c>
      <c r="AP14" s="54">
        <f>VLOOKUP(A14,'Custo_Fopag (2)'!$A:$BQ,42,0)</f>
        <v>0</v>
      </c>
      <c r="AQ14" s="54">
        <f>VLOOKUP(A14,'Custo_Fopag (2)'!$A:$BQ,40,0)</f>
        <v>0</v>
      </c>
      <c r="AR14" s="54">
        <f>VLOOKUP(A14,'Custo_Fopag (2)'!$A:$BQ,41,0)</f>
        <v>533.04</v>
      </c>
      <c r="AS14" s="54">
        <f>VLOOKUP(A14,'Custo_Fopag (2)'!$A:$BQ,38,0)</f>
        <v>0</v>
      </c>
      <c r="AT14" s="54">
        <f>VLOOKUP(A14,'Custo_Fopag (2)'!$A:$BQ,43,0)</f>
        <v>0</v>
      </c>
      <c r="AU14" s="54">
        <f>VLOOKUP(A14,'Custo_Fopag (2)'!$A:$BQ,48,0)</f>
        <v>650</v>
      </c>
      <c r="AV14" s="54">
        <f>VLOOKUP(A14,'Custo_Fopag (2)'!$A:$BQ,49,0)</f>
        <v>0</v>
      </c>
      <c r="AW14" s="54">
        <f>VLOOKUP(A14,'Custo_Fopag (2)'!$A:$BQ,19,0)</f>
        <v>0</v>
      </c>
      <c r="AX14" s="54">
        <f>VLOOKUP(A14,'Custo_Fopag (2)'!$A:$BQ,50,0)</f>
        <v>0</v>
      </c>
      <c r="AY14" s="54">
        <v>96.2</v>
      </c>
      <c r="AZ14" s="117">
        <v>0</v>
      </c>
      <c r="BA14" s="54">
        <f>VLOOKUP(A14,'Custo_Fopag (2)'!$A:$BQ,54,0)</f>
        <v>0</v>
      </c>
      <c r="BB14" s="54">
        <f>VLOOKUP(A14,'Custo_Fopag (2)'!$A:$BQ,52,0)</f>
        <v>0</v>
      </c>
      <c r="BC14" s="122">
        <f t="shared" si="1"/>
        <v>2082.6299999999997</v>
      </c>
      <c r="BD14" s="54">
        <f t="shared" si="2"/>
        <v>5661.26</v>
      </c>
      <c r="BE14" s="57"/>
      <c r="BF14" s="54">
        <f t="shared" si="3"/>
        <v>5661.26</v>
      </c>
      <c r="BG14" s="54">
        <f t="shared" si="4"/>
        <v>298.21916666666669</v>
      </c>
      <c r="BH14" s="54">
        <f t="shared" si="5"/>
        <v>298.21916666666669</v>
      </c>
      <c r="BI14" s="54">
        <f t="shared" si="6"/>
        <v>99.406388888888898</v>
      </c>
      <c r="BJ14" s="54">
        <f t="shared" si="7"/>
        <v>695.84472222222234</v>
      </c>
      <c r="BK14" s="54">
        <f>VLOOKUP(A14,'Custo_Fopag (2)'!$A:$BQ,65,0)</f>
        <v>715.73</v>
      </c>
      <c r="BL14" s="54">
        <f>VLOOKUP(A14,'Custo_Fopag (2)'!$A:$BQP,66,0)</f>
        <v>107.35</v>
      </c>
      <c r="BM14" s="54">
        <f>VLOOKUP(A14,'Custo_Fopag (2)'!$A:$BQ,67,0)</f>
        <v>207.56</v>
      </c>
      <c r="BN14" s="54">
        <f>VLOOKUP(A14,'Custo_Fopag (2)'!$A:$BQ,64,0)</f>
        <v>285.5</v>
      </c>
      <c r="BO14" s="54">
        <f t="shared" si="8"/>
        <v>1316.14</v>
      </c>
      <c r="BP14" s="54">
        <f t="shared" si="9"/>
        <v>6977.4000000000005</v>
      </c>
      <c r="BQ14" s="54">
        <f t="shared" si="10"/>
        <v>7673.2447222222227</v>
      </c>
      <c r="BR14" s="109">
        <f>VLOOKUP(A14,'Custo_Fopag (2)'!$A:$BQ,60,0)</f>
        <v>0</v>
      </c>
      <c r="BS14" s="83" t="str">
        <f t="shared" si="11"/>
        <v>Ativo</v>
      </c>
    </row>
    <row r="15" spans="1:71" s="59" customFormat="1" x14ac:dyDescent="0.25">
      <c r="A15" s="59" t="s">
        <v>210</v>
      </c>
      <c r="B15" s="88">
        <v>46082</v>
      </c>
      <c r="C15" s="59" t="s">
        <v>5</v>
      </c>
      <c r="D15" s="59" t="str">
        <f>VLOOKUP(A15,'Custo_Fopag (2)'!A:$BQ,4,0)</f>
        <v>G3S FL 10 - PRES PRUD</v>
      </c>
      <c r="G15" s="59" t="str">
        <f>VLOOKUP(A15,'Custo_Fopag (2)'!$A:$BQ,5,0)</f>
        <v>20.947.332/0010-86</v>
      </c>
      <c r="H15" s="59" t="str">
        <f>VLOOKUP(A15,'Custo_Fopag (2)'!$A:$BQ,6,0)</f>
        <v>COMERCIAL</v>
      </c>
      <c r="I15" s="59" t="str">
        <f>VLOOKUP(A15,'Custo_Fopag (2)'!$A:$BQ,7,0)</f>
        <v>COMERCIAL</v>
      </c>
      <c r="J15" s="59" t="str">
        <f>VLOOKUP(A15,'Custo_Fopag (2)'!$A:$BQ,8,0)</f>
        <v>SELETIVA CORPORATIVO SUCATA</v>
      </c>
      <c r="K15" s="78">
        <f>VLOOKUP(A15,'Custo_Fopag (2)'!$A:$BQ,9,0)</f>
        <v>45628</v>
      </c>
      <c r="L15" s="52"/>
      <c r="M15" s="3"/>
      <c r="N15" s="3" t="str">
        <f>VLOOKUP(A15,'Custo_Fopag (2)'!$A:$BQ,11,0)</f>
        <v>1.2.1.1 APOIO</v>
      </c>
      <c r="O15" s="3" t="str">
        <f>VLOOKUP(A15,'Custo_Fopag (2)'!$A:$BQ,12,0)</f>
        <v>ASSISTENTE COMERCIAL</v>
      </c>
      <c r="P15" s="126">
        <f>VLOOKUP(A15,'Custo_Fopag (2)'!$A:$BQ,13,0)</f>
        <v>2098</v>
      </c>
      <c r="Q15" s="127">
        <f>VLOOKUP(A15,'Custo_Fopag (2)'!$A:$BQ,16,0)</f>
        <v>2098</v>
      </c>
      <c r="R15" s="56">
        <f>VLOOKUP(A15,'Custo_Fopag (2)'!$A:$BQ,17,0)</f>
        <v>0</v>
      </c>
      <c r="S15" s="54">
        <f>VLOOKUP(A15,'Custo_Fopag (2)'!$A:$BP,18,0)</f>
        <v>0</v>
      </c>
      <c r="T15" s="54">
        <f>VLOOKUP(A15,'Custo_Fopag (2)'!$A:$BQ,20,0)</f>
        <v>0</v>
      </c>
      <c r="U15" s="54">
        <f>VLOOKUP(A15,'Custo_Fopag (2)'!$A:$BQ,21,0)</f>
        <v>0</v>
      </c>
      <c r="V15" s="54">
        <f>VLOOKUP(A15,'Custo_Fopag (2)'!$A:$BQ,22,0)</f>
        <v>0</v>
      </c>
      <c r="W15" s="54">
        <f>VLOOKUP(A15,'Custo_Fopag (2)'!$A:$BQ,23,0)</f>
        <v>0</v>
      </c>
      <c r="X15" s="54">
        <f>VLOOKUP(A15,'Custo_Fopag (2)'!$A:$BQ,24,0)</f>
        <v>0</v>
      </c>
      <c r="Y15" s="55">
        <f>VLOOKUP(A15,'Custo_Fopag (2)'!$A:$BQ,25,0)</f>
        <v>0</v>
      </c>
      <c r="Z15" s="54">
        <f>VLOOKUP(A15,'Custo_Fopag (2)'!$A:$BQ,26,0)</f>
        <v>0</v>
      </c>
      <c r="AA15" s="54">
        <f>VLOOKUP(A15,'Custo_Fopag (2)'!$A:$BQ,27,0)</f>
        <v>0</v>
      </c>
      <c r="AB15" s="54">
        <f>VLOOKUP(A15,'Custo_Fopag (2)'!$A:$BQ,28,0)</f>
        <v>0</v>
      </c>
      <c r="AC15" s="54">
        <f>VLOOKUP(A15,'Custo_Fopag (2)'!$A:$BQ,29,0)</f>
        <v>0</v>
      </c>
      <c r="AD15" s="54">
        <f>VLOOKUP(A15,'Custo_Fopag (2)'!$A:$BQ,30,0)</f>
        <v>0</v>
      </c>
      <c r="AE15" s="54">
        <f>VLOOKUP(A15,'Custo_Fopag (2)'!$A:$BQ,31,0)</f>
        <v>0</v>
      </c>
      <c r="AF15" s="54">
        <f>VLOOKUP(A15,'Custo_Fopag (2)'!$A:$BQ,32,0)</f>
        <v>0</v>
      </c>
      <c r="AG15" s="54">
        <f t="shared" si="0"/>
        <v>2098</v>
      </c>
      <c r="AH15" s="121">
        <f>VLOOKUP(A15,'Custo_Fopag (2)'!$A:$BQ,45,0)</f>
        <v>0</v>
      </c>
      <c r="AI15" s="54">
        <f>_xlfn.XLOOKUP(A15,Beneficios!A:A,Beneficios!B:B,0,0,1)</f>
        <v>521.87</v>
      </c>
      <c r="AJ15" s="54">
        <f>VLOOKUP(A15,'Custo_Fopag (2)'!$A:$BQ,47,0)</f>
        <v>0</v>
      </c>
      <c r="AK15" s="54">
        <v>0</v>
      </c>
      <c r="AL15" s="54">
        <f>VLOOKUP(A15,'Custo_Fopag (2)'!$A:$BQ,35,0)</f>
        <v>0</v>
      </c>
      <c r="AM15" s="54">
        <f>VLOOKUP(A15,'Custo_Fopag (2)'!$A:$BQ,36,0)</f>
        <v>0</v>
      </c>
      <c r="AN15" s="54">
        <f>VLOOKUP(A15,'Custo_Fopag (2)'!$A:$BQ,37,0)</f>
        <v>0</v>
      </c>
      <c r="AO15" s="54">
        <f>VLOOKUP(A15,'Custo_Fopag (2)'!$A:$BQ,39,0)</f>
        <v>0</v>
      </c>
      <c r="AP15" s="54">
        <f>VLOOKUP(A15,'Custo_Fopag (2)'!$A:$BQ,42,0)</f>
        <v>0</v>
      </c>
      <c r="AQ15" s="54">
        <f>VLOOKUP(A15,'Custo_Fopag (2)'!$A:$BQ,40,0)</f>
        <v>0</v>
      </c>
      <c r="AR15" s="54">
        <f>VLOOKUP(A15,'Custo_Fopag (2)'!$A:$BQ,41,0)</f>
        <v>0</v>
      </c>
      <c r="AS15" s="54">
        <f>VLOOKUP(A15,'Custo_Fopag (2)'!$A:$BQ,38,0)</f>
        <v>929.47</v>
      </c>
      <c r="AT15" s="54">
        <f>VLOOKUP(A15,'Custo_Fopag (2)'!$A:$BQ,43,0)</f>
        <v>0</v>
      </c>
      <c r="AU15" s="54">
        <f>VLOOKUP(A15,'Custo_Fopag (2)'!$A:$BQ,48,0)</f>
        <v>0</v>
      </c>
      <c r="AV15" s="54">
        <f>VLOOKUP(A15,'Custo_Fopag (2)'!$A:$BQ,49,0)</f>
        <v>0</v>
      </c>
      <c r="AW15" s="54">
        <f>VLOOKUP(A15,'Custo_Fopag (2)'!$A:$BQ,19,0)</f>
        <v>0</v>
      </c>
      <c r="AX15" s="54">
        <f>VLOOKUP(A15,'Custo_Fopag (2)'!$A:$BQ,50,0)</f>
        <v>0</v>
      </c>
      <c r="AY15" s="54">
        <f>VLOOKUP(A15,'Custo_Fopag (2)'!$A:$BQ,51,0)</f>
        <v>0</v>
      </c>
      <c r="AZ15" s="117">
        <v>0</v>
      </c>
      <c r="BA15" s="54">
        <f>VLOOKUP(A15,'Custo_Fopag (2)'!$A:$BQ,54,0)</f>
        <v>0</v>
      </c>
      <c r="BB15" s="54">
        <f>VLOOKUP(A15,'Custo_Fopag (2)'!$A:$BQ,52,0)</f>
        <v>0</v>
      </c>
      <c r="BC15" s="122">
        <f t="shared" si="1"/>
        <v>1451.3400000000001</v>
      </c>
      <c r="BD15" s="54">
        <f t="shared" si="2"/>
        <v>3549.34</v>
      </c>
      <c r="BE15" s="57"/>
      <c r="BF15" s="54">
        <f t="shared" si="3"/>
        <v>3549.34</v>
      </c>
      <c r="BG15" s="54">
        <f t="shared" si="4"/>
        <v>174.83333333333334</v>
      </c>
      <c r="BH15" s="54">
        <f t="shared" si="5"/>
        <v>174.83333333333334</v>
      </c>
      <c r="BI15" s="54">
        <f t="shared" si="6"/>
        <v>58.277777777777779</v>
      </c>
      <c r="BJ15" s="54">
        <f t="shared" si="7"/>
        <v>407.94444444444446</v>
      </c>
      <c r="BK15" s="54">
        <f>VLOOKUP(A15,'Custo_Fopag (2)'!$A:$BQ,65,0)</f>
        <v>419.6</v>
      </c>
      <c r="BL15" s="54">
        <f>VLOOKUP(A15,'Custo_Fopag (2)'!$A:$BQP,66,0)</f>
        <v>62.94</v>
      </c>
      <c r="BM15" s="54">
        <f>VLOOKUP(A15,'Custo_Fopag (2)'!$A:$BQ,67,0)</f>
        <v>121.68</v>
      </c>
      <c r="BN15" s="54">
        <f>VLOOKUP(A15,'Custo_Fopag (2)'!$A:$BQ,64,0)</f>
        <v>167.84</v>
      </c>
      <c r="BO15" s="54">
        <f t="shared" si="8"/>
        <v>772.06000000000006</v>
      </c>
      <c r="BP15" s="54">
        <f t="shared" si="9"/>
        <v>4321.4000000000005</v>
      </c>
      <c r="BQ15" s="54">
        <f t="shared" si="10"/>
        <v>4729.3444444444449</v>
      </c>
      <c r="BR15" s="109">
        <f>VLOOKUP(A15,'Custo_Fopag (2)'!$A:$BQ,60,0)</f>
        <v>0</v>
      </c>
      <c r="BS15" s="83" t="str">
        <f t="shared" si="11"/>
        <v>Ativo</v>
      </c>
    </row>
    <row r="16" spans="1:71" x14ac:dyDescent="0.25">
      <c r="A16" s="3" t="s">
        <v>192</v>
      </c>
      <c r="B16" s="88">
        <v>46082</v>
      </c>
      <c r="C16" s="3" t="s">
        <v>5</v>
      </c>
      <c r="D16" s="59" t="str">
        <f>VLOOKUP(A16,'Custo_Fopag (2)'!A:$BQ,4,0)</f>
        <v>RSE COM DE FERRO,ACO E LOCA</v>
      </c>
      <c r="E16" s="59"/>
      <c r="F16" s="59"/>
      <c r="G16" s="59" t="str">
        <f>VLOOKUP(A16,'Custo_Fopag (2)'!$A:$BQ,5,0)</f>
        <v>6.916.551/0001-86</v>
      </c>
      <c r="H16" s="59" t="str">
        <f>VLOOKUP(A16,'Custo_Fopag (2)'!$A:$BQ,6,0)</f>
        <v>COMERCIAL</v>
      </c>
      <c r="I16" s="59" t="str">
        <f>VLOOKUP(A16,'Custo_Fopag (2)'!$A:$BQ,7,0)</f>
        <v>ADMINISTRATIVO</v>
      </c>
      <c r="J16" s="59" t="str">
        <f>VLOOKUP(A16,'Custo_Fopag (2)'!$A:$BQ,8,0)</f>
        <v>EKIPA LOCACOES E SERV G&amp;S</v>
      </c>
      <c r="K16" s="78">
        <f>VLOOKUP(A16,'Custo_Fopag (2)'!$A:$BQ,9,0)</f>
        <v>46055</v>
      </c>
      <c r="N16" s="3" t="str">
        <f>VLOOKUP(A16,'Custo_Fopag (2)'!$A:$BQ,11,0)</f>
        <v>1.5.1.2 COMERCIAL</v>
      </c>
      <c r="O16" s="3" t="str">
        <f>VLOOKUP(A16,'Custo_Fopag (2)'!$A:$BQ,12,0)</f>
        <v>VENDEDOR (A)</v>
      </c>
      <c r="P16" s="126">
        <f>VLOOKUP(A16,'Custo_Fopag (2)'!$A:$BQ,13,0)</f>
        <v>2500</v>
      </c>
      <c r="Q16" s="127">
        <f>VLOOKUP(A16,'Custo_Fopag (2)'!$A:$BQ,16,0)</f>
        <v>2500</v>
      </c>
      <c r="R16" s="56">
        <f>VLOOKUP(A16,'Custo_Fopag (2)'!$A:$BQ,17,0)</f>
        <v>0</v>
      </c>
      <c r="S16" s="54">
        <f>VLOOKUP(A16,'Custo_Fopag (2)'!$A:$BP,18,0)</f>
        <v>0</v>
      </c>
      <c r="T16" s="54">
        <f>VLOOKUP(A16,'Custo_Fopag (2)'!$A:$BQ,20,0)</f>
        <v>0</v>
      </c>
      <c r="U16" s="54">
        <f>VLOOKUP(A16,'Custo_Fopag (2)'!$A:$BQ,21,0)</f>
        <v>0</v>
      </c>
      <c r="V16" s="54">
        <f>VLOOKUP(A16,'Custo_Fopag (2)'!$A:$BQ,22,0)</f>
        <v>0</v>
      </c>
      <c r="W16" s="54">
        <f>VLOOKUP(A16,'Custo_Fopag (2)'!$A:$BQ,23,0)</f>
        <v>0</v>
      </c>
      <c r="X16" s="54">
        <f>VLOOKUP(A16,'Custo_Fopag (2)'!$A:$BQ,24,0)</f>
        <v>0</v>
      </c>
      <c r="Y16" s="55">
        <f>VLOOKUP(A16,'Custo_Fopag (2)'!$A:$BQ,25,0)</f>
        <v>0</v>
      </c>
      <c r="Z16" s="54">
        <f>VLOOKUP(A16,'Custo_Fopag (2)'!$A:$BQ,26,0)</f>
        <v>0</v>
      </c>
      <c r="AA16" s="54">
        <f>VLOOKUP(A16,'Custo_Fopag (2)'!$A:$BQ,27,0)</f>
        <v>0</v>
      </c>
      <c r="AB16" s="54">
        <f>VLOOKUP(A16,'Custo_Fopag (2)'!$A:$BQ,28,0)</f>
        <v>0</v>
      </c>
      <c r="AC16" s="54">
        <f>VLOOKUP(A16,'Custo_Fopag (2)'!$A:$BQ,29,0)</f>
        <v>0</v>
      </c>
      <c r="AD16" s="54">
        <f>VLOOKUP(A16,'Custo_Fopag (2)'!$A:$BQ,30,0)</f>
        <v>0</v>
      </c>
      <c r="AE16" s="54">
        <f>VLOOKUP(A16,'Custo_Fopag (2)'!$A:$BQ,31,0)</f>
        <v>0</v>
      </c>
      <c r="AF16" s="54">
        <f>VLOOKUP(A16,'Custo_Fopag (2)'!$A:$BQ,32,0)</f>
        <v>0</v>
      </c>
      <c r="AG16" s="54">
        <f t="shared" si="0"/>
        <v>2500</v>
      </c>
      <c r="AH16" s="121">
        <f>VLOOKUP(A16,'Custo_Fopag (2)'!$A:$BQ,45,0)</f>
        <v>0</v>
      </c>
      <c r="AI16" s="54">
        <f>_xlfn.XLOOKUP(A16,Beneficios!A:A,Beneficios!B:B,0,0,1)</f>
        <v>521.87</v>
      </c>
      <c r="AJ16" s="54">
        <f>VLOOKUP(A16,'Custo_Fopag (2)'!$A:$BQ,47,0)</f>
        <v>0</v>
      </c>
      <c r="AK16" s="54">
        <v>0</v>
      </c>
      <c r="AL16" s="54">
        <f>VLOOKUP(A16,'Custo_Fopag (2)'!$A:$BQ,35,0)</f>
        <v>0</v>
      </c>
      <c r="AM16" s="54">
        <f>VLOOKUP(A16,'Custo_Fopag (2)'!$A:$BQ,36,0)</f>
        <v>0</v>
      </c>
      <c r="AN16" s="54">
        <f>VLOOKUP(A16,'Custo_Fopag (2)'!$A:$BQ,37,0)</f>
        <v>0</v>
      </c>
      <c r="AO16" s="54">
        <f>VLOOKUP(A16,'Custo_Fopag (2)'!$A:$BQ,39,0)</f>
        <v>400</v>
      </c>
      <c r="AP16" s="54">
        <f>VLOOKUP(A16,'Custo_Fopag (2)'!$A:$BQ,42,0)</f>
        <v>0</v>
      </c>
      <c r="AQ16" s="54">
        <f>VLOOKUP(A16,'Custo_Fopag (2)'!$A:$BQ,40,0)</f>
        <v>0</v>
      </c>
      <c r="AR16" s="54">
        <f>VLOOKUP(A16,'Custo_Fopag (2)'!$A:$BQ,41,0)</f>
        <v>0</v>
      </c>
      <c r="AS16" s="54">
        <f>VLOOKUP(A16,'Custo_Fopag (2)'!$A:$BQ,38,0)</f>
        <v>0</v>
      </c>
      <c r="AT16" s="54">
        <f>VLOOKUP(A16,'Custo_Fopag (2)'!$A:$BQ,43,0)</f>
        <v>0</v>
      </c>
      <c r="AU16" s="54">
        <f>VLOOKUP(A16,'Custo_Fopag (2)'!$A:$BQ,48,0)</f>
        <v>0</v>
      </c>
      <c r="AV16" s="54">
        <f>VLOOKUP(A16,'Custo_Fopag (2)'!$A:$BQ,49,0)</f>
        <v>0</v>
      </c>
      <c r="AW16" s="54">
        <f>VLOOKUP(A16,'Custo_Fopag (2)'!$A:$BQ,19,0)</f>
        <v>0</v>
      </c>
      <c r="AX16" s="54">
        <f>VLOOKUP(A16,'Custo_Fopag (2)'!$A:$BQ,50,0)</f>
        <v>0</v>
      </c>
      <c r="AY16" s="54">
        <f>VLOOKUP(A16,'Custo_Fopag (2)'!$A:$BQ,51,0)</f>
        <v>0</v>
      </c>
      <c r="AZ16" s="117">
        <v>0</v>
      </c>
      <c r="BA16" s="54">
        <f>VLOOKUP(A16,'Custo_Fopag (2)'!$A:$BQ,54,0)</f>
        <v>0</v>
      </c>
      <c r="BB16" s="54">
        <f>VLOOKUP(A16,'Custo_Fopag (2)'!$A:$BQ,52,0)</f>
        <v>0</v>
      </c>
      <c r="BC16" s="122">
        <f t="shared" si="1"/>
        <v>921.87</v>
      </c>
      <c r="BD16" s="54">
        <f t="shared" si="2"/>
        <v>3421.87</v>
      </c>
      <c r="BE16" s="57"/>
      <c r="BF16" s="54">
        <f t="shared" si="3"/>
        <v>3421.87</v>
      </c>
      <c r="BG16" s="54">
        <f t="shared" si="4"/>
        <v>208.33333333333334</v>
      </c>
      <c r="BH16" s="54">
        <f t="shared" si="5"/>
        <v>208.33333333333334</v>
      </c>
      <c r="BI16" s="54">
        <f t="shared" si="6"/>
        <v>69.444444444444443</v>
      </c>
      <c r="BJ16" s="54">
        <f t="shared" si="7"/>
        <v>486.11111111111114</v>
      </c>
      <c r="BK16" s="54">
        <f>VLOOKUP(A16,'Custo_Fopag (2)'!$A:$BQ,65,0)</f>
        <v>500</v>
      </c>
      <c r="BL16" s="54">
        <f>VLOOKUP(A16,'Custo_Fopag (2)'!$A:$BQP,66,0)</f>
        <v>37.5</v>
      </c>
      <c r="BM16" s="54">
        <f>VLOOKUP(A16,'Custo_Fopag (2)'!$A:$BQ,67,0)</f>
        <v>145</v>
      </c>
      <c r="BN16" s="54">
        <f>VLOOKUP(A16,'Custo_Fopag (2)'!$A:$BQ,64,0)</f>
        <v>200</v>
      </c>
      <c r="BO16" s="54">
        <f t="shared" si="8"/>
        <v>882.5</v>
      </c>
      <c r="BP16" s="54">
        <f t="shared" si="9"/>
        <v>4304.37</v>
      </c>
      <c r="BQ16" s="54">
        <f t="shared" si="10"/>
        <v>4790.4811111111112</v>
      </c>
      <c r="BR16" s="109">
        <f>VLOOKUP(A16,'Custo_Fopag (2)'!$A:$BQ,60,0)</f>
        <v>0</v>
      </c>
      <c r="BS16" s="83" t="str">
        <f t="shared" si="11"/>
        <v>Ativo</v>
      </c>
    </row>
    <row r="17" spans="1:71" x14ac:dyDescent="0.25">
      <c r="A17" s="59" t="s">
        <v>100</v>
      </c>
      <c r="B17" s="88">
        <v>46082</v>
      </c>
      <c r="C17" s="59" t="s">
        <v>5</v>
      </c>
      <c r="D17" s="59" t="str">
        <f>VLOOKUP(A17,'Custo_Fopag (2)'!A:$BQ,4,0)</f>
        <v>G S MATRIZ - PRES PRUD</v>
      </c>
      <c r="E17" s="59"/>
      <c r="F17" s="59"/>
      <c r="G17" s="59" t="str">
        <f>VLOOKUP(A17,'Custo_Fopag (2)'!$A:$BQ,5,0)</f>
        <v>20.504.237/0001-17</v>
      </c>
      <c r="H17" s="59" t="str">
        <f>VLOOKUP(A17,'Custo_Fopag (2)'!$A:$BQ,6,0)</f>
        <v>OPERACIONAL</v>
      </c>
      <c r="I17" s="59" t="str">
        <f>VLOOKUP(A17,'Custo_Fopag (2)'!$A:$BQ,7,0)</f>
        <v>PATIO</v>
      </c>
      <c r="J17" s="59" t="str">
        <f>VLOOKUP(A17,'Custo_Fopag (2)'!$A:$BQ,8,0)</f>
        <v>SELETIVA PRESIDENTE PRUDENTE</v>
      </c>
      <c r="K17" s="78">
        <f>VLOOKUP(A17,'Custo_Fopag (2)'!$A:$BQ,9,0)</f>
        <v>40269</v>
      </c>
      <c r="M17" s="59"/>
      <c r="N17" s="3" t="str">
        <f>VLOOKUP(A17,'Custo_Fopag (2)'!$A:$BQ,11,0)</f>
        <v>1.2.5.3 OPERACIONAL</v>
      </c>
      <c r="O17" s="3" t="str">
        <f>VLOOKUP(A17,'Custo_Fopag (2)'!$A:$BQ,12,0)</f>
        <v>OPERADOR MANTENEDOR JR</v>
      </c>
      <c r="P17" s="126">
        <f>VLOOKUP(A17,'Custo_Fopag (2)'!$A:$BQ,13,0)</f>
        <v>2610</v>
      </c>
      <c r="Q17" s="127">
        <f>VLOOKUP(A17,'Custo_Fopag (2)'!$A:$BQ,16,0)</f>
        <v>870</v>
      </c>
      <c r="R17" s="56">
        <f>VLOOKUP(A17,'Custo_Fopag (2)'!$A:$BQ,17,0)</f>
        <v>0</v>
      </c>
      <c r="S17" s="54">
        <f>VLOOKUP(A17,'Custo_Fopag (2)'!$A:$BP,18,0)</f>
        <v>3784.63</v>
      </c>
      <c r="T17" s="54">
        <f>VLOOKUP(A17,'Custo_Fopag (2)'!$A:$BQ,20,0)</f>
        <v>174</v>
      </c>
      <c r="U17" s="54">
        <f>VLOOKUP(A17,'Custo_Fopag (2)'!$A:$BQ,21,0)</f>
        <v>0</v>
      </c>
      <c r="V17" s="54">
        <f>VLOOKUP(A17,'Custo_Fopag (2)'!$A:$BQ,22,0)</f>
        <v>0</v>
      </c>
      <c r="W17" s="54">
        <f>VLOOKUP(A17,'Custo_Fopag (2)'!$A:$BQ,23,0)</f>
        <v>0</v>
      </c>
      <c r="X17" s="54">
        <f>VLOOKUP(A17,'Custo_Fopag (2)'!$A:$BQ,24,0)</f>
        <v>0</v>
      </c>
      <c r="Y17" s="55">
        <f>VLOOKUP(A17,'Custo_Fopag (2)'!$A:$BQ,25,0)</f>
        <v>43.5</v>
      </c>
      <c r="Z17" s="54">
        <f>VLOOKUP(A17,'Custo_Fopag (2)'!$A:$BQ,26,0)</f>
        <v>0</v>
      </c>
      <c r="AA17" s="54">
        <f>VLOOKUP(A17,'Custo_Fopag (2)'!$A:$BQ,27,0)</f>
        <v>88.98</v>
      </c>
      <c r="AB17" s="54">
        <f>VLOOKUP(A17,'Custo_Fopag (2)'!$A:$BQ,28,0)</f>
        <v>19.77</v>
      </c>
      <c r="AC17" s="54">
        <f>VLOOKUP(A17,'Custo_Fopag (2)'!$A:$BQ,29,0)</f>
        <v>0</v>
      </c>
      <c r="AD17" s="54">
        <f>VLOOKUP(A17,'Custo_Fopag (2)'!$A:$BQ,30,0)</f>
        <v>0</v>
      </c>
      <c r="AE17" s="54">
        <f>VLOOKUP(A17,'Custo_Fopag (2)'!$A:$BQ,31,0)</f>
        <v>0</v>
      </c>
      <c r="AF17" s="54">
        <f>VLOOKUP(A17,'Custo_Fopag (2)'!$A:$BQ,32,0)</f>
        <v>0</v>
      </c>
      <c r="AG17" s="54">
        <f t="shared" si="0"/>
        <v>4980.88</v>
      </c>
      <c r="AH17" s="121">
        <f>VLOOKUP(A17,'Custo_Fopag (2)'!$A:$BQ,45,0)</f>
        <v>0</v>
      </c>
      <c r="AI17" s="54">
        <f>_xlfn.XLOOKUP(A17,Beneficios!A:A,Beneficios!B:B,0,0,1)</f>
        <v>512.87</v>
      </c>
      <c r="AJ17" s="54">
        <f>VLOOKUP(A17,'Custo_Fopag (2)'!$A:$BQ,47,0)</f>
        <v>0</v>
      </c>
      <c r="AK17" s="54">
        <v>0</v>
      </c>
      <c r="AL17" s="54">
        <f>VLOOKUP(A17,'Custo_Fopag (2)'!$A:$BQ,35,0)</f>
        <v>0</v>
      </c>
      <c r="AM17" s="54">
        <f>VLOOKUP(A17,'Custo_Fopag (2)'!$A:$BQ,36,0)</f>
        <v>0</v>
      </c>
      <c r="AN17" s="54">
        <f>VLOOKUP(A17,'Custo_Fopag (2)'!$A:$BQ,37,0)</f>
        <v>0</v>
      </c>
      <c r="AO17" s="54">
        <f>VLOOKUP(A17,'Custo_Fopag (2)'!$A:$BQ,39,0)</f>
        <v>0</v>
      </c>
      <c r="AP17" s="54">
        <f>VLOOKUP(A17,'Custo_Fopag (2)'!$A:$BQ,42,0)</f>
        <v>0</v>
      </c>
      <c r="AQ17" s="54">
        <f>VLOOKUP(A17,'Custo_Fopag (2)'!$A:$BQ,40,0)</f>
        <v>0</v>
      </c>
      <c r="AR17" s="54">
        <f>VLOOKUP(A17,'Custo_Fopag (2)'!$A:$BQ,41,0)</f>
        <v>579.34</v>
      </c>
      <c r="AS17" s="54">
        <f>VLOOKUP(A17,'Custo_Fopag (2)'!$A:$BQ,38,0)</f>
        <v>0</v>
      </c>
      <c r="AT17" s="54">
        <f>VLOOKUP(A17,'Custo_Fopag (2)'!$A:$BQ,43,0)</f>
        <v>0</v>
      </c>
      <c r="AU17" s="54">
        <f>VLOOKUP(A17,'Custo_Fopag (2)'!$A:$BQ,48,0)</f>
        <v>2520</v>
      </c>
      <c r="AV17" s="54">
        <f>VLOOKUP(A17,'Custo_Fopag (2)'!$A:$BQ,49,0)</f>
        <v>0</v>
      </c>
      <c r="AW17" s="54">
        <f>VLOOKUP(A17,'Custo_Fopag (2)'!$A:$BQ,19,0)</f>
        <v>1892.32</v>
      </c>
      <c r="AX17" s="54">
        <f>VLOOKUP(A17,'Custo_Fopag (2)'!$A:$BQ,50,0)</f>
        <v>0</v>
      </c>
      <c r="AY17" s="54">
        <f>VLOOKUP(A17,'Custo_Fopag (2)'!$A:$BQ,51,0)</f>
        <v>0</v>
      </c>
      <c r="AZ17" s="117">
        <v>0</v>
      </c>
      <c r="BA17" s="54">
        <f>VLOOKUP(A17,'Custo_Fopag (2)'!$A:$BQ,54,0)</f>
        <v>0</v>
      </c>
      <c r="BB17" s="54">
        <f>VLOOKUP(A17,'Custo_Fopag (2)'!$A:$BQ,52,0)</f>
        <v>2175</v>
      </c>
      <c r="BC17" s="122">
        <f t="shared" si="1"/>
        <v>7679.53</v>
      </c>
      <c r="BD17" s="54">
        <f t="shared" si="2"/>
        <v>12660.41</v>
      </c>
      <c r="BE17" s="57"/>
      <c r="BF17" s="54">
        <f t="shared" si="3"/>
        <v>12660.41</v>
      </c>
      <c r="BG17" s="54">
        <f t="shared" si="4"/>
        <v>415.07333333333332</v>
      </c>
      <c r="BH17" s="54">
        <f t="shared" si="5"/>
        <v>415.07333333333332</v>
      </c>
      <c r="BI17" s="54">
        <f t="shared" si="6"/>
        <v>138.35777777777778</v>
      </c>
      <c r="BJ17" s="54">
        <f t="shared" si="7"/>
        <v>968.5044444444444</v>
      </c>
      <c r="BK17" s="54">
        <f>VLOOKUP(A17,'Custo_Fopag (2)'!$A:$BQ,65,0)</f>
        <v>1374.64</v>
      </c>
      <c r="BL17" s="54">
        <f>VLOOKUP(A17,'Custo_Fopag (2)'!$A:$BQP,66,0)</f>
        <v>103.09</v>
      </c>
      <c r="BM17" s="54">
        <f>VLOOKUP(A17,'Custo_Fopag (2)'!$A:$BQ,67,0)</f>
        <v>398.64</v>
      </c>
      <c r="BN17" s="54">
        <f>VLOOKUP(A17,'Custo_Fopag (2)'!$A:$BQ,64,0)</f>
        <v>398.47</v>
      </c>
      <c r="BO17" s="54">
        <f t="shared" si="8"/>
        <v>2274.84</v>
      </c>
      <c r="BP17" s="54">
        <f t="shared" si="9"/>
        <v>14935.25</v>
      </c>
      <c r="BQ17" s="54">
        <f t="shared" si="10"/>
        <v>15903.754444444445</v>
      </c>
      <c r="BR17" s="109">
        <f>VLOOKUP(A17,'Custo_Fopag (2)'!$A:$BQ,60,0)</f>
        <v>0</v>
      </c>
      <c r="BS17" s="83" t="str">
        <f t="shared" si="11"/>
        <v>Ativo</v>
      </c>
    </row>
    <row r="18" spans="1:71" x14ac:dyDescent="0.25">
      <c r="A18" s="59" t="s">
        <v>153</v>
      </c>
      <c r="B18" s="88">
        <v>46082</v>
      </c>
      <c r="C18" s="59" t="s">
        <v>5</v>
      </c>
      <c r="D18" s="59" t="str">
        <f>VLOOKUP(A18,'Custo_Fopag (2)'!A:$BQ,4,0)</f>
        <v>G S FL 05 - BARUERI</v>
      </c>
      <c r="E18" s="59"/>
      <c r="F18" s="59"/>
      <c r="G18" s="59" t="str">
        <f>VLOOKUP(A18,'Custo_Fopag (2)'!$A:$BQ,5,0)</f>
        <v>20.504.237/0005-40</v>
      </c>
      <c r="H18" s="59" t="str">
        <f>VLOOKUP(A18,'Custo_Fopag (2)'!$A:$BQ,6,0)</f>
        <v>OPERACIONAL</v>
      </c>
      <c r="I18" s="59" t="str">
        <f>VLOOKUP(A18,'Custo_Fopag (2)'!$A:$BQ,7,0)</f>
        <v>TUPY/JOINVILLE - SC</v>
      </c>
      <c r="J18" s="59" t="str">
        <f>VLOOKUP(A18,'Custo_Fopag (2)'!$A:$BQ,8,0)</f>
        <v>EKIPA LOCACOES E SERV G&amp;S</v>
      </c>
      <c r="K18" s="78">
        <f>VLOOKUP(A18,'Custo_Fopag (2)'!$A:$BQ,9,0)</f>
        <v>45026</v>
      </c>
      <c r="N18" s="3" t="str">
        <f>VLOOKUP(A18,'Custo_Fopag (2)'!$A:$BQ,11,0)</f>
        <v>1.7.8.1.1 TUPY - JOINVILLE/S</v>
      </c>
      <c r="O18" s="3" t="str">
        <f>VLOOKUP(A18,'Custo_Fopag (2)'!$A:$BQ,12,0)</f>
        <v>OPERADOR MANTENEDOR PLENO</v>
      </c>
      <c r="P18" s="126">
        <f>VLOOKUP(A18,'Custo_Fopag (2)'!$A:$BQ,13,0)</f>
        <v>2816.11</v>
      </c>
      <c r="Q18" s="127">
        <f>VLOOKUP(A18,'Custo_Fopag (2)'!$A:$BQ,16,0)</f>
        <v>2816.11</v>
      </c>
      <c r="R18" s="56">
        <f>VLOOKUP(A18,'Custo_Fopag (2)'!$A:$BQ,17,0)</f>
        <v>0</v>
      </c>
      <c r="S18" s="54">
        <f>VLOOKUP(A18,'Custo_Fopag (2)'!$A:$BP,18,0)</f>
        <v>0</v>
      </c>
      <c r="T18" s="54">
        <f>VLOOKUP(A18,'Custo_Fopag (2)'!$A:$BQ,20,0)</f>
        <v>563.22</v>
      </c>
      <c r="U18" s="54">
        <f>VLOOKUP(A18,'Custo_Fopag (2)'!$A:$BQ,21,0)</f>
        <v>0</v>
      </c>
      <c r="V18" s="54">
        <f>VLOOKUP(A18,'Custo_Fopag (2)'!$A:$BQ,22,0)</f>
        <v>0</v>
      </c>
      <c r="W18" s="54">
        <f>VLOOKUP(A18,'Custo_Fopag (2)'!$A:$BQ,23,0)</f>
        <v>0</v>
      </c>
      <c r="X18" s="54">
        <f>VLOOKUP(A18,'Custo_Fopag (2)'!$A:$BQ,24,0)</f>
        <v>0</v>
      </c>
      <c r="Y18" s="55">
        <f>VLOOKUP(A18,'Custo_Fopag (2)'!$A:$BQ,25,0)</f>
        <v>0</v>
      </c>
      <c r="Z18" s="54">
        <f>VLOOKUP(A18,'Custo_Fopag (2)'!$A:$BQ,26,0)</f>
        <v>20.45</v>
      </c>
      <c r="AA18" s="54">
        <f>VLOOKUP(A18,'Custo_Fopag (2)'!$A:$BQ,27,0)</f>
        <v>391.69</v>
      </c>
      <c r="AB18" s="54">
        <f>VLOOKUP(A18,'Custo_Fopag (2)'!$A:$BQ,28,0)</f>
        <v>75.33</v>
      </c>
      <c r="AC18" s="54">
        <f>VLOOKUP(A18,'Custo_Fopag (2)'!$A:$BQ,29,0)</f>
        <v>0</v>
      </c>
      <c r="AD18" s="54">
        <f>VLOOKUP(A18,'Custo_Fopag (2)'!$A:$BQ,30,0)</f>
        <v>0</v>
      </c>
      <c r="AE18" s="54">
        <f>VLOOKUP(A18,'Custo_Fopag (2)'!$A:$BQ,31,0)</f>
        <v>0</v>
      </c>
      <c r="AF18" s="54">
        <f>VLOOKUP(A18,'Custo_Fopag (2)'!$A:$BQ,32,0)</f>
        <v>0</v>
      </c>
      <c r="AG18" s="54">
        <f t="shared" si="0"/>
        <v>3866.7999999999997</v>
      </c>
      <c r="AH18" s="121">
        <f>VLOOKUP(A18,'Custo_Fopag (2)'!$A:$BQ,45,0)</f>
        <v>0</v>
      </c>
      <c r="AI18" s="54">
        <f>_xlfn.XLOOKUP(A18,Beneficios!A:A,Beneficios!B:B,0,0,1)</f>
        <v>512.87</v>
      </c>
      <c r="AJ18" s="54">
        <f>VLOOKUP(A18,'Custo_Fopag (2)'!$A:$BQ,47,0)</f>
        <v>0</v>
      </c>
      <c r="AK18" s="54">
        <v>0</v>
      </c>
      <c r="AL18" s="54">
        <f>VLOOKUP(A18,'Custo_Fopag (2)'!$A:$BQ,35,0)</f>
        <v>0</v>
      </c>
      <c r="AM18" s="54">
        <f>VLOOKUP(A18,'Custo_Fopag (2)'!$A:$BQ,36,0)</f>
        <v>0</v>
      </c>
      <c r="AN18" s="54">
        <f>VLOOKUP(A18,'Custo_Fopag (2)'!$A:$BQ,37,0)</f>
        <v>0</v>
      </c>
      <c r="AO18" s="54">
        <f>VLOOKUP(A18,'Custo_Fopag (2)'!$A:$BQ,39,0)</f>
        <v>0</v>
      </c>
      <c r="AP18" s="54">
        <f>VLOOKUP(A18,'Custo_Fopag (2)'!$A:$BQ,42,0)</f>
        <v>0</v>
      </c>
      <c r="AQ18" s="54">
        <f>VLOOKUP(A18,'Custo_Fopag (2)'!$A:$BQ,40,0)</f>
        <v>975</v>
      </c>
      <c r="AR18" s="54">
        <f>VLOOKUP(A18,'Custo_Fopag (2)'!$A:$BQ,41,0)</f>
        <v>0</v>
      </c>
      <c r="AS18" s="54">
        <f>VLOOKUP(A18,'Custo_Fopag (2)'!$A:$BQ,38,0)</f>
        <v>0</v>
      </c>
      <c r="AT18" s="54">
        <f>VLOOKUP(A18,'Custo_Fopag (2)'!$A:$BQ,43,0)</f>
        <v>0</v>
      </c>
      <c r="AU18" s="54">
        <f>VLOOKUP(A18,'Custo_Fopag (2)'!$A:$BQ,48,0)</f>
        <v>0</v>
      </c>
      <c r="AV18" s="54">
        <f>VLOOKUP(A18,'Custo_Fopag (2)'!$A:$BQ,49,0)</f>
        <v>0</v>
      </c>
      <c r="AW18" s="54">
        <f>VLOOKUP(A18,'Custo_Fopag (2)'!$A:$BQ,19,0)</f>
        <v>0</v>
      </c>
      <c r="AX18" s="54">
        <f>VLOOKUP(A18,'Custo_Fopag (2)'!$A:$BQ,50,0)</f>
        <v>0</v>
      </c>
      <c r="AY18" s="54">
        <f>VLOOKUP(A18,'Custo_Fopag (2)'!$A:$BQ,51,0)</f>
        <v>0</v>
      </c>
      <c r="AZ18" s="117">
        <v>0</v>
      </c>
      <c r="BA18" s="54">
        <f>VLOOKUP(A18,'Custo_Fopag (2)'!$A:$BQ,54,0)</f>
        <v>0</v>
      </c>
      <c r="BB18" s="54">
        <f>VLOOKUP(A18,'Custo_Fopag (2)'!$A:$BQ,52,0)</f>
        <v>0</v>
      </c>
      <c r="BC18" s="122">
        <f t="shared" si="1"/>
        <v>1487.87</v>
      </c>
      <c r="BD18" s="54">
        <f t="shared" si="2"/>
        <v>5354.67</v>
      </c>
      <c r="BE18" s="57"/>
      <c r="BF18" s="54">
        <f t="shared" si="3"/>
        <v>5354.67</v>
      </c>
      <c r="BG18" s="54">
        <f t="shared" si="4"/>
        <v>322.23333333333329</v>
      </c>
      <c r="BH18" s="54">
        <f t="shared" si="5"/>
        <v>322.23333333333329</v>
      </c>
      <c r="BI18" s="54">
        <f t="shared" si="6"/>
        <v>107.4111111111111</v>
      </c>
      <c r="BJ18" s="54">
        <f t="shared" si="7"/>
        <v>751.87777777777774</v>
      </c>
      <c r="BK18" s="54">
        <f>VLOOKUP(A18,'Custo_Fopag (2)'!$A:$BQ,65,0)</f>
        <v>773.36</v>
      </c>
      <c r="BL18" s="54">
        <f>VLOOKUP(A18,'Custo_Fopag (2)'!$A:$BQP,66,0)</f>
        <v>58</v>
      </c>
      <c r="BM18" s="54">
        <f>VLOOKUP(A18,'Custo_Fopag (2)'!$A:$BQ,67,0)</f>
        <v>224.27</v>
      </c>
      <c r="BN18" s="54">
        <f>VLOOKUP(A18,'Custo_Fopag (2)'!$A:$BQ,64,0)</f>
        <v>309.33999999999997</v>
      </c>
      <c r="BO18" s="54">
        <f t="shared" si="8"/>
        <v>1364.97</v>
      </c>
      <c r="BP18" s="54">
        <f t="shared" si="9"/>
        <v>6719.64</v>
      </c>
      <c r="BQ18" s="54">
        <f t="shared" si="10"/>
        <v>7471.5177777777781</v>
      </c>
      <c r="BR18" s="109">
        <f>VLOOKUP(A18,'Custo_Fopag (2)'!$A:$BQ,60,0)</f>
        <v>0</v>
      </c>
      <c r="BS18" s="83" t="str">
        <f t="shared" si="11"/>
        <v>Ativo</v>
      </c>
    </row>
    <row r="19" spans="1:71" x14ac:dyDescent="0.25">
      <c r="A19" s="59" t="s">
        <v>148</v>
      </c>
      <c r="B19" s="88">
        <v>46082</v>
      </c>
      <c r="C19" s="59" t="s">
        <v>5</v>
      </c>
      <c r="D19" s="59" t="str">
        <f>VLOOKUP(A19,'Custo_Fopag (2)'!A:$BQ,4,0)</f>
        <v>G S FL 05 - BARUERI</v>
      </c>
      <c r="E19" s="59"/>
      <c r="F19" s="59"/>
      <c r="G19" s="59" t="str">
        <f>VLOOKUP(A19,'Custo_Fopag (2)'!$A:$BQ,5,0)</f>
        <v>20.504.237/0005-40</v>
      </c>
      <c r="H19" s="59" t="str">
        <f>VLOOKUP(A19,'Custo_Fopag (2)'!$A:$BQ,6,0)</f>
        <v>OPERACIONAL</v>
      </c>
      <c r="I19" s="59" t="str">
        <f>VLOOKUP(A19,'Custo_Fopag (2)'!$A:$BQ,7,0)</f>
        <v>RESENDE - RJ</v>
      </c>
      <c r="J19" s="59" t="str">
        <f>VLOOKUP(A19,'Custo_Fopag (2)'!$A:$BQ,8,0)</f>
        <v>EKIPA LOCACOES E SERV G&amp;S</v>
      </c>
      <c r="K19" s="78">
        <f>VLOOKUP(A19,'Custo_Fopag (2)'!$A:$BQ,9,0)</f>
        <v>44617</v>
      </c>
      <c r="N19" s="3" t="str">
        <f>VLOOKUP(A19,'Custo_Fopag (2)'!$A:$BQ,11,0)</f>
        <v>1.7.1.2.1 ARCELOR/ RESENDE/R</v>
      </c>
      <c r="O19" s="3" t="str">
        <f>VLOOKUP(A19,'Custo_Fopag (2)'!$A:$BQ,12,0)</f>
        <v>MOTORISTA CARRETEIRO MANTENEDOR SENIOR III</v>
      </c>
      <c r="P19" s="126">
        <f>VLOOKUP(A19,'Custo_Fopag (2)'!$A:$BQ,13,0)</f>
        <v>3287.33</v>
      </c>
      <c r="Q19" s="127">
        <f>VLOOKUP(A19,'Custo_Fopag (2)'!$A:$BQ,16,0)</f>
        <v>3287.33</v>
      </c>
      <c r="R19" s="56">
        <f>VLOOKUP(A19,'Custo_Fopag (2)'!$A:$BQ,17,0)</f>
        <v>0</v>
      </c>
      <c r="S19" s="54">
        <f>VLOOKUP(A19,'Custo_Fopag (2)'!$A:$BP,18,0)</f>
        <v>0</v>
      </c>
      <c r="T19" s="54">
        <f>VLOOKUP(A19,'Custo_Fopag (2)'!$A:$BQ,20,0)</f>
        <v>657.47</v>
      </c>
      <c r="U19" s="54">
        <f>VLOOKUP(A19,'Custo_Fopag (2)'!$A:$BQ,21,0)</f>
        <v>0</v>
      </c>
      <c r="V19" s="54">
        <f>VLOOKUP(A19,'Custo_Fopag (2)'!$A:$BQ,22,0)</f>
        <v>0</v>
      </c>
      <c r="W19" s="54">
        <f>VLOOKUP(A19,'Custo_Fopag (2)'!$A:$BQ,23,0)</f>
        <v>0</v>
      </c>
      <c r="X19" s="54">
        <f>VLOOKUP(A19,'Custo_Fopag (2)'!$A:$BQ,24,0)</f>
        <v>0</v>
      </c>
      <c r="Y19" s="55">
        <f>VLOOKUP(A19,'Custo_Fopag (2)'!$A:$BQ,25,0)</f>
        <v>0</v>
      </c>
      <c r="Z19" s="54">
        <f>VLOOKUP(A19,'Custo_Fopag (2)'!$A:$BQ,26,0)</f>
        <v>106.82</v>
      </c>
      <c r="AA19" s="54">
        <f>VLOOKUP(A19,'Custo_Fopag (2)'!$A:$BQ,27,0)</f>
        <v>245.65</v>
      </c>
      <c r="AB19" s="54">
        <f>VLOOKUP(A19,'Custo_Fopag (2)'!$A:$BQ,28,0)</f>
        <v>47.24</v>
      </c>
      <c r="AC19" s="54">
        <f>VLOOKUP(A19,'Custo_Fopag (2)'!$A:$BQ,29,0)</f>
        <v>0</v>
      </c>
      <c r="AD19" s="54">
        <f>VLOOKUP(A19,'Custo_Fopag (2)'!$A:$BQ,30,0)</f>
        <v>0</v>
      </c>
      <c r="AE19" s="54">
        <f>VLOOKUP(A19,'Custo_Fopag (2)'!$A:$BQ,31,0)</f>
        <v>0</v>
      </c>
      <c r="AF19" s="54">
        <f>VLOOKUP(A19,'Custo_Fopag (2)'!$A:$BQ,32,0)</f>
        <v>0</v>
      </c>
      <c r="AG19" s="54">
        <f t="shared" si="0"/>
        <v>4344.51</v>
      </c>
      <c r="AH19" s="121">
        <f>VLOOKUP(A19,'Custo_Fopag (2)'!$A:$BQ,45,0)</f>
        <v>0</v>
      </c>
      <c r="AI19" s="54">
        <f>_xlfn.XLOOKUP(A19,Beneficios!A:A,Beneficios!B:B,0,0,1)</f>
        <v>512.87</v>
      </c>
      <c r="AJ19" s="54">
        <f>VLOOKUP(A19,'Custo_Fopag (2)'!$A:$BQ,47,0)</f>
        <v>0</v>
      </c>
      <c r="AK19" s="54">
        <v>0</v>
      </c>
      <c r="AL19" s="54">
        <f>VLOOKUP(A19,'Custo_Fopag (2)'!$A:$BQ,35,0)</f>
        <v>0</v>
      </c>
      <c r="AM19" s="54">
        <f>VLOOKUP(A19,'Custo_Fopag (2)'!$A:$BQ,36,0)</f>
        <v>0</v>
      </c>
      <c r="AN19" s="54">
        <f>VLOOKUP(A19,'Custo_Fopag (2)'!$A:$BQ,37,0)</f>
        <v>692.64</v>
      </c>
      <c r="AO19" s="54">
        <f>VLOOKUP(A19,'Custo_Fopag (2)'!$A:$BQ,39,0)</f>
        <v>0</v>
      </c>
      <c r="AP19" s="54">
        <f>VLOOKUP(A19,'Custo_Fopag (2)'!$A:$BQ,42,0)</f>
        <v>0</v>
      </c>
      <c r="AQ19" s="54">
        <f>VLOOKUP(A19,'Custo_Fopag (2)'!$A:$BQ,40,0)</f>
        <v>0</v>
      </c>
      <c r="AR19" s="54">
        <f>VLOOKUP(A19,'Custo_Fopag (2)'!$A:$BQ,41,0)</f>
        <v>0</v>
      </c>
      <c r="AS19" s="54">
        <f>VLOOKUP(A19,'Custo_Fopag (2)'!$A:$BQ,38,0)</f>
        <v>0</v>
      </c>
      <c r="AT19" s="54">
        <f>VLOOKUP(A19,'Custo_Fopag (2)'!$A:$BQ,43,0)</f>
        <v>0</v>
      </c>
      <c r="AU19" s="54">
        <f>VLOOKUP(A19,'Custo_Fopag (2)'!$A:$BQ,48,0)</f>
        <v>2730</v>
      </c>
      <c r="AV19" s="54">
        <f>VLOOKUP(A19,'Custo_Fopag (2)'!$A:$BQ,49,0)</f>
        <v>0</v>
      </c>
      <c r="AW19" s="54">
        <f>VLOOKUP(A19,'Custo_Fopag (2)'!$A:$BQ,19,0)</f>
        <v>0</v>
      </c>
      <c r="AX19" s="54">
        <f>VLOOKUP(A19,'Custo_Fopag (2)'!$A:$BQ,50,0)</f>
        <v>0</v>
      </c>
      <c r="AY19" s="54">
        <f>VLOOKUP(A19,'Custo_Fopag (2)'!$A:$BQ,51,0)</f>
        <v>0</v>
      </c>
      <c r="AZ19" s="117">
        <v>0</v>
      </c>
      <c r="BA19" s="54">
        <v>0</v>
      </c>
      <c r="BB19" s="54">
        <f>VLOOKUP(A19,'Custo_Fopag (2)'!$A:$BQ,52,0)</f>
        <v>0</v>
      </c>
      <c r="BC19" s="122">
        <f t="shared" si="1"/>
        <v>3935.51</v>
      </c>
      <c r="BD19" s="54">
        <f t="shared" si="2"/>
        <v>8280.02</v>
      </c>
      <c r="BE19" s="57"/>
      <c r="BF19" s="54">
        <f t="shared" si="3"/>
        <v>8280.02</v>
      </c>
      <c r="BG19" s="54">
        <f t="shared" si="4"/>
        <v>362.04250000000002</v>
      </c>
      <c r="BH19" s="54">
        <f t="shared" si="5"/>
        <v>362.04250000000002</v>
      </c>
      <c r="BI19" s="54">
        <f t="shared" si="6"/>
        <v>120.68083333333334</v>
      </c>
      <c r="BJ19" s="54">
        <f t="shared" si="7"/>
        <v>844.76583333333338</v>
      </c>
      <c r="BK19" s="54">
        <f>VLOOKUP(A19,'Custo_Fopag (2)'!$A:$BQ,65,0)</f>
        <v>868.9</v>
      </c>
      <c r="BL19" s="54">
        <f>VLOOKUP(A19,'Custo_Fopag (2)'!$A:$BQP,66,0)</f>
        <v>65.16</v>
      </c>
      <c r="BM19" s="54">
        <f>VLOOKUP(A19,'Custo_Fopag (2)'!$A:$BQ,67,0)</f>
        <v>251.98</v>
      </c>
      <c r="BN19" s="54">
        <f>VLOOKUP(A19,'Custo_Fopag (2)'!$A:$BQ,64,0)</f>
        <v>347.56</v>
      </c>
      <c r="BO19" s="54">
        <f t="shared" si="8"/>
        <v>1533.6</v>
      </c>
      <c r="BP19" s="54">
        <f t="shared" si="9"/>
        <v>9813.6200000000008</v>
      </c>
      <c r="BQ19" s="54">
        <f t="shared" si="10"/>
        <v>10658.385833333334</v>
      </c>
      <c r="BR19" s="109">
        <f>VLOOKUP(A19,'Custo_Fopag (2)'!$A:$BQ,60,0)</f>
        <v>0</v>
      </c>
      <c r="BS19" s="83" t="str">
        <f t="shared" si="11"/>
        <v>Ativo</v>
      </c>
    </row>
    <row r="20" spans="1:71" x14ac:dyDescent="0.25">
      <c r="A20" s="59" t="s">
        <v>213</v>
      </c>
      <c r="B20" s="88">
        <v>46082</v>
      </c>
      <c r="C20" s="59" t="s">
        <v>5</v>
      </c>
      <c r="D20" s="59" t="str">
        <f>VLOOKUP(A20,'Custo_Fopag (2)'!A:$BQ,4,0)</f>
        <v>G3S FL 10 - PRES PRUD</v>
      </c>
      <c r="E20" s="59"/>
      <c r="F20" s="59"/>
      <c r="G20" s="59" t="str">
        <f>VLOOKUP(A20,'Custo_Fopag (2)'!$A:$BQ,5,0)</f>
        <v>20.947.332/0010-86</v>
      </c>
      <c r="H20" s="59" t="str">
        <f>VLOOKUP(A20,'Custo_Fopag (2)'!$A:$BQ,6,0)</f>
        <v>ADMINISTRATIVO</v>
      </c>
      <c r="I20" s="59" t="str">
        <f>VLOOKUP(A20,'Custo_Fopag (2)'!$A:$BQ,7,0)</f>
        <v>CONTABILIDADE</v>
      </c>
      <c r="J20" s="59" t="str">
        <f>VLOOKUP(A20,'Custo_Fopag (2)'!$A:$BQ,8,0)</f>
        <v>PILARES</v>
      </c>
      <c r="K20" s="78">
        <f>VLOOKUP(A20,'Custo_Fopag (2)'!$A:$BQ,9,0)</f>
        <v>43678</v>
      </c>
      <c r="N20" s="3" t="str">
        <f>VLOOKUP(A20,'Custo_Fopag (2)'!$A:$BQ,11,0)</f>
        <v>1.1.4 CONTABILIDADE/FISCAL</v>
      </c>
      <c r="O20" s="3" t="str">
        <f>VLOOKUP(A20,'Custo_Fopag (2)'!$A:$BQ,12,0)</f>
        <v>ANALISTA CONTABIL SENIOR</v>
      </c>
      <c r="P20" s="126">
        <f>VLOOKUP(A20,'Custo_Fopag (2)'!$A:$BQ,13,0)</f>
        <v>3718.75</v>
      </c>
      <c r="Q20" s="127">
        <f>VLOOKUP(A20,'Custo_Fopag (2)'!$A:$BQ,16,0)</f>
        <v>3718.75</v>
      </c>
      <c r="R20" s="56">
        <f>VLOOKUP(A20,'Custo_Fopag (2)'!$A:$BQ,17,0)</f>
        <v>0</v>
      </c>
      <c r="S20" s="54">
        <f>VLOOKUP(A20,'Custo_Fopag (2)'!$A:$BP,18,0)</f>
        <v>0</v>
      </c>
      <c r="T20" s="54">
        <f>VLOOKUP(A20,'Custo_Fopag (2)'!$A:$BQ,20,0)</f>
        <v>0</v>
      </c>
      <c r="U20" s="54">
        <f>VLOOKUP(A20,'Custo_Fopag (2)'!$A:$BQ,21,0)</f>
        <v>0</v>
      </c>
      <c r="V20" s="54">
        <f>VLOOKUP(A20,'Custo_Fopag (2)'!$A:$BQ,22,0)</f>
        <v>0</v>
      </c>
      <c r="W20" s="54">
        <f>VLOOKUP(A20,'Custo_Fopag (2)'!$A:$BQ,23,0)</f>
        <v>0</v>
      </c>
      <c r="X20" s="54">
        <f>VLOOKUP(A20,'Custo_Fopag (2)'!$A:$BQ,24,0)</f>
        <v>0</v>
      </c>
      <c r="Y20" s="55">
        <f>VLOOKUP(A20,'Custo_Fopag (2)'!$A:$BQ,25,0)</f>
        <v>0</v>
      </c>
      <c r="Z20" s="54">
        <f>VLOOKUP(A20,'Custo_Fopag (2)'!$A:$BQ,26,0)</f>
        <v>0</v>
      </c>
      <c r="AA20" s="54">
        <f>VLOOKUP(A20,'Custo_Fopag (2)'!$A:$BQ,27,0)</f>
        <v>0</v>
      </c>
      <c r="AB20" s="54">
        <f>VLOOKUP(A20,'Custo_Fopag (2)'!$A:$BQ,28,0)</f>
        <v>0</v>
      </c>
      <c r="AC20" s="54">
        <f>VLOOKUP(A20,'Custo_Fopag (2)'!$A:$BQ,29,0)</f>
        <v>0</v>
      </c>
      <c r="AD20" s="54">
        <f>VLOOKUP(A20,'Custo_Fopag (2)'!$A:$BQ,30,0)</f>
        <v>0</v>
      </c>
      <c r="AE20" s="54">
        <f>VLOOKUP(A20,'Custo_Fopag (2)'!$A:$BQ,31,0)</f>
        <v>0</v>
      </c>
      <c r="AF20" s="54">
        <f>VLOOKUP(A20,'Custo_Fopag (2)'!$A:$BQ,32,0)</f>
        <v>0</v>
      </c>
      <c r="AG20" s="54">
        <f t="shared" si="0"/>
        <v>3718.75</v>
      </c>
      <c r="AH20" s="121">
        <f>VLOOKUP(A20,'Custo_Fopag (2)'!$A:$BQ,45,0)</f>
        <v>0</v>
      </c>
      <c r="AI20" s="54">
        <f>_xlfn.XLOOKUP(A20,Beneficios!A:A,Beneficios!B:B,0,0,1)</f>
        <v>521.87</v>
      </c>
      <c r="AJ20" s="54">
        <f>VLOOKUP(A20,'Custo_Fopag (2)'!$A:$BQ,47,0)</f>
        <v>0</v>
      </c>
      <c r="AK20" s="54">
        <v>0</v>
      </c>
      <c r="AL20" s="54">
        <f>VLOOKUP(A20,'Custo_Fopag (2)'!$A:$BQ,35,0)</f>
        <v>0</v>
      </c>
      <c r="AM20" s="54">
        <f>VLOOKUP(A20,'Custo_Fopag (2)'!$A:$BQ,36,0)</f>
        <v>0</v>
      </c>
      <c r="AN20" s="54">
        <f>VLOOKUP(A20,'Custo_Fopag (2)'!$A:$BQ,37,0)</f>
        <v>0</v>
      </c>
      <c r="AO20" s="54">
        <f>VLOOKUP(A20,'Custo_Fopag (2)'!$A:$BQ,39,0)</f>
        <v>0</v>
      </c>
      <c r="AP20" s="54">
        <f>VLOOKUP(A20,'Custo_Fopag (2)'!$A:$BQ,42,0)</f>
        <v>100</v>
      </c>
      <c r="AQ20" s="54">
        <f>VLOOKUP(A20,'Custo_Fopag (2)'!$A:$BQ,40,0)</f>
        <v>0</v>
      </c>
      <c r="AR20" s="54">
        <f>VLOOKUP(A20,'Custo_Fopag (2)'!$A:$BQ,41,0)</f>
        <v>0</v>
      </c>
      <c r="AS20" s="54">
        <f>VLOOKUP(A20,'Custo_Fopag (2)'!$A:$BQ,38,0)</f>
        <v>0</v>
      </c>
      <c r="AT20" s="54">
        <f>VLOOKUP(A20,'Custo_Fopag (2)'!$A:$BQ,43,0)</f>
        <v>0</v>
      </c>
      <c r="AU20" s="54">
        <f>VLOOKUP(A20,'Custo_Fopag (2)'!$A:$BQ,48,0)</f>
        <v>0</v>
      </c>
      <c r="AV20" s="54">
        <f>VLOOKUP(A20,'Custo_Fopag (2)'!$A:$BQ,49,0)</f>
        <v>0</v>
      </c>
      <c r="AW20" s="54">
        <f>VLOOKUP(A20,'Custo_Fopag (2)'!$A:$BQ,19,0)</f>
        <v>0</v>
      </c>
      <c r="AX20" s="54">
        <f>VLOOKUP(A20,'Custo_Fopag (2)'!$A:$BQ,50,0)</f>
        <v>0</v>
      </c>
      <c r="AY20" s="54">
        <f>VLOOKUP(A20,'Custo_Fopag (2)'!$A:$BQ,51,0)</f>
        <v>0</v>
      </c>
      <c r="AZ20" s="117">
        <v>0</v>
      </c>
      <c r="BA20" s="54">
        <f>VLOOKUP(A20,'Custo_Fopag (2)'!$A:$BQ,54,0)</f>
        <v>0</v>
      </c>
      <c r="BB20" s="54">
        <f>VLOOKUP(A20,'Custo_Fopag (2)'!$A:$BQ,52,0)</f>
        <v>0</v>
      </c>
      <c r="BC20" s="122">
        <f t="shared" si="1"/>
        <v>621.87</v>
      </c>
      <c r="BD20" s="54">
        <f t="shared" si="2"/>
        <v>4340.62</v>
      </c>
      <c r="BE20" s="57"/>
      <c r="BF20" s="54">
        <f t="shared" si="3"/>
        <v>4340.62</v>
      </c>
      <c r="BG20" s="54">
        <f t="shared" si="4"/>
        <v>309.89583333333331</v>
      </c>
      <c r="BH20" s="54">
        <f t="shared" si="5"/>
        <v>309.89583333333331</v>
      </c>
      <c r="BI20" s="54">
        <f t="shared" si="6"/>
        <v>103.2986111111111</v>
      </c>
      <c r="BJ20" s="54">
        <f t="shared" si="7"/>
        <v>723.09027777777771</v>
      </c>
      <c r="BK20" s="54">
        <f>VLOOKUP(A20,'Custo_Fopag (2)'!$A:$BQ,65,0)</f>
        <v>743.75</v>
      </c>
      <c r="BL20" s="54">
        <f>VLOOKUP(A20,'Custo_Fopag (2)'!$A:$BQP,66,0)</f>
        <v>111.56</v>
      </c>
      <c r="BM20" s="54">
        <f>VLOOKUP(A20,'Custo_Fopag (2)'!$A:$BQ,67,0)</f>
        <v>215.68</v>
      </c>
      <c r="BN20" s="54">
        <f>VLOOKUP(A20,'Custo_Fopag (2)'!$A:$BQ,64,0)</f>
        <v>297.5</v>
      </c>
      <c r="BO20" s="54">
        <f t="shared" si="8"/>
        <v>1368.49</v>
      </c>
      <c r="BP20" s="54">
        <f t="shared" si="9"/>
        <v>5709.11</v>
      </c>
      <c r="BQ20" s="54">
        <f t="shared" si="10"/>
        <v>6432.200277777777</v>
      </c>
      <c r="BR20" s="109">
        <f>VLOOKUP(A20,'Custo_Fopag (2)'!$A:$BQ,60,0)</f>
        <v>0</v>
      </c>
      <c r="BS20" s="83" t="str">
        <f t="shared" si="11"/>
        <v>Ativo</v>
      </c>
    </row>
    <row r="21" spans="1:71" x14ac:dyDescent="0.25">
      <c r="A21" s="59" t="s">
        <v>334</v>
      </c>
      <c r="B21" s="88">
        <v>46082</v>
      </c>
      <c r="C21" s="59" t="s">
        <v>5</v>
      </c>
      <c r="D21" s="59" t="str">
        <f>VLOOKUP(A21,'Custo_Fopag (2)'!A:$BQ,4,0)</f>
        <v>G3S FL 05 - PRES PRUD</v>
      </c>
      <c r="E21" s="59"/>
      <c r="F21" s="59"/>
      <c r="G21" s="59" t="str">
        <f>VLOOKUP(A21,'Custo_Fopag (2)'!$A:$BQ,5,0)</f>
        <v>20.947.332/0005-19</v>
      </c>
      <c r="H21" s="59" t="str">
        <f>VLOOKUP(A21,'Custo_Fopag (2)'!$A:$BQ,6,0)</f>
        <v>OPERACIONAL</v>
      </c>
      <c r="I21" s="59" t="str">
        <f>VLOOKUP(A21,'Custo_Fopag (2)'!$A:$BQ,7,0)</f>
        <v>CORTE E DOBRA</v>
      </c>
      <c r="J21" s="59" t="str">
        <f>VLOOKUP(A21,'Custo_Fopag (2)'!$A:$BQ,8,0)</f>
        <v>BRACOFER</v>
      </c>
      <c r="K21" s="78">
        <f>VLOOKUP(A21,'Custo_Fopag (2)'!$A:$BQ,9,0)</f>
        <v>45021</v>
      </c>
      <c r="N21" s="3" t="str">
        <f>VLOOKUP(A21,'Custo_Fopag (2)'!$A:$BQ,11,0)</f>
        <v>1.3.1.5 CORTE E DOBRA</v>
      </c>
      <c r="O21" s="3" t="str">
        <f>VLOOKUP(A21,'Custo_Fopag (2)'!$A:$BQ,12,0)</f>
        <v>AUXILIAR DE PATIO PLENO</v>
      </c>
      <c r="P21" s="126">
        <f>VLOOKUP(A21,'Custo_Fopag (2)'!$A:$BQ,13,0)</f>
        <v>2350</v>
      </c>
      <c r="Q21" s="127">
        <f>VLOOKUP(A21,'Custo_Fopag (2)'!$A:$BQ,16,0)</f>
        <v>2350</v>
      </c>
      <c r="R21" s="56">
        <f>VLOOKUP(A21,'Custo_Fopag (2)'!$A:$BQ,17,0)</f>
        <v>0</v>
      </c>
      <c r="S21" s="54">
        <f>VLOOKUP(A21,'Custo_Fopag (2)'!$A:$BP,18,0)</f>
        <v>0</v>
      </c>
      <c r="T21" s="54">
        <f>VLOOKUP(A21,'Custo_Fopag (2)'!$A:$BQ,20,0)</f>
        <v>0</v>
      </c>
      <c r="U21" s="54">
        <f>VLOOKUP(A21,'Custo_Fopag (2)'!$A:$BQ,21,0)</f>
        <v>0</v>
      </c>
      <c r="V21" s="54">
        <f>VLOOKUP(A21,'Custo_Fopag (2)'!$A:$BQ,22,0)</f>
        <v>0</v>
      </c>
      <c r="W21" s="54">
        <f>VLOOKUP(A21,'Custo_Fopag (2)'!$A:$BQ,23,0)</f>
        <v>0</v>
      </c>
      <c r="X21" s="54">
        <f>VLOOKUP(A21,'Custo_Fopag (2)'!$A:$BQ,24,0)</f>
        <v>0</v>
      </c>
      <c r="Y21" s="55">
        <f>VLOOKUP(A21,'Custo_Fopag (2)'!$A:$BQ,25,0)</f>
        <v>0</v>
      </c>
      <c r="Z21" s="54">
        <f>VLOOKUP(A21,'Custo_Fopag (2)'!$A:$BQ,26,0)</f>
        <v>0</v>
      </c>
      <c r="AA21" s="54">
        <f>VLOOKUP(A21,'Custo_Fopag (2)'!$A:$BQ,27,0)</f>
        <v>385.69</v>
      </c>
      <c r="AB21" s="54">
        <f>VLOOKUP(A21,'Custo_Fopag (2)'!$A:$BQ,28,0)</f>
        <v>74.17</v>
      </c>
      <c r="AC21" s="54">
        <f>VLOOKUP(A21,'Custo_Fopag (2)'!$A:$BQ,29,0)</f>
        <v>0</v>
      </c>
      <c r="AD21" s="54">
        <f>VLOOKUP(A21,'Custo_Fopag (2)'!$A:$BQ,30,0)</f>
        <v>0</v>
      </c>
      <c r="AE21" s="54">
        <f>VLOOKUP(A21,'Custo_Fopag (2)'!$A:$BQ,31,0)</f>
        <v>0</v>
      </c>
      <c r="AF21" s="54">
        <f>VLOOKUP(A21,'Custo_Fopag (2)'!$A:$BQ,32,0)</f>
        <v>0</v>
      </c>
      <c r="AG21" s="54">
        <f t="shared" si="0"/>
        <v>2809.86</v>
      </c>
      <c r="AH21" s="121">
        <f>VLOOKUP(A21,'Custo_Fopag (2)'!$A:$BQ,45,0)</f>
        <v>0</v>
      </c>
      <c r="AI21" s="54">
        <f>_xlfn.XLOOKUP(A21,Beneficios!A:A,Beneficios!B:B,0,0,1)</f>
        <v>521.87</v>
      </c>
      <c r="AJ21" s="54">
        <f>VLOOKUP(A21,'Custo_Fopag (2)'!$A:$BQ,47,0)</f>
        <v>0</v>
      </c>
      <c r="AK21" s="54">
        <v>0</v>
      </c>
      <c r="AL21" s="54">
        <f>VLOOKUP(A21,'Custo_Fopag (2)'!$A:$BQ,35,0)</f>
        <v>0</v>
      </c>
      <c r="AM21" s="54">
        <f>VLOOKUP(A21,'Custo_Fopag (2)'!$A:$BQ,36,0)</f>
        <v>0</v>
      </c>
      <c r="AN21" s="54">
        <f>VLOOKUP(A21,'Custo_Fopag (2)'!$A:$BQ,37,0)</f>
        <v>0</v>
      </c>
      <c r="AO21" s="54">
        <f>VLOOKUP(A21,'Custo_Fopag (2)'!$A:$BQ,39,0)</f>
        <v>0</v>
      </c>
      <c r="AP21" s="54">
        <f>VLOOKUP(A21,'Custo_Fopag (2)'!$A:$BQ,42,0)</f>
        <v>350</v>
      </c>
      <c r="AQ21" s="54">
        <f>VLOOKUP(A21,'Custo_Fopag (2)'!$A:$BQ,40,0)</f>
        <v>0</v>
      </c>
      <c r="AR21" s="54">
        <f>VLOOKUP(A21,'Custo_Fopag (2)'!$A:$BQ,41,0)</f>
        <v>0</v>
      </c>
      <c r="AS21" s="54">
        <f>VLOOKUP(A21,'Custo_Fopag (2)'!$A:$BQ,38,0)</f>
        <v>0</v>
      </c>
      <c r="AT21" s="54">
        <f>VLOOKUP(A21,'Custo_Fopag (2)'!$A:$BQ,43,0)</f>
        <v>0</v>
      </c>
      <c r="AU21" s="54">
        <f>VLOOKUP(A21,'Custo_Fopag (2)'!$A:$BQ,48,0)</f>
        <v>0</v>
      </c>
      <c r="AV21" s="54">
        <f>VLOOKUP(A21,'Custo_Fopag (2)'!$A:$BQ,49,0)</f>
        <v>0</v>
      </c>
      <c r="AW21" s="54">
        <f>VLOOKUP(A21,'Custo_Fopag (2)'!$A:$BQ,19,0)</f>
        <v>0</v>
      </c>
      <c r="AX21" s="54">
        <f>VLOOKUP(A21,'Custo_Fopag (2)'!$A:$BQ,50,0)</f>
        <v>0</v>
      </c>
      <c r="AY21" s="54">
        <f>VLOOKUP(A21,'Custo_Fopag (2)'!$A:$BQ,51,0)</f>
        <v>0</v>
      </c>
      <c r="AZ21" s="117">
        <v>0</v>
      </c>
      <c r="BA21" s="54">
        <f>VLOOKUP(A21,'Custo_Fopag (2)'!$A:$BQ,54,0)</f>
        <v>0</v>
      </c>
      <c r="BB21" s="54">
        <f>VLOOKUP(A21,'Custo_Fopag (2)'!$A:$BQ,52,0)</f>
        <v>0</v>
      </c>
      <c r="BC21" s="122">
        <f t="shared" si="1"/>
        <v>871.87</v>
      </c>
      <c r="BD21" s="54">
        <f t="shared" si="2"/>
        <v>3681.73</v>
      </c>
      <c r="BE21" s="57"/>
      <c r="BF21" s="54">
        <f t="shared" si="3"/>
        <v>3681.73</v>
      </c>
      <c r="BG21" s="54">
        <f t="shared" si="4"/>
        <v>234.155</v>
      </c>
      <c r="BH21" s="54">
        <f t="shared" si="5"/>
        <v>234.155</v>
      </c>
      <c r="BI21" s="54">
        <f t="shared" si="6"/>
        <v>78.051666666666662</v>
      </c>
      <c r="BJ21" s="54">
        <f t="shared" si="7"/>
        <v>546.36166666666668</v>
      </c>
      <c r="BK21" s="54">
        <f>VLOOKUP(A21,'Custo_Fopag (2)'!$A:$BQ,65,0)</f>
        <v>561.97</v>
      </c>
      <c r="BL21" s="54">
        <f>VLOOKUP(A21,'Custo_Fopag (2)'!$A:$BQP,66,0)</f>
        <v>42.14</v>
      </c>
      <c r="BM21" s="54">
        <f>VLOOKUP(A21,'Custo_Fopag (2)'!$A:$BQ,67,0)</f>
        <v>162.97</v>
      </c>
      <c r="BN21" s="54">
        <f>VLOOKUP(A21,'Custo_Fopag (2)'!$A:$BQ,64,0)</f>
        <v>224.78</v>
      </c>
      <c r="BO21" s="54">
        <f t="shared" si="8"/>
        <v>991.86</v>
      </c>
      <c r="BP21" s="54">
        <f t="shared" si="9"/>
        <v>4673.59</v>
      </c>
      <c r="BQ21" s="54">
        <f t="shared" si="10"/>
        <v>5219.9516666666668</v>
      </c>
      <c r="BR21" s="109">
        <f>VLOOKUP(A21,'Custo_Fopag (2)'!$A:$BQ,60,0)</f>
        <v>0</v>
      </c>
      <c r="BS21" s="83" t="str">
        <f t="shared" si="11"/>
        <v>Ativo</v>
      </c>
    </row>
    <row r="22" spans="1:71" x14ac:dyDescent="0.25">
      <c r="A22" s="59" t="s">
        <v>269</v>
      </c>
      <c r="B22" s="88">
        <v>46082</v>
      </c>
      <c r="C22" s="59" t="s">
        <v>5</v>
      </c>
      <c r="D22" s="59" t="str">
        <f>VLOOKUP(A22,'Custo_Fopag (2)'!A:$BQ,4,0)</f>
        <v>G3S FL 11 - MARINGA</v>
      </c>
      <c r="E22" s="59"/>
      <c r="F22" s="59"/>
      <c r="G22" s="59" t="str">
        <f>VLOOKUP(A22,'Custo_Fopag (2)'!$A:$BQ,5,0)</f>
        <v>20.947.332/0011-67</v>
      </c>
      <c r="H22" s="59" t="str">
        <f>VLOOKUP(A22,'Custo_Fopag (2)'!$A:$BQ,6,0)</f>
        <v>ADMINISTRATIVO</v>
      </c>
      <c r="I22" s="59" t="str">
        <f>VLOOKUP(A22,'Custo_Fopag (2)'!$A:$BQ,7,0)</f>
        <v>ATENDIMENTO</v>
      </c>
      <c r="J22" s="59" t="str">
        <f>VLOOKUP(A22,'Custo_Fopag (2)'!$A:$BQ,8,0)</f>
        <v>SELETIVA MARINGA CIDADE ALTA</v>
      </c>
      <c r="K22" s="78">
        <f>VLOOKUP(A22,'Custo_Fopag (2)'!$A:$BQ,9,0)</f>
        <v>45323</v>
      </c>
      <c r="N22" s="3" t="str">
        <f>VLOOKUP(A22,'Custo_Fopag (2)'!$A:$BQ,11,0)</f>
        <v>1.2.4.1 ADMINISTRATIVO</v>
      </c>
      <c r="O22" s="3" t="str">
        <f>VLOOKUP(A22,'Custo_Fopag (2)'!$A:$BQ,12,0)</f>
        <v>AUX ADMINISTRATIVO JUNIOR</v>
      </c>
      <c r="P22" s="126">
        <f>VLOOKUP(A22,'Custo_Fopag (2)'!$A:$BQ,13,0)</f>
        <v>2320</v>
      </c>
      <c r="Q22" s="127">
        <f>VLOOKUP(A22,'Custo_Fopag (2)'!$A:$BQ,16,0)</f>
        <v>2320</v>
      </c>
      <c r="R22" s="56">
        <f>VLOOKUP(A22,'Custo_Fopag (2)'!$A:$BQ,17,0)</f>
        <v>0</v>
      </c>
      <c r="S22" s="54">
        <f>VLOOKUP(A22,'Custo_Fopag (2)'!$A:$BP,18,0)</f>
        <v>0</v>
      </c>
      <c r="T22" s="54">
        <f>VLOOKUP(A22,'Custo_Fopag (2)'!$A:$BQ,20,0)</f>
        <v>0</v>
      </c>
      <c r="U22" s="54">
        <f>VLOOKUP(A22,'Custo_Fopag (2)'!$A:$BQ,21,0)</f>
        <v>0</v>
      </c>
      <c r="V22" s="54">
        <f>VLOOKUP(A22,'Custo_Fopag (2)'!$A:$BQ,22,0)</f>
        <v>0</v>
      </c>
      <c r="W22" s="54">
        <f>VLOOKUP(A22,'Custo_Fopag (2)'!$A:$BQ,23,0)</f>
        <v>0</v>
      </c>
      <c r="X22" s="54">
        <f>VLOOKUP(A22,'Custo_Fopag (2)'!$A:$BQ,24,0)</f>
        <v>0</v>
      </c>
      <c r="Y22" s="55">
        <f>VLOOKUP(A22,'Custo_Fopag (2)'!$A:$BQ,25,0)</f>
        <v>0</v>
      </c>
      <c r="Z22" s="54">
        <f>VLOOKUP(A22,'Custo_Fopag (2)'!$A:$BQ,26,0)</f>
        <v>0</v>
      </c>
      <c r="AA22" s="54">
        <f>VLOOKUP(A22,'Custo_Fopag (2)'!$A:$BQ,27,0)</f>
        <v>237.8</v>
      </c>
      <c r="AB22" s="54">
        <f>VLOOKUP(A22,'Custo_Fopag (2)'!$A:$BQ,28,0)</f>
        <v>45.73</v>
      </c>
      <c r="AC22" s="54">
        <f>VLOOKUP(A22,'Custo_Fopag (2)'!$A:$BQ,29,0)</f>
        <v>0</v>
      </c>
      <c r="AD22" s="54">
        <f>VLOOKUP(A22,'Custo_Fopag (2)'!$A:$BQ,30,0)</f>
        <v>0</v>
      </c>
      <c r="AE22" s="54">
        <f>VLOOKUP(A22,'Custo_Fopag (2)'!$A:$BQ,31,0)</f>
        <v>0</v>
      </c>
      <c r="AF22" s="54">
        <f>VLOOKUP(A22,'Custo_Fopag (2)'!$A:$BQ,32,0)</f>
        <v>0</v>
      </c>
      <c r="AG22" s="54">
        <f t="shared" si="0"/>
        <v>2603.5300000000002</v>
      </c>
      <c r="AH22" s="121">
        <f>VLOOKUP(A22,'Custo_Fopag (2)'!$A:$BQ,45,0)</f>
        <v>0</v>
      </c>
      <c r="AI22" s="54">
        <f>_xlfn.XLOOKUP(A22,Beneficios!A:A,Beneficios!B:B,0,0,1)</f>
        <v>0</v>
      </c>
      <c r="AJ22" s="54">
        <f>VLOOKUP(A22,'Custo_Fopag (2)'!$A:$BQ,47,0)</f>
        <v>0</v>
      </c>
      <c r="AK22" s="54">
        <v>0</v>
      </c>
      <c r="AL22" s="54">
        <f>VLOOKUP(A22,'Custo_Fopag (2)'!$A:$BQ,35,0)</f>
        <v>0</v>
      </c>
      <c r="AM22" s="54">
        <f>VLOOKUP(A22,'Custo_Fopag (2)'!$A:$BQ,36,0)</f>
        <v>0</v>
      </c>
      <c r="AN22" s="54">
        <f>VLOOKUP(A22,'Custo_Fopag (2)'!$A:$BQ,37,0)</f>
        <v>0</v>
      </c>
      <c r="AO22" s="54">
        <f>VLOOKUP(A22,'Custo_Fopag (2)'!$A:$BQ,39,0)</f>
        <v>0</v>
      </c>
      <c r="AP22" s="54">
        <f>VLOOKUP(A22,'Custo_Fopag (2)'!$A:$BQ,42,0)</f>
        <v>0</v>
      </c>
      <c r="AQ22" s="54">
        <f>VLOOKUP(A22,'Custo_Fopag (2)'!$A:$BQ,40,0)</f>
        <v>0</v>
      </c>
      <c r="AR22" s="54">
        <f>VLOOKUP(A22,'Custo_Fopag (2)'!$A:$BQ,41,0)</f>
        <v>456.6</v>
      </c>
      <c r="AS22" s="54">
        <f>VLOOKUP(A22,'Custo_Fopag (2)'!$A:$BQ,38,0)</f>
        <v>0</v>
      </c>
      <c r="AT22" s="54">
        <f>VLOOKUP(A22,'Custo_Fopag (2)'!$A:$BQ,43,0)</f>
        <v>0</v>
      </c>
      <c r="AU22" s="54">
        <f>VLOOKUP(A22,'Custo_Fopag (2)'!$A:$BQ,48,0)</f>
        <v>0</v>
      </c>
      <c r="AV22" s="54">
        <f>VLOOKUP(A22,'Custo_Fopag (2)'!$A:$BQ,49,0)</f>
        <v>0</v>
      </c>
      <c r="AW22" s="54">
        <f>VLOOKUP(A22,'Custo_Fopag (2)'!$A:$BQ,19,0)</f>
        <v>0</v>
      </c>
      <c r="AX22" s="54">
        <f>VLOOKUP(A22,'Custo_Fopag (2)'!$A:$BQ,50,0)</f>
        <v>0</v>
      </c>
      <c r="AY22" s="54">
        <f>VLOOKUP(A22,'Custo_Fopag (2)'!$A:$BQ,51,0)</f>
        <v>0</v>
      </c>
      <c r="AZ22" s="117">
        <v>0</v>
      </c>
      <c r="BA22" s="54">
        <f>VLOOKUP(A22,'Custo_Fopag (2)'!$A:$BQ,54,0)</f>
        <v>0</v>
      </c>
      <c r="BB22" s="54">
        <f>VLOOKUP(A22,'Custo_Fopag (2)'!$A:$BQ,52,0)</f>
        <v>0</v>
      </c>
      <c r="BC22" s="122">
        <f t="shared" si="1"/>
        <v>456.6</v>
      </c>
      <c r="BD22" s="54">
        <f t="shared" si="2"/>
        <v>3060.13</v>
      </c>
      <c r="BE22" s="57"/>
      <c r="BF22" s="54">
        <f t="shared" si="3"/>
        <v>3060.13</v>
      </c>
      <c r="BG22" s="54">
        <f t="shared" si="4"/>
        <v>216.96083333333334</v>
      </c>
      <c r="BH22" s="54">
        <f t="shared" si="5"/>
        <v>216.96083333333334</v>
      </c>
      <c r="BI22" s="54">
        <f t="shared" si="6"/>
        <v>72.320277777777775</v>
      </c>
      <c r="BJ22" s="54">
        <f t="shared" si="7"/>
        <v>506.24194444444447</v>
      </c>
      <c r="BK22" s="54">
        <f>VLOOKUP(A22,'Custo_Fopag (2)'!$A:$BQ,65,0)</f>
        <v>520.71</v>
      </c>
      <c r="BL22" s="54">
        <f>VLOOKUP(A22,'Custo_Fopag (2)'!$A:$BQP,66,0)</f>
        <v>78.099999999999994</v>
      </c>
      <c r="BM22" s="54">
        <f>VLOOKUP(A22,'Custo_Fopag (2)'!$A:$BQ,67,0)</f>
        <v>151</v>
      </c>
      <c r="BN22" s="54">
        <f>VLOOKUP(A22,'Custo_Fopag (2)'!$A:$BQ,64,0)</f>
        <v>208.28</v>
      </c>
      <c r="BO22" s="54">
        <f t="shared" si="8"/>
        <v>958.09</v>
      </c>
      <c r="BP22" s="54">
        <f t="shared" si="9"/>
        <v>4018.2200000000003</v>
      </c>
      <c r="BQ22" s="54">
        <f t="shared" si="10"/>
        <v>4524.4619444444443</v>
      </c>
      <c r="BR22" s="109">
        <f>VLOOKUP(A22,'Custo_Fopag (2)'!$A:$BQ,60,0)</f>
        <v>0</v>
      </c>
      <c r="BS22" s="83" t="str">
        <f t="shared" si="11"/>
        <v>Ativo</v>
      </c>
    </row>
    <row r="23" spans="1:71" x14ac:dyDescent="0.25">
      <c r="A23" s="3" t="s">
        <v>121</v>
      </c>
      <c r="B23" s="88">
        <v>46082</v>
      </c>
      <c r="C23" s="59" t="s">
        <v>5</v>
      </c>
      <c r="D23" s="59" t="str">
        <f>VLOOKUP(A23,'Custo_Fopag (2)'!A:$BQ,4,0)</f>
        <v>G S MATRIZ - PRES PRUD</v>
      </c>
      <c r="E23" s="59"/>
      <c r="F23" s="59"/>
      <c r="G23" s="59" t="str">
        <f>VLOOKUP(A23,'Custo_Fopag (2)'!$A:$BQ,5,0)</f>
        <v>20.504.237/0001-17</v>
      </c>
      <c r="H23" s="59" t="str">
        <f>VLOOKUP(A23,'Custo_Fopag (2)'!$A:$BQ,6,0)</f>
        <v>OPERACIONAL</v>
      </c>
      <c r="I23" s="59" t="str">
        <f>VLOOKUP(A23,'Custo_Fopag (2)'!$A:$BQ,7,0)</f>
        <v>PATIO</v>
      </c>
      <c r="J23" s="59" t="str">
        <f>VLOOKUP(A23,'Custo_Fopag (2)'!$A:$BQ,8,0)</f>
        <v>SELETIVA PRESIDENTE PRUDENTE</v>
      </c>
      <c r="K23" s="78">
        <f>VLOOKUP(A23,'Custo_Fopag (2)'!$A:$BQ,9,0)</f>
        <v>46043</v>
      </c>
      <c r="N23" s="3" t="str">
        <f>VLOOKUP(A23,'Custo_Fopag (2)'!$A:$BQ,11,0)</f>
        <v>1.2.5.3 OPERACIONAL</v>
      </c>
      <c r="O23" s="3" t="str">
        <f>VLOOKUP(A23,'Custo_Fopag (2)'!$A:$BQ,12,0)</f>
        <v>OPERADOR MANTENEDOR JR</v>
      </c>
      <c r="P23" s="126">
        <f>VLOOKUP(A23,'Custo_Fopag (2)'!$A:$BQ,13,0)</f>
        <v>2610</v>
      </c>
      <c r="Q23" s="127">
        <f>VLOOKUP(A23,'Custo_Fopag (2)'!$A:$BQ,16,0)</f>
        <v>2610</v>
      </c>
      <c r="R23" s="56">
        <f>VLOOKUP(A23,'Custo_Fopag (2)'!$A:$BQ,17,0)</f>
        <v>0</v>
      </c>
      <c r="S23" s="54">
        <f>VLOOKUP(A23,'Custo_Fopag (2)'!$A:$BP,18,0)</f>
        <v>0</v>
      </c>
      <c r="T23" s="54">
        <f>VLOOKUP(A23,'Custo_Fopag (2)'!$A:$BQ,20,0)</f>
        <v>522</v>
      </c>
      <c r="U23" s="54">
        <f>VLOOKUP(A23,'Custo_Fopag (2)'!$A:$BQ,21,0)</f>
        <v>0</v>
      </c>
      <c r="V23" s="54">
        <f>VLOOKUP(A23,'Custo_Fopag (2)'!$A:$BQ,22,0)</f>
        <v>0</v>
      </c>
      <c r="W23" s="54">
        <f>VLOOKUP(A23,'Custo_Fopag (2)'!$A:$BQ,23,0)</f>
        <v>0</v>
      </c>
      <c r="X23" s="54">
        <f>VLOOKUP(A23,'Custo_Fopag (2)'!$A:$BQ,24,0)</f>
        <v>0</v>
      </c>
      <c r="Y23" s="55">
        <f>VLOOKUP(A23,'Custo_Fopag (2)'!$A:$BQ,25,0)</f>
        <v>0</v>
      </c>
      <c r="Z23" s="54">
        <f>VLOOKUP(A23,'Custo_Fopag (2)'!$A:$BQ,26,0)</f>
        <v>0</v>
      </c>
      <c r="AA23" s="54">
        <f>VLOOKUP(A23,'Custo_Fopag (2)'!$A:$BQ,27,0)</f>
        <v>750.61</v>
      </c>
      <c r="AB23" s="54">
        <f>VLOOKUP(A23,'Custo_Fopag (2)'!$A:$BQ,28,0)</f>
        <v>144.35</v>
      </c>
      <c r="AC23" s="54">
        <f>VLOOKUP(A23,'Custo_Fopag (2)'!$A:$BQ,29,0)</f>
        <v>0</v>
      </c>
      <c r="AD23" s="54">
        <f>VLOOKUP(A23,'Custo_Fopag (2)'!$A:$BQ,30,0)</f>
        <v>0</v>
      </c>
      <c r="AE23" s="54">
        <f>VLOOKUP(A23,'Custo_Fopag (2)'!$A:$BQ,31,0)</f>
        <v>0</v>
      </c>
      <c r="AF23" s="54">
        <f>VLOOKUP(A23,'Custo_Fopag (2)'!$A:$BQ,32,0)</f>
        <v>0</v>
      </c>
      <c r="AG23" s="54">
        <f t="shared" si="0"/>
        <v>4026.96</v>
      </c>
      <c r="AH23" s="121">
        <f>VLOOKUP(A23,'Custo_Fopag (2)'!$A:$BQ,45,0)</f>
        <v>0</v>
      </c>
      <c r="AI23" s="54">
        <f>_xlfn.XLOOKUP(A23,Beneficios!A:A,Beneficios!B:B,0,0,1)</f>
        <v>512.87</v>
      </c>
      <c r="AJ23" s="54">
        <f>VLOOKUP(A23,'Custo_Fopag (2)'!$A:$BQ,47,0)</f>
        <v>0</v>
      </c>
      <c r="AK23" s="54">
        <v>0</v>
      </c>
      <c r="AL23" s="54">
        <f>VLOOKUP(A23,'Custo_Fopag (2)'!$A:$BQ,35,0)</f>
        <v>0</v>
      </c>
      <c r="AM23" s="54">
        <f>VLOOKUP(A23,'Custo_Fopag (2)'!$A:$BQ,36,0)</f>
        <v>0</v>
      </c>
      <c r="AN23" s="54">
        <f>VLOOKUP(A23,'Custo_Fopag (2)'!$A:$BQ,37,0)</f>
        <v>0</v>
      </c>
      <c r="AO23" s="54">
        <f>VLOOKUP(A23,'Custo_Fopag (2)'!$A:$BQ,39,0)</f>
        <v>0</v>
      </c>
      <c r="AP23" s="54">
        <f>VLOOKUP(A23,'Custo_Fopag (2)'!$A:$BQ,42,0)</f>
        <v>0</v>
      </c>
      <c r="AQ23" s="54">
        <f>VLOOKUP(A23,'Custo_Fopag (2)'!$A:$BQ,40,0)</f>
        <v>0</v>
      </c>
      <c r="AR23" s="54">
        <f>VLOOKUP(A23,'Custo_Fopag (2)'!$A:$BQ,41,0)</f>
        <v>579.34</v>
      </c>
      <c r="AS23" s="54">
        <f>VLOOKUP(A23,'Custo_Fopag (2)'!$A:$BQ,38,0)</f>
        <v>0</v>
      </c>
      <c r="AT23" s="54">
        <f>VLOOKUP(A23,'Custo_Fopag (2)'!$A:$BQ,43,0)</f>
        <v>0</v>
      </c>
      <c r="AU23" s="54">
        <f>VLOOKUP(A23,'Custo_Fopag (2)'!$A:$BQ,48,0)</f>
        <v>0</v>
      </c>
      <c r="AV23" s="54">
        <f>VLOOKUP(A23,'Custo_Fopag (2)'!$A:$BQ,49,0)</f>
        <v>0</v>
      </c>
      <c r="AW23" s="54">
        <f>VLOOKUP(A23,'Custo_Fopag (2)'!$A:$BQ,19,0)</f>
        <v>0</v>
      </c>
      <c r="AX23" s="54">
        <f>VLOOKUP(A23,'Custo_Fopag (2)'!$A:$BQ,50,0)</f>
        <v>0</v>
      </c>
      <c r="AY23" s="54">
        <f>VLOOKUP(A23,'Custo_Fopag (2)'!$A:$BQ,51,0)</f>
        <v>0</v>
      </c>
      <c r="AZ23" s="117">
        <v>0</v>
      </c>
      <c r="BA23" s="54">
        <f>VLOOKUP(A23,'Custo_Fopag (2)'!$A:$BQ,54,0)</f>
        <v>0</v>
      </c>
      <c r="BB23" s="54">
        <f>VLOOKUP(A23,'Custo_Fopag (2)'!$A:$BQ,52,0)</f>
        <v>0</v>
      </c>
      <c r="BC23" s="122">
        <f t="shared" si="1"/>
        <v>1092.21</v>
      </c>
      <c r="BD23" s="54">
        <f t="shared" si="2"/>
        <v>5119.17</v>
      </c>
      <c r="BE23" s="57"/>
      <c r="BF23" s="54">
        <f t="shared" si="3"/>
        <v>5119.17</v>
      </c>
      <c r="BG23" s="54">
        <f t="shared" si="4"/>
        <v>335.58</v>
      </c>
      <c r="BH23" s="54">
        <f t="shared" si="5"/>
        <v>335.58</v>
      </c>
      <c r="BI23" s="54">
        <f t="shared" si="6"/>
        <v>111.86</v>
      </c>
      <c r="BJ23" s="54">
        <f t="shared" si="7"/>
        <v>783.02</v>
      </c>
      <c r="BK23" s="54">
        <f>VLOOKUP(A23,'Custo_Fopag (2)'!$A:$BQ,65,0)</f>
        <v>805.39</v>
      </c>
      <c r="BL23" s="54">
        <f>VLOOKUP(A23,'Custo_Fopag (2)'!$A:$BQP,66,0)</f>
        <v>60.4</v>
      </c>
      <c r="BM23" s="54">
        <f>VLOOKUP(A23,'Custo_Fopag (2)'!$A:$BQ,67,0)</f>
        <v>233.56</v>
      </c>
      <c r="BN23" s="54">
        <f>VLOOKUP(A23,'Custo_Fopag (2)'!$A:$BQ,64,0)</f>
        <v>322.14999999999998</v>
      </c>
      <c r="BO23" s="54">
        <f t="shared" si="8"/>
        <v>1421.5</v>
      </c>
      <c r="BP23" s="54">
        <f t="shared" si="9"/>
        <v>6540.67</v>
      </c>
      <c r="BQ23" s="54">
        <f t="shared" si="10"/>
        <v>7323.6900000000005</v>
      </c>
      <c r="BR23" s="109">
        <f>VLOOKUP(A23,'Custo_Fopag (2)'!$A:$BQ,60,0)</f>
        <v>0</v>
      </c>
      <c r="BS23" s="83" t="str">
        <f t="shared" si="11"/>
        <v>Ativo</v>
      </c>
    </row>
    <row r="24" spans="1:71" x14ac:dyDescent="0.25">
      <c r="A24" s="81" t="s">
        <v>344</v>
      </c>
      <c r="B24" s="88">
        <v>46082</v>
      </c>
      <c r="C24" s="59" t="s">
        <v>5</v>
      </c>
      <c r="D24" s="59" t="str">
        <f>VLOOKUP(A24,'Custo_Fopag (2)'!A:$BQ,4,0)</f>
        <v>G3S FL 05 - PRES PRUD</v>
      </c>
      <c r="E24" s="59"/>
      <c r="F24" s="59"/>
      <c r="G24" s="59" t="str">
        <f>VLOOKUP(A24,'Custo_Fopag (2)'!$A:$BQ,5,0)</f>
        <v>20.947.332/0005-19</v>
      </c>
      <c r="H24" s="59" t="str">
        <f>VLOOKUP(A24,'Custo_Fopag (2)'!$A:$BQ,6,0)</f>
        <v>OPERACIONAL</v>
      </c>
      <c r="I24" s="59" t="str">
        <f>VLOOKUP(A24,'Custo_Fopag (2)'!$A:$BQ,7,0)</f>
        <v>CORTE E DOBRA</v>
      </c>
      <c r="J24" s="59" t="str">
        <f>VLOOKUP(A24,'Custo_Fopag (2)'!$A:$BQ,8,0)</f>
        <v>BRACOFER</v>
      </c>
      <c r="K24" s="78">
        <f>VLOOKUP(A24,'Custo_Fopag (2)'!$A:$BQ,9,0)</f>
        <v>45979</v>
      </c>
      <c r="N24" s="3" t="str">
        <f>VLOOKUP(A24,'Custo_Fopag (2)'!$A:$BQ,11,0)</f>
        <v>1.3.1.5 CORTE E DOBRA</v>
      </c>
      <c r="O24" s="3" t="str">
        <f>VLOOKUP(A24,'Custo_Fopag (2)'!$A:$BQ,12,0)</f>
        <v>AUXILIAR DE PATIO JUNIOR</v>
      </c>
      <c r="P24" s="126">
        <f>VLOOKUP(A24,'Custo_Fopag (2)'!$A:$BQ,13,0)</f>
        <v>2155</v>
      </c>
      <c r="Q24" s="127">
        <f>VLOOKUP(A24,'Custo_Fopag (2)'!$A:$BQ,16,0)</f>
        <v>2155</v>
      </c>
      <c r="R24" s="56">
        <f>VLOOKUP(A24,'Custo_Fopag (2)'!$A:$BQ,17,0)</f>
        <v>0</v>
      </c>
      <c r="S24" s="54">
        <f>VLOOKUP(A24,'Custo_Fopag (2)'!$A:$BP,18,0)</f>
        <v>0</v>
      </c>
      <c r="T24" s="54">
        <f>VLOOKUP(A24,'Custo_Fopag (2)'!$A:$BQ,20,0)</f>
        <v>0</v>
      </c>
      <c r="U24" s="54">
        <f>VLOOKUP(A24,'Custo_Fopag (2)'!$A:$BQ,21,0)</f>
        <v>0</v>
      </c>
      <c r="V24" s="54">
        <f>VLOOKUP(A24,'Custo_Fopag (2)'!$A:$BQ,22,0)</f>
        <v>0</v>
      </c>
      <c r="W24" s="54">
        <f>VLOOKUP(A24,'Custo_Fopag (2)'!$A:$BQ,23,0)</f>
        <v>0</v>
      </c>
      <c r="X24" s="54">
        <f>VLOOKUP(A24,'Custo_Fopag (2)'!$A:$BQ,24,0)</f>
        <v>0</v>
      </c>
      <c r="Y24" s="55">
        <f>VLOOKUP(A24,'Custo_Fopag (2)'!$A:$BQ,25,0)</f>
        <v>0</v>
      </c>
      <c r="Z24" s="54">
        <f>VLOOKUP(A24,'Custo_Fopag (2)'!$A:$BQ,26,0)</f>
        <v>0</v>
      </c>
      <c r="AA24" s="54">
        <f>VLOOKUP(A24,'Custo_Fopag (2)'!$A:$BQ,27,0)</f>
        <v>339.58</v>
      </c>
      <c r="AB24" s="54">
        <f>VLOOKUP(A24,'Custo_Fopag (2)'!$A:$BQ,28,0)</f>
        <v>65.3</v>
      </c>
      <c r="AC24" s="54">
        <f>VLOOKUP(A24,'Custo_Fopag (2)'!$A:$BQ,29,0)</f>
        <v>0</v>
      </c>
      <c r="AD24" s="54">
        <f>VLOOKUP(A24,'Custo_Fopag (2)'!$A:$BQ,30,0)</f>
        <v>0</v>
      </c>
      <c r="AE24" s="54">
        <f>VLOOKUP(A24,'Custo_Fopag (2)'!$A:$BQ,31,0)</f>
        <v>0</v>
      </c>
      <c r="AF24" s="54">
        <f>VLOOKUP(A24,'Custo_Fopag (2)'!$A:$BQ,32,0)</f>
        <v>0</v>
      </c>
      <c r="AG24" s="54">
        <f t="shared" si="0"/>
        <v>2559.88</v>
      </c>
      <c r="AH24" s="121">
        <f>VLOOKUP(A24,'Custo_Fopag (2)'!$A:$BQ,45,0)</f>
        <v>0</v>
      </c>
      <c r="AI24" s="54">
        <f>_xlfn.XLOOKUP(A24,Beneficios!A:A,Beneficios!B:B,0,0,1)</f>
        <v>521.87</v>
      </c>
      <c r="AJ24" s="54">
        <f>VLOOKUP(A24,'Custo_Fopag (2)'!$A:$BQ,47,0)</f>
        <v>0</v>
      </c>
      <c r="AK24" s="54">
        <v>0</v>
      </c>
      <c r="AL24" s="54">
        <f>VLOOKUP(A24,'Custo_Fopag (2)'!$A:$BQ,35,0)</f>
        <v>0</v>
      </c>
      <c r="AM24" s="54">
        <f>VLOOKUP(A24,'Custo_Fopag (2)'!$A:$BQ,36,0)</f>
        <v>0</v>
      </c>
      <c r="AN24" s="54">
        <f>VLOOKUP(A24,'Custo_Fopag (2)'!$A:$BQ,37,0)</f>
        <v>0</v>
      </c>
      <c r="AO24" s="54">
        <f>VLOOKUP(A24,'Custo_Fopag (2)'!$A:$BQ,39,0)</f>
        <v>0</v>
      </c>
      <c r="AP24" s="54">
        <f>VLOOKUP(A24,'Custo_Fopag (2)'!$A:$BQ,42,0)</f>
        <v>350</v>
      </c>
      <c r="AQ24" s="54">
        <f>VLOOKUP(A24,'Custo_Fopag (2)'!$A:$BQ,40,0)</f>
        <v>0</v>
      </c>
      <c r="AR24" s="54">
        <f>VLOOKUP(A24,'Custo_Fopag (2)'!$A:$BQ,41,0)</f>
        <v>0</v>
      </c>
      <c r="AS24" s="54">
        <f>VLOOKUP(A24,'Custo_Fopag (2)'!$A:$BQ,38,0)</f>
        <v>0</v>
      </c>
      <c r="AT24" s="54">
        <f>VLOOKUP(A24,'Custo_Fopag (2)'!$A:$BQ,43,0)</f>
        <v>0</v>
      </c>
      <c r="AU24" s="54">
        <f>VLOOKUP(A24,'Custo_Fopag (2)'!$A:$BQ,48,0)</f>
        <v>0</v>
      </c>
      <c r="AV24" s="54">
        <f>VLOOKUP(A24,'Custo_Fopag (2)'!$A:$BQ,49,0)</f>
        <v>0</v>
      </c>
      <c r="AW24" s="54">
        <f>VLOOKUP(A24,'Custo_Fopag (2)'!$A:$BQ,19,0)</f>
        <v>0</v>
      </c>
      <c r="AX24" s="54">
        <f>VLOOKUP(A24,'Custo_Fopag (2)'!$A:$BQ,50,0)</f>
        <v>0</v>
      </c>
      <c r="AY24" s="54">
        <f>VLOOKUP(A24,'Custo_Fopag (2)'!$A:$BQ,51,0)</f>
        <v>0</v>
      </c>
      <c r="AZ24" s="117">
        <v>0</v>
      </c>
      <c r="BA24" s="54">
        <f>VLOOKUP(A24,'Custo_Fopag (2)'!$A:$BQ,54,0)</f>
        <v>0</v>
      </c>
      <c r="BB24" s="54">
        <f>VLOOKUP(A24,'Custo_Fopag (2)'!$A:$BQ,52,0)</f>
        <v>0</v>
      </c>
      <c r="BC24" s="122">
        <f t="shared" si="1"/>
        <v>871.87</v>
      </c>
      <c r="BD24" s="54">
        <f t="shared" si="2"/>
        <v>3431.75</v>
      </c>
      <c r="BE24" s="57"/>
      <c r="BF24" s="54">
        <f t="shared" si="3"/>
        <v>3431.75</v>
      </c>
      <c r="BG24" s="54">
        <f t="shared" si="4"/>
        <v>213.32333333333335</v>
      </c>
      <c r="BH24" s="54">
        <f t="shared" si="5"/>
        <v>213.32333333333335</v>
      </c>
      <c r="BI24" s="54">
        <f t="shared" si="6"/>
        <v>71.107777777777784</v>
      </c>
      <c r="BJ24" s="54">
        <f t="shared" si="7"/>
        <v>497.75444444444452</v>
      </c>
      <c r="BK24" s="54">
        <f>VLOOKUP(A24,'Custo_Fopag (2)'!$A:$BQ,65,0)</f>
        <v>511.98</v>
      </c>
      <c r="BL24" s="54">
        <f>VLOOKUP(A24,'Custo_Fopag (2)'!$A:$BQP,66,0)</f>
        <v>38.39</v>
      </c>
      <c r="BM24" s="54">
        <f>VLOOKUP(A24,'Custo_Fopag (2)'!$A:$BQ,67,0)</f>
        <v>148.47</v>
      </c>
      <c r="BN24" s="54">
        <f>VLOOKUP(A24,'Custo_Fopag (2)'!$A:$BQ,64,0)</f>
        <v>204.79</v>
      </c>
      <c r="BO24" s="54">
        <f t="shared" si="8"/>
        <v>903.63</v>
      </c>
      <c r="BP24" s="54">
        <f t="shared" si="9"/>
        <v>4335.38</v>
      </c>
      <c r="BQ24" s="54">
        <f t="shared" si="10"/>
        <v>4833.1344444444449</v>
      </c>
      <c r="BR24" s="109">
        <f>VLOOKUP(A24,'Custo_Fopag (2)'!$A:$BQ,60,0)</f>
        <v>0</v>
      </c>
      <c r="BS24" s="83" t="str">
        <f t="shared" si="11"/>
        <v>Ativo</v>
      </c>
    </row>
    <row r="25" spans="1:71" x14ac:dyDescent="0.25">
      <c r="A25" s="59" t="s">
        <v>237</v>
      </c>
      <c r="B25" s="88">
        <v>46082</v>
      </c>
      <c r="C25" s="59" t="s">
        <v>5</v>
      </c>
      <c r="D25" s="59" t="str">
        <f>VLOOKUP(A25,'Custo_Fopag (2)'!A:$BQ,4,0)</f>
        <v>G3S FL 10 - PRES PRUD</v>
      </c>
      <c r="E25" s="59">
        <v>4</v>
      </c>
      <c r="F25" s="59"/>
      <c r="G25" s="59" t="str">
        <f>VLOOKUP(A25,'Custo_Fopag (2)'!$A:$BQ,5,0)</f>
        <v>20.947.332/0010-86</v>
      </c>
      <c r="H25" s="59" t="str">
        <f>VLOOKUP(A25,'Custo_Fopag (2)'!$A:$BQ,6,0)</f>
        <v>COMERCIAL</v>
      </c>
      <c r="I25" s="59" t="str">
        <f>VLOOKUP(A25,'Custo_Fopag (2)'!$A:$BQ,7,0)</f>
        <v>COMERCIAL</v>
      </c>
      <c r="J25" s="59" t="str">
        <f>VLOOKUP(A25,'Custo_Fopag (2)'!$A:$BQ,8,0)</f>
        <v>SELETIVA CORPORATIVO SUCATA</v>
      </c>
      <c r="K25" s="78">
        <f>VLOOKUP(A25,'Custo_Fopag (2)'!$A:$BQ,9,0)</f>
        <v>45748</v>
      </c>
      <c r="L25" s="52">
        <f>VLOOKUP(A25,'Custo_Fopag (2)'!$A:$BQ,10,0)</f>
        <v>46104</v>
      </c>
      <c r="M25" s="3" t="s">
        <v>419</v>
      </c>
      <c r="N25" s="3" t="str">
        <f>VLOOKUP(A25,'Custo_Fopag (2)'!$A:$BQ,11,0)</f>
        <v>1.2.1.1 APOIO</v>
      </c>
      <c r="O25" s="3" t="str">
        <f>VLOOKUP(A25,'Custo_Fopag (2)'!$A:$BQ,12,0)</f>
        <v>ASSISTENTE COMERCIAL</v>
      </c>
      <c r="P25" s="126">
        <f>VLOOKUP(A25,'Custo_Fopag (2)'!$A:$BQ,13,0)</f>
        <v>2098</v>
      </c>
      <c r="Q25" s="127">
        <f>VLOOKUP(A25,'Custo_Fopag (2)'!$A:$BQ,16,0)</f>
        <v>0</v>
      </c>
      <c r="R25" s="56">
        <f>VLOOKUP(A25,'Custo_Fopag (2)'!$A:$BQ,17,0)</f>
        <v>0</v>
      </c>
      <c r="S25" s="54">
        <f>VLOOKUP(A25,'Custo_Fopag (2)'!$A:$BP,18,0)</f>
        <v>0</v>
      </c>
      <c r="T25" s="54">
        <f>VLOOKUP(A25,'Custo_Fopag (2)'!$A:$BQ,20,0)</f>
        <v>0</v>
      </c>
      <c r="U25" s="54">
        <f>VLOOKUP(A25,'Custo_Fopag (2)'!$A:$BQ,21,0)</f>
        <v>0</v>
      </c>
      <c r="V25" s="54">
        <f>VLOOKUP(A25,'Custo_Fopag (2)'!$A:$BQ,22,0)</f>
        <v>0</v>
      </c>
      <c r="W25" s="54">
        <f>VLOOKUP(A25,'Custo_Fopag (2)'!$A:$BQ,23,0)</f>
        <v>0</v>
      </c>
      <c r="X25" s="54">
        <f>VLOOKUP(A25,'Custo_Fopag (2)'!$A:$BQ,24,0)</f>
        <v>0</v>
      </c>
      <c r="Y25" s="55">
        <f>VLOOKUP(A25,'Custo_Fopag (2)'!$A:$BQ,25,0)</f>
        <v>0</v>
      </c>
      <c r="Z25" s="54">
        <f>VLOOKUP(A25,'Custo_Fopag (2)'!$A:$BQ,26,0)</f>
        <v>0</v>
      </c>
      <c r="AA25" s="54">
        <f>VLOOKUP(A25,'Custo_Fopag (2)'!$A:$BQ,27,0)</f>
        <v>0</v>
      </c>
      <c r="AB25" s="54">
        <f>VLOOKUP(A25,'Custo_Fopag (2)'!$A:$BQ,28,0)</f>
        <v>8.43</v>
      </c>
      <c r="AC25" s="54">
        <f>VLOOKUP(A25,'Custo_Fopag (2)'!$A:$BQ,29,0)</f>
        <v>0</v>
      </c>
      <c r="AD25" s="54">
        <f>VLOOKUP(A25,'Custo_Fopag (2)'!$A:$BQ,30,0)</f>
        <v>0</v>
      </c>
      <c r="AE25" s="54">
        <f>VLOOKUP(A25,'Custo_Fopag (2)'!$A:$BQ,31,0)</f>
        <v>0</v>
      </c>
      <c r="AF25" s="54">
        <f>VLOOKUP(A25,'Custo_Fopag (2)'!$A:$BQ,32,0)</f>
        <v>0</v>
      </c>
      <c r="AG25" s="54">
        <f t="shared" si="0"/>
        <v>8.43</v>
      </c>
      <c r="AH25" s="121">
        <f>VLOOKUP(A25,'Custo_Fopag (2)'!$A:$BQ,45,0)</f>
        <v>0</v>
      </c>
      <c r="AI25" s="54">
        <f>_xlfn.XLOOKUP(A25,'Custo_Fopag (2)'!A:A,'Custo_Fopag (2)'!AT:AT,0,0,1)</f>
        <v>416.67</v>
      </c>
      <c r="AJ25" s="54">
        <f>VLOOKUP(A25,'Custo_Fopag (2)'!$A:$BQ,47,0)</f>
        <v>0</v>
      </c>
      <c r="AK25" s="54">
        <v>0</v>
      </c>
      <c r="AL25" s="54">
        <f>VLOOKUP(A25,'Custo_Fopag (2)'!$A:$BQ,35,0)</f>
        <v>0</v>
      </c>
      <c r="AM25" s="54">
        <f>VLOOKUP(A25,'Custo_Fopag (2)'!$A:$BQ,36,0)</f>
        <v>0</v>
      </c>
      <c r="AN25" s="54">
        <f>VLOOKUP(A25,'Custo_Fopag (2)'!$A:$BQ,37,0)</f>
        <v>0</v>
      </c>
      <c r="AO25" s="54">
        <f>VLOOKUP(A25,'Custo_Fopag (2)'!$A:$BQ,39,0)</f>
        <v>0</v>
      </c>
      <c r="AP25" s="54">
        <f>VLOOKUP(A25,'Custo_Fopag (2)'!$A:$BQ,42,0)</f>
        <v>0</v>
      </c>
      <c r="AQ25" s="54">
        <f>VLOOKUP(A25,'Custo_Fopag (2)'!$A:$BQ,40,0)</f>
        <v>0</v>
      </c>
      <c r="AR25" s="54">
        <f>VLOOKUP(A25,'Custo_Fopag (2)'!$A:$BQ,41,0)</f>
        <v>0</v>
      </c>
      <c r="AS25" s="54">
        <f>VLOOKUP(A25,'Custo_Fopag (2)'!$A:$BQ,38,0)</f>
        <v>929.47</v>
      </c>
      <c r="AT25" s="54">
        <f>VLOOKUP(A25,'Custo_Fopag (2)'!$A:$BQ,43,0)</f>
        <v>0</v>
      </c>
      <c r="AU25" s="54">
        <f>VLOOKUP(A25,'Custo_Fopag (2)'!$A:$BQ,48,0)</f>
        <v>0</v>
      </c>
      <c r="AV25" s="54">
        <f>VLOOKUP(A25,'Custo_Fopag (2)'!$A:$BQ,49,0)</f>
        <v>0</v>
      </c>
      <c r="AW25" s="54">
        <f>VLOOKUP(A25,'Custo_Fopag (2)'!$A:$BQ,19,0)</f>
        <v>0</v>
      </c>
      <c r="AX25" s="54">
        <f>VLOOKUP(A25,'Custo_Fopag (2)'!$A:$BQ,50,0)</f>
        <v>0</v>
      </c>
      <c r="AY25" s="54">
        <f>VLOOKUP(A25,'Custo_Fopag (2)'!$A:$BQ,51,0)</f>
        <v>0</v>
      </c>
      <c r="AZ25" s="117">
        <v>0</v>
      </c>
      <c r="BA25" s="54">
        <f>VLOOKUP(A25,'Custo_Fopag (2)'!$A:$BQ,54,0)</f>
        <v>0</v>
      </c>
      <c r="BB25" s="54">
        <f>VLOOKUP(A25,'Custo_Fopag (2)'!$A:$BQ,52,0)</f>
        <v>0</v>
      </c>
      <c r="BC25" s="122">
        <f t="shared" si="1"/>
        <v>1346.14</v>
      </c>
      <c r="BD25" s="54">
        <f t="shared" si="2"/>
        <v>1354.5700000000002</v>
      </c>
      <c r="BE25" s="57"/>
      <c r="BF25" s="54">
        <f t="shared" si="3"/>
        <v>1354.5700000000002</v>
      </c>
      <c r="BG25" s="54">
        <f t="shared" si="4"/>
        <v>0.70250000000000001</v>
      </c>
      <c r="BH25" s="54">
        <f t="shared" si="5"/>
        <v>0.70250000000000001</v>
      </c>
      <c r="BI25" s="54">
        <f t="shared" si="6"/>
        <v>0.23416666666666666</v>
      </c>
      <c r="BJ25" s="54">
        <f t="shared" si="7"/>
        <v>1.6391666666666667</v>
      </c>
      <c r="BK25" s="54">
        <f>VLOOKUP(A25,'Custo_Fopag (2)'!$A:$BQ,65,0)</f>
        <v>1.69</v>
      </c>
      <c r="BL25" s="54">
        <f>VLOOKUP(A25,'Custo_Fopag (2)'!$A:$BQP,66,0)</f>
        <v>0.25</v>
      </c>
      <c r="BM25" s="54">
        <f>VLOOKUP(A25,'Custo_Fopag (2)'!$A:$BQ,67,0)</f>
        <v>0.48</v>
      </c>
      <c r="BN25" s="54">
        <f>VLOOKUP(A25,'Custo_Fopag (2)'!$A:$BQ,64,0)</f>
        <v>0</v>
      </c>
      <c r="BO25" s="54">
        <f t="shared" si="8"/>
        <v>2.42</v>
      </c>
      <c r="BP25" s="54">
        <f t="shared" si="9"/>
        <v>1356.9900000000002</v>
      </c>
      <c r="BQ25" s="54">
        <f t="shared" si="10"/>
        <v>1358.6291666666668</v>
      </c>
      <c r="BR25" s="109">
        <f>VLOOKUP(A25,'Custo_Fopag (2)'!$A:$BQ,60,0)</f>
        <v>6934.39</v>
      </c>
      <c r="BS25" s="83" t="str">
        <f t="shared" si="11"/>
        <v>Desligado</v>
      </c>
    </row>
    <row r="26" spans="1:71" x14ac:dyDescent="0.25">
      <c r="A26" s="59" t="s">
        <v>232</v>
      </c>
      <c r="B26" s="88">
        <v>46082</v>
      </c>
      <c r="C26" s="59" t="s">
        <v>5</v>
      </c>
      <c r="D26" s="59" t="str">
        <f>VLOOKUP(A26,'Custo_Fopag (2)'!A:$BQ,4,0)</f>
        <v>G3S FL 10 - PRES PRUD</v>
      </c>
      <c r="E26" s="59"/>
      <c r="F26" s="59"/>
      <c r="G26" s="59" t="str">
        <f>VLOOKUP(A26,'Custo_Fopag (2)'!$A:$BQ,5,0)</f>
        <v>20.947.332/0010-86</v>
      </c>
      <c r="H26" s="59" t="str">
        <f>VLOOKUP(A26,'Custo_Fopag (2)'!$A:$BQ,6,0)</f>
        <v>GESTÃO DE GENTE</v>
      </c>
      <c r="I26" s="59" t="str">
        <f>VLOOKUP(A26,'Custo_Fopag (2)'!$A:$BQ,7,0)</f>
        <v>RECURSOS HUMANOS</v>
      </c>
      <c r="J26" s="59" t="str">
        <f>VLOOKUP(A26,'Custo_Fopag (2)'!$A:$BQ,8,0)</f>
        <v>PILARES</v>
      </c>
      <c r="K26" s="78">
        <f>VLOOKUP(A26,'Custo_Fopag (2)'!$A:$BQ,9,0)</f>
        <v>45825</v>
      </c>
      <c r="N26" s="3" t="str">
        <f>VLOOKUP(A26,'Custo_Fopag (2)'!$A:$BQ,11,0)</f>
        <v>1.1.9 RECURSOS HUMANOS</v>
      </c>
      <c r="O26" s="3" t="str">
        <f>VLOOKUP(A26,'Custo_Fopag (2)'!$A:$BQ,12,0)</f>
        <v>ANALISTA DE RECURSOS HUMANOS SENIOR</v>
      </c>
      <c r="P26" s="126">
        <f>VLOOKUP(A26,'Custo_Fopag (2)'!$A:$BQ,13,0)</f>
        <v>4250</v>
      </c>
      <c r="Q26" s="127">
        <f>VLOOKUP(A26,'Custo_Fopag (2)'!$A:$BQ,16,0)</f>
        <v>4250</v>
      </c>
      <c r="R26" s="56">
        <f>VLOOKUP(A26,'Custo_Fopag (2)'!$A:$BQ,17,0)</f>
        <v>0</v>
      </c>
      <c r="S26" s="54">
        <f>VLOOKUP(A26,'Custo_Fopag (2)'!$A:$BP,18,0)</f>
        <v>0</v>
      </c>
      <c r="T26" s="54">
        <f>VLOOKUP(A26,'Custo_Fopag (2)'!$A:$BQ,20,0)</f>
        <v>0</v>
      </c>
      <c r="U26" s="54">
        <f>VLOOKUP(A26,'Custo_Fopag (2)'!$A:$BQ,21,0)</f>
        <v>0</v>
      </c>
      <c r="V26" s="54">
        <f>VLOOKUP(A26,'Custo_Fopag (2)'!$A:$BQ,22,0)</f>
        <v>0</v>
      </c>
      <c r="W26" s="54">
        <f>VLOOKUP(A26,'Custo_Fopag (2)'!$A:$BQ,23,0)</f>
        <v>0</v>
      </c>
      <c r="X26" s="54">
        <f>VLOOKUP(A26,'Custo_Fopag (2)'!$A:$BQ,24,0)</f>
        <v>0</v>
      </c>
      <c r="Y26" s="55">
        <f>VLOOKUP(A26,'Custo_Fopag (2)'!$A:$BQ,25,0)</f>
        <v>0</v>
      </c>
      <c r="Z26" s="54">
        <f>VLOOKUP(A26,'Custo_Fopag (2)'!$A:$BQ,26,0)</f>
        <v>0</v>
      </c>
      <c r="AA26" s="54">
        <f>VLOOKUP(A26,'Custo_Fopag (2)'!$A:$BQ,27,0)</f>
        <v>0</v>
      </c>
      <c r="AB26" s="54">
        <f>VLOOKUP(A26,'Custo_Fopag (2)'!$A:$BQ,28,0)</f>
        <v>0</v>
      </c>
      <c r="AC26" s="54">
        <f>VLOOKUP(A26,'Custo_Fopag (2)'!$A:$BQ,29,0)</f>
        <v>0</v>
      </c>
      <c r="AD26" s="54">
        <f>VLOOKUP(A26,'Custo_Fopag (2)'!$A:$BQ,30,0)</f>
        <v>0</v>
      </c>
      <c r="AE26" s="54">
        <f>VLOOKUP(A26,'Custo_Fopag (2)'!$A:$BQ,31,0)</f>
        <v>0</v>
      </c>
      <c r="AF26" s="54">
        <f>VLOOKUP(A26,'Custo_Fopag (2)'!$A:$BQ,32,0)</f>
        <v>0</v>
      </c>
      <c r="AG26" s="54">
        <f t="shared" si="0"/>
        <v>4250</v>
      </c>
      <c r="AH26" s="121">
        <f>VLOOKUP(A26,'Custo_Fopag (2)'!$A:$BQ,45,0)</f>
        <v>0</v>
      </c>
      <c r="AI26" s="54">
        <f>_xlfn.XLOOKUP(A26,Beneficios!A:A,Beneficios!B:B,0,0,1)</f>
        <v>521.87</v>
      </c>
      <c r="AJ26" s="54">
        <f>VLOOKUP(A26,'Custo_Fopag (2)'!$A:$BQ,47,0)</f>
        <v>0</v>
      </c>
      <c r="AK26" s="54">
        <v>0</v>
      </c>
      <c r="AL26" s="54">
        <f>VLOOKUP(A26,'Custo_Fopag (2)'!$A:$BQ,35,0)</f>
        <v>0</v>
      </c>
      <c r="AM26" s="54">
        <f>VLOOKUP(A26,'Custo_Fopag (2)'!$A:$BQ,36,0)</f>
        <v>0</v>
      </c>
      <c r="AN26" s="54">
        <f>VLOOKUP(A26,'Custo_Fopag (2)'!$A:$BQ,37,0)</f>
        <v>0</v>
      </c>
      <c r="AO26" s="54">
        <f>VLOOKUP(A26,'Custo_Fopag (2)'!$A:$BQ,39,0)</f>
        <v>0</v>
      </c>
      <c r="AP26" s="54">
        <f>VLOOKUP(A26,'Custo_Fopag (2)'!$A:$BQ,42,0)</f>
        <v>0</v>
      </c>
      <c r="AQ26" s="54">
        <f>VLOOKUP(A26,'Custo_Fopag (2)'!$A:$BQ,40,0)</f>
        <v>0</v>
      </c>
      <c r="AR26" s="54">
        <f>VLOOKUP(A26,'Custo_Fopag (2)'!$A:$BQ,41,0)</f>
        <v>0</v>
      </c>
      <c r="AS26" s="54">
        <f>VLOOKUP(A26,'Custo_Fopag (2)'!$A:$BQ,38,0)</f>
        <v>0</v>
      </c>
      <c r="AT26" s="54">
        <f>VLOOKUP(A26,'Custo_Fopag (2)'!$A:$BQ,43,0)</f>
        <v>0</v>
      </c>
      <c r="AU26" s="54">
        <f>VLOOKUP(A26,'Custo_Fopag (2)'!$A:$BQ,48,0)</f>
        <v>0</v>
      </c>
      <c r="AV26" s="54">
        <f>VLOOKUP(A26,'Custo_Fopag (2)'!$A:$BQ,49,0)</f>
        <v>0</v>
      </c>
      <c r="AW26" s="54">
        <f>VLOOKUP(A26,'Custo_Fopag (2)'!$A:$BQ,19,0)</f>
        <v>0</v>
      </c>
      <c r="AX26" s="54">
        <f>VLOOKUP(A26,'Custo_Fopag (2)'!$A:$BQ,50,0)</f>
        <v>0</v>
      </c>
      <c r="AY26" s="54">
        <f>VLOOKUP(A26,'Custo_Fopag (2)'!$A:$BQ,51,0)</f>
        <v>0</v>
      </c>
      <c r="AZ26" s="117">
        <v>0</v>
      </c>
      <c r="BA26" s="54">
        <f>VLOOKUP(A26,'Custo_Fopag (2)'!$A:$BQ,54,0)</f>
        <v>0</v>
      </c>
      <c r="BB26" s="54">
        <f>VLOOKUP(A26,'Custo_Fopag (2)'!$A:$BQ,52,0)</f>
        <v>0</v>
      </c>
      <c r="BC26" s="122">
        <f t="shared" si="1"/>
        <v>521.87</v>
      </c>
      <c r="BD26" s="54">
        <f t="shared" si="2"/>
        <v>4771.87</v>
      </c>
      <c r="BE26" s="57"/>
      <c r="BF26" s="54">
        <f t="shared" si="3"/>
        <v>4771.87</v>
      </c>
      <c r="BG26" s="54">
        <f t="shared" si="4"/>
        <v>354.16666666666669</v>
      </c>
      <c r="BH26" s="54">
        <f t="shared" si="5"/>
        <v>354.16666666666669</v>
      </c>
      <c r="BI26" s="54">
        <f t="shared" si="6"/>
        <v>118.05555555555556</v>
      </c>
      <c r="BJ26" s="54">
        <f t="shared" si="7"/>
        <v>826.38888888888891</v>
      </c>
      <c r="BK26" s="54">
        <f>VLOOKUP(A26,'Custo_Fopag (2)'!$A:$BQ,65,0)</f>
        <v>850</v>
      </c>
      <c r="BL26" s="54">
        <f>VLOOKUP(A26,'Custo_Fopag (2)'!$A:$BQP,66,0)</f>
        <v>127.5</v>
      </c>
      <c r="BM26" s="54">
        <f>VLOOKUP(A26,'Custo_Fopag (2)'!$A:$BQ,67,0)</f>
        <v>246.5</v>
      </c>
      <c r="BN26" s="54">
        <f>VLOOKUP(A26,'Custo_Fopag (2)'!$A:$BQ,64,0)</f>
        <v>340</v>
      </c>
      <c r="BO26" s="54">
        <f t="shared" si="8"/>
        <v>1564</v>
      </c>
      <c r="BP26" s="54">
        <f t="shared" si="9"/>
        <v>6335.87</v>
      </c>
      <c r="BQ26" s="54">
        <f t="shared" si="10"/>
        <v>7162.2588888888886</v>
      </c>
      <c r="BR26" s="109">
        <f>VLOOKUP(A26,'Custo_Fopag (2)'!$A:$BQ,60,0)</f>
        <v>0</v>
      </c>
      <c r="BS26" s="83" t="str">
        <f t="shared" si="11"/>
        <v>Ativo</v>
      </c>
    </row>
    <row r="27" spans="1:71" x14ac:dyDescent="0.25">
      <c r="A27" s="59" t="s">
        <v>332</v>
      </c>
      <c r="B27" s="88">
        <v>46082</v>
      </c>
      <c r="C27" s="59" t="s">
        <v>5</v>
      </c>
      <c r="D27" s="59" t="str">
        <f>VLOOKUP(A27,'Custo_Fopag (2)'!A:$BQ,4,0)</f>
        <v>G3S FL 05 - PRES PRUD</v>
      </c>
      <c r="E27" s="59"/>
      <c r="F27" s="59"/>
      <c r="G27" s="59" t="str">
        <f>VLOOKUP(A27,'Custo_Fopag (2)'!$A:$BQ,5,0)</f>
        <v>20.947.332/0005-19</v>
      </c>
      <c r="H27" s="59" t="str">
        <f>VLOOKUP(A27,'Custo_Fopag (2)'!$A:$BQ,6,0)</f>
        <v>OPERACIONAL</v>
      </c>
      <c r="I27" s="59" t="str">
        <f>VLOOKUP(A27,'Custo_Fopag (2)'!$A:$BQ,7,0)</f>
        <v>PATIO</v>
      </c>
      <c r="J27" s="59" t="str">
        <f>VLOOKUP(A27,'Custo_Fopag (2)'!$A:$BQ,8,0)</f>
        <v>BRACOFER</v>
      </c>
      <c r="K27" s="78">
        <f>VLOOKUP(A27,'Custo_Fopag (2)'!$A:$BQ,9,0)</f>
        <v>45238</v>
      </c>
      <c r="N27" s="3" t="str">
        <f>VLOOKUP(A27,'Custo_Fopag (2)'!$A:$BQ,11,0)</f>
        <v>1.3.1.3 OPERACIONAL</v>
      </c>
      <c r="O27" s="3" t="str">
        <f>VLOOKUP(A27,'Custo_Fopag (2)'!$A:$BQ,12,0)</f>
        <v>AUXILIAR DE PATIO PLENO</v>
      </c>
      <c r="P27" s="126">
        <f>VLOOKUP(A27,'Custo_Fopag (2)'!$A:$BQ,13,0)</f>
        <v>2350</v>
      </c>
      <c r="Q27" s="127">
        <f>VLOOKUP(A27,'Custo_Fopag (2)'!$A:$BQ,16,0)</f>
        <v>2350</v>
      </c>
      <c r="R27" s="56">
        <f>VLOOKUP(A27,'Custo_Fopag (2)'!$A:$BQ,17,0)</f>
        <v>0</v>
      </c>
      <c r="S27" s="54">
        <f>VLOOKUP(A27,'Custo_Fopag (2)'!$A:$BP,18,0)</f>
        <v>0</v>
      </c>
      <c r="T27" s="54">
        <f>VLOOKUP(A27,'Custo_Fopag (2)'!$A:$BQ,20,0)</f>
        <v>0</v>
      </c>
      <c r="U27" s="54">
        <f>VLOOKUP(A27,'Custo_Fopag (2)'!$A:$BQ,21,0)</f>
        <v>0</v>
      </c>
      <c r="V27" s="54">
        <f>VLOOKUP(A27,'Custo_Fopag (2)'!$A:$BQ,22,0)</f>
        <v>0</v>
      </c>
      <c r="W27" s="54">
        <f>VLOOKUP(A27,'Custo_Fopag (2)'!$A:$BQ,23,0)</f>
        <v>0</v>
      </c>
      <c r="X27" s="54">
        <f>VLOOKUP(A27,'Custo_Fopag (2)'!$A:$BQ,24,0)</f>
        <v>0</v>
      </c>
      <c r="Y27" s="55">
        <f>VLOOKUP(A27,'Custo_Fopag (2)'!$A:$BQ,25,0)</f>
        <v>0</v>
      </c>
      <c r="Z27" s="54">
        <f>VLOOKUP(A27,'Custo_Fopag (2)'!$A:$BQ,26,0)</f>
        <v>0</v>
      </c>
      <c r="AA27" s="54">
        <f>VLOOKUP(A27,'Custo_Fopag (2)'!$A:$BQ,27,0)</f>
        <v>69.22</v>
      </c>
      <c r="AB27" s="54">
        <f>VLOOKUP(A27,'Custo_Fopag (2)'!$A:$BQ,28,0)</f>
        <v>13.31</v>
      </c>
      <c r="AC27" s="54">
        <f>VLOOKUP(A27,'Custo_Fopag (2)'!$A:$BQ,29,0)</f>
        <v>0</v>
      </c>
      <c r="AD27" s="54">
        <f>VLOOKUP(A27,'Custo_Fopag (2)'!$A:$BQ,30,0)</f>
        <v>0</v>
      </c>
      <c r="AE27" s="54">
        <f>VLOOKUP(A27,'Custo_Fopag (2)'!$A:$BQ,31,0)</f>
        <v>0</v>
      </c>
      <c r="AF27" s="54">
        <f>VLOOKUP(A27,'Custo_Fopag (2)'!$A:$BQ,32,0)</f>
        <v>0</v>
      </c>
      <c r="AG27" s="54">
        <f t="shared" si="0"/>
        <v>2432.5299999999997</v>
      </c>
      <c r="AH27" s="121">
        <f>VLOOKUP(A27,'Custo_Fopag (2)'!$A:$BQ,45,0)</f>
        <v>0</v>
      </c>
      <c r="AI27" s="54">
        <f>_xlfn.XLOOKUP(A27,Beneficios!A:A,Beneficios!B:B,0,0,1)</f>
        <v>512.87</v>
      </c>
      <c r="AJ27" s="54">
        <f>VLOOKUP(A27,'Custo_Fopag (2)'!$A:$BQ,47,0)</f>
        <v>0</v>
      </c>
      <c r="AK27" s="54">
        <v>0</v>
      </c>
      <c r="AL27" s="54">
        <f>VLOOKUP(A27,'Custo_Fopag (2)'!$A:$BQ,35,0)</f>
        <v>0</v>
      </c>
      <c r="AM27" s="54">
        <f>VLOOKUP(A27,'Custo_Fopag (2)'!$A:$BQ,36,0)</f>
        <v>0</v>
      </c>
      <c r="AN27" s="54">
        <f>VLOOKUP(A27,'Custo_Fopag (2)'!$A:$BQ,37,0)</f>
        <v>0</v>
      </c>
      <c r="AO27" s="54">
        <f>VLOOKUP(A27,'Custo_Fopag (2)'!$A:$BQ,39,0)</f>
        <v>0</v>
      </c>
      <c r="AP27" s="54">
        <f>VLOOKUP(A27,'Custo_Fopag (2)'!$A:$BQ,42,0)</f>
        <v>350</v>
      </c>
      <c r="AQ27" s="54">
        <f>VLOOKUP(A27,'Custo_Fopag (2)'!$A:$BQ,40,0)</f>
        <v>0</v>
      </c>
      <c r="AR27" s="54">
        <f>VLOOKUP(A27,'Custo_Fopag (2)'!$A:$BQ,41,0)</f>
        <v>0</v>
      </c>
      <c r="AS27" s="54">
        <f>VLOOKUP(A27,'Custo_Fopag (2)'!$A:$BQ,38,0)</f>
        <v>0</v>
      </c>
      <c r="AT27" s="54">
        <f>VLOOKUP(A27,'Custo_Fopag (2)'!$A:$BQ,43,0)</f>
        <v>0</v>
      </c>
      <c r="AU27" s="54">
        <f>VLOOKUP(A27,'Custo_Fopag (2)'!$A:$BQ,48,0)</f>
        <v>0</v>
      </c>
      <c r="AV27" s="54">
        <f>VLOOKUP(A27,'Custo_Fopag (2)'!$A:$BQ,49,0)</f>
        <v>0</v>
      </c>
      <c r="AW27" s="54">
        <f>VLOOKUP(A27,'Custo_Fopag (2)'!$A:$BQ,19,0)</f>
        <v>0</v>
      </c>
      <c r="AX27" s="54">
        <f>VLOOKUP(A27,'Custo_Fopag (2)'!$A:$BQ,50,0)</f>
        <v>0</v>
      </c>
      <c r="AY27" s="54">
        <f>VLOOKUP(A27,'Custo_Fopag (2)'!$A:$BQ,51,0)</f>
        <v>0</v>
      </c>
      <c r="AZ27" s="117">
        <v>0</v>
      </c>
      <c r="BA27" s="54">
        <f>VLOOKUP(A27,'Custo_Fopag (2)'!$A:$BQ,54,0)</f>
        <v>0</v>
      </c>
      <c r="BB27" s="54">
        <f>VLOOKUP(A27,'Custo_Fopag (2)'!$A:$BQ,52,0)</f>
        <v>0</v>
      </c>
      <c r="BC27" s="122">
        <f t="shared" si="1"/>
        <v>862.87</v>
      </c>
      <c r="BD27" s="54">
        <f t="shared" si="2"/>
        <v>3295.3999999999996</v>
      </c>
      <c r="BE27" s="57"/>
      <c r="BF27" s="54">
        <f t="shared" si="3"/>
        <v>3295.3999999999996</v>
      </c>
      <c r="BG27" s="54">
        <f t="shared" si="4"/>
        <v>202.71083333333331</v>
      </c>
      <c r="BH27" s="54">
        <f t="shared" si="5"/>
        <v>202.71083333333331</v>
      </c>
      <c r="BI27" s="54">
        <f t="shared" si="6"/>
        <v>67.570277777777775</v>
      </c>
      <c r="BJ27" s="54">
        <f t="shared" si="7"/>
        <v>472.99194444444441</v>
      </c>
      <c r="BK27" s="54">
        <f>VLOOKUP(A27,'Custo_Fopag (2)'!$A:$BQ,65,0)</f>
        <v>486.51</v>
      </c>
      <c r="BL27" s="54">
        <f>VLOOKUP(A27,'Custo_Fopag (2)'!$A:$BQP,66,0)</f>
        <v>36.479999999999997</v>
      </c>
      <c r="BM27" s="54">
        <f>VLOOKUP(A27,'Custo_Fopag (2)'!$A:$BQ,67,0)</f>
        <v>141.08000000000001</v>
      </c>
      <c r="BN27" s="54">
        <f>VLOOKUP(A27,'Custo_Fopag (2)'!$A:$BQ,64,0)</f>
        <v>194.6</v>
      </c>
      <c r="BO27" s="54">
        <f t="shared" si="8"/>
        <v>858.67000000000007</v>
      </c>
      <c r="BP27" s="54">
        <f t="shared" si="9"/>
        <v>4154.07</v>
      </c>
      <c r="BQ27" s="54">
        <f t="shared" si="10"/>
        <v>4627.0619444444437</v>
      </c>
      <c r="BR27" s="109">
        <f>VLOOKUP(A27,'Custo_Fopag (2)'!$A:$BQ,60,0)</f>
        <v>0</v>
      </c>
      <c r="BS27" s="83" t="str">
        <f t="shared" si="11"/>
        <v>Ativo</v>
      </c>
    </row>
    <row r="28" spans="1:71" x14ac:dyDescent="0.25">
      <c r="A28" s="59" t="s">
        <v>144</v>
      </c>
      <c r="B28" s="88">
        <v>46082</v>
      </c>
      <c r="C28" s="59" t="s">
        <v>5</v>
      </c>
      <c r="D28" s="59" t="str">
        <f>VLOOKUP(A28,'Custo_Fopag (2)'!A:$BQ,4,0)</f>
        <v>G S FL 03 - DOURADOS</v>
      </c>
      <c r="E28" s="59"/>
      <c r="F28" s="59"/>
      <c r="G28" s="59" t="str">
        <f>VLOOKUP(A28,'Custo_Fopag (2)'!$A:$BQ,5,0)</f>
        <v>20.504.237/0003-89</v>
      </c>
      <c r="H28" s="59" t="str">
        <f>VLOOKUP(A28,'Custo_Fopag (2)'!$A:$BQ,6,0)</f>
        <v>LOGISTICA</v>
      </c>
      <c r="I28" s="59" t="str">
        <f>VLOOKUP(A28,'Custo_Fopag (2)'!$A:$BQ,7,0)</f>
        <v>TRANSPORTE</v>
      </c>
      <c r="J28" s="59" t="str">
        <f>VLOOKUP(A28,'Custo_Fopag (2)'!$A:$BQ,8,0)</f>
        <v>SELETIVA DOURADOS</v>
      </c>
      <c r="K28" s="78">
        <f>VLOOKUP(A28,'Custo_Fopag (2)'!$A:$BQ,9,0)</f>
        <v>45103</v>
      </c>
      <c r="N28" s="3" t="str">
        <f>VLOOKUP(A28,'Custo_Fopag (2)'!$A:$BQ,11,0)</f>
        <v>1.7.5.4 LOGISTICA</v>
      </c>
      <c r="O28" s="3" t="str">
        <f>VLOOKUP(A28,'Custo_Fopag (2)'!$A:$BQ,12,0)</f>
        <v>MOTORISTA CARRETEIRO MANTENEDOR SENIOR I</v>
      </c>
      <c r="P28" s="126">
        <f>VLOOKUP(A28,'Custo_Fopag (2)'!$A:$BQ,13,0)</f>
        <v>2690.66</v>
      </c>
      <c r="Q28" s="127">
        <f>VLOOKUP(A28,'Custo_Fopag (2)'!$A:$BQ,16,0)</f>
        <v>2690.66</v>
      </c>
      <c r="R28" s="56">
        <f>VLOOKUP(A28,'Custo_Fopag (2)'!$A:$BQ,17,0)</f>
        <v>0</v>
      </c>
      <c r="S28" s="54">
        <f>VLOOKUP(A28,'Custo_Fopag (2)'!$A:$BP,18,0)</f>
        <v>0</v>
      </c>
      <c r="T28" s="54">
        <f>VLOOKUP(A28,'Custo_Fopag (2)'!$A:$BQ,20,0)</f>
        <v>538.13</v>
      </c>
      <c r="U28" s="54">
        <f>VLOOKUP(A28,'Custo_Fopag (2)'!$A:$BQ,21,0)</f>
        <v>0</v>
      </c>
      <c r="V28" s="54">
        <f>VLOOKUP(A28,'Custo_Fopag (2)'!$A:$BQ,22,0)</f>
        <v>0</v>
      </c>
      <c r="W28" s="54">
        <f>VLOOKUP(A28,'Custo_Fopag (2)'!$A:$BQ,23,0)</f>
        <v>0</v>
      </c>
      <c r="X28" s="54">
        <f>VLOOKUP(A28,'Custo_Fopag (2)'!$A:$BQ,24,0)</f>
        <v>0</v>
      </c>
      <c r="Y28" s="55">
        <f>VLOOKUP(A28,'Custo_Fopag (2)'!$A:$BQ,25,0)</f>
        <v>0</v>
      </c>
      <c r="Z28" s="54">
        <f>VLOOKUP(A28,'Custo_Fopag (2)'!$A:$BQ,26,0)</f>
        <v>0</v>
      </c>
      <c r="AA28" s="54">
        <f>VLOOKUP(A28,'Custo_Fopag (2)'!$A:$BQ,27,0)</f>
        <v>953.96</v>
      </c>
      <c r="AB28" s="54">
        <f>VLOOKUP(A28,'Custo_Fopag (2)'!$A:$BQ,28,0)</f>
        <v>183.45</v>
      </c>
      <c r="AC28" s="54">
        <f>VLOOKUP(A28,'Custo_Fopag (2)'!$A:$BQ,29,0)</f>
        <v>0</v>
      </c>
      <c r="AD28" s="54">
        <f>VLOOKUP(A28,'Custo_Fopag (2)'!$A:$BQ,30,0)</f>
        <v>0</v>
      </c>
      <c r="AE28" s="54">
        <f>VLOOKUP(A28,'Custo_Fopag (2)'!$A:$BQ,31,0)</f>
        <v>0</v>
      </c>
      <c r="AF28" s="54">
        <f>VLOOKUP(A28,'Custo_Fopag (2)'!$A:$BQ,32,0)</f>
        <v>0</v>
      </c>
      <c r="AG28" s="54">
        <f t="shared" si="0"/>
        <v>4366.2</v>
      </c>
      <c r="AH28" s="121">
        <f>VLOOKUP(A28,'Custo_Fopag (2)'!$A:$BQ,45,0)</f>
        <v>0</v>
      </c>
      <c r="AI28" s="54">
        <f>_xlfn.XLOOKUP(A28,Beneficios!A:A,Beneficios!B:B,0,0,1)</f>
        <v>521.87</v>
      </c>
      <c r="AJ28" s="54">
        <f>VLOOKUP(A28,'Custo_Fopag (2)'!$A:$BQ,47,0)</f>
        <v>0</v>
      </c>
      <c r="AK28" s="54">
        <v>0</v>
      </c>
      <c r="AL28" s="54">
        <f>VLOOKUP(A28,'Custo_Fopag (2)'!$A:$BQ,35,0)</f>
        <v>0</v>
      </c>
      <c r="AM28" s="54">
        <f>VLOOKUP(A28,'Custo_Fopag (2)'!$A:$BQ,36,0)</f>
        <v>366.4</v>
      </c>
      <c r="AN28" s="54">
        <f>VLOOKUP(A28,'Custo_Fopag (2)'!$A:$BQ,37,0)</f>
        <v>0</v>
      </c>
      <c r="AO28" s="54">
        <f>VLOOKUP(A28,'Custo_Fopag (2)'!$A:$BQ,39,0)</f>
        <v>0</v>
      </c>
      <c r="AP28" s="54">
        <f>VLOOKUP(A28,'Custo_Fopag (2)'!$A:$BQ,42,0)</f>
        <v>0</v>
      </c>
      <c r="AQ28" s="54">
        <f>VLOOKUP(A28,'Custo_Fopag (2)'!$A:$BQ,40,0)</f>
        <v>0</v>
      </c>
      <c r="AR28" s="54">
        <f>VLOOKUP(A28,'Custo_Fopag (2)'!$A:$BQ,41,0)</f>
        <v>600</v>
      </c>
      <c r="AS28" s="54">
        <f>VLOOKUP(A28,'Custo_Fopag (2)'!$A:$BQ,38,0)</f>
        <v>0</v>
      </c>
      <c r="AT28" s="54">
        <f>VLOOKUP(A28,'Custo_Fopag (2)'!$A:$BQ,43,0)</f>
        <v>0</v>
      </c>
      <c r="AU28" s="54">
        <f>VLOOKUP(A28,'Custo_Fopag (2)'!$A:$BQ,48,0)</f>
        <v>705</v>
      </c>
      <c r="AV28" s="54">
        <f>VLOOKUP(A28,'Custo_Fopag (2)'!$A:$BQ,49,0)</f>
        <v>0</v>
      </c>
      <c r="AW28" s="54">
        <f>VLOOKUP(A28,'Custo_Fopag (2)'!$A:$BQ,19,0)</f>
        <v>0</v>
      </c>
      <c r="AX28" s="54">
        <f>VLOOKUP(A28,'Custo_Fopag (2)'!$A:$BQ,50,0)</f>
        <v>0</v>
      </c>
      <c r="AY28" s="54">
        <v>96.2</v>
      </c>
      <c r="AZ28" s="117">
        <v>0</v>
      </c>
      <c r="BA28" s="54">
        <f>VLOOKUP(A28,'Custo_Fopag (2)'!$A:$BQ,54,0)</f>
        <v>0</v>
      </c>
      <c r="BB28" s="54">
        <f>VLOOKUP(A28,'Custo_Fopag (2)'!$A:$BQ,52,0)</f>
        <v>0</v>
      </c>
      <c r="BC28" s="122">
        <f t="shared" si="1"/>
        <v>2289.4699999999998</v>
      </c>
      <c r="BD28" s="54">
        <f t="shared" si="2"/>
        <v>6655.67</v>
      </c>
      <c r="BE28" s="57"/>
      <c r="BF28" s="54">
        <f t="shared" si="3"/>
        <v>6655.67</v>
      </c>
      <c r="BG28" s="54">
        <f t="shared" si="4"/>
        <v>363.84999999999997</v>
      </c>
      <c r="BH28" s="54">
        <f t="shared" si="5"/>
        <v>363.84999999999997</v>
      </c>
      <c r="BI28" s="54">
        <f t="shared" si="6"/>
        <v>121.28333333333332</v>
      </c>
      <c r="BJ28" s="54">
        <f t="shared" si="7"/>
        <v>848.98333333333323</v>
      </c>
      <c r="BK28" s="54">
        <f>VLOOKUP(A28,'Custo_Fopag (2)'!$A:$BQ,65,0)</f>
        <v>873.24</v>
      </c>
      <c r="BL28" s="54">
        <f>VLOOKUP(A28,'Custo_Fopag (2)'!$A:$BQP,66,0)</f>
        <v>130.97999999999999</v>
      </c>
      <c r="BM28" s="54">
        <f>VLOOKUP(A28,'Custo_Fopag (2)'!$A:$BQ,67,0)</f>
        <v>253.23</v>
      </c>
      <c r="BN28" s="54">
        <f>VLOOKUP(A28,'Custo_Fopag (2)'!$A:$BQ,64,0)</f>
        <v>349.29</v>
      </c>
      <c r="BO28" s="54">
        <f t="shared" si="8"/>
        <v>1606.74</v>
      </c>
      <c r="BP28" s="54">
        <f t="shared" si="9"/>
        <v>8262.41</v>
      </c>
      <c r="BQ28" s="54">
        <f t="shared" si="10"/>
        <v>9111.3933333333334</v>
      </c>
      <c r="BR28" s="109">
        <f>VLOOKUP(A28,'Custo_Fopag (2)'!$A:$BQ,60,0)</f>
        <v>0</v>
      </c>
      <c r="BS28" s="83" t="str">
        <f t="shared" si="11"/>
        <v>Ativo</v>
      </c>
    </row>
    <row r="29" spans="1:71" x14ac:dyDescent="0.25">
      <c r="A29" s="59" t="s">
        <v>145</v>
      </c>
      <c r="B29" s="88">
        <v>46082</v>
      </c>
      <c r="C29" s="59" t="s">
        <v>5</v>
      </c>
      <c r="D29" s="59" t="str">
        <f>VLOOKUP(A29,'Custo_Fopag (2)'!A:$BQ,4,0)</f>
        <v>G S FL 03 - DOURADOS</v>
      </c>
      <c r="E29" s="59"/>
      <c r="F29" s="59"/>
      <c r="G29" s="59" t="str">
        <f>VLOOKUP(A29,'Custo_Fopag (2)'!$A:$BQ,5,0)</f>
        <v>20.504.237/0003-89</v>
      </c>
      <c r="H29" s="59" t="str">
        <f>VLOOKUP(A29,'Custo_Fopag (2)'!$A:$BQ,6,0)</f>
        <v>LOGISTICA</v>
      </c>
      <c r="I29" s="59" t="str">
        <f>VLOOKUP(A29,'Custo_Fopag (2)'!$A:$BQ,7,0)</f>
        <v>TRANSPORTE</v>
      </c>
      <c r="J29" s="59" t="str">
        <f>VLOOKUP(A29,'Custo_Fopag (2)'!$A:$BQ,8,0)</f>
        <v>SELETIVA DOURADOS</v>
      </c>
      <c r="K29" s="78">
        <f>VLOOKUP(A29,'Custo_Fopag (2)'!$A:$BQ,9,0)</f>
        <v>45440</v>
      </c>
      <c r="L29" s="52">
        <f>VLOOKUP(A29,'Custo_Fopag (2)'!$A:$BQ,10,0)</f>
        <v>46087</v>
      </c>
      <c r="N29" s="3" t="str">
        <f>VLOOKUP(A29,'Custo_Fopag (2)'!$A:$BQ,11,0)</f>
        <v>1.7.5.4 LOGISTICA</v>
      </c>
      <c r="O29" s="3" t="str">
        <f>VLOOKUP(A29,'Custo_Fopag (2)'!$A:$BQ,12,0)</f>
        <v>MOTORISTA CARRETEIRO MANTENEDOR SENIOR I</v>
      </c>
      <c r="P29" s="126">
        <f>VLOOKUP(A29,'Custo_Fopag (2)'!$A:$BQ,13,0)</f>
        <v>2690.66</v>
      </c>
      <c r="Q29" s="127">
        <f>VLOOKUP(A29,'Custo_Fopag (2)'!$A:$BQ,16,0)</f>
        <v>0</v>
      </c>
      <c r="R29" s="56">
        <f>VLOOKUP(A29,'Custo_Fopag (2)'!$A:$BQ,17,0)</f>
        <v>0</v>
      </c>
      <c r="S29" s="54">
        <f>VLOOKUP(A29,'Custo_Fopag (2)'!$A:$BP,18,0)</f>
        <v>0</v>
      </c>
      <c r="T29" s="54">
        <f>VLOOKUP(A29,'Custo_Fopag (2)'!$A:$BQ,20,0)</f>
        <v>107.63</v>
      </c>
      <c r="U29" s="54">
        <f>VLOOKUP(A29,'Custo_Fopag (2)'!$A:$BQ,21,0)</f>
        <v>0</v>
      </c>
      <c r="V29" s="54">
        <f>VLOOKUP(A29,'Custo_Fopag (2)'!$A:$BQ,22,0)</f>
        <v>0</v>
      </c>
      <c r="W29" s="54">
        <f>VLOOKUP(A29,'Custo_Fopag (2)'!$A:$BQ,23,0)</f>
        <v>0</v>
      </c>
      <c r="X29" s="54">
        <f>VLOOKUP(A29,'Custo_Fopag (2)'!$A:$BQ,24,0)</f>
        <v>0</v>
      </c>
      <c r="Y29" s="55">
        <f>VLOOKUP(A29,'Custo_Fopag (2)'!$A:$BQ,25,0)</f>
        <v>0</v>
      </c>
      <c r="Z29" s="54">
        <f>VLOOKUP(A29,'Custo_Fopag (2)'!$A:$BQ,26,0)</f>
        <v>0</v>
      </c>
      <c r="AA29" s="54">
        <f>VLOOKUP(A29,'Custo_Fopag (2)'!$A:$BQ,27,0)</f>
        <v>244.36</v>
      </c>
      <c r="AB29" s="54">
        <f>VLOOKUP(A29,'Custo_Fopag (2)'!$A:$BQ,28,0)</f>
        <v>48.87</v>
      </c>
      <c r="AC29" s="54">
        <f>VLOOKUP(A29,'Custo_Fopag (2)'!$A:$BQ,29,0)</f>
        <v>0</v>
      </c>
      <c r="AD29" s="54">
        <f>VLOOKUP(A29,'Custo_Fopag (2)'!$A:$BQ,30,0)</f>
        <v>0</v>
      </c>
      <c r="AE29" s="54">
        <f>VLOOKUP(A29,'Custo_Fopag (2)'!$A:$BQ,31,0)</f>
        <v>0</v>
      </c>
      <c r="AF29" s="54">
        <f>VLOOKUP(A29,'Custo_Fopag (2)'!$A:$BQ,32,0)</f>
        <v>0</v>
      </c>
      <c r="AG29" s="54">
        <f t="shared" si="0"/>
        <v>400.86</v>
      </c>
      <c r="AH29" s="121">
        <f>VLOOKUP(A29,'Custo_Fopag (2)'!$A:$BQ,45,0)</f>
        <v>0</v>
      </c>
      <c r="AI29" s="54">
        <f>_xlfn.XLOOKUP(A29,'Custo_Fopag (2)'!A:A,'Custo_Fopag (2)'!AT:AT,0,0,1)</f>
        <v>500</v>
      </c>
      <c r="AJ29" s="54">
        <f>VLOOKUP(A29,'Custo_Fopag (2)'!$A:$BQ,47,0)</f>
        <v>0</v>
      </c>
      <c r="AK29" s="54">
        <v>0</v>
      </c>
      <c r="AL29" s="54">
        <f>VLOOKUP(A29,'Custo_Fopag (2)'!$A:$BQ,35,0)</f>
        <v>0</v>
      </c>
      <c r="AM29" s="54">
        <f>VLOOKUP(A29,'Custo_Fopag (2)'!$A:$BQ,36,0)</f>
        <v>44.69</v>
      </c>
      <c r="AN29" s="54">
        <f>VLOOKUP(A29,'Custo_Fopag (2)'!$A:$BQ,37,0)</f>
        <v>0</v>
      </c>
      <c r="AO29" s="54">
        <f>VLOOKUP(A29,'Custo_Fopag (2)'!$A:$BQ,39,0)</f>
        <v>0</v>
      </c>
      <c r="AP29" s="54">
        <f>VLOOKUP(A29,'Custo_Fopag (2)'!$A:$BQ,42,0)</f>
        <v>0</v>
      </c>
      <c r="AQ29" s="54">
        <f>VLOOKUP(A29,'Custo_Fopag (2)'!$A:$BQ,40,0)</f>
        <v>0</v>
      </c>
      <c r="AR29" s="54">
        <f>VLOOKUP(A29,'Custo_Fopag (2)'!$A:$BQ,41,0)</f>
        <v>120</v>
      </c>
      <c r="AS29" s="54">
        <f>VLOOKUP(A29,'Custo_Fopag (2)'!$A:$BQ,38,0)</f>
        <v>0</v>
      </c>
      <c r="AT29" s="54">
        <f>VLOOKUP(A29,'Custo_Fopag (2)'!$A:$BQ,43,0)</f>
        <v>0</v>
      </c>
      <c r="AU29" s="54">
        <f>VLOOKUP(A29,'Custo_Fopag (2)'!$A:$BQ,48,0)</f>
        <v>0</v>
      </c>
      <c r="AV29" s="54">
        <f>VLOOKUP(A29,'Custo_Fopag (2)'!$A:$BQ,49,0)</f>
        <v>0</v>
      </c>
      <c r="AW29" s="54">
        <f>VLOOKUP(A29,'Custo_Fopag (2)'!$A:$BQ,19,0)</f>
        <v>0</v>
      </c>
      <c r="AX29" s="54">
        <f>VLOOKUP(A29,'Custo_Fopag (2)'!$A:$BQ,50,0)</f>
        <v>13.51</v>
      </c>
      <c r="AY29" s="54">
        <v>96.2</v>
      </c>
      <c r="AZ29" s="117">
        <v>0</v>
      </c>
      <c r="BA29" s="54">
        <f>VLOOKUP(A29,'Custo_Fopag (2)'!$A:$BQ,54,0)</f>
        <v>0</v>
      </c>
      <c r="BB29" s="54">
        <f>VLOOKUP(A29,'Custo_Fopag (2)'!$A:$BQ,52,0)</f>
        <v>0</v>
      </c>
      <c r="BC29" s="122">
        <f t="shared" si="1"/>
        <v>774.40000000000009</v>
      </c>
      <c r="BD29" s="54">
        <f t="shared" si="2"/>
        <v>1175.2600000000002</v>
      </c>
      <c r="BE29" s="57"/>
      <c r="BF29" s="54">
        <f t="shared" si="3"/>
        <v>1175.2600000000002</v>
      </c>
      <c r="BG29" s="54">
        <f t="shared" si="4"/>
        <v>33.405000000000001</v>
      </c>
      <c r="BH29" s="54">
        <f t="shared" si="5"/>
        <v>33.405000000000001</v>
      </c>
      <c r="BI29" s="54">
        <f t="shared" si="6"/>
        <v>11.135</v>
      </c>
      <c r="BJ29" s="54">
        <f t="shared" si="7"/>
        <v>77.945000000000007</v>
      </c>
      <c r="BK29" s="54">
        <f>VLOOKUP(A29,'Custo_Fopag (2)'!$A:$BQ,65,0)</f>
        <v>80.17</v>
      </c>
      <c r="BL29" s="54">
        <f>VLOOKUP(A29,'Custo_Fopag (2)'!$A:$BQP,66,0)</f>
        <v>12.02</v>
      </c>
      <c r="BM29" s="54">
        <f>VLOOKUP(A29,'Custo_Fopag (2)'!$A:$BQ,67,0)</f>
        <v>23.24</v>
      </c>
      <c r="BN29" s="54">
        <f>VLOOKUP(A29,'Custo_Fopag (2)'!$A:$BQ,64,0)</f>
        <v>0</v>
      </c>
      <c r="BO29" s="54">
        <f t="shared" si="8"/>
        <v>115.42999999999999</v>
      </c>
      <c r="BP29" s="54">
        <f t="shared" si="9"/>
        <v>1290.6900000000003</v>
      </c>
      <c r="BQ29" s="54">
        <f t="shared" si="10"/>
        <v>1368.6350000000002</v>
      </c>
      <c r="BR29" s="109">
        <f>VLOOKUP(A29,'Custo_Fopag (2)'!$A:$BQ,60,0)</f>
        <v>10721.78</v>
      </c>
      <c r="BS29" s="83" t="str">
        <f t="shared" si="11"/>
        <v>Desligado</v>
      </c>
    </row>
    <row r="30" spans="1:71" s="59" customFormat="1" x14ac:dyDescent="0.25">
      <c r="A30" s="59" t="s">
        <v>229</v>
      </c>
      <c r="B30" s="88">
        <v>46082</v>
      </c>
      <c r="C30" s="59" t="s">
        <v>5</v>
      </c>
      <c r="D30" s="59" t="str">
        <f>VLOOKUP(A30,'Custo_Fopag (2)'!A:$BQ,4,0)</f>
        <v>G3S FL 10 - PRES PRUD</v>
      </c>
      <c r="G30" s="59" t="str">
        <f>VLOOKUP(A30,'Custo_Fopag (2)'!$A:$BQ,5,0)</f>
        <v>20.947.332/0010-86</v>
      </c>
      <c r="H30" s="59" t="str">
        <f>VLOOKUP(A30,'Custo_Fopag (2)'!$A:$BQ,6,0)</f>
        <v>ADMINISTRATIVO</v>
      </c>
      <c r="I30" s="59" t="str">
        <f>VLOOKUP(A30,'Custo_Fopag (2)'!$A:$BQ,7,0)</f>
        <v>FISCAL</v>
      </c>
      <c r="J30" s="59" t="str">
        <f>VLOOKUP(A30,'Custo_Fopag (2)'!$A:$BQ,8,0)</f>
        <v>PILARES</v>
      </c>
      <c r="K30" s="78">
        <f>VLOOKUP(A30,'Custo_Fopag (2)'!$A:$BQ,9,0)</f>
        <v>45812</v>
      </c>
      <c r="L30" s="52"/>
      <c r="M30" s="3"/>
      <c r="N30" s="3" t="str">
        <f>VLOOKUP(A30,'Custo_Fopag (2)'!$A:$BQ,11,0)</f>
        <v>1.1.4 CONTABILIDADE/FISCAL</v>
      </c>
      <c r="O30" s="3" t="str">
        <f>VLOOKUP(A30,'Custo_Fopag (2)'!$A:$BQ,12,0)</f>
        <v>ANALISTA FISCAL SENIOR I</v>
      </c>
      <c r="P30" s="126">
        <f>VLOOKUP(A30,'Custo_Fopag (2)'!$A:$BQ,13,0)</f>
        <v>3500</v>
      </c>
      <c r="Q30" s="127">
        <f>VLOOKUP(A30,'Custo_Fopag (2)'!$A:$BQ,16,0)</f>
        <v>3500</v>
      </c>
      <c r="R30" s="56">
        <f>VLOOKUP(A30,'Custo_Fopag (2)'!$A:$BQ,17,0)</f>
        <v>0</v>
      </c>
      <c r="S30" s="54">
        <f>VLOOKUP(A30,'Custo_Fopag (2)'!$A:$BP,18,0)</f>
        <v>0</v>
      </c>
      <c r="T30" s="54">
        <f>VLOOKUP(A30,'Custo_Fopag (2)'!$A:$BQ,20,0)</f>
        <v>0</v>
      </c>
      <c r="U30" s="54">
        <f>VLOOKUP(A30,'Custo_Fopag (2)'!$A:$BQ,21,0)</f>
        <v>0</v>
      </c>
      <c r="V30" s="54">
        <f>VLOOKUP(A30,'Custo_Fopag (2)'!$A:$BQ,22,0)</f>
        <v>0</v>
      </c>
      <c r="W30" s="54">
        <f>VLOOKUP(A30,'Custo_Fopag (2)'!$A:$BQ,23,0)</f>
        <v>0</v>
      </c>
      <c r="X30" s="54">
        <f>VLOOKUP(A30,'Custo_Fopag (2)'!$A:$BQ,24,0)</f>
        <v>0</v>
      </c>
      <c r="Y30" s="55">
        <f>VLOOKUP(A30,'Custo_Fopag (2)'!$A:$BQ,25,0)</f>
        <v>0</v>
      </c>
      <c r="Z30" s="54">
        <f>VLOOKUP(A30,'Custo_Fopag (2)'!$A:$BQ,26,0)</f>
        <v>0</v>
      </c>
      <c r="AA30" s="54">
        <f>VLOOKUP(A30,'Custo_Fopag (2)'!$A:$BQ,27,0)</f>
        <v>0</v>
      </c>
      <c r="AB30" s="54">
        <f>VLOOKUP(A30,'Custo_Fopag (2)'!$A:$BQ,28,0)</f>
        <v>0</v>
      </c>
      <c r="AC30" s="54">
        <f>VLOOKUP(A30,'Custo_Fopag (2)'!$A:$BQ,29,0)</f>
        <v>0</v>
      </c>
      <c r="AD30" s="54">
        <f>VLOOKUP(A30,'Custo_Fopag (2)'!$A:$BQ,30,0)</f>
        <v>0</v>
      </c>
      <c r="AE30" s="54">
        <f>VLOOKUP(A30,'Custo_Fopag (2)'!$A:$BQ,31,0)</f>
        <v>0</v>
      </c>
      <c r="AF30" s="54">
        <f>VLOOKUP(A30,'Custo_Fopag (2)'!$A:$BQ,32,0)</f>
        <v>0</v>
      </c>
      <c r="AG30" s="54">
        <f t="shared" si="0"/>
        <v>3500</v>
      </c>
      <c r="AH30" s="121">
        <f>VLOOKUP(A30,'Custo_Fopag (2)'!$A:$BQ,45,0)</f>
        <v>0</v>
      </c>
      <c r="AI30" s="54">
        <f>_xlfn.XLOOKUP(A30,Beneficios!A:A,Beneficios!B:B,0,0,1)</f>
        <v>521.87</v>
      </c>
      <c r="AJ30" s="54">
        <f>VLOOKUP(A30,'Custo_Fopag (2)'!$A:$BQ,47,0)</f>
        <v>0</v>
      </c>
      <c r="AK30" s="54">
        <v>0</v>
      </c>
      <c r="AL30" s="54">
        <f>VLOOKUP(A30,'Custo_Fopag (2)'!$A:$BQ,35,0)</f>
        <v>0</v>
      </c>
      <c r="AM30" s="54">
        <f>VLOOKUP(A30,'Custo_Fopag (2)'!$A:$BQ,36,0)</f>
        <v>0</v>
      </c>
      <c r="AN30" s="54">
        <f>VLOOKUP(A30,'Custo_Fopag (2)'!$A:$BQ,37,0)</f>
        <v>0</v>
      </c>
      <c r="AO30" s="54">
        <f>VLOOKUP(A30,'Custo_Fopag (2)'!$A:$BQ,39,0)</f>
        <v>0</v>
      </c>
      <c r="AP30" s="54">
        <f>VLOOKUP(A30,'Custo_Fopag (2)'!$A:$BQ,42,0)</f>
        <v>0</v>
      </c>
      <c r="AQ30" s="54">
        <f>VLOOKUP(A30,'Custo_Fopag (2)'!$A:$BQ,40,0)</f>
        <v>0</v>
      </c>
      <c r="AR30" s="54">
        <f>VLOOKUP(A30,'Custo_Fopag (2)'!$A:$BQ,41,0)</f>
        <v>0</v>
      </c>
      <c r="AS30" s="54">
        <f>VLOOKUP(A30,'Custo_Fopag (2)'!$A:$BQ,38,0)</f>
        <v>0</v>
      </c>
      <c r="AT30" s="54">
        <f>VLOOKUP(A30,'Custo_Fopag (2)'!$A:$BQ,43,0)</f>
        <v>0</v>
      </c>
      <c r="AU30" s="54">
        <f>VLOOKUP(A30,'Custo_Fopag (2)'!$A:$BQ,48,0)</f>
        <v>0</v>
      </c>
      <c r="AV30" s="54">
        <f>VLOOKUP(A30,'Custo_Fopag (2)'!$A:$BQ,49,0)</f>
        <v>0</v>
      </c>
      <c r="AW30" s="54">
        <f>VLOOKUP(A30,'Custo_Fopag (2)'!$A:$BQ,19,0)</f>
        <v>0</v>
      </c>
      <c r="AX30" s="54">
        <f>VLOOKUP(A30,'Custo_Fopag (2)'!$A:$BQ,50,0)</f>
        <v>0</v>
      </c>
      <c r="AY30" s="54">
        <f>VLOOKUP(A30,'Custo_Fopag (2)'!$A:$BQ,51,0)</f>
        <v>0</v>
      </c>
      <c r="AZ30" s="117">
        <v>0</v>
      </c>
      <c r="BA30" s="54">
        <f>VLOOKUP(A30,'Custo_Fopag (2)'!$A:$BQ,54,0)</f>
        <v>0</v>
      </c>
      <c r="BB30" s="54">
        <f>VLOOKUP(A30,'Custo_Fopag (2)'!$A:$BQ,52,0)</f>
        <v>0</v>
      </c>
      <c r="BC30" s="122">
        <f t="shared" si="1"/>
        <v>521.87</v>
      </c>
      <c r="BD30" s="54">
        <f t="shared" si="2"/>
        <v>4021.87</v>
      </c>
      <c r="BE30" s="57"/>
      <c r="BF30" s="54">
        <f t="shared" si="3"/>
        <v>4021.87</v>
      </c>
      <c r="BG30" s="54">
        <f t="shared" si="4"/>
        <v>291.66666666666669</v>
      </c>
      <c r="BH30" s="54">
        <f t="shared" si="5"/>
        <v>291.66666666666669</v>
      </c>
      <c r="BI30" s="54">
        <f t="shared" si="6"/>
        <v>97.222222222222229</v>
      </c>
      <c r="BJ30" s="54">
        <f t="shared" si="7"/>
        <v>680.55555555555566</v>
      </c>
      <c r="BK30" s="54">
        <f>VLOOKUP(A30,'Custo_Fopag (2)'!$A:$BQ,65,0)</f>
        <v>700</v>
      </c>
      <c r="BL30" s="54">
        <f>VLOOKUP(A30,'Custo_Fopag (2)'!$A:$BQP,66,0)</f>
        <v>105</v>
      </c>
      <c r="BM30" s="54">
        <f>VLOOKUP(A30,'Custo_Fopag (2)'!$A:$BQ,67,0)</f>
        <v>203</v>
      </c>
      <c r="BN30" s="54">
        <f>VLOOKUP(A30,'Custo_Fopag (2)'!$A:$BQ,64,0)</f>
        <v>280</v>
      </c>
      <c r="BO30" s="54">
        <f t="shared" si="8"/>
        <v>1288</v>
      </c>
      <c r="BP30" s="54">
        <f t="shared" si="9"/>
        <v>5309.87</v>
      </c>
      <c r="BQ30" s="54">
        <f t="shared" si="10"/>
        <v>5990.4255555555555</v>
      </c>
      <c r="BR30" s="109">
        <f>VLOOKUP(A30,'Custo_Fopag (2)'!$A:$BQ,60,0)</f>
        <v>0</v>
      </c>
      <c r="BS30" s="83" t="str">
        <f t="shared" si="11"/>
        <v>Ativo</v>
      </c>
    </row>
    <row r="31" spans="1:71" s="60" customFormat="1" x14ac:dyDescent="0.25">
      <c r="A31" s="3" t="s">
        <v>137</v>
      </c>
      <c r="B31" s="88">
        <v>46082</v>
      </c>
      <c r="C31" s="59" t="s">
        <v>5</v>
      </c>
      <c r="D31" s="59" t="str">
        <f>VLOOKUP(A31,'Custo_Fopag (2)'!A:$BQ,4,0)</f>
        <v>G S FL 04 - MARINGA</v>
      </c>
      <c r="E31" s="59"/>
      <c r="F31" s="59"/>
      <c r="G31" s="59" t="str">
        <f>VLOOKUP(A31,'Custo_Fopag (2)'!$A:$BQ,5,0)</f>
        <v>20.504.237/0004-60</v>
      </c>
      <c r="H31" s="59" t="str">
        <f>VLOOKUP(A31,'Custo_Fopag (2)'!$A:$BQ,6,0)</f>
        <v>LOGISTICA</v>
      </c>
      <c r="I31" s="59" t="str">
        <f>VLOOKUP(A31,'Custo_Fopag (2)'!$A:$BQ,7,0)</f>
        <v>TRANSPORTE</v>
      </c>
      <c r="J31" s="59" t="str">
        <f>VLOOKUP(A31,'Custo_Fopag (2)'!$A:$BQ,8,0)</f>
        <v>SELETIVA MARINGA DISTRITO</v>
      </c>
      <c r="K31" s="78">
        <f>VLOOKUP(A31,'Custo_Fopag (2)'!$A:$BQ,9,0)</f>
        <v>46027</v>
      </c>
      <c r="L31" s="52"/>
      <c r="M31" s="3"/>
      <c r="N31" s="3" t="str">
        <f>VLOOKUP(A31,'Custo_Fopag (2)'!$A:$BQ,11,0)</f>
        <v>1.7.7.4 LOGISTICA</v>
      </c>
      <c r="O31" s="3" t="str">
        <f>VLOOKUP(A31,'Custo_Fopag (2)'!$A:$BQ,12,0)</f>
        <v>MOTORISTA CARRETEIRO MANTENEDOR SENIOR I</v>
      </c>
      <c r="P31" s="126">
        <f>VLOOKUP(A31,'Custo_Fopag (2)'!$A:$BQ,13,0)</f>
        <v>3345</v>
      </c>
      <c r="Q31" s="127">
        <f>VLOOKUP(A31,'Custo_Fopag (2)'!$A:$BQ,16,0)</f>
        <v>3345</v>
      </c>
      <c r="R31" s="56">
        <f>VLOOKUP(A31,'Custo_Fopag (2)'!$A:$BQ,17,0)</f>
        <v>0</v>
      </c>
      <c r="S31" s="54">
        <f>VLOOKUP(A31,'Custo_Fopag (2)'!$A:$BP,18,0)</f>
        <v>0</v>
      </c>
      <c r="T31" s="54">
        <f>VLOOKUP(A31,'Custo_Fopag (2)'!$A:$BQ,20,0)</f>
        <v>669</v>
      </c>
      <c r="U31" s="54">
        <f>VLOOKUP(A31,'Custo_Fopag (2)'!$A:$BQ,21,0)</f>
        <v>0</v>
      </c>
      <c r="V31" s="54">
        <f>VLOOKUP(A31,'Custo_Fopag (2)'!$A:$BQ,22,0)</f>
        <v>0</v>
      </c>
      <c r="W31" s="54">
        <f>VLOOKUP(A31,'Custo_Fopag (2)'!$A:$BQ,23,0)</f>
        <v>0</v>
      </c>
      <c r="X31" s="54">
        <f>VLOOKUP(A31,'Custo_Fopag (2)'!$A:$BQ,24,0)</f>
        <v>0</v>
      </c>
      <c r="Y31" s="55">
        <f>VLOOKUP(A31,'Custo_Fopag (2)'!$A:$BQ,25,0)</f>
        <v>0</v>
      </c>
      <c r="Z31" s="54">
        <f>VLOOKUP(A31,'Custo_Fopag (2)'!$A:$BQ,26,0)</f>
        <v>0</v>
      </c>
      <c r="AA31" s="54">
        <f>VLOOKUP(A31,'Custo_Fopag (2)'!$A:$BQ,27,0)</f>
        <v>1316.71</v>
      </c>
      <c r="AB31" s="54">
        <f>VLOOKUP(A31,'Custo_Fopag (2)'!$A:$BQ,28,0)</f>
        <v>253.21</v>
      </c>
      <c r="AC31" s="54">
        <f>VLOOKUP(A31,'Custo_Fopag (2)'!$A:$BQ,29,0)</f>
        <v>0</v>
      </c>
      <c r="AD31" s="54">
        <f>VLOOKUP(A31,'Custo_Fopag (2)'!$A:$BQ,30,0)</f>
        <v>0</v>
      </c>
      <c r="AE31" s="54">
        <f>VLOOKUP(A31,'Custo_Fopag (2)'!$A:$BQ,31,0)</f>
        <v>0</v>
      </c>
      <c r="AF31" s="54">
        <f>VLOOKUP(A31,'Custo_Fopag (2)'!$A:$BQ,32,0)</f>
        <v>0</v>
      </c>
      <c r="AG31" s="54">
        <f t="shared" si="0"/>
        <v>5583.92</v>
      </c>
      <c r="AH31" s="121">
        <f>VLOOKUP(A31,'Custo_Fopag (2)'!$A:$BQ,45,0)</f>
        <v>0</v>
      </c>
      <c r="AI31" s="54">
        <f>_xlfn.XLOOKUP(A31,Beneficios!A:A,Beneficios!B:B,0,0,1)</f>
        <v>512.87</v>
      </c>
      <c r="AJ31" s="54">
        <f>VLOOKUP(A31,'Custo_Fopag (2)'!$A:$BQ,47,0)</f>
        <v>0</v>
      </c>
      <c r="AK31" s="54">
        <v>0</v>
      </c>
      <c r="AL31" s="54">
        <f>VLOOKUP(A31,'Custo_Fopag (2)'!$A:$BQ,35,0)</f>
        <v>0</v>
      </c>
      <c r="AM31" s="54">
        <f>VLOOKUP(A31,'Custo_Fopag (2)'!$A:$BQ,36,0)</f>
        <v>486.37</v>
      </c>
      <c r="AN31" s="54">
        <f>VLOOKUP(A31,'Custo_Fopag (2)'!$A:$BQ,37,0)</f>
        <v>0</v>
      </c>
      <c r="AO31" s="54">
        <f>VLOOKUP(A31,'Custo_Fopag (2)'!$A:$BQ,39,0)</f>
        <v>0</v>
      </c>
      <c r="AP31" s="54">
        <f>VLOOKUP(A31,'Custo_Fopag (2)'!$A:$BQ,42,0)</f>
        <v>0</v>
      </c>
      <c r="AQ31" s="54">
        <f>VLOOKUP(A31,'Custo_Fopag (2)'!$A:$BQ,40,0)</f>
        <v>0</v>
      </c>
      <c r="AR31" s="54">
        <f>VLOOKUP(A31,'Custo_Fopag (2)'!$A:$BQ,41,0)</f>
        <v>252.45</v>
      </c>
      <c r="AS31" s="54">
        <f>VLOOKUP(A31,'Custo_Fopag (2)'!$A:$BQ,38,0)</f>
        <v>0</v>
      </c>
      <c r="AT31" s="54">
        <f>VLOOKUP(A31,'Custo_Fopag (2)'!$A:$BQ,43,0)</f>
        <v>0</v>
      </c>
      <c r="AU31" s="54">
        <f>VLOOKUP(A31,'Custo_Fopag (2)'!$A:$BQ,48,0)</f>
        <v>181.5</v>
      </c>
      <c r="AV31" s="54">
        <f>VLOOKUP(A31,'Custo_Fopag (2)'!$A:$BQ,49,0)</f>
        <v>0</v>
      </c>
      <c r="AW31" s="54">
        <f>VLOOKUP(A31,'Custo_Fopag (2)'!$A:$BQ,19,0)</f>
        <v>0</v>
      </c>
      <c r="AX31" s="54">
        <f>VLOOKUP(A31,'Custo_Fopag (2)'!$A:$BQ,50,0)</f>
        <v>0</v>
      </c>
      <c r="AY31" s="54">
        <f>VLOOKUP(A31,'Custo_Fopag (2)'!$A:$BQ,51,0)</f>
        <v>0</v>
      </c>
      <c r="AZ31" s="117">
        <v>0</v>
      </c>
      <c r="BA31" s="54">
        <f>VLOOKUP(A31,'Custo_Fopag (2)'!$A:$BQ,54,0)</f>
        <v>0</v>
      </c>
      <c r="BB31" s="54">
        <f>VLOOKUP(A31,'Custo_Fopag (2)'!$A:$BQ,52,0)</f>
        <v>0</v>
      </c>
      <c r="BC31" s="122">
        <f t="shared" si="1"/>
        <v>1433.19</v>
      </c>
      <c r="BD31" s="54">
        <f t="shared" si="2"/>
        <v>7017.1100000000006</v>
      </c>
      <c r="BE31" s="57"/>
      <c r="BF31" s="54">
        <f t="shared" si="3"/>
        <v>7017.1100000000006</v>
      </c>
      <c r="BG31" s="54">
        <f t="shared" si="4"/>
        <v>465.32666666666665</v>
      </c>
      <c r="BH31" s="54">
        <f t="shared" si="5"/>
        <v>465.32666666666665</v>
      </c>
      <c r="BI31" s="54">
        <f t="shared" si="6"/>
        <v>155.10888888888888</v>
      </c>
      <c r="BJ31" s="54">
        <f t="shared" si="7"/>
        <v>1085.7622222222221</v>
      </c>
      <c r="BK31" s="54">
        <f>VLOOKUP(A31,'Custo_Fopag (2)'!$A:$BQ,65,0)</f>
        <v>1116.78</v>
      </c>
      <c r="BL31" s="54">
        <f>VLOOKUP(A31,'Custo_Fopag (2)'!$A:$BQP,66,0)</f>
        <v>167.51</v>
      </c>
      <c r="BM31" s="54">
        <f>VLOOKUP(A31,'Custo_Fopag (2)'!$A:$BQ,67,0)</f>
        <v>323.86</v>
      </c>
      <c r="BN31" s="54">
        <f>VLOOKUP(A31,'Custo_Fopag (2)'!$A:$BQ,64,0)</f>
        <v>446.71</v>
      </c>
      <c r="BO31" s="54">
        <f t="shared" si="8"/>
        <v>2054.86</v>
      </c>
      <c r="BP31" s="54">
        <f t="shared" si="9"/>
        <v>9071.9700000000012</v>
      </c>
      <c r="BQ31" s="54">
        <f t="shared" si="10"/>
        <v>10157.732222222223</v>
      </c>
      <c r="BR31" s="109">
        <f>VLOOKUP(A31,'Custo_Fopag (2)'!$A:$BQ,60,0)</f>
        <v>0</v>
      </c>
      <c r="BS31" s="83" t="str">
        <f t="shared" si="11"/>
        <v>Ativo</v>
      </c>
    </row>
    <row r="32" spans="1:71" x14ac:dyDescent="0.25">
      <c r="A32" s="3" t="s">
        <v>347</v>
      </c>
      <c r="B32" s="88">
        <v>46082</v>
      </c>
      <c r="C32" s="59" t="s">
        <v>5</v>
      </c>
      <c r="D32" s="59" t="str">
        <f>VLOOKUP(A32,'Custo_Fopag (2)'!A:$BQ,4,0)</f>
        <v>G3S FL 05 - PRES PRUD</v>
      </c>
      <c r="E32" s="59"/>
      <c r="F32" s="59"/>
      <c r="G32" s="59" t="str">
        <f>VLOOKUP(A32,'Custo_Fopag (2)'!$A:$BQ,5,0)</f>
        <v>20.947.332/0005-19</v>
      </c>
      <c r="H32" s="59" t="str">
        <f>VLOOKUP(A32,'Custo_Fopag (2)'!$A:$BQ,6,0)</f>
        <v>COMERCIAL</v>
      </c>
      <c r="I32" s="59" t="str">
        <f>VLOOKUP(A32,'Custo_Fopag (2)'!$A:$BQ,7,0)</f>
        <v>VENDAS</v>
      </c>
      <c r="J32" s="59" t="str">
        <f>VLOOKUP(A32,'Custo_Fopag (2)'!$A:$BQ,8,0)</f>
        <v>BRACOFER</v>
      </c>
      <c r="K32" s="78">
        <f>VLOOKUP(A32,'Custo_Fopag (2)'!$A:$BQ,9,0)</f>
        <v>46050</v>
      </c>
      <c r="N32" s="3" t="str">
        <f>VLOOKUP(A32,'Custo_Fopag (2)'!$A:$BQ,11,0)</f>
        <v>1.3.1.2 COMERCIAL</v>
      </c>
      <c r="O32" s="3" t="str">
        <f>VLOOKUP(A32,'Custo_Fopag (2)'!$A:$BQ,12,0)</f>
        <v>VENDEDOR INTERNO PLENO</v>
      </c>
      <c r="P32" s="126">
        <f>VLOOKUP(A32,'Custo_Fopag (2)'!$A:$BQ,13,0)</f>
        <v>2500</v>
      </c>
      <c r="Q32" s="127">
        <f>VLOOKUP(A32,'Custo_Fopag (2)'!$A:$BQ,16,0)</f>
        <v>2500</v>
      </c>
      <c r="R32" s="56">
        <f>VLOOKUP(A32,'Custo_Fopag (2)'!$A:$BQ,17,0)</f>
        <v>0</v>
      </c>
      <c r="S32" s="54">
        <f>VLOOKUP(A32,'Custo_Fopag (2)'!$A:$BP,18,0)</f>
        <v>0</v>
      </c>
      <c r="T32" s="54">
        <f>VLOOKUP(A32,'Custo_Fopag (2)'!$A:$BQ,20,0)</f>
        <v>0</v>
      </c>
      <c r="U32" s="54">
        <f>VLOOKUP(A32,'Custo_Fopag (2)'!$A:$BQ,21,0)</f>
        <v>0</v>
      </c>
      <c r="V32" s="54">
        <f>VLOOKUP(A32,'Custo_Fopag (2)'!$A:$BQ,22,0)</f>
        <v>0</v>
      </c>
      <c r="W32" s="54">
        <f>VLOOKUP(A32,'Custo_Fopag (2)'!$A:$BQ,23,0)</f>
        <v>0</v>
      </c>
      <c r="X32" s="54">
        <f>VLOOKUP(A32,'Custo_Fopag (2)'!$A:$BQ,24,0)</f>
        <v>0</v>
      </c>
      <c r="Y32" s="55">
        <f>VLOOKUP(A32,'Custo_Fopag (2)'!$A:$BQ,25,0)</f>
        <v>0</v>
      </c>
      <c r="Z32" s="54">
        <f>VLOOKUP(A32,'Custo_Fopag (2)'!$A:$BQ,26,0)</f>
        <v>0</v>
      </c>
      <c r="AA32" s="54">
        <f>VLOOKUP(A32,'Custo_Fopag (2)'!$A:$BQ,27,0)</f>
        <v>0</v>
      </c>
      <c r="AB32" s="54">
        <f>VLOOKUP(A32,'Custo_Fopag (2)'!$A:$BQ,28,0)</f>
        <v>0</v>
      </c>
      <c r="AC32" s="54">
        <f>VLOOKUP(A32,'Custo_Fopag (2)'!$A:$BQ,29,0)</f>
        <v>0</v>
      </c>
      <c r="AD32" s="54">
        <f>VLOOKUP(A32,'Custo_Fopag (2)'!$A:$BQ,30,0)</f>
        <v>0</v>
      </c>
      <c r="AE32" s="54">
        <f>VLOOKUP(A32,'Custo_Fopag (2)'!$A:$BQ,31,0)</f>
        <v>0</v>
      </c>
      <c r="AF32" s="54">
        <f>VLOOKUP(A32,'Custo_Fopag (2)'!$A:$BQ,32,0)</f>
        <v>0</v>
      </c>
      <c r="AG32" s="54">
        <f t="shared" si="0"/>
        <v>2500</v>
      </c>
      <c r="AH32" s="121">
        <f>VLOOKUP(A32,'Custo_Fopag (2)'!$A:$BQ,45,0)</f>
        <v>0</v>
      </c>
      <c r="AI32" s="54">
        <f>_xlfn.XLOOKUP(A32,Beneficios!A:A,Beneficios!B:B,0,0,1)</f>
        <v>512.87</v>
      </c>
      <c r="AJ32" s="54">
        <f>VLOOKUP(A32,'Custo_Fopag (2)'!$A:$BQ,47,0)</f>
        <v>0</v>
      </c>
      <c r="AK32" s="54">
        <v>0</v>
      </c>
      <c r="AL32" s="54">
        <f>VLOOKUP(A32,'Custo_Fopag (2)'!$A:$BQ,35,0)</f>
        <v>0</v>
      </c>
      <c r="AM32" s="54">
        <f>VLOOKUP(A32,'Custo_Fopag (2)'!$A:$BQ,36,0)</f>
        <v>0</v>
      </c>
      <c r="AN32" s="54">
        <f>VLOOKUP(A32,'Custo_Fopag (2)'!$A:$BQ,37,0)</f>
        <v>0</v>
      </c>
      <c r="AO32" s="54">
        <f>VLOOKUP(A32,'Custo_Fopag (2)'!$A:$BQ,39,0)</f>
        <v>0</v>
      </c>
      <c r="AP32" s="54">
        <f>VLOOKUP(A32,'Custo_Fopag (2)'!$A:$BQ,42,0)</f>
        <v>0</v>
      </c>
      <c r="AQ32" s="54">
        <f>VLOOKUP(A32,'Custo_Fopag (2)'!$A:$BQ,40,0)</f>
        <v>0</v>
      </c>
      <c r="AR32" s="54">
        <f>VLOOKUP(A32,'Custo_Fopag (2)'!$A:$BQ,41,0)</f>
        <v>0</v>
      </c>
      <c r="AS32" s="54">
        <f>VLOOKUP(A32,'Custo_Fopag (2)'!$A:$BQ,38,0)</f>
        <v>0</v>
      </c>
      <c r="AT32" s="54">
        <f>VLOOKUP(A32,'Custo_Fopag (2)'!$A:$BQ,43,0)</f>
        <v>0</v>
      </c>
      <c r="AU32" s="54">
        <f>VLOOKUP(A32,'Custo_Fopag (2)'!$A:$BQ,48,0)</f>
        <v>0</v>
      </c>
      <c r="AV32" s="54">
        <f>VLOOKUP(A32,'Custo_Fopag (2)'!$A:$BQ,49,0)</f>
        <v>0</v>
      </c>
      <c r="AW32" s="54">
        <f>VLOOKUP(A32,'Custo_Fopag (2)'!$A:$BQ,19,0)</f>
        <v>0</v>
      </c>
      <c r="AX32" s="54">
        <f>VLOOKUP(A32,'Custo_Fopag (2)'!$A:$BQ,50,0)</f>
        <v>0</v>
      </c>
      <c r="AY32" s="54">
        <f>VLOOKUP(A32,'Custo_Fopag (2)'!$A:$BQ,51,0)</f>
        <v>0</v>
      </c>
      <c r="AZ32" s="117">
        <v>0</v>
      </c>
      <c r="BA32" s="54">
        <f>VLOOKUP(A32,'Custo_Fopag (2)'!$A:$BQ,54,0)</f>
        <v>0</v>
      </c>
      <c r="BB32" s="54">
        <f>VLOOKUP(A32,'Custo_Fopag (2)'!$A:$BQ,52,0)</f>
        <v>0</v>
      </c>
      <c r="BC32" s="122">
        <f t="shared" si="1"/>
        <v>512.87</v>
      </c>
      <c r="BD32" s="54">
        <f t="shared" si="2"/>
        <v>3012.87</v>
      </c>
      <c r="BE32" s="57"/>
      <c r="BF32" s="54">
        <f t="shared" si="3"/>
        <v>3012.87</v>
      </c>
      <c r="BG32" s="54">
        <f t="shared" si="4"/>
        <v>208.33333333333334</v>
      </c>
      <c r="BH32" s="54">
        <f t="shared" si="5"/>
        <v>208.33333333333334</v>
      </c>
      <c r="BI32" s="54">
        <f t="shared" si="6"/>
        <v>69.444444444444443</v>
      </c>
      <c r="BJ32" s="54">
        <f t="shared" si="7"/>
        <v>486.11111111111114</v>
      </c>
      <c r="BK32" s="54">
        <f>VLOOKUP(A32,'Custo_Fopag (2)'!$A:$BQ,65,0)</f>
        <v>500</v>
      </c>
      <c r="BL32" s="54">
        <f>VLOOKUP(A32,'Custo_Fopag (2)'!$A:$BQP,66,0)</f>
        <v>37.5</v>
      </c>
      <c r="BM32" s="54">
        <f>VLOOKUP(A32,'Custo_Fopag (2)'!$A:$BQ,67,0)</f>
        <v>145</v>
      </c>
      <c r="BN32" s="54">
        <f>VLOOKUP(A32,'Custo_Fopag (2)'!$A:$BQ,64,0)</f>
        <v>200</v>
      </c>
      <c r="BO32" s="54">
        <f t="shared" si="8"/>
        <v>882.5</v>
      </c>
      <c r="BP32" s="54">
        <f t="shared" si="9"/>
        <v>3895.37</v>
      </c>
      <c r="BQ32" s="54">
        <f t="shared" si="10"/>
        <v>4381.4811111111112</v>
      </c>
      <c r="BR32" s="109">
        <f>VLOOKUP(A32,'Custo_Fopag (2)'!$A:$BQ,60,0)</f>
        <v>0</v>
      </c>
      <c r="BS32" s="83" t="str">
        <f t="shared" si="11"/>
        <v>Ativo</v>
      </c>
    </row>
    <row r="33" spans="1:71" x14ac:dyDescent="0.25">
      <c r="A33" s="3" t="s">
        <v>289</v>
      </c>
      <c r="B33" s="88">
        <v>46082</v>
      </c>
      <c r="C33" s="59" t="s">
        <v>5</v>
      </c>
      <c r="D33" s="59" t="str">
        <f>VLOOKUP(A33,'Custo_Fopag (2)'!A:$BQ,4,0)</f>
        <v>G3S  FL 03 - DOURADOS</v>
      </c>
      <c r="E33" s="59"/>
      <c r="F33" s="59"/>
      <c r="G33" s="59" t="str">
        <f>VLOOKUP(A33,'Custo_Fopag (2)'!$A:$BQ,5,0)</f>
        <v>20.947.332/0003-57</v>
      </c>
      <c r="H33" s="59" t="str">
        <f>VLOOKUP(A33,'Custo_Fopag (2)'!$A:$BQ,6,0)</f>
        <v>OPERACIONAL</v>
      </c>
      <c r="I33" s="59" t="str">
        <f>VLOOKUP(A33,'Custo_Fopag (2)'!$A:$BQ,7,0)</f>
        <v>PATIO</v>
      </c>
      <c r="J33" s="59" t="str">
        <f>VLOOKUP(A33,'Custo_Fopag (2)'!$A:$BQ,8,0)</f>
        <v>SELETIVA DOURADOS</v>
      </c>
      <c r="K33" s="78">
        <f>VLOOKUP(A33,'Custo_Fopag (2)'!$A:$BQ,9,0)</f>
        <v>46048</v>
      </c>
      <c r="N33" s="3" t="str">
        <f>VLOOKUP(A33,'Custo_Fopag (2)'!$A:$BQ,11,0)</f>
        <v>1.2.2.3 OPERACIONAL</v>
      </c>
      <c r="O33" s="3" t="str">
        <f>VLOOKUP(A33,'Custo_Fopag (2)'!$A:$BQ,12,0)</f>
        <v>MACARIQUEIRO PLENO</v>
      </c>
      <c r="P33" s="126">
        <f>VLOOKUP(A33,'Custo_Fopag (2)'!$A:$BQ,13,0)</f>
        <v>2587.5</v>
      </c>
      <c r="Q33" s="127">
        <f>VLOOKUP(A33,'Custo_Fopag (2)'!$A:$BQ,16,0)</f>
        <v>2587.5</v>
      </c>
      <c r="R33" s="56">
        <f>VLOOKUP(A33,'Custo_Fopag (2)'!$A:$BQ,17,0)</f>
        <v>0</v>
      </c>
      <c r="S33" s="54">
        <f>VLOOKUP(A33,'Custo_Fopag (2)'!$A:$BP,18,0)</f>
        <v>0</v>
      </c>
      <c r="T33" s="54">
        <f>VLOOKUP(A33,'Custo_Fopag (2)'!$A:$BQ,20,0)</f>
        <v>0</v>
      </c>
      <c r="U33" s="54">
        <f>VLOOKUP(A33,'Custo_Fopag (2)'!$A:$BQ,21,0)</f>
        <v>0</v>
      </c>
      <c r="V33" s="54">
        <f>VLOOKUP(A33,'Custo_Fopag (2)'!$A:$BQ,22,0)</f>
        <v>0</v>
      </c>
      <c r="W33" s="54">
        <f>VLOOKUP(A33,'Custo_Fopag (2)'!$A:$BQ,23,0)</f>
        <v>0</v>
      </c>
      <c r="X33" s="54">
        <f>VLOOKUP(A33,'Custo_Fopag (2)'!$A:$BQ,24,0)</f>
        <v>0</v>
      </c>
      <c r="Y33" s="55">
        <f>VLOOKUP(A33,'Custo_Fopag (2)'!$A:$BQ,25,0)</f>
        <v>0</v>
      </c>
      <c r="Z33" s="54">
        <f>VLOOKUP(A33,'Custo_Fopag (2)'!$A:$BQ,26,0)</f>
        <v>0</v>
      </c>
      <c r="AA33" s="54">
        <f>VLOOKUP(A33,'Custo_Fopag (2)'!$A:$BQ,27,0)</f>
        <v>0</v>
      </c>
      <c r="AB33" s="54">
        <f>VLOOKUP(A33,'Custo_Fopag (2)'!$A:$BQ,28,0)</f>
        <v>0</v>
      </c>
      <c r="AC33" s="54">
        <f>VLOOKUP(A33,'Custo_Fopag (2)'!$A:$BQ,29,0)</f>
        <v>0</v>
      </c>
      <c r="AD33" s="54">
        <f>VLOOKUP(A33,'Custo_Fopag (2)'!$A:$BQ,30,0)</f>
        <v>0</v>
      </c>
      <c r="AE33" s="54">
        <f>VLOOKUP(A33,'Custo_Fopag (2)'!$A:$BQ,31,0)</f>
        <v>0</v>
      </c>
      <c r="AF33" s="54">
        <f>VLOOKUP(A33,'Custo_Fopag (2)'!$A:$BQ,32,0)</f>
        <v>0</v>
      </c>
      <c r="AG33" s="54">
        <f t="shared" si="0"/>
        <v>2587.5</v>
      </c>
      <c r="AH33" s="121">
        <f>VLOOKUP(A33,'Custo_Fopag (2)'!$A:$BQ,45,0)</f>
        <v>0</v>
      </c>
      <c r="AI33" s="54">
        <f>_xlfn.XLOOKUP(A33,Beneficios!A:A,Beneficios!B:B,0,0,1)</f>
        <v>0</v>
      </c>
      <c r="AJ33" s="54">
        <f>VLOOKUP(A33,'Custo_Fopag (2)'!$A:$BQ,47,0)</f>
        <v>0</v>
      </c>
      <c r="AK33" s="54">
        <v>0</v>
      </c>
      <c r="AL33" s="54">
        <f>VLOOKUP(A33,'Custo_Fopag (2)'!$A:$BQ,35,0)</f>
        <v>0</v>
      </c>
      <c r="AM33" s="54">
        <f>VLOOKUP(A33,'Custo_Fopag (2)'!$A:$BQ,36,0)</f>
        <v>0</v>
      </c>
      <c r="AN33" s="54">
        <f>VLOOKUP(A33,'Custo_Fopag (2)'!$A:$BQ,37,0)</f>
        <v>0</v>
      </c>
      <c r="AO33" s="54">
        <f>VLOOKUP(A33,'Custo_Fopag (2)'!$A:$BQ,39,0)</f>
        <v>0</v>
      </c>
      <c r="AP33" s="54">
        <f>VLOOKUP(A33,'Custo_Fopag (2)'!$A:$BQ,42,0)</f>
        <v>0</v>
      </c>
      <c r="AQ33" s="54">
        <f>VLOOKUP(A33,'Custo_Fopag (2)'!$A:$BQ,40,0)</f>
        <v>0</v>
      </c>
      <c r="AR33" s="54">
        <f>VLOOKUP(A33,'Custo_Fopag (2)'!$A:$BQ,41,0)</f>
        <v>196.71</v>
      </c>
      <c r="AS33" s="54">
        <f>VLOOKUP(A33,'Custo_Fopag (2)'!$A:$BQ,38,0)</f>
        <v>0</v>
      </c>
      <c r="AT33" s="54">
        <f>VLOOKUP(A33,'Custo_Fopag (2)'!$A:$BQ,43,0)</f>
        <v>0</v>
      </c>
      <c r="AU33" s="54">
        <f>VLOOKUP(A33,'Custo_Fopag (2)'!$A:$BQ,48,0)</f>
        <v>0</v>
      </c>
      <c r="AV33" s="54">
        <f>VLOOKUP(A33,'Custo_Fopag (2)'!$A:$BQ,49,0)</f>
        <v>0</v>
      </c>
      <c r="AW33" s="54">
        <f>VLOOKUP(A33,'Custo_Fopag (2)'!$A:$BQ,19,0)</f>
        <v>0</v>
      </c>
      <c r="AX33" s="54">
        <f>VLOOKUP(A33,'Custo_Fopag (2)'!$A:$BQ,50,0)</f>
        <v>0</v>
      </c>
      <c r="AY33" s="54">
        <f>VLOOKUP(A33,'Custo_Fopag (2)'!$A:$BQ,51,0)</f>
        <v>0</v>
      </c>
      <c r="AZ33" s="117">
        <v>0</v>
      </c>
      <c r="BA33" s="54">
        <f>VLOOKUP(A33,'Custo_Fopag (2)'!$A:$BQ,54,0)</f>
        <v>0</v>
      </c>
      <c r="BB33" s="54">
        <f>VLOOKUP(A33,'Custo_Fopag (2)'!$A:$BQ,52,0)</f>
        <v>0</v>
      </c>
      <c r="BC33" s="122">
        <f t="shared" si="1"/>
        <v>196.71</v>
      </c>
      <c r="BD33" s="54">
        <f t="shared" si="2"/>
        <v>2784.21</v>
      </c>
      <c r="BE33" s="57"/>
      <c r="BF33" s="54">
        <f t="shared" si="3"/>
        <v>2784.21</v>
      </c>
      <c r="BG33" s="54">
        <f t="shared" si="4"/>
        <v>215.625</v>
      </c>
      <c r="BH33" s="54">
        <f t="shared" si="5"/>
        <v>215.625</v>
      </c>
      <c r="BI33" s="54">
        <f t="shared" si="6"/>
        <v>71.875</v>
      </c>
      <c r="BJ33" s="54">
        <f t="shared" si="7"/>
        <v>503.125</v>
      </c>
      <c r="BK33" s="54">
        <f>VLOOKUP(A33,'Custo_Fopag (2)'!$A:$BQ,65,0)</f>
        <v>517.5</v>
      </c>
      <c r="BL33" s="54">
        <f>VLOOKUP(A33,'Custo_Fopag (2)'!$A:$BQP,66,0)</f>
        <v>38.81</v>
      </c>
      <c r="BM33" s="54">
        <f>VLOOKUP(A33,'Custo_Fopag (2)'!$A:$BQ,67,0)</f>
        <v>150.07</v>
      </c>
      <c r="BN33" s="54">
        <f>VLOOKUP(A33,'Custo_Fopag (2)'!$A:$BQ,64,0)</f>
        <v>164.15</v>
      </c>
      <c r="BO33" s="54">
        <f t="shared" si="8"/>
        <v>870.52999999999986</v>
      </c>
      <c r="BP33" s="54">
        <f t="shared" si="9"/>
        <v>3654.74</v>
      </c>
      <c r="BQ33" s="54">
        <f t="shared" si="10"/>
        <v>4157.8649999999998</v>
      </c>
      <c r="BR33" s="109">
        <f>VLOOKUP(A33,'Custo_Fopag (2)'!$A:$BQ,60,0)</f>
        <v>0</v>
      </c>
      <c r="BS33" s="83" t="str">
        <f t="shared" si="11"/>
        <v>Ativo</v>
      </c>
    </row>
    <row r="34" spans="1:71" x14ac:dyDescent="0.25">
      <c r="A34" s="59" t="s">
        <v>215</v>
      </c>
      <c r="B34" s="88">
        <v>46082</v>
      </c>
      <c r="C34" s="59" t="s">
        <v>5</v>
      </c>
      <c r="D34" s="59" t="str">
        <f>VLOOKUP(A34,'Custo_Fopag (2)'!A:$BQ,4,0)</f>
        <v>G3S FL 10 - PRES PRUD</v>
      </c>
      <c r="E34" s="59"/>
      <c r="F34" s="59"/>
      <c r="G34" s="59" t="str">
        <f>VLOOKUP(A34,'Custo_Fopag (2)'!$A:$BQ,5,0)</f>
        <v>20.947.332/0010-86</v>
      </c>
      <c r="H34" s="59" t="str">
        <f>VLOOKUP(A34,'Custo_Fopag (2)'!$A:$BQ,6,0)</f>
        <v>COMERCIAL</v>
      </c>
      <c r="I34" s="59" t="str">
        <f>VLOOKUP(A34,'Custo_Fopag (2)'!$A:$BQ,7,0)</f>
        <v>COMERCIAL</v>
      </c>
      <c r="J34" s="59" t="str">
        <f>VLOOKUP(A34,'Custo_Fopag (2)'!$A:$BQ,8,0)</f>
        <v>SELETIVA CORPORATIVO SUCATA</v>
      </c>
      <c r="K34" s="78">
        <f>VLOOKUP(A34,'Custo_Fopag (2)'!$A:$BQ,9,0)</f>
        <v>44397</v>
      </c>
      <c r="N34" s="3" t="str">
        <f>VLOOKUP(A34,'Custo_Fopag (2)'!$A:$BQ,11,0)</f>
        <v>1.2.1.1 APOIO</v>
      </c>
      <c r="O34" s="3" t="str">
        <f>VLOOKUP(A34,'Custo_Fopag (2)'!$A:$BQ,12,0)</f>
        <v>ANALISTA COMERCIAL SENIOR</v>
      </c>
      <c r="P34" s="126">
        <f>VLOOKUP(A34,'Custo_Fopag (2)'!$A:$BQ,13,0)</f>
        <v>3570</v>
      </c>
      <c r="Q34" s="127">
        <f>VLOOKUP(A34,'Custo_Fopag (2)'!$A:$BQ,16,0)</f>
        <v>3570</v>
      </c>
      <c r="R34" s="56">
        <f>VLOOKUP(A34,'Custo_Fopag (2)'!$A:$BQ,17,0)</f>
        <v>0</v>
      </c>
      <c r="S34" s="54">
        <f>VLOOKUP(A34,'Custo_Fopag (2)'!$A:$BP,18,0)</f>
        <v>0</v>
      </c>
      <c r="T34" s="54">
        <f>VLOOKUP(A34,'Custo_Fopag (2)'!$A:$BQ,20,0)</f>
        <v>0</v>
      </c>
      <c r="U34" s="54">
        <f>VLOOKUP(A34,'Custo_Fopag (2)'!$A:$BQ,21,0)</f>
        <v>0</v>
      </c>
      <c r="V34" s="54">
        <f>VLOOKUP(A34,'Custo_Fopag (2)'!$A:$BQ,22,0)</f>
        <v>0</v>
      </c>
      <c r="W34" s="54">
        <f>VLOOKUP(A34,'Custo_Fopag (2)'!$A:$BQ,23,0)</f>
        <v>0</v>
      </c>
      <c r="X34" s="54">
        <f>VLOOKUP(A34,'Custo_Fopag (2)'!$A:$BQ,24,0)</f>
        <v>0</v>
      </c>
      <c r="Y34" s="55">
        <f>VLOOKUP(A34,'Custo_Fopag (2)'!$A:$BQ,25,0)</f>
        <v>0</v>
      </c>
      <c r="Z34" s="54">
        <f>VLOOKUP(A34,'Custo_Fopag (2)'!$A:$BQ,26,0)</f>
        <v>0</v>
      </c>
      <c r="AA34" s="54">
        <f>VLOOKUP(A34,'Custo_Fopag (2)'!$A:$BQ,27,0)</f>
        <v>0</v>
      </c>
      <c r="AB34" s="54">
        <f>VLOOKUP(A34,'Custo_Fopag (2)'!$A:$BQ,28,0)</f>
        <v>0</v>
      </c>
      <c r="AC34" s="54">
        <f>VLOOKUP(A34,'Custo_Fopag (2)'!$A:$BQ,29,0)</f>
        <v>0</v>
      </c>
      <c r="AD34" s="54">
        <f>VLOOKUP(A34,'Custo_Fopag (2)'!$A:$BQ,30,0)</f>
        <v>0</v>
      </c>
      <c r="AE34" s="54">
        <f>VLOOKUP(A34,'Custo_Fopag (2)'!$A:$BQ,31,0)</f>
        <v>0</v>
      </c>
      <c r="AF34" s="54">
        <f>VLOOKUP(A34,'Custo_Fopag (2)'!$A:$BQ,32,0)</f>
        <v>0</v>
      </c>
      <c r="AG34" s="54">
        <f t="shared" ref="AG34:AG65" si="12">SUM(Q34:AF34)</f>
        <v>3570</v>
      </c>
      <c r="AH34" s="121">
        <f>VLOOKUP(A34,'Custo_Fopag (2)'!$A:$BQ,45,0)</f>
        <v>0</v>
      </c>
      <c r="AI34" s="54">
        <f>_xlfn.XLOOKUP(A34,Beneficios!A:A,Beneficios!B:B,0,0,1)</f>
        <v>512.87</v>
      </c>
      <c r="AJ34" s="54">
        <f>VLOOKUP(A34,'Custo_Fopag (2)'!$A:$BQ,47,0)</f>
        <v>0</v>
      </c>
      <c r="AK34" s="54">
        <v>0</v>
      </c>
      <c r="AL34" s="54">
        <f>VLOOKUP(A34,'Custo_Fopag (2)'!$A:$BQ,35,0)</f>
        <v>0</v>
      </c>
      <c r="AM34" s="54">
        <f>VLOOKUP(A34,'Custo_Fopag (2)'!$A:$BQ,36,0)</f>
        <v>0</v>
      </c>
      <c r="AN34" s="54">
        <f>VLOOKUP(A34,'Custo_Fopag (2)'!$A:$BQ,37,0)</f>
        <v>0</v>
      </c>
      <c r="AO34" s="54">
        <f>VLOOKUP(A34,'Custo_Fopag (2)'!$A:$BQ,39,0)</f>
        <v>0</v>
      </c>
      <c r="AP34" s="54">
        <f>VLOOKUP(A34,'Custo_Fopag (2)'!$A:$BQ,42,0)</f>
        <v>0</v>
      </c>
      <c r="AQ34" s="54">
        <f>VLOOKUP(A34,'Custo_Fopag (2)'!$A:$BQ,40,0)</f>
        <v>0</v>
      </c>
      <c r="AR34" s="54">
        <f>VLOOKUP(A34,'Custo_Fopag (2)'!$A:$BQ,41,0)</f>
        <v>0</v>
      </c>
      <c r="AS34" s="54">
        <f>VLOOKUP(A34,'Custo_Fopag (2)'!$A:$BQ,38,0)</f>
        <v>929.47</v>
      </c>
      <c r="AT34" s="54">
        <f>VLOOKUP(A34,'Custo_Fopag (2)'!$A:$BQ,43,0)</f>
        <v>0</v>
      </c>
      <c r="AU34" s="54">
        <f>VLOOKUP(A34,'Custo_Fopag (2)'!$A:$BQ,48,0)</f>
        <v>0</v>
      </c>
      <c r="AV34" s="54">
        <f>VLOOKUP(A34,'Custo_Fopag (2)'!$A:$BQ,49,0)</f>
        <v>0</v>
      </c>
      <c r="AW34" s="54">
        <f>VLOOKUP(A34,'Custo_Fopag (2)'!$A:$BQ,19,0)</f>
        <v>0</v>
      </c>
      <c r="AX34" s="54">
        <f>VLOOKUP(A34,'Custo_Fopag (2)'!$A:$BQ,50,0)</f>
        <v>0</v>
      </c>
      <c r="AY34" s="54">
        <f>VLOOKUP(A34,'Custo_Fopag (2)'!$A:$BQ,51,0)</f>
        <v>0</v>
      </c>
      <c r="AZ34" s="117">
        <v>0</v>
      </c>
      <c r="BA34" s="54">
        <f>VLOOKUP(A34,'Custo_Fopag (2)'!$A:$BQ,54,0)</f>
        <v>0</v>
      </c>
      <c r="BB34" s="54">
        <f>VLOOKUP(A34,'Custo_Fopag (2)'!$A:$BQ,52,0)</f>
        <v>0</v>
      </c>
      <c r="BC34" s="122">
        <f t="shared" ref="BC34:BC65" si="13">SUM(AH34:BB34)</f>
        <v>1442.3400000000001</v>
      </c>
      <c r="BD34" s="54">
        <f t="shared" ref="BD34:BD65" si="14">BC34+AG34</f>
        <v>5012.34</v>
      </c>
      <c r="BE34" s="57"/>
      <c r="BF34" s="54">
        <f t="shared" ref="BF34:BF65" si="15">BD34+BE34</f>
        <v>5012.34</v>
      </c>
      <c r="BG34" s="54">
        <f t="shared" ref="BG34:BG65" si="16">AG34/12</f>
        <v>297.5</v>
      </c>
      <c r="BH34" s="54">
        <f t="shared" ref="BH34:BH65" si="17">BG34</f>
        <v>297.5</v>
      </c>
      <c r="BI34" s="54">
        <f t="shared" ref="BI34:BI65" si="18">BH34/3</f>
        <v>99.166666666666671</v>
      </c>
      <c r="BJ34" s="54">
        <f t="shared" ref="BJ34:BJ65" si="19">SUM(BG34:BI34)</f>
        <v>694.16666666666663</v>
      </c>
      <c r="BK34" s="54">
        <f>VLOOKUP(A34,'Custo_Fopag (2)'!$A:$BQ,65,0)</f>
        <v>714</v>
      </c>
      <c r="BL34" s="54">
        <f>VLOOKUP(A34,'Custo_Fopag (2)'!$A:$BQP,66,0)</f>
        <v>107.1</v>
      </c>
      <c r="BM34" s="54">
        <f>VLOOKUP(A34,'Custo_Fopag (2)'!$A:$BQ,67,0)</f>
        <v>207.06</v>
      </c>
      <c r="BN34" s="54">
        <f>VLOOKUP(A34,'Custo_Fopag (2)'!$A:$BQ,64,0)</f>
        <v>285.60000000000002</v>
      </c>
      <c r="BO34" s="54">
        <f t="shared" ref="BO34:BO65" si="20">SUM(BK34:BN34)</f>
        <v>1313.7600000000002</v>
      </c>
      <c r="BP34" s="54">
        <f t="shared" ref="BP34:BP65" si="21">BF34+BO34</f>
        <v>6326.1</v>
      </c>
      <c r="BQ34" s="54">
        <f t="shared" ref="BQ34:BQ65" si="22">BF34+BJ34+BO34</f>
        <v>7020.2666666666673</v>
      </c>
      <c r="BR34" s="109">
        <f>VLOOKUP(A34,'Custo_Fopag (2)'!$A:$BQ,60,0)</f>
        <v>0</v>
      </c>
      <c r="BS34" s="83" t="str">
        <f t="shared" ref="BS34:BS65" si="23">IF(ISBLANK(L34),"Ativo","Desligado")</f>
        <v>Ativo</v>
      </c>
    </row>
    <row r="35" spans="1:71" x14ac:dyDescent="0.25">
      <c r="A35" s="59" t="s">
        <v>271</v>
      </c>
      <c r="B35" s="88">
        <v>46082</v>
      </c>
      <c r="C35" s="59" t="s">
        <v>5</v>
      </c>
      <c r="D35" s="59" t="str">
        <f>VLOOKUP(A35,'Custo_Fopag (2)'!A:$BQ,4,0)</f>
        <v>G3S CMATRIZ - CAMPO GRANDE</v>
      </c>
      <c r="E35" s="59"/>
      <c r="F35" s="59"/>
      <c r="G35" s="59" t="str">
        <f>VLOOKUP(A35,'Custo_Fopag (2)'!$A:$BQ,5,0)</f>
        <v>20.947.332/0001-95</v>
      </c>
      <c r="H35" s="59" t="str">
        <f>VLOOKUP(A35,'Custo_Fopag (2)'!$A:$BQ,6,0)</f>
        <v>OPERACIONAL</v>
      </c>
      <c r="I35" s="59" t="str">
        <f>VLOOKUP(A35,'Custo_Fopag (2)'!$A:$BQ,7,0)</f>
        <v>PATIO</v>
      </c>
      <c r="J35" s="59" t="str">
        <f>VLOOKUP(A35,'Custo_Fopag (2)'!$A:$BQ,8,0)</f>
        <v>SELETIVA C GRANDE</v>
      </c>
      <c r="K35" s="78">
        <f>VLOOKUP(A35,'Custo_Fopag (2)'!$A:$BQ,9,0)</f>
        <v>45237</v>
      </c>
      <c r="L35" s="52">
        <f>VLOOKUP(A35,'Custo_Fopag (2)'!$A:$BQ,10,0)</f>
        <v>46090</v>
      </c>
      <c r="N35" s="3" t="str">
        <f>VLOOKUP(A35,'Custo_Fopag (2)'!$A:$BQ,11,0)</f>
        <v>1.2.7.3 OPERACIONAL</v>
      </c>
      <c r="O35" s="3" t="str">
        <f>VLOOKUP(A35,'Custo_Fopag (2)'!$A:$BQ,12,0)</f>
        <v>AUXILIAR DE PATIO JUNIOR</v>
      </c>
      <c r="P35" s="126">
        <f>VLOOKUP(A35,'Custo_Fopag (2)'!$A:$BQ,13,0)</f>
        <v>2305.85</v>
      </c>
      <c r="Q35" s="127">
        <f>VLOOKUP(A35,'Custo_Fopag (2)'!$A:$BQ,16,0)</f>
        <v>0</v>
      </c>
      <c r="R35" s="56">
        <f>VLOOKUP(A35,'Custo_Fopag (2)'!$A:$BQ,17,0)</f>
        <v>0</v>
      </c>
      <c r="S35" s="54">
        <f>VLOOKUP(A35,'Custo_Fopag (2)'!$A:$BP,18,0)</f>
        <v>0</v>
      </c>
      <c r="T35" s="54">
        <f>VLOOKUP(A35,'Custo_Fopag (2)'!$A:$BQ,20,0)</f>
        <v>0</v>
      </c>
      <c r="U35" s="54">
        <f>VLOOKUP(A35,'Custo_Fopag (2)'!$A:$BQ,21,0)</f>
        <v>0</v>
      </c>
      <c r="V35" s="54">
        <f>VLOOKUP(A35,'Custo_Fopag (2)'!$A:$BQ,22,0)</f>
        <v>0</v>
      </c>
      <c r="W35" s="54">
        <f>VLOOKUP(A35,'Custo_Fopag (2)'!$A:$BQ,23,0)</f>
        <v>0</v>
      </c>
      <c r="X35" s="54">
        <f>VLOOKUP(A35,'Custo_Fopag (2)'!$A:$BQ,24,0)</f>
        <v>0</v>
      </c>
      <c r="Y35" s="55">
        <f>VLOOKUP(A35,'Custo_Fopag (2)'!$A:$BQ,25,0)</f>
        <v>0</v>
      </c>
      <c r="Z35" s="54">
        <f>VLOOKUP(A35,'Custo_Fopag (2)'!$A:$BQ,26,0)</f>
        <v>0</v>
      </c>
      <c r="AA35" s="54">
        <f>VLOOKUP(A35,'Custo_Fopag (2)'!$A:$BQ,27,0)</f>
        <v>0</v>
      </c>
      <c r="AB35" s="54">
        <f>VLOOKUP(A35,'Custo_Fopag (2)'!$A:$BQ,28,0)</f>
        <v>0</v>
      </c>
      <c r="AC35" s="54">
        <f>VLOOKUP(A35,'Custo_Fopag (2)'!$A:$BQ,29,0)</f>
        <v>0</v>
      </c>
      <c r="AD35" s="54">
        <f>VLOOKUP(A35,'Custo_Fopag (2)'!$A:$BQ,30,0)</f>
        <v>0</v>
      </c>
      <c r="AE35" s="54">
        <f>VLOOKUP(A35,'Custo_Fopag (2)'!$A:$BQ,31,0)</f>
        <v>0</v>
      </c>
      <c r="AF35" s="54">
        <f>VLOOKUP(A35,'Custo_Fopag (2)'!$A:$BQ,32,0)</f>
        <v>0</v>
      </c>
      <c r="AG35" s="54">
        <f t="shared" si="12"/>
        <v>0</v>
      </c>
      <c r="AH35" s="121">
        <f>VLOOKUP(A35,'Custo_Fopag (2)'!$A:$BQ,45,0)</f>
        <v>0</v>
      </c>
      <c r="AI35" s="54">
        <f>_xlfn.XLOOKUP(A35,'Custo_Fopag (2)'!A:A,'Custo_Fopag (2)'!AT:AT,0,0,1)</f>
        <v>500</v>
      </c>
      <c r="AJ35" s="54">
        <f>VLOOKUP(A35,'Custo_Fopag (2)'!$A:$BQ,47,0)</f>
        <v>0</v>
      </c>
      <c r="AK35" s="54">
        <v>0</v>
      </c>
      <c r="AL35" s="54">
        <f>VLOOKUP(A35,'Custo_Fopag (2)'!$A:$BQ,35,0)</f>
        <v>0</v>
      </c>
      <c r="AM35" s="54">
        <f>VLOOKUP(A35,'Custo_Fopag (2)'!$A:$BQ,36,0)</f>
        <v>0</v>
      </c>
      <c r="AN35" s="54">
        <f>VLOOKUP(A35,'Custo_Fopag (2)'!$A:$BQ,37,0)</f>
        <v>0</v>
      </c>
      <c r="AO35" s="54">
        <f>VLOOKUP(A35,'Custo_Fopag (2)'!$A:$BQ,39,0)</f>
        <v>0</v>
      </c>
      <c r="AP35" s="54">
        <f>VLOOKUP(A35,'Custo_Fopag (2)'!$A:$BQ,42,0)</f>
        <v>0</v>
      </c>
      <c r="AQ35" s="54">
        <f>VLOOKUP(A35,'Custo_Fopag (2)'!$A:$BQ,40,0)</f>
        <v>0</v>
      </c>
      <c r="AR35" s="54">
        <f>VLOOKUP(A35,'Custo_Fopag (2)'!$A:$BQ,41,0)</f>
        <v>110.84</v>
      </c>
      <c r="AS35" s="54">
        <f>VLOOKUP(A35,'Custo_Fopag (2)'!$A:$BQ,38,0)</f>
        <v>0</v>
      </c>
      <c r="AT35" s="54">
        <f>VLOOKUP(A35,'Custo_Fopag (2)'!$A:$BQ,43,0)</f>
        <v>0</v>
      </c>
      <c r="AU35" s="54">
        <f>VLOOKUP(A35,'Custo_Fopag (2)'!$A:$BQ,48,0)</f>
        <v>0</v>
      </c>
      <c r="AV35" s="54">
        <f>VLOOKUP(A35,'Custo_Fopag (2)'!$A:$BQ,49,0)</f>
        <v>0</v>
      </c>
      <c r="AW35" s="54">
        <f>VLOOKUP(A35,'Custo_Fopag (2)'!$A:$BQ,19,0)</f>
        <v>0</v>
      </c>
      <c r="AX35" s="54">
        <f>VLOOKUP(A35,'Custo_Fopag (2)'!$A:$BQ,50,0)</f>
        <v>0</v>
      </c>
      <c r="AY35" s="54">
        <f>VLOOKUP(A35,'Custo_Fopag (2)'!$A:$BQ,51,0)</f>
        <v>0</v>
      </c>
      <c r="AZ35" s="117">
        <v>0</v>
      </c>
      <c r="BA35" s="54">
        <f>VLOOKUP(A35,'Custo_Fopag (2)'!$A:$BQ,54,0)</f>
        <v>0</v>
      </c>
      <c r="BB35" s="54">
        <f>VLOOKUP(A35,'Custo_Fopag (2)'!$A:$BQ,52,0)</f>
        <v>0</v>
      </c>
      <c r="BC35" s="122">
        <f t="shared" si="13"/>
        <v>610.84</v>
      </c>
      <c r="BD35" s="54">
        <f t="shared" si="14"/>
        <v>610.84</v>
      </c>
      <c r="BE35" s="57"/>
      <c r="BF35" s="54">
        <f t="shared" si="15"/>
        <v>610.84</v>
      </c>
      <c r="BG35" s="54">
        <f t="shared" si="16"/>
        <v>0</v>
      </c>
      <c r="BH35" s="54">
        <f t="shared" si="17"/>
        <v>0</v>
      </c>
      <c r="BI35" s="54">
        <f t="shared" si="18"/>
        <v>0</v>
      </c>
      <c r="BJ35" s="54">
        <f t="shared" si="19"/>
        <v>0</v>
      </c>
      <c r="BK35" s="54">
        <f>VLOOKUP(A35,'Custo_Fopag (2)'!$A:$BQ,65,0)</f>
        <v>0</v>
      </c>
      <c r="BL35" s="54">
        <f>VLOOKUP(A35,'Custo_Fopag (2)'!$A:$BQP,66,0)</f>
        <v>0</v>
      </c>
      <c r="BM35" s="54">
        <f>VLOOKUP(A35,'Custo_Fopag (2)'!$A:$BQ,67,0)</f>
        <v>0</v>
      </c>
      <c r="BN35" s="54">
        <f>VLOOKUP(A35,'Custo_Fopag (2)'!$A:$BQ,64,0)</f>
        <v>0</v>
      </c>
      <c r="BO35" s="54">
        <f t="shared" si="20"/>
        <v>0</v>
      </c>
      <c r="BP35" s="54">
        <f t="shared" si="21"/>
        <v>610.84</v>
      </c>
      <c r="BQ35" s="54">
        <f t="shared" si="22"/>
        <v>610.84</v>
      </c>
      <c r="BR35" s="109">
        <f>VLOOKUP(A35,'Custo_Fopag (2)'!$A:$BQ,60,0)</f>
        <v>6569.72</v>
      </c>
      <c r="BS35" s="83" t="str">
        <f t="shared" si="23"/>
        <v>Desligado</v>
      </c>
    </row>
    <row r="36" spans="1:71" x14ac:dyDescent="0.25">
      <c r="A36" s="59" t="s">
        <v>157</v>
      </c>
      <c r="B36" s="88">
        <v>46082</v>
      </c>
      <c r="C36" s="59" t="s">
        <v>5</v>
      </c>
      <c r="D36" s="59" t="str">
        <f>VLOOKUP(A36,'Custo_Fopag (2)'!A:$BQ,4,0)</f>
        <v>G S FL 05 - BARUERI</v>
      </c>
      <c r="E36" s="59"/>
      <c r="F36" s="59"/>
      <c r="G36" s="59" t="str">
        <f>VLOOKUP(A36,'Custo_Fopag (2)'!$A:$BQ,5,0)</f>
        <v>20.504.237/0005-40</v>
      </c>
      <c r="H36" s="59" t="str">
        <f>VLOOKUP(A36,'Custo_Fopag (2)'!$A:$BQ,6,0)</f>
        <v>OPERACIONAL</v>
      </c>
      <c r="I36" s="59" t="str">
        <f>VLOOKUP(A36,'Custo_Fopag (2)'!$A:$BQ,7,0)</f>
        <v>PATIO</v>
      </c>
      <c r="J36" s="59" t="str">
        <f>VLOOKUP(A36,'Custo_Fopag (2)'!$A:$BQ,8,0)</f>
        <v>SELETIVA MARINGA DISTRITO</v>
      </c>
      <c r="K36" s="78">
        <f>VLOOKUP(A36,'Custo_Fopag (2)'!$A:$BQ,9,0)</f>
        <v>42826</v>
      </c>
      <c r="N36" s="3" t="str">
        <f>VLOOKUP(A36,'Custo_Fopag (2)'!$A:$BQ,11,0)</f>
        <v>1.2.4.3 OPERACIONAL</v>
      </c>
      <c r="O36" s="3" t="str">
        <f>VLOOKUP(A36,'Custo_Fopag (2)'!$A:$BQ,12,0)</f>
        <v>OPERADOR MANTENEDOR PLENO</v>
      </c>
      <c r="P36" s="126">
        <f>VLOOKUP(A36,'Custo_Fopag (2)'!$A:$BQ,13,0)</f>
        <v>2816.11</v>
      </c>
      <c r="Q36" s="127">
        <f>VLOOKUP(A36,'Custo_Fopag (2)'!$A:$BQ,16,0)</f>
        <v>2816.11</v>
      </c>
      <c r="R36" s="56">
        <f>VLOOKUP(A36,'Custo_Fopag (2)'!$A:$BQ,17,0)</f>
        <v>0</v>
      </c>
      <c r="S36" s="54">
        <f>VLOOKUP(A36,'Custo_Fopag (2)'!$A:$BP,18,0)</f>
        <v>0</v>
      </c>
      <c r="T36" s="54">
        <f>VLOOKUP(A36,'Custo_Fopag (2)'!$A:$BQ,20,0)</f>
        <v>563.22</v>
      </c>
      <c r="U36" s="54">
        <f>VLOOKUP(A36,'Custo_Fopag (2)'!$A:$BQ,21,0)</f>
        <v>0</v>
      </c>
      <c r="V36" s="54">
        <f>VLOOKUP(A36,'Custo_Fopag (2)'!$A:$BQ,22,0)</f>
        <v>0</v>
      </c>
      <c r="W36" s="54">
        <f>VLOOKUP(A36,'Custo_Fopag (2)'!$A:$BQ,23,0)</f>
        <v>0</v>
      </c>
      <c r="X36" s="54">
        <f>VLOOKUP(A36,'Custo_Fopag (2)'!$A:$BQ,24,0)</f>
        <v>0</v>
      </c>
      <c r="Y36" s="55">
        <f>VLOOKUP(A36,'Custo_Fopag (2)'!$A:$BQ,25,0)</f>
        <v>0</v>
      </c>
      <c r="Z36" s="54">
        <f>VLOOKUP(A36,'Custo_Fopag (2)'!$A:$BQ,26,0)</f>
        <v>0</v>
      </c>
      <c r="AA36" s="54">
        <f>VLOOKUP(A36,'Custo_Fopag (2)'!$A:$BQ,27,0)</f>
        <v>1568.7</v>
      </c>
      <c r="AB36" s="54">
        <f>VLOOKUP(A36,'Custo_Fopag (2)'!$A:$BQ,28,0)</f>
        <v>301.67</v>
      </c>
      <c r="AC36" s="54">
        <f>VLOOKUP(A36,'Custo_Fopag (2)'!$A:$BQ,29,0)</f>
        <v>0</v>
      </c>
      <c r="AD36" s="54">
        <f>VLOOKUP(A36,'Custo_Fopag (2)'!$A:$BQ,30,0)</f>
        <v>0</v>
      </c>
      <c r="AE36" s="54">
        <f>VLOOKUP(A36,'Custo_Fopag (2)'!$A:$BQ,31,0)</f>
        <v>0</v>
      </c>
      <c r="AF36" s="54">
        <f>VLOOKUP(A36,'Custo_Fopag (2)'!$A:$BQ,32,0)</f>
        <v>0</v>
      </c>
      <c r="AG36" s="54">
        <f t="shared" si="12"/>
        <v>5249.7</v>
      </c>
      <c r="AH36" s="121">
        <f>VLOOKUP(A36,'Custo_Fopag (2)'!$A:$BQ,45,0)</f>
        <v>0</v>
      </c>
      <c r="AI36" s="54">
        <f>_xlfn.XLOOKUP(A36,Beneficios!A:A,Beneficios!B:B,0,0,1)</f>
        <v>512.87</v>
      </c>
      <c r="AJ36" s="54">
        <f>VLOOKUP(A36,'Custo_Fopag (2)'!$A:$BQ,47,0)</f>
        <v>0</v>
      </c>
      <c r="AK36" s="54">
        <v>0</v>
      </c>
      <c r="AL36" s="54">
        <f>VLOOKUP(A36,'Custo_Fopag (2)'!$A:$BQ,35,0)</f>
        <v>0</v>
      </c>
      <c r="AM36" s="54">
        <f>VLOOKUP(A36,'Custo_Fopag (2)'!$A:$BQ,36,0)</f>
        <v>0</v>
      </c>
      <c r="AN36" s="54">
        <f>VLOOKUP(A36,'Custo_Fopag (2)'!$A:$BQ,37,0)</f>
        <v>0</v>
      </c>
      <c r="AO36" s="54">
        <f>VLOOKUP(A36,'Custo_Fopag (2)'!$A:$BQ,39,0)</f>
        <v>0</v>
      </c>
      <c r="AP36" s="54">
        <f>VLOOKUP(A36,'Custo_Fopag (2)'!$A:$BQ,42,0)</f>
        <v>0</v>
      </c>
      <c r="AQ36" s="54">
        <f>VLOOKUP(A36,'Custo_Fopag (2)'!$A:$BQ,40,0)</f>
        <v>0</v>
      </c>
      <c r="AR36" s="54">
        <f>VLOOKUP(A36,'Custo_Fopag (2)'!$A:$BQ,41,0)</f>
        <v>252.45</v>
      </c>
      <c r="AS36" s="54">
        <f>VLOOKUP(A36,'Custo_Fopag (2)'!$A:$BQ,38,0)</f>
        <v>0</v>
      </c>
      <c r="AT36" s="54">
        <f>VLOOKUP(A36,'Custo_Fopag (2)'!$A:$BQ,43,0)</f>
        <v>0</v>
      </c>
      <c r="AU36" s="54">
        <f>VLOOKUP(A36,'Custo_Fopag (2)'!$A:$BQ,48,0)</f>
        <v>2248</v>
      </c>
      <c r="AV36" s="54">
        <f>VLOOKUP(A36,'Custo_Fopag (2)'!$A:$BQ,49,0)</f>
        <v>0</v>
      </c>
      <c r="AW36" s="54">
        <f>VLOOKUP(A36,'Custo_Fopag (2)'!$A:$BQ,19,0)</f>
        <v>0</v>
      </c>
      <c r="AX36" s="54">
        <f>VLOOKUP(A36,'Custo_Fopag (2)'!$A:$BQ,50,0)</f>
        <v>0</v>
      </c>
      <c r="AY36" s="54">
        <f>VLOOKUP(A36,'Custo_Fopag (2)'!$A:$BQ,51,0)</f>
        <v>0</v>
      </c>
      <c r="AZ36" s="117">
        <v>0</v>
      </c>
      <c r="BA36" s="54">
        <f>VLOOKUP(A36,'Custo_Fopag (2)'!$A:$BQ,54,0)</f>
        <v>0</v>
      </c>
      <c r="BB36" s="54">
        <f>VLOOKUP(A36,'Custo_Fopag (2)'!$A:$BQ,52,0)</f>
        <v>0</v>
      </c>
      <c r="BC36" s="122">
        <f t="shared" si="13"/>
        <v>3013.3199999999997</v>
      </c>
      <c r="BD36" s="54">
        <f t="shared" si="14"/>
        <v>8263.02</v>
      </c>
      <c r="BE36" s="57"/>
      <c r="BF36" s="54">
        <f t="shared" si="15"/>
        <v>8263.02</v>
      </c>
      <c r="BG36" s="54">
        <f t="shared" si="16"/>
        <v>437.47499999999997</v>
      </c>
      <c r="BH36" s="54">
        <f t="shared" si="17"/>
        <v>437.47499999999997</v>
      </c>
      <c r="BI36" s="54">
        <f t="shared" si="18"/>
        <v>145.82499999999999</v>
      </c>
      <c r="BJ36" s="54">
        <f t="shared" si="19"/>
        <v>1020.7749999999999</v>
      </c>
      <c r="BK36" s="54">
        <f>VLOOKUP(A36,'Custo_Fopag (2)'!$A:$BQ,65,0)</f>
        <v>1049.94</v>
      </c>
      <c r="BL36" s="54">
        <f>VLOOKUP(A36,'Custo_Fopag (2)'!$A:$BQP,66,0)</f>
        <v>78.739999999999995</v>
      </c>
      <c r="BM36" s="54">
        <f>VLOOKUP(A36,'Custo_Fopag (2)'!$A:$BQ,67,0)</f>
        <v>304.48</v>
      </c>
      <c r="BN36" s="54">
        <f>VLOOKUP(A36,'Custo_Fopag (2)'!$A:$BQ,64,0)</f>
        <v>419.97</v>
      </c>
      <c r="BO36" s="54">
        <f t="shared" si="20"/>
        <v>1853.13</v>
      </c>
      <c r="BP36" s="54">
        <f t="shared" si="21"/>
        <v>10116.150000000001</v>
      </c>
      <c r="BQ36" s="54">
        <f t="shared" si="22"/>
        <v>11136.924999999999</v>
      </c>
      <c r="BR36" s="109">
        <f>VLOOKUP(A36,'Custo_Fopag (2)'!$A:$BQ,60,0)</f>
        <v>0</v>
      </c>
      <c r="BS36" s="83" t="str">
        <f t="shared" si="23"/>
        <v>Ativo</v>
      </c>
    </row>
    <row r="37" spans="1:71" x14ac:dyDescent="0.25">
      <c r="A37" s="3" t="s">
        <v>349</v>
      </c>
      <c r="B37" s="88">
        <v>46082</v>
      </c>
      <c r="C37" s="3" t="s">
        <v>5</v>
      </c>
      <c r="D37" s="59" t="str">
        <f>VLOOKUP(A37,'Custo_Fopag (2)'!A:$BQ,4,0)</f>
        <v>G3S FL 05 - PRES PRUD</v>
      </c>
      <c r="E37" s="59"/>
      <c r="F37" s="59"/>
      <c r="G37" s="59" t="str">
        <f>VLOOKUP(A37,'Custo_Fopag (2)'!$A:$BQ,5,0)</f>
        <v>20.947.332/0005-19</v>
      </c>
      <c r="H37" s="59" t="str">
        <f>VLOOKUP(A37,'Custo_Fopag (2)'!$A:$BQ,6,0)</f>
        <v>OPERACIONAL</v>
      </c>
      <c r="I37" s="59" t="str">
        <f>VLOOKUP(A37,'Custo_Fopag (2)'!$A:$BQ,7,0)</f>
        <v>CORTE E DOBRA</v>
      </c>
      <c r="J37" s="59" t="str">
        <f>VLOOKUP(A37,'Custo_Fopag (2)'!$A:$BQ,8,0)</f>
        <v>BRACOFER</v>
      </c>
      <c r="K37" s="78">
        <f>VLOOKUP(A37,'Custo_Fopag (2)'!$A:$BQ,9,0)</f>
        <v>46055</v>
      </c>
      <c r="N37" s="3" t="str">
        <f>VLOOKUP(A37,'Custo_Fopag (2)'!$A:$BQ,11,0)</f>
        <v>1.3.1.5 CORTE E DOBRA</v>
      </c>
      <c r="O37" s="3" t="str">
        <f>VLOOKUP(A37,'Custo_Fopag (2)'!$A:$BQ,12,0)</f>
        <v>AUXILIAR DE PATIO JUNIOR</v>
      </c>
      <c r="P37" s="126">
        <f>VLOOKUP(A37,'Custo_Fopag (2)'!$A:$BQ,13,0)</f>
        <v>2155</v>
      </c>
      <c r="Q37" s="127">
        <f>VLOOKUP(A37,'Custo_Fopag (2)'!$A:$BQ,16,0)</f>
        <v>2155</v>
      </c>
      <c r="R37" s="56">
        <f>VLOOKUP(A37,'Custo_Fopag (2)'!$A:$BQ,17,0)</f>
        <v>0</v>
      </c>
      <c r="S37" s="54">
        <f>VLOOKUP(A37,'Custo_Fopag (2)'!$A:$BP,18,0)</f>
        <v>0</v>
      </c>
      <c r="T37" s="54">
        <f>VLOOKUP(A37,'Custo_Fopag (2)'!$A:$BQ,20,0)</f>
        <v>0</v>
      </c>
      <c r="U37" s="54">
        <f>VLOOKUP(A37,'Custo_Fopag (2)'!$A:$BQ,21,0)</f>
        <v>0</v>
      </c>
      <c r="V37" s="54">
        <f>VLOOKUP(A37,'Custo_Fopag (2)'!$A:$BQ,22,0)</f>
        <v>0</v>
      </c>
      <c r="W37" s="54">
        <f>VLOOKUP(A37,'Custo_Fopag (2)'!$A:$BQ,23,0)</f>
        <v>0</v>
      </c>
      <c r="X37" s="54">
        <f>VLOOKUP(A37,'Custo_Fopag (2)'!$A:$BQ,24,0)</f>
        <v>0</v>
      </c>
      <c r="Y37" s="55">
        <f>VLOOKUP(A37,'Custo_Fopag (2)'!$A:$BQ,25,0)</f>
        <v>0</v>
      </c>
      <c r="Z37" s="54">
        <f>VLOOKUP(A37,'Custo_Fopag (2)'!$A:$BQ,26,0)</f>
        <v>0</v>
      </c>
      <c r="AA37" s="54">
        <f>VLOOKUP(A37,'Custo_Fopag (2)'!$A:$BQ,27,0)</f>
        <v>100.83</v>
      </c>
      <c r="AB37" s="54">
        <f>VLOOKUP(A37,'Custo_Fopag (2)'!$A:$BQ,28,0)</f>
        <v>19.39</v>
      </c>
      <c r="AC37" s="54">
        <f>VLOOKUP(A37,'Custo_Fopag (2)'!$A:$BQ,29,0)</f>
        <v>0</v>
      </c>
      <c r="AD37" s="54">
        <f>VLOOKUP(A37,'Custo_Fopag (2)'!$A:$BQ,30,0)</f>
        <v>0</v>
      </c>
      <c r="AE37" s="54">
        <f>VLOOKUP(A37,'Custo_Fopag (2)'!$A:$BQ,31,0)</f>
        <v>0</v>
      </c>
      <c r="AF37" s="54">
        <f>VLOOKUP(A37,'Custo_Fopag (2)'!$A:$BQ,32,0)</f>
        <v>0</v>
      </c>
      <c r="AG37" s="54">
        <f t="shared" si="12"/>
        <v>2275.2199999999998</v>
      </c>
      <c r="AH37" s="121">
        <f>VLOOKUP(A37,'Custo_Fopag (2)'!$A:$BQ,45,0)</f>
        <v>0</v>
      </c>
      <c r="AI37" s="54">
        <f>_xlfn.XLOOKUP(A37,Beneficios!A:A,Beneficios!B:B,0,0,1)</f>
        <v>512.87</v>
      </c>
      <c r="AJ37" s="54">
        <f>VLOOKUP(A37,'Custo_Fopag (2)'!$A:$BQ,47,0)</f>
        <v>0</v>
      </c>
      <c r="AK37" s="54">
        <v>0</v>
      </c>
      <c r="AL37" s="54">
        <f>VLOOKUP(A37,'Custo_Fopag (2)'!$A:$BQ,35,0)</f>
        <v>0</v>
      </c>
      <c r="AM37" s="54">
        <f>VLOOKUP(A37,'Custo_Fopag (2)'!$A:$BQ,36,0)</f>
        <v>0</v>
      </c>
      <c r="AN37" s="54">
        <f>VLOOKUP(A37,'Custo_Fopag (2)'!$A:$BQ,37,0)</f>
        <v>0</v>
      </c>
      <c r="AO37" s="54">
        <f>VLOOKUP(A37,'Custo_Fopag (2)'!$A:$BQ,39,0)</f>
        <v>0</v>
      </c>
      <c r="AP37" s="54">
        <f>VLOOKUP(A37,'Custo_Fopag (2)'!$A:$BQ,42,0)</f>
        <v>350</v>
      </c>
      <c r="AQ37" s="54">
        <f>VLOOKUP(A37,'Custo_Fopag (2)'!$A:$BQ,40,0)</f>
        <v>0</v>
      </c>
      <c r="AR37" s="54">
        <f>VLOOKUP(A37,'Custo_Fopag (2)'!$A:$BQ,41,0)</f>
        <v>0</v>
      </c>
      <c r="AS37" s="54">
        <f>VLOOKUP(A37,'Custo_Fopag (2)'!$A:$BQ,38,0)</f>
        <v>0</v>
      </c>
      <c r="AT37" s="54">
        <f>VLOOKUP(A37,'Custo_Fopag (2)'!$A:$BQ,43,0)</f>
        <v>0</v>
      </c>
      <c r="AU37" s="54">
        <f>VLOOKUP(A37,'Custo_Fopag (2)'!$A:$BQ,48,0)</f>
        <v>0</v>
      </c>
      <c r="AV37" s="54">
        <f>VLOOKUP(A37,'Custo_Fopag (2)'!$A:$BQ,49,0)</f>
        <v>0</v>
      </c>
      <c r="AW37" s="54">
        <f>VLOOKUP(A37,'Custo_Fopag (2)'!$A:$BQ,19,0)</f>
        <v>0</v>
      </c>
      <c r="AX37" s="54">
        <f>VLOOKUP(A37,'Custo_Fopag (2)'!$A:$BQ,50,0)</f>
        <v>0</v>
      </c>
      <c r="AY37" s="54">
        <f>VLOOKUP(A37,'Custo_Fopag (2)'!$A:$BQ,51,0)</f>
        <v>0</v>
      </c>
      <c r="AZ37" s="117">
        <v>0</v>
      </c>
      <c r="BA37" s="54">
        <f>VLOOKUP(A37,'Custo_Fopag (2)'!$A:$BQ,54,0)</f>
        <v>0</v>
      </c>
      <c r="BB37" s="54">
        <f>VLOOKUP(A37,'Custo_Fopag (2)'!$A:$BQ,52,0)</f>
        <v>0</v>
      </c>
      <c r="BC37" s="122">
        <f t="shared" si="13"/>
        <v>862.87</v>
      </c>
      <c r="BD37" s="54">
        <f t="shared" si="14"/>
        <v>3138.0899999999997</v>
      </c>
      <c r="BE37" s="57"/>
      <c r="BF37" s="54">
        <f t="shared" si="15"/>
        <v>3138.0899999999997</v>
      </c>
      <c r="BG37" s="54">
        <f t="shared" si="16"/>
        <v>189.60166666666666</v>
      </c>
      <c r="BH37" s="54">
        <f t="shared" si="17"/>
        <v>189.60166666666666</v>
      </c>
      <c r="BI37" s="54">
        <f t="shared" si="18"/>
        <v>63.200555555555553</v>
      </c>
      <c r="BJ37" s="54">
        <f t="shared" si="19"/>
        <v>442.4038888888889</v>
      </c>
      <c r="BK37" s="54">
        <f>VLOOKUP(A37,'Custo_Fopag (2)'!$A:$BQ,65,0)</f>
        <v>455.04</v>
      </c>
      <c r="BL37" s="54">
        <f>VLOOKUP(A37,'Custo_Fopag (2)'!$A:$BQP,66,0)</f>
        <v>34.119999999999997</v>
      </c>
      <c r="BM37" s="54">
        <f>VLOOKUP(A37,'Custo_Fopag (2)'!$A:$BQ,67,0)</f>
        <v>131.96</v>
      </c>
      <c r="BN37" s="54">
        <f>VLOOKUP(A37,'Custo_Fopag (2)'!$A:$BQ,64,0)</f>
        <v>182.01</v>
      </c>
      <c r="BO37" s="54">
        <f t="shared" si="20"/>
        <v>803.13</v>
      </c>
      <c r="BP37" s="54">
        <f t="shared" si="21"/>
        <v>3941.22</v>
      </c>
      <c r="BQ37" s="54">
        <f t="shared" si="22"/>
        <v>4383.6238888888884</v>
      </c>
      <c r="BR37" s="109">
        <f>VLOOKUP(A37,'Custo_Fopag (2)'!$A:$BQ,60,0)</f>
        <v>0</v>
      </c>
      <c r="BS37" s="83" t="str">
        <f t="shared" si="23"/>
        <v>Ativo</v>
      </c>
    </row>
    <row r="38" spans="1:71" s="60" customFormat="1" x14ac:dyDescent="0.25">
      <c r="A38" s="59" t="s">
        <v>138</v>
      </c>
      <c r="B38" s="88">
        <v>46082</v>
      </c>
      <c r="C38" s="59" t="s">
        <v>5</v>
      </c>
      <c r="D38" s="59" t="str">
        <f>VLOOKUP(A38,'Custo_Fopag (2)'!A:$BQ,4,0)</f>
        <v>G S FL 04 - MARINGA</v>
      </c>
      <c r="E38" s="59"/>
      <c r="F38" s="59"/>
      <c r="G38" s="59" t="str">
        <f>VLOOKUP(A38,'Custo_Fopag (2)'!$A:$BQ,5,0)</f>
        <v>20.504.237/0004-60</v>
      </c>
      <c r="H38" s="59" t="str">
        <f>VLOOKUP(A38,'Custo_Fopag (2)'!$A:$BQ,6,0)</f>
        <v>OPERACIONAL</v>
      </c>
      <c r="I38" s="59" t="str">
        <f>VLOOKUP(A38,'Custo_Fopag (2)'!$A:$BQ,7,0)</f>
        <v>PATIO</v>
      </c>
      <c r="J38" s="59" t="str">
        <f>VLOOKUP(A38,'Custo_Fopag (2)'!$A:$BQ,8,0)</f>
        <v>SELETIVA MARINGA DISTRITO</v>
      </c>
      <c r="K38" s="78">
        <f>VLOOKUP(A38,'Custo_Fopag (2)'!$A:$BQ,9,0)</f>
        <v>45790</v>
      </c>
      <c r="L38" s="52"/>
      <c r="M38" s="3"/>
      <c r="N38" s="3" t="str">
        <f>VLOOKUP(A38,'Custo_Fopag (2)'!$A:$BQ,11,0)</f>
        <v>1.2.4.3 OPERACIONAL</v>
      </c>
      <c r="O38" s="3" t="str">
        <f>VLOOKUP(A38,'Custo_Fopag (2)'!$A:$BQ,12,0)</f>
        <v>OPERADOR MANTENEDOR JR</v>
      </c>
      <c r="P38" s="126">
        <f>VLOOKUP(A38,'Custo_Fopag (2)'!$A:$BQ,13,0)</f>
        <v>2610</v>
      </c>
      <c r="Q38" s="127">
        <f>VLOOKUP(A38,'Custo_Fopag (2)'!$A:$BQ,16,0)</f>
        <v>2610</v>
      </c>
      <c r="R38" s="56">
        <f>VLOOKUP(A38,'Custo_Fopag (2)'!$A:$BQ,17,0)</f>
        <v>0</v>
      </c>
      <c r="S38" s="54">
        <f>VLOOKUP(A38,'Custo_Fopag (2)'!$A:$BP,18,0)</f>
        <v>0</v>
      </c>
      <c r="T38" s="54">
        <f>VLOOKUP(A38,'Custo_Fopag (2)'!$A:$BQ,20,0)</f>
        <v>522</v>
      </c>
      <c r="U38" s="54">
        <f>VLOOKUP(A38,'Custo_Fopag (2)'!$A:$BQ,21,0)</f>
        <v>0</v>
      </c>
      <c r="V38" s="54">
        <f>VLOOKUP(A38,'Custo_Fopag (2)'!$A:$BQ,22,0)</f>
        <v>0</v>
      </c>
      <c r="W38" s="54">
        <f>VLOOKUP(A38,'Custo_Fopag (2)'!$A:$BQ,23,0)</f>
        <v>0</v>
      </c>
      <c r="X38" s="54">
        <f>VLOOKUP(A38,'Custo_Fopag (2)'!$A:$BQ,24,0)</f>
        <v>0</v>
      </c>
      <c r="Y38" s="55">
        <f>VLOOKUP(A38,'Custo_Fopag (2)'!$A:$BQ,25,0)</f>
        <v>0</v>
      </c>
      <c r="Z38" s="54">
        <f>VLOOKUP(A38,'Custo_Fopag (2)'!$A:$BQ,26,0)</f>
        <v>0</v>
      </c>
      <c r="AA38" s="54">
        <f>VLOOKUP(A38,'Custo_Fopag (2)'!$A:$BQ,27,0)</f>
        <v>116.67</v>
      </c>
      <c r="AB38" s="54">
        <f>VLOOKUP(A38,'Custo_Fopag (2)'!$A:$BQ,28,0)</f>
        <v>22.44</v>
      </c>
      <c r="AC38" s="54">
        <f>VLOOKUP(A38,'Custo_Fopag (2)'!$A:$BQ,29,0)</f>
        <v>0</v>
      </c>
      <c r="AD38" s="54">
        <f>VLOOKUP(A38,'Custo_Fopag (2)'!$A:$BQ,30,0)</f>
        <v>0</v>
      </c>
      <c r="AE38" s="54">
        <f>VLOOKUP(A38,'Custo_Fopag (2)'!$A:$BQ,31,0)</f>
        <v>0</v>
      </c>
      <c r="AF38" s="54">
        <f>VLOOKUP(A38,'Custo_Fopag (2)'!$A:$BQ,32,0)</f>
        <v>0</v>
      </c>
      <c r="AG38" s="54">
        <f t="shared" si="12"/>
        <v>3271.11</v>
      </c>
      <c r="AH38" s="121">
        <f>VLOOKUP(A38,'Custo_Fopag (2)'!$A:$BQ,45,0)</f>
        <v>0</v>
      </c>
      <c r="AI38" s="54">
        <f>_xlfn.XLOOKUP(A38,Beneficios!A:A,Beneficios!B:B,0,0,1)</f>
        <v>512.87</v>
      </c>
      <c r="AJ38" s="54">
        <f>VLOOKUP(A38,'Custo_Fopag (2)'!$A:$BQ,47,0)</f>
        <v>0</v>
      </c>
      <c r="AK38" s="54">
        <v>0</v>
      </c>
      <c r="AL38" s="54">
        <f>VLOOKUP(A38,'Custo_Fopag (2)'!$A:$BQ,35,0)</f>
        <v>0</v>
      </c>
      <c r="AM38" s="54">
        <f>VLOOKUP(A38,'Custo_Fopag (2)'!$A:$BQ,36,0)</f>
        <v>0</v>
      </c>
      <c r="AN38" s="54">
        <f>VLOOKUP(A38,'Custo_Fopag (2)'!$A:$BQ,37,0)</f>
        <v>0</v>
      </c>
      <c r="AO38" s="54">
        <f>VLOOKUP(A38,'Custo_Fopag (2)'!$A:$BQ,39,0)</f>
        <v>0</v>
      </c>
      <c r="AP38" s="54">
        <f>VLOOKUP(A38,'Custo_Fopag (2)'!$A:$BQ,42,0)</f>
        <v>0</v>
      </c>
      <c r="AQ38" s="54">
        <f>VLOOKUP(A38,'Custo_Fopag (2)'!$A:$BQ,40,0)</f>
        <v>0</v>
      </c>
      <c r="AR38" s="54">
        <f>VLOOKUP(A38,'Custo_Fopag (2)'!$A:$BQ,41,0)</f>
        <v>456.6</v>
      </c>
      <c r="AS38" s="54">
        <f>VLOOKUP(A38,'Custo_Fopag (2)'!$A:$BQ,38,0)</f>
        <v>0</v>
      </c>
      <c r="AT38" s="54">
        <f>VLOOKUP(A38,'Custo_Fopag (2)'!$A:$BQ,43,0)</f>
        <v>0</v>
      </c>
      <c r="AU38" s="54">
        <f>VLOOKUP(A38,'Custo_Fopag (2)'!$A:$BQ,48,0)</f>
        <v>0</v>
      </c>
      <c r="AV38" s="54">
        <f>VLOOKUP(A38,'Custo_Fopag (2)'!$A:$BQ,49,0)</f>
        <v>0</v>
      </c>
      <c r="AW38" s="54">
        <f>VLOOKUP(A38,'Custo_Fopag (2)'!$A:$BQ,19,0)</f>
        <v>0</v>
      </c>
      <c r="AX38" s="54">
        <f>VLOOKUP(A38,'Custo_Fopag (2)'!$A:$BQ,50,0)</f>
        <v>0</v>
      </c>
      <c r="AY38" s="54">
        <f>VLOOKUP(A38,'Custo_Fopag (2)'!$A:$BQ,51,0)</f>
        <v>0</v>
      </c>
      <c r="AZ38" s="117">
        <v>0</v>
      </c>
      <c r="BA38" s="54">
        <f>VLOOKUP(A38,'Custo_Fopag (2)'!$A:$BQ,54,0)</f>
        <v>0</v>
      </c>
      <c r="BB38" s="54">
        <f>VLOOKUP(A38,'Custo_Fopag (2)'!$A:$BQ,52,0)</f>
        <v>0</v>
      </c>
      <c r="BC38" s="122">
        <f t="shared" si="13"/>
        <v>969.47</v>
      </c>
      <c r="BD38" s="54">
        <f t="shared" si="14"/>
        <v>4240.58</v>
      </c>
      <c r="BE38" s="57"/>
      <c r="BF38" s="54">
        <f t="shared" si="15"/>
        <v>4240.58</v>
      </c>
      <c r="BG38" s="54">
        <f t="shared" si="16"/>
        <v>272.59250000000003</v>
      </c>
      <c r="BH38" s="54">
        <f t="shared" si="17"/>
        <v>272.59250000000003</v>
      </c>
      <c r="BI38" s="54">
        <f t="shared" si="18"/>
        <v>90.864166666666677</v>
      </c>
      <c r="BJ38" s="54">
        <f t="shared" si="19"/>
        <v>636.04916666666668</v>
      </c>
      <c r="BK38" s="54">
        <f>VLOOKUP(A38,'Custo_Fopag (2)'!$A:$BQ,65,0)</f>
        <v>654.22</v>
      </c>
      <c r="BL38" s="54">
        <f>VLOOKUP(A38,'Custo_Fopag (2)'!$A:$BQP,66,0)</f>
        <v>98.13</v>
      </c>
      <c r="BM38" s="54">
        <f>VLOOKUP(A38,'Custo_Fopag (2)'!$A:$BQ,67,0)</f>
        <v>189.72</v>
      </c>
      <c r="BN38" s="54">
        <f>VLOOKUP(A38,'Custo_Fopag (2)'!$A:$BQ,64,0)</f>
        <v>261.68</v>
      </c>
      <c r="BO38" s="54">
        <f t="shared" si="20"/>
        <v>1203.75</v>
      </c>
      <c r="BP38" s="54">
        <f t="shared" si="21"/>
        <v>5444.33</v>
      </c>
      <c r="BQ38" s="54">
        <f t="shared" si="22"/>
        <v>6080.3791666666666</v>
      </c>
      <c r="BR38" s="109">
        <f>VLOOKUP(A38,'Custo_Fopag (2)'!$A:$BQ,60,0)</f>
        <v>0</v>
      </c>
      <c r="BS38" s="83" t="str">
        <f t="shared" si="23"/>
        <v>Ativo</v>
      </c>
    </row>
    <row r="39" spans="1:71" s="59" customFormat="1" x14ac:dyDescent="0.25">
      <c r="A39" s="59" t="s">
        <v>307</v>
      </c>
      <c r="B39" s="88">
        <v>46082</v>
      </c>
      <c r="C39" s="59" t="s">
        <v>5</v>
      </c>
      <c r="D39" s="59" t="str">
        <f>VLOOKUP(A39,'Custo_Fopag (2)'!A:$BQ,4,0)</f>
        <v>G3S  FL 04 - PRES PRUD</v>
      </c>
      <c r="G39" s="59" t="str">
        <f>VLOOKUP(A39,'Custo_Fopag (2)'!$A:$BQ,5,0)</f>
        <v>20.947.332/0004-38</v>
      </c>
      <c r="H39" s="59" t="str">
        <f>VLOOKUP(A39,'Custo_Fopag (2)'!$A:$BQ,6,0)</f>
        <v>OPERACIONAL</v>
      </c>
      <c r="I39" s="59" t="str">
        <f>VLOOKUP(A39,'Custo_Fopag (2)'!$A:$BQ,7,0)</f>
        <v>PATIO</v>
      </c>
      <c r="J39" s="59" t="str">
        <f>VLOOKUP(A39,'Custo_Fopag (2)'!$A:$BQ,8,0)</f>
        <v>SELETIVA PRESIDENTE PRUDENTE</v>
      </c>
      <c r="K39" s="78">
        <f>VLOOKUP(A39,'Custo_Fopag (2)'!$A:$BQ,9,0)</f>
        <v>43906</v>
      </c>
      <c r="L39" s="52"/>
      <c r="M39" s="3"/>
      <c r="N39" s="3" t="str">
        <f>VLOOKUP(A39,'Custo_Fopag (2)'!$A:$BQ,11,0)</f>
        <v>1.2.5.3 OPERACIONAL</v>
      </c>
      <c r="O39" s="3" t="str">
        <f>VLOOKUP(A39,'Custo_Fopag (2)'!$A:$BQ,12,0)</f>
        <v>CLASSIFICADOR SENIOR</v>
      </c>
      <c r="P39" s="126">
        <f>VLOOKUP(A39,'Custo_Fopag (2)'!$A:$BQ,13,0)</f>
        <v>2967.69</v>
      </c>
      <c r="Q39" s="127">
        <f>VLOOKUP(A39,'Custo_Fopag (2)'!$A:$BQ,16,0)</f>
        <v>2967.69</v>
      </c>
      <c r="R39" s="56">
        <f>VLOOKUP(A39,'Custo_Fopag (2)'!$A:$BQ,17,0)</f>
        <v>0</v>
      </c>
      <c r="S39" s="54">
        <f>VLOOKUP(A39,'Custo_Fopag (2)'!$A:$BP,18,0)</f>
        <v>0</v>
      </c>
      <c r="T39" s="54">
        <f>VLOOKUP(A39,'Custo_Fopag (2)'!$A:$BQ,20,0)</f>
        <v>0</v>
      </c>
      <c r="U39" s="54">
        <f>VLOOKUP(A39,'Custo_Fopag (2)'!$A:$BQ,21,0)</f>
        <v>0</v>
      </c>
      <c r="V39" s="54">
        <f>VLOOKUP(A39,'Custo_Fopag (2)'!$A:$BQ,22,0)</f>
        <v>0</v>
      </c>
      <c r="W39" s="54">
        <f>VLOOKUP(A39,'Custo_Fopag (2)'!$A:$BQ,23,0)</f>
        <v>0</v>
      </c>
      <c r="X39" s="54">
        <f>VLOOKUP(A39,'Custo_Fopag (2)'!$A:$BQ,24,0)</f>
        <v>0</v>
      </c>
      <c r="Y39" s="55">
        <f>VLOOKUP(A39,'Custo_Fopag (2)'!$A:$BQ,25,0)</f>
        <v>0</v>
      </c>
      <c r="Z39" s="54">
        <f>VLOOKUP(A39,'Custo_Fopag (2)'!$A:$BQ,26,0)</f>
        <v>0</v>
      </c>
      <c r="AA39" s="54">
        <f>VLOOKUP(A39,'Custo_Fopag (2)'!$A:$BQ,27,0)</f>
        <v>0</v>
      </c>
      <c r="AB39" s="54">
        <f>VLOOKUP(A39,'Custo_Fopag (2)'!$A:$BQ,28,0)</f>
        <v>0</v>
      </c>
      <c r="AC39" s="54">
        <f>VLOOKUP(A39,'Custo_Fopag (2)'!$A:$BQ,29,0)</f>
        <v>0</v>
      </c>
      <c r="AD39" s="54">
        <f>VLOOKUP(A39,'Custo_Fopag (2)'!$A:$BQ,30,0)</f>
        <v>0</v>
      </c>
      <c r="AE39" s="54">
        <f>VLOOKUP(A39,'Custo_Fopag (2)'!$A:$BQ,31,0)</f>
        <v>0</v>
      </c>
      <c r="AF39" s="54">
        <f>VLOOKUP(A39,'Custo_Fopag (2)'!$A:$BQ,32,0)</f>
        <v>0</v>
      </c>
      <c r="AG39" s="54">
        <f t="shared" si="12"/>
        <v>2967.69</v>
      </c>
      <c r="AH39" s="121">
        <f>VLOOKUP(A39,'Custo_Fopag (2)'!$A:$BQ,45,0)</f>
        <v>0</v>
      </c>
      <c r="AI39" s="54">
        <f>_xlfn.XLOOKUP(A39,Beneficios!A:A,Beneficios!B:B,0,0,1)</f>
        <v>512.87</v>
      </c>
      <c r="AJ39" s="54">
        <f>VLOOKUP(A39,'Custo_Fopag (2)'!$A:$BQ,47,0)</f>
        <v>0</v>
      </c>
      <c r="AK39" s="54">
        <v>0</v>
      </c>
      <c r="AL39" s="54">
        <f>VLOOKUP(A39,'Custo_Fopag (2)'!$A:$BQ,35,0)</f>
        <v>0</v>
      </c>
      <c r="AM39" s="54">
        <f>VLOOKUP(A39,'Custo_Fopag (2)'!$A:$BQ,36,0)</f>
        <v>0</v>
      </c>
      <c r="AN39" s="54">
        <f>VLOOKUP(A39,'Custo_Fopag (2)'!$A:$BQ,37,0)</f>
        <v>0</v>
      </c>
      <c r="AO39" s="54">
        <f>VLOOKUP(A39,'Custo_Fopag (2)'!$A:$BQ,39,0)</f>
        <v>0</v>
      </c>
      <c r="AP39" s="54">
        <f>VLOOKUP(A39,'Custo_Fopag (2)'!$A:$BQ,42,0)</f>
        <v>200</v>
      </c>
      <c r="AQ39" s="54">
        <f>VLOOKUP(A39,'Custo_Fopag (2)'!$A:$BQ,40,0)</f>
        <v>0</v>
      </c>
      <c r="AR39" s="54">
        <f>VLOOKUP(A39,'Custo_Fopag (2)'!$A:$BQ,41,0)</f>
        <v>579.34</v>
      </c>
      <c r="AS39" s="54">
        <f>VLOOKUP(A39,'Custo_Fopag (2)'!$A:$BQ,38,0)</f>
        <v>0</v>
      </c>
      <c r="AT39" s="54">
        <f>VLOOKUP(A39,'Custo_Fopag (2)'!$A:$BQ,43,0)</f>
        <v>0</v>
      </c>
      <c r="AU39" s="54">
        <f>VLOOKUP(A39,'Custo_Fopag (2)'!$A:$BQ,48,0)</f>
        <v>0</v>
      </c>
      <c r="AV39" s="54">
        <f>VLOOKUP(A39,'Custo_Fopag (2)'!$A:$BQ,49,0)</f>
        <v>0</v>
      </c>
      <c r="AW39" s="54">
        <f>VLOOKUP(A39,'Custo_Fopag (2)'!$A:$BQ,19,0)</f>
        <v>0</v>
      </c>
      <c r="AX39" s="54">
        <f>VLOOKUP(A39,'Custo_Fopag (2)'!$A:$BQ,50,0)</f>
        <v>0</v>
      </c>
      <c r="AY39" s="54">
        <f>VLOOKUP(A39,'Custo_Fopag (2)'!$A:$BQ,51,0)</f>
        <v>0</v>
      </c>
      <c r="AZ39" s="117">
        <v>0</v>
      </c>
      <c r="BA39" s="54">
        <f>VLOOKUP(A39,'Custo_Fopag (2)'!$A:$BQ,54,0)</f>
        <v>0</v>
      </c>
      <c r="BB39" s="54">
        <f>VLOOKUP(A39,'Custo_Fopag (2)'!$A:$BQ,52,0)</f>
        <v>0</v>
      </c>
      <c r="BC39" s="122">
        <f t="shared" si="13"/>
        <v>1292.21</v>
      </c>
      <c r="BD39" s="54">
        <f t="shared" si="14"/>
        <v>4259.8999999999996</v>
      </c>
      <c r="BE39" s="57"/>
      <c r="BF39" s="54">
        <f t="shared" si="15"/>
        <v>4259.8999999999996</v>
      </c>
      <c r="BG39" s="54">
        <f t="shared" si="16"/>
        <v>247.3075</v>
      </c>
      <c r="BH39" s="54">
        <f t="shared" si="17"/>
        <v>247.3075</v>
      </c>
      <c r="BI39" s="54">
        <f t="shared" si="18"/>
        <v>82.435833333333335</v>
      </c>
      <c r="BJ39" s="54">
        <f t="shared" si="19"/>
        <v>577.05083333333334</v>
      </c>
      <c r="BK39" s="54">
        <f>VLOOKUP(A39,'Custo_Fopag (2)'!$A:$BQ,65,0)</f>
        <v>593.54</v>
      </c>
      <c r="BL39" s="54">
        <f>VLOOKUP(A39,'Custo_Fopag (2)'!$A:$BQP,66,0)</f>
        <v>44.51</v>
      </c>
      <c r="BM39" s="54">
        <f>VLOOKUP(A39,'Custo_Fopag (2)'!$A:$BQ,67,0)</f>
        <v>172.12</v>
      </c>
      <c r="BN39" s="54">
        <f>VLOOKUP(A39,'Custo_Fopag (2)'!$A:$BQ,64,0)</f>
        <v>237.41</v>
      </c>
      <c r="BO39" s="54">
        <f t="shared" si="20"/>
        <v>1047.58</v>
      </c>
      <c r="BP39" s="54">
        <f t="shared" si="21"/>
        <v>5307.48</v>
      </c>
      <c r="BQ39" s="54">
        <f t="shared" si="22"/>
        <v>5884.5308333333332</v>
      </c>
      <c r="BR39" s="109">
        <f>VLOOKUP(A39,'Custo_Fopag (2)'!$A:$BQ,60,0)</f>
        <v>0</v>
      </c>
      <c r="BS39" s="83" t="str">
        <f t="shared" si="23"/>
        <v>Ativo</v>
      </c>
    </row>
    <row r="40" spans="1:71" x14ac:dyDescent="0.25">
      <c r="A40" s="59" t="s">
        <v>146</v>
      </c>
      <c r="B40" s="88">
        <v>46082</v>
      </c>
      <c r="C40" s="59" t="s">
        <v>5</v>
      </c>
      <c r="D40" s="59" t="str">
        <f>VLOOKUP(A40,'Custo_Fopag (2)'!A:$BQ,4,0)</f>
        <v>G S FL 03 - DOURADOS</v>
      </c>
      <c r="E40" s="59">
        <v>3</v>
      </c>
      <c r="F40" s="59"/>
      <c r="G40" s="59" t="str">
        <f>VLOOKUP(A40,'Custo_Fopag (2)'!$A:$BQ,5,0)</f>
        <v>20.504.237/0003-89</v>
      </c>
      <c r="H40" s="59" t="str">
        <f>VLOOKUP(A40,'Custo_Fopag (2)'!$A:$BQ,6,0)</f>
        <v>OPERACIONAL</v>
      </c>
      <c r="I40" s="59" t="str">
        <f>VLOOKUP(A40,'Custo_Fopag (2)'!$A:$BQ,7,0)</f>
        <v>PATIO</v>
      </c>
      <c r="J40" s="59" t="str">
        <f>VLOOKUP(A40,'Custo_Fopag (2)'!$A:$BQ,8,0)</f>
        <v>SELETIVA DOURADOS</v>
      </c>
      <c r="K40" s="78">
        <f>VLOOKUP(A40,'Custo_Fopag (2)'!$A:$BQ,9,0)</f>
        <v>44964</v>
      </c>
      <c r="M40" s="63"/>
      <c r="N40" s="3" t="str">
        <f>VLOOKUP(A40,'Custo_Fopag (2)'!$A:$BQ,11,0)</f>
        <v>1.2.2.3 OPERACIONAL</v>
      </c>
      <c r="O40" s="3" t="str">
        <f>VLOOKUP(A40,'Custo_Fopag (2)'!$A:$BQ,12,0)</f>
        <v>OPERADOR MANTENEDOR JR</v>
      </c>
      <c r="P40" s="126">
        <f>VLOOKUP(A40,'Custo_Fopag (2)'!$A:$BQ,13,0)</f>
        <v>2610</v>
      </c>
      <c r="Q40" s="127">
        <f>VLOOKUP(A40,'Custo_Fopag (2)'!$A:$BQ,16,0)</f>
        <v>2610</v>
      </c>
      <c r="R40" s="56">
        <f>VLOOKUP(A40,'Custo_Fopag (2)'!$A:$BQ,17,0)</f>
        <v>0</v>
      </c>
      <c r="S40" s="54">
        <f>VLOOKUP(A40,'Custo_Fopag (2)'!$A:$BP,18,0)</f>
        <v>0</v>
      </c>
      <c r="T40" s="54">
        <f>VLOOKUP(A40,'Custo_Fopag (2)'!$A:$BQ,20,0)</f>
        <v>515.66999999999996</v>
      </c>
      <c r="U40" s="54">
        <f>VLOOKUP(A40,'Custo_Fopag (2)'!$A:$BQ,21,0)</f>
        <v>0</v>
      </c>
      <c r="V40" s="54">
        <f>VLOOKUP(A40,'Custo_Fopag (2)'!$A:$BQ,22,0)</f>
        <v>0</v>
      </c>
      <c r="W40" s="54">
        <f>VLOOKUP(A40,'Custo_Fopag (2)'!$A:$BQ,23,0)</f>
        <v>0</v>
      </c>
      <c r="X40" s="54">
        <f>VLOOKUP(A40,'Custo_Fopag (2)'!$A:$BQ,24,0)</f>
        <v>0</v>
      </c>
      <c r="Y40" s="55">
        <f>VLOOKUP(A40,'Custo_Fopag (2)'!$A:$BQ,25,0)</f>
        <v>0</v>
      </c>
      <c r="Z40" s="54">
        <f>VLOOKUP(A40,'Custo_Fopag (2)'!$A:$BQ,26,0)</f>
        <v>0</v>
      </c>
      <c r="AA40" s="54">
        <f>VLOOKUP(A40,'Custo_Fopag (2)'!$A:$BQ,27,0)</f>
        <v>1484.67</v>
      </c>
      <c r="AB40" s="54">
        <f>VLOOKUP(A40,'Custo_Fopag (2)'!$A:$BQ,28,0)</f>
        <v>285.51</v>
      </c>
      <c r="AC40" s="54">
        <f>VLOOKUP(A40,'Custo_Fopag (2)'!$A:$BQ,29,0)</f>
        <v>0</v>
      </c>
      <c r="AD40" s="54">
        <f>VLOOKUP(A40,'Custo_Fopag (2)'!$A:$BQ,30,0)</f>
        <v>0</v>
      </c>
      <c r="AE40" s="54">
        <f>VLOOKUP(A40,'Custo_Fopag (2)'!$A:$BQ,31,0)</f>
        <v>0</v>
      </c>
      <c r="AF40" s="54">
        <f>VLOOKUP(A40,'Custo_Fopag (2)'!$A:$BQ,32,0)</f>
        <v>0</v>
      </c>
      <c r="AG40" s="54">
        <f t="shared" si="12"/>
        <v>4895.8500000000004</v>
      </c>
      <c r="AH40" s="121">
        <f>VLOOKUP(A40,'Custo_Fopag (2)'!$A:$BQ,45,0)</f>
        <v>0</v>
      </c>
      <c r="AI40" s="54">
        <f>_xlfn.XLOOKUP(A40,Beneficios!A:A,Beneficios!B:B,0,0,1)</f>
        <v>512.87</v>
      </c>
      <c r="AJ40" s="54">
        <f>VLOOKUP(A40,'Custo_Fopag (2)'!$A:$BQ,47,0)</f>
        <v>0</v>
      </c>
      <c r="AK40" s="54">
        <v>0</v>
      </c>
      <c r="AL40" s="54">
        <f>VLOOKUP(A40,'Custo_Fopag (2)'!$A:$BQ,35,0)</f>
        <v>0</v>
      </c>
      <c r="AM40" s="54">
        <f>VLOOKUP(A40,'Custo_Fopag (2)'!$A:$BQ,36,0)</f>
        <v>0</v>
      </c>
      <c r="AN40" s="54">
        <f>VLOOKUP(A40,'Custo_Fopag (2)'!$A:$BQ,37,0)</f>
        <v>0</v>
      </c>
      <c r="AO40" s="54">
        <f>VLOOKUP(A40,'Custo_Fopag (2)'!$A:$BQ,39,0)</f>
        <v>0</v>
      </c>
      <c r="AP40" s="54">
        <f>VLOOKUP(A40,'Custo_Fopag (2)'!$A:$BQ,42,0)</f>
        <v>0</v>
      </c>
      <c r="AQ40" s="54">
        <f>VLOOKUP(A40,'Custo_Fopag (2)'!$A:$BQ,40,0)</f>
        <v>0</v>
      </c>
      <c r="AR40" s="54">
        <f>VLOOKUP(A40,'Custo_Fopag (2)'!$A:$BQ,41,0)</f>
        <v>196.71</v>
      </c>
      <c r="AS40" s="54">
        <f>VLOOKUP(A40,'Custo_Fopag (2)'!$A:$BQ,38,0)</f>
        <v>0</v>
      </c>
      <c r="AT40" s="54">
        <f>VLOOKUP(A40,'Custo_Fopag (2)'!$A:$BQ,43,0)</f>
        <v>0</v>
      </c>
      <c r="AU40" s="54">
        <f>VLOOKUP(A40,'Custo_Fopag (2)'!$A:$BQ,48,0)</f>
        <v>0</v>
      </c>
      <c r="AV40" s="54">
        <f>VLOOKUP(A40,'Custo_Fopag (2)'!$A:$BQ,49,0)</f>
        <v>0</v>
      </c>
      <c r="AW40" s="54">
        <f>VLOOKUP(A40,'Custo_Fopag (2)'!$A:$BQ,19,0)</f>
        <v>0</v>
      </c>
      <c r="AX40" s="54">
        <f>VLOOKUP(A40,'Custo_Fopag (2)'!$A:$BQ,50,0)</f>
        <v>0</v>
      </c>
      <c r="AY40" s="54">
        <f>VLOOKUP(A40,'Custo_Fopag (2)'!$A:$BQ,51,0)</f>
        <v>0</v>
      </c>
      <c r="AZ40" s="117">
        <v>0</v>
      </c>
      <c r="BA40" s="54">
        <f>VLOOKUP(A40,'Custo_Fopag (2)'!$A:$BQ,54,0)</f>
        <v>0</v>
      </c>
      <c r="BB40" s="54">
        <f>VLOOKUP(A40,'Custo_Fopag (2)'!$A:$BQ,52,0)</f>
        <v>0</v>
      </c>
      <c r="BC40" s="122">
        <f t="shared" si="13"/>
        <v>709.58</v>
      </c>
      <c r="BD40" s="54">
        <f t="shared" si="14"/>
        <v>5605.43</v>
      </c>
      <c r="BE40" s="57"/>
      <c r="BF40" s="54">
        <f t="shared" si="15"/>
        <v>5605.43</v>
      </c>
      <c r="BG40" s="54">
        <f t="shared" si="16"/>
        <v>407.98750000000001</v>
      </c>
      <c r="BH40" s="54">
        <f t="shared" si="17"/>
        <v>407.98750000000001</v>
      </c>
      <c r="BI40" s="64">
        <f t="shared" si="18"/>
        <v>135.99583333333334</v>
      </c>
      <c r="BJ40" s="64">
        <f t="shared" si="19"/>
        <v>951.9708333333333</v>
      </c>
      <c r="BK40" s="54">
        <f>VLOOKUP(A40,'Custo_Fopag (2)'!$A:$BQ,65,0)</f>
        <v>979.17</v>
      </c>
      <c r="BL40" s="54">
        <f>VLOOKUP(A40,'Custo_Fopag (2)'!$A:$BQP,66,0)</f>
        <v>146.87</v>
      </c>
      <c r="BM40" s="54">
        <f>VLOOKUP(A40,'Custo_Fopag (2)'!$A:$BQ,67,0)</f>
        <v>283.95</v>
      </c>
      <c r="BN40" s="54">
        <f>VLOOKUP(A40,'Custo_Fopag (2)'!$A:$BQ,64,0)</f>
        <v>389.13</v>
      </c>
      <c r="BO40" s="54">
        <f t="shared" si="20"/>
        <v>1799.12</v>
      </c>
      <c r="BP40" s="54">
        <f t="shared" si="21"/>
        <v>7404.55</v>
      </c>
      <c r="BQ40" s="54">
        <f t="shared" si="22"/>
        <v>8356.5208333333321</v>
      </c>
      <c r="BR40" s="109">
        <f>VLOOKUP(A40,'Custo_Fopag (2)'!$A:$BQ,60,0)</f>
        <v>0</v>
      </c>
      <c r="BS40" s="83" t="str">
        <f t="shared" si="23"/>
        <v>Ativo</v>
      </c>
    </row>
    <row r="41" spans="1:71" x14ac:dyDescent="0.25">
      <c r="A41" s="59" t="s">
        <v>106</v>
      </c>
      <c r="B41" s="88">
        <v>46082</v>
      </c>
      <c r="C41" s="59" t="s">
        <v>5</v>
      </c>
      <c r="D41" s="59" t="str">
        <f>VLOOKUP(A41,'Custo_Fopag (2)'!A:$BQ,4,0)</f>
        <v>G S MATRIZ - PRES PRUD</v>
      </c>
      <c r="E41" s="59"/>
      <c r="F41" s="59"/>
      <c r="G41" s="59" t="str">
        <f>VLOOKUP(A41,'Custo_Fopag (2)'!$A:$BQ,5,0)</f>
        <v>20.504.237/0001-17</v>
      </c>
      <c r="H41" s="59" t="str">
        <f>VLOOKUP(A41,'Custo_Fopag (2)'!$A:$BQ,6,0)</f>
        <v>LOGISTICA</v>
      </c>
      <c r="I41" s="59" t="str">
        <f>VLOOKUP(A41,'Custo_Fopag (2)'!$A:$BQ,7,0)</f>
        <v>TRANSPORTE</v>
      </c>
      <c r="J41" s="59" t="str">
        <f>VLOOKUP(A41,'Custo_Fopag (2)'!$A:$BQ,8,0)</f>
        <v>SELETIVA CORPORATIVO SUCATA</v>
      </c>
      <c r="K41" s="78">
        <f>VLOOKUP(A41,'Custo_Fopag (2)'!$A:$BQ,9,0)</f>
        <v>42217</v>
      </c>
      <c r="M41" s="59"/>
      <c r="N41" s="3" t="str">
        <f>VLOOKUP(A41,'Custo_Fopag (2)'!$A:$BQ,11,0)</f>
        <v>1.7.8.4 LOGISTICA</v>
      </c>
      <c r="O41" s="3" t="str">
        <f>VLOOKUP(A41,'Custo_Fopag (2)'!$A:$BQ,12,0)</f>
        <v>MOTORISTA CARRETEIRO MANTENEDOR SENIOR III</v>
      </c>
      <c r="P41" s="126">
        <f>VLOOKUP(A41,'Custo_Fopag (2)'!$A:$BQ,13,0)</f>
        <v>3287.33</v>
      </c>
      <c r="Q41" s="127">
        <f>VLOOKUP(A41,'Custo_Fopag (2)'!$A:$BQ,16,0)</f>
        <v>3287.33</v>
      </c>
      <c r="R41" s="56">
        <f>VLOOKUP(A41,'Custo_Fopag (2)'!$A:$BQ,17,0)</f>
        <v>0</v>
      </c>
      <c r="S41" s="54">
        <f>VLOOKUP(A41,'Custo_Fopag (2)'!$A:$BP,18,0)</f>
        <v>0</v>
      </c>
      <c r="T41" s="54">
        <f>VLOOKUP(A41,'Custo_Fopag (2)'!$A:$BQ,20,0)</f>
        <v>657.47</v>
      </c>
      <c r="U41" s="54">
        <f>VLOOKUP(A41,'Custo_Fopag (2)'!$A:$BQ,21,0)</f>
        <v>0</v>
      </c>
      <c r="V41" s="54">
        <f>VLOOKUP(A41,'Custo_Fopag (2)'!$A:$BQ,22,0)</f>
        <v>0</v>
      </c>
      <c r="W41" s="54">
        <f>VLOOKUP(A41,'Custo_Fopag (2)'!$A:$BQ,23,0)</f>
        <v>0</v>
      </c>
      <c r="X41" s="54">
        <f>VLOOKUP(A41,'Custo_Fopag (2)'!$A:$BQ,24,0)</f>
        <v>0</v>
      </c>
      <c r="Y41" s="55">
        <f>VLOOKUP(A41,'Custo_Fopag (2)'!$A:$BQ,25,0)</f>
        <v>164.37</v>
      </c>
      <c r="Z41" s="54">
        <f>VLOOKUP(A41,'Custo_Fopag (2)'!$A:$BQ,26,0)</f>
        <v>0</v>
      </c>
      <c r="AA41" s="54">
        <f>VLOOKUP(A41,'Custo_Fopag (2)'!$A:$BQ,27,0)</f>
        <v>812.5</v>
      </c>
      <c r="AB41" s="54">
        <f>VLOOKUP(A41,'Custo_Fopag (2)'!$A:$BQ,28,0)</f>
        <v>156.25</v>
      </c>
      <c r="AC41" s="54">
        <f>VLOOKUP(A41,'Custo_Fopag (2)'!$A:$BQ,29,0)</f>
        <v>0</v>
      </c>
      <c r="AD41" s="54">
        <f>VLOOKUP(A41,'Custo_Fopag (2)'!$A:$BQ,30,0)</f>
        <v>0</v>
      </c>
      <c r="AE41" s="54">
        <f>VLOOKUP(A41,'Custo_Fopag (2)'!$A:$BQ,31,0)</f>
        <v>0</v>
      </c>
      <c r="AF41" s="54">
        <f>VLOOKUP(A41,'Custo_Fopag (2)'!$A:$BQ,32,0)</f>
        <v>0</v>
      </c>
      <c r="AG41" s="54">
        <f t="shared" si="12"/>
        <v>5077.92</v>
      </c>
      <c r="AH41" s="121">
        <f>VLOOKUP(A41,'Custo_Fopag (2)'!$A:$BQ,45,0)</f>
        <v>0</v>
      </c>
      <c r="AI41" s="54">
        <f>_xlfn.XLOOKUP(A41,Beneficios!A:A,Beneficios!B:B,0,0,1)</f>
        <v>512.87</v>
      </c>
      <c r="AJ41" s="54">
        <f>VLOOKUP(A41,'Custo_Fopag (2)'!$A:$BQ,47,0)</f>
        <v>0</v>
      </c>
      <c r="AK41" s="54">
        <v>0</v>
      </c>
      <c r="AL41" s="54">
        <f>VLOOKUP(A41,'Custo_Fopag (2)'!$A:$BQ,35,0)</f>
        <v>0</v>
      </c>
      <c r="AM41" s="54">
        <f>VLOOKUP(A41,'Custo_Fopag (2)'!$A:$BQ,36,0)</f>
        <v>0</v>
      </c>
      <c r="AN41" s="54">
        <f>VLOOKUP(A41,'Custo_Fopag (2)'!$A:$BQ,37,0)</f>
        <v>0</v>
      </c>
      <c r="AO41" s="54">
        <f>VLOOKUP(A41,'Custo_Fopag (2)'!$A:$BQ,39,0)</f>
        <v>0</v>
      </c>
      <c r="AP41" s="54">
        <f>VLOOKUP(A41,'Custo_Fopag (2)'!$A:$BQ,42,0)</f>
        <v>0</v>
      </c>
      <c r="AQ41" s="54">
        <f>VLOOKUP(A41,'Custo_Fopag (2)'!$A:$BQ,40,0)</f>
        <v>0</v>
      </c>
      <c r="AR41" s="54">
        <f>VLOOKUP(A41,'Custo_Fopag (2)'!$A:$BQ,41,0)</f>
        <v>579.34</v>
      </c>
      <c r="AS41" s="54">
        <f>VLOOKUP(A41,'Custo_Fopag (2)'!$A:$BQ,38,0)</f>
        <v>0</v>
      </c>
      <c r="AT41" s="54">
        <f>VLOOKUP(A41,'Custo_Fopag (2)'!$A:$BQ,43,0)</f>
        <v>0</v>
      </c>
      <c r="AU41" s="54">
        <f>VLOOKUP(A41,'Custo_Fopag (2)'!$A:$BQ,48,0)</f>
        <v>2205</v>
      </c>
      <c r="AV41" s="54">
        <f>VLOOKUP(A41,'Custo_Fopag (2)'!$A:$BQ,49,0)</f>
        <v>0</v>
      </c>
      <c r="AW41" s="54">
        <f>VLOOKUP(A41,'Custo_Fopag (2)'!$A:$BQ,19,0)</f>
        <v>0</v>
      </c>
      <c r="AX41" s="54">
        <f>VLOOKUP(A41,'Custo_Fopag (2)'!$A:$BQ,50,0)</f>
        <v>0</v>
      </c>
      <c r="AY41" s="54">
        <f>VLOOKUP(A41,'Custo_Fopag (2)'!$A:$BQ,51,0)</f>
        <v>0</v>
      </c>
      <c r="AZ41" s="117">
        <v>0</v>
      </c>
      <c r="BA41" s="54">
        <f>VLOOKUP(A41,'Custo_Fopag (2)'!$A:$BQ,54,0)</f>
        <v>0</v>
      </c>
      <c r="BB41" s="54">
        <f>VLOOKUP(A41,'Custo_Fopag (2)'!$A:$BQ,52,0)</f>
        <v>0</v>
      </c>
      <c r="BC41" s="122">
        <f t="shared" si="13"/>
        <v>3297.21</v>
      </c>
      <c r="BD41" s="54">
        <f t="shared" si="14"/>
        <v>8375.130000000001</v>
      </c>
      <c r="BE41" s="57"/>
      <c r="BF41" s="54">
        <f t="shared" si="15"/>
        <v>8375.130000000001</v>
      </c>
      <c r="BG41" s="54">
        <f t="shared" si="16"/>
        <v>423.16</v>
      </c>
      <c r="BH41" s="54">
        <f t="shared" si="17"/>
        <v>423.16</v>
      </c>
      <c r="BI41" s="54">
        <f t="shared" si="18"/>
        <v>141.05333333333334</v>
      </c>
      <c r="BJ41" s="54">
        <f t="shared" si="19"/>
        <v>987.37333333333345</v>
      </c>
      <c r="BK41" s="54">
        <f>VLOOKUP(A41,'Custo_Fopag (2)'!$A:$BQ,65,0)</f>
        <v>1015.58</v>
      </c>
      <c r="BL41" s="54">
        <f>VLOOKUP(A41,'Custo_Fopag (2)'!$A:$BQP,66,0)</f>
        <v>76.16</v>
      </c>
      <c r="BM41" s="54">
        <f>VLOOKUP(A41,'Custo_Fopag (2)'!$A:$BQ,67,0)</f>
        <v>294.51</v>
      </c>
      <c r="BN41" s="54">
        <f>VLOOKUP(A41,'Custo_Fopag (2)'!$A:$BQ,64,0)</f>
        <v>406.23</v>
      </c>
      <c r="BO41" s="54">
        <f t="shared" si="20"/>
        <v>1792.48</v>
      </c>
      <c r="BP41" s="54">
        <f t="shared" si="21"/>
        <v>10167.61</v>
      </c>
      <c r="BQ41" s="54">
        <f t="shared" si="22"/>
        <v>11154.983333333334</v>
      </c>
      <c r="BR41" s="109">
        <f>VLOOKUP(A41,'Custo_Fopag (2)'!$A:$BQ,60,0)</f>
        <v>0</v>
      </c>
      <c r="BS41" s="83" t="str">
        <f t="shared" si="23"/>
        <v>Ativo</v>
      </c>
    </row>
    <row r="42" spans="1:71" s="84" customFormat="1" x14ac:dyDescent="0.25">
      <c r="A42" s="84" t="s">
        <v>420</v>
      </c>
      <c r="B42" s="135">
        <v>46082</v>
      </c>
      <c r="C42" s="84" t="s">
        <v>7</v>
      </c>
      <c r="D42" s="84" t="s">
        <v>149</v>
      </c>
      <c r="G42" s="84" t="s">
        <v>150</v>
      </c>
      <c r="H42" s="84" t="s">
        <v>87</v>
      </c>
      <c r="I42" s="84" t="s">
        <v>421</v>
      </c>
      <c r="J42" s="59" t="str">
        <f>VLOOKUP(A42,'[2]Custo_Fopag (2)'!$A:$BQ,8,0)</f>
        <v>SELETIVA CORPORATIVO SUCATA</v>
      </c>
      <c r="K42" s="78">
        <f>VLOOKUP(A42,'[2]Custo_Fopag (2)'!$A:$BQ,9,0)</f>
        <v>41883</v>
      </c>
      <c r="L42" s="52"/>
      <c r="N42" s="3" t="str">
        <f>VLOOKUP(A42,'[2]Custo_Fopag (2)'!$A:$BQ,11,0)</f>
        <v>1.2.1.1 APOIO</v>
      </c>
      <c r="O42" s="3" t="str">
        <f>VLOOKUP(A42,'[2]Custo_Fopag (2)'!$A:$BQ,12,0)</f>
        <v>MOTORISTA CARRETEIRO MANTENEDOR SENIOR III</v>
      </c>
      <c r="P42" s="126">
        <v>3287.3</v>
      </c>
      <c r="Q42" s="126">
        <f>P42</f>
        <v>3287.3</v>
      </c>
      <c r="R42" s="136">
        <v>0</v>
      </c>
      <c r="S42" s="57">
        <v>0</v>
      </c>
      <c r="T42" s="57">
        <v>657.46</v>
      </c>
      <c r="U42" s="57">
        <v>0</v>
      </c>
      <c r="V42" s="57">
        <v>0</v>
      </c>
      <c r="W42" s="57">
        <v>0</v>
      </c>
      <c r="X42" s="57">
        <v>0</v>
      </c>
      <c r="Y42" s="57">
        <v>0</v>
      </c>
      <c r="Z42" s="57">
        <v>0</v>
      </c>
      <c r="AA42" s="57">
        <v>0</v>
      </c>
      <c r="AB42" s="57">
        <v>0</v>
      </c>
      <c r="AC42" s="57">
        <v>0</v>
      </c>
      <c r="AD42" s="57">
        <v>0</v>
      </c>
      <c r="AE42" s="57">
        <v>0</v>
      </c>
      <c r="AF42" s="57">
        <v>0</v>
      </c>
      <c r="AG42" s="57">
        <f t="shared" si="12"/>
        <v>3944.76</v>
      </c>
      <c r="AH42" s="137">
        <v>0</v>
      </c>
      <c r="AI42" s="54">
        <f>_xlfn.XLOOKUP(A42,Beneficios!A:A,Beneficios!B:B,0,0,1)</f>
        <v>512.87</v>
      </c>
      <c r="AJ42" s="57">
        <v>500</v>
      </c>
      <c r="AK42" s="57">
        <v>0</v>
      </c>
      <c r="AL42" s="57">
        <v>1817.2</v>
      </c>
      <c r="AM42" s="57">
        <v>0</v>
      </c>
      <c r="AN42" s="57">
        <v>0</v>
      </c>
      <c r="AO42" s="57">
        <v>0</v>
      </c>
      <c r="AP42" s="57">
        <v>0</v>
      </c>
      <c r="AQ42" s="57">
        <v>0</v>
      </c>
      <c r="AR42" s="57">
        <v>0</v>
      </c>
      <c r="AS42" s="57">
        <v>0</v>
      </c>
      <c r="AT42" s="57">
        <v>0</v>
      </c>
      <c r="AU42" s="57">
        <v>2205</v>
      </c>
      <c r="AV42" s="57">
        <v>900</v>
      </c>
      <c r="AW42" s="57">
        <v>0</v>
      </c>
      <c r="AX42" s="57">
        <v>0</v>
      </c>
      <c r="AY42" s="57">
        <v>0</v>
      </c>
      <c r="AZ42" s="138">
        <v>0</v>
      </c>
      <c r="BA42" s="57">
        <v>0</v>
      </c>
      <c r="BB42" s="57">
        <v>0</v>
      </c>
      <c r="BC42" s="137">
        <f t="shared" si="13"/>
        <v>5935.07</v>
      </c>
      <c r="BD42" s="57">
        <f t="shared" si="14"/>
        <v>9879.83</v>
      </c>
      <c r="BE42" s="57"/>
      <c r="BF42" s="57">
        <f t="shared" si="15"/>
        <v>9879.83</v>
      </c>
      <c r="BG42" s="57">
        <v>0</v>
      </c>
      <c r="BH42" s="57">
        <v>0</v>
      </c>
      <c r="BI42" s="57">
        <v>0</v>
      </c>
      <c r="BJ42" s="57">
        <v>0</v>
      </c>
      <c r="BK42" s="57">
        <v>0</v>
      </c>
      <c r="BL42" s="57">
        <v>0</v>
      </c>
      <c r="BM42" s="57">
        <v>0</v>
      </c>
      <c r="BN42" s="57">
        <v>0</v>
      </c>
      <c r="BO42" s="57">
        <f>SUM(BG42:BN42)</f>
        <v>0</v>
      </c>
      <c r="BP42" s="57">
        <f t="shared" si="21"/>
        <v>9879.83</v>
      </c>
      <c r="BQ42" s="57">
        <f t="shared" si="22"/>
        <v>9879.83</v>
      </c>
      <c r="BR42" s="139">
        <v>0</v>
      </c>
      <c r="BS42" s="140" t="str">
        <f t="shared" si="23"/>
        <v>Ativo</v>
      </c>
    </row>
    <row r="43" spans="1:71" x14ac:dyDescent="0.25">
      <c r="A43" s="3" t="s">
        <v>345</v>
      </c>
      <c r="B43" s="88">
        <v>46082</v>
      </c>
      <c r="C43" s="59" t="s">
        <v>5</v>
      </c>
      <c r="D43" s="59" t="str">
        <f>VLOOKUP(A43,'Custo_Fopag (2)'!A:$BQ,4,0)</f>
        <v>G3S FL 05 - PRES PRUD</v>
      </c>
      <c r="E43" s="59"/>
      <c r="F43" s="59"/>
      <c r="G43" s="59" t="str">
        <f>VLOOKUP(A43,'Custo_Fopag (2)'!$A:$BQ,5,0)</f>
        <v>20.947.332/0005-19</v>
      </c>
      <c r="H43" s="59" t="str">
        <f>VLOOKUP(A43,'Custo_Fopag (2)'!$A:$BQ,6,0)</f>
        <v>COMERCIAL</v>
      </c>
      <c r="I43" s="59" t="str">
        <f>VLOOKUP(A43,'Custo_Fopag (2)'!$A:$BQ,7,0)</f>
        <v>VENDAS</v>
      </c>
      <c r="J43" s="59" t="str">
        <f>VLOOKUP(A43,'Custo_Fopag (2)'!$A:$BQ,8,0)</f>
        <v>BRACOFER</v>
      </c>
      <c r="K43" s="78">
        <f>VLOOKUP(A43,'Custo_Fopag (2)'!$A:$BQ,9,0)</f>
        <v>46048</v>
      </c>
      <c r="L43" s="52">
        <f>VLOOKUP(A43,'Custo_Fopag (2)'!$A:$BQ,10,0)</f>
        <v>46092</v>
      </c>
      <c r="N43" s="3" t="str">
        <f>VLOOKUP(A43,'Custo_Fopag (2)'!$A:$BQ,11,0)</f>
        <v>1.3.1.2 COMERCIAL</v>
      </c>
      <c r="O43" s="3" t="str">
        <f>VLOOKUP(A43,'Custo_Fopag (2)'!$A:$BQ,12,0)</f>
        <v>VENDEDOR INTERNO SENIOR</v>
      </c>
      <c r="P43" s="126">
        <f>VLOOKUP(A43,'Custo_Fopag (2)'!$A:$BQ,13,0)</f>
        <v>3000</v>
      </c>
      <c r="Q43" s="127">
        <f>VLOOKUP(A43,'Custo_Fopag (2)'!$A:$BQ,16,0)</f>
        <v>0</v>
      </c>
      <c r="R43" s="56">
        <f>VLOOKUP(A43,'Custo_Fopag (2)'!$A:$BQ,17,0)</f>
        <v>0</v>
      </c>
      <c r="S43" s="54">
        <f>VLOOKUP(A43,'Custo_Fopag (2)'!$A:$BP,18,0)</f>
        <v>0</v>
      </c>
      <c r="T43" s="54">
        <f>VLOOKUP(A43,'Custo_Fopag (2)'!$A:$BQ,20,0)</f>
        <v>0</v>
      </c>
      <c r="U43" s="54">
        <f>VLOOKUP(A43,'Custo_Fopag (2)'!$A:$BQ,21,0)</f>
        <v>0</v>
      </c>
      <c r="V43" s="54">
        <f>VLOOKUP(A43,'Custo_Fopag (2)'!$A:$BQ,22,0)</f>
        <v>0</v>
      </c>
      <c r="W43" s="54">
        <f>VLOOKUP(A43,'Custo_Fopag (2)'!$A:$BQ,23,0)</f>
        <v>0</v>
      </c>
      <c r="X43" s="54">
        <f>VLOOKUP(A43,'Custo_Fopag (2)'!$A:$BQ,24,0)</f>
        <v>0</v>
      </c>
      <c r="Y43" s="55">
        <f>VLOOKUP(A43,'Custo_Fopag (2)'!$A:$BQ,25,0)</f>
        <v>0</v>
      </c>
      <c r="Z43" s="54">
        <f>VLOOKUP(A43,'Custo_Fopag (2)'!$A:$BQ,26,0)</f>
        <v>0</v>
      </c>
      <c r="AA43" s="54">
        <f>VLOOKUP(A43,'Custo_Fopag (2)'!$A:$BQ,27,0)</f>
        <v>0</v>
      </c>
      <c r="AB43" s="54">
        <f>VLOOKUP(A43,'Custo_Fopag (2)'!$A:$BQ,28,0)</f>
        <v>0</v>
      </c>
      <c r="AC43" s="54">
        <f>VLOOKUP(A43,'Custo_Fopag (2)'!$A:$BQ,29,0)</f>
        <v>0</v>
      </c>
      <c r="AD43" s="54">
        <f>VLOOKUP(A43,'Custo_Fopag (2)'!$A:$BQ,30,0)</f>
        <v>0</v>
      </c>
      <c r="AE43" s="54">
        <f>VLOOKUP(A43,'Custo_Fopag (2)'!$A:$BQ,31,0)</f>
        <v>0</v>
      </c>
      <c r="AF43" s="54">
        <f>VLOOKUP(A43,'Custo_Fopag (2)'!$A:$BQ,32,0)</f>
        <v>0</v>
      </c>
      <c r="AG43" s="54">
        <f t="shared" si="12"/>
        <v>0</v>
      </c>
      <c r="AH43" s="121">
        <f>VLOOKUP(A43,'Custo_Fopag (2)'!$A:$BQ,45,0)</f>
        <v>0</v>
      </c>
      <c r="AI43" s="54">
        <f>_xlfn.XLOOKUP(A43,'Custo_Fopag (2)'!A:A,'Custo_Fopag (2)'!AT:AT,0,0,1)</f>
        <v>183.33</v>
      </c>
      <c r="AJ43" s="54">
        <f>VLOOKUP(A43,'Custo_Fopag (2)'!$A:$BQ,47,0)</f>
        <v>0</v>
      </c>
      <c r="AK43" s="54">
        <v>0</v>
      </c>
      <c r="AL43" s="54">
        <f>VLOOKUP(A43,'Custo_Fopag (2)'!$A:$BQ,35,0)</f>
        <v>0</v>
      </c>
      <c r="AM43" s="54">
        <f>VLOOKUP(A43,'Custo_Fopag (2)'!$A:$BQ,36,0)</f>
        <v>0</v>
      </c>
      <c r="AN43" s="54">
        <f>VLOOKUP(A43,'Custo_Fopag (2)'!$A:$BQ,37,0)</f>
        <v>0</v>
      </c>
      <c r="AO43" s="54">
        <f>VLOOKUP(A43,'Custo_Fopag (2)'!$A:$BQ,39,0)</f>
        <v>0</v>
      </c>
      <c r="AP43" s="54">
        <f>VLOOKUP(A43,'Custo_Fopag (2)'!$A:$BQ,42,0)</f>
        <v>0</v>
      </c>
      <c r="AQ43" s="54">
        <f>VLOOKUP(A43,'Custo_Fopag (2)'!$A:$BQ,40,0)</f>
        <v>0</v>
      </c>
      <c r="AR43" s="54">
        <f>VLOOKUP(A43,'Custo_Fopag (2)'!$A:$BQ,41,0)</f>
        <v>0</v>
      </c>
      <c r="AS43" s="54">
        <f>VLOOKUP(A43,'Custo_Fopag (2)'!$A:$BQ,38,0)</f>
        <v>0</v>
      </c>
      <c r="AT43" s="54">
        <f>VLOOKUP(A43,'Custo_Fopag (2)'!$A:$BQ,43,0)</f>
        <v>0</v>
      </c>
      <c r="AU43" s="54">
        <f>VLOOKUP(A43,'Custo_Fopag (2)'!$A:$BQ,48,0)</f>
        <v>0</v>
      </c>
      <c r="AV43" s="54">
        <f>VLOOKUP(A43,'Custo_Fopag (2)'!$A:$BQ,49,0)</f>
        <v>0</v>
      </c>
      <c r="AW43" s="54">
        <f>VLOOKUP(A43,'Custo_Fopag (2)'!$A:$BQ,19,0)</f>
        <v>0</v>
      </c>
      <c r="AX43" s="54">
        <f>VLOOKUP(A43,'Custo_Fopag (2)'!$A:$BQ,50,0)</f>
        <v>0</v>
      </c>
      <c r="AY43" s="54">
        <f>VLOOKUP(A43,'Custo_Fopag (2)'!$A:$BQ,51,0)</f>
        <v>0</v>
      </c>
      <c r="AZ43" s="117">
        <v>0</v>
      </c>
      <c r="BA43" s="54">
        <f>VLOOKUP(A43,'Custo_Fopag (2)'!$A:$BQ,54,0)</f>
        <v>0</v>
      </c>
      <c r="BB43" s="54">
        <f>VLOOKUP(A43,'Custo_Fopag (2)'!$A:$BQ,52,0)</f>
        <v>0</v>
      </c>
      <c r="BC43" s="122">
        <f t="shared" si="13"/>
        <v>183.33</v>
      </c>
      <c r="BD43" s="54">
        <f t="shared" si="14"/>
        <v>183.33</v>
      </c>
      <c r="BE43" s="57"/>
      <c r="BF43" s="54">
        <f t="shared" si="15"/>
        <v>183.33</v>
      </c>
      <c r="BG43" s="54">
        <f t="shared" si="16"/>
        <v>0</v>
      </c>
      <c r="BH43" s="54">
        <f t="shared" si="17"/>
        <v>0</v>
      </c>
      <c r="BI43" s="54">
        <f t="shared" si="18"/>
        <v>0</v>
      </c>
      <c r="BJ43" s="54">
        <f t="shared" si="19"/>
        <v>0</v>
      </c>
      <c r="BK43" s="54">
        <f>VLOOKUP(A43,'Custo_Fopag (2)'!$A:$BQ,65,0)</f>
        <v>0</v>
      </c>
      <c r="BL43" s="54">
        <f>VLOOKUP(A43,'Custo_Fopag (2)'!$A:$BQP,66,0)</f>
        <v>0</v>
      </c>
      <c r="BM43" s="54">
        <f>VLOOKUP(A43,'Custo_Fopag (2)'!$A:$BQ,67,0)</f>
        <v>0</v>
      </c>
      <c r="BN43" s="54">
        <f>VLOOKUP(A43,'Custo_Fopag (2)'!$A:$BQ,64,0)</f>
        <v>88</v>
      </c>
      <c r="BO43" s="54">
        <f t="shared" si="20"/>
        <v>88</v>
      </c>
      <c r="BP43" s="54">
        <f t="shared" si="21"/>
        <v>271.33000000000004</v>
      </c>
      <c r="BQ43" s="54">
        <f t="shared" si="22"/>
        <v>271.33000000000004</v>
      </c>
      <c r="BR43" s="109">
        <f>VLOOKUP(A43,'Custo_Fopag (2)'!$A:$BQ,60,0)</f>
        <v>1726.41</v>
      </c>
      <c r="BS43" s="83" t="str">
        <f t="shared" si="23"/>
        <v>Desligado</v>
      </c>
    </row>
    <row r="44" spans="1:71" s="59" customFormat="1" x14ac:dyDescent="0.25">
      <c r="A44" s="59" t="s">
        <v>77</v>
      </c>
      <c r="B44" s="88">
        <v>46082</v>
      </c>
      <c r="C44" s="59" t="s">
        <v>5</v>
      </c>
      <c r="D44" s="59" t="str">
        <f>VLOOKUP(A44,'Custo_Fopag (2)'!A:$BQ,4,0)</f>
        <v>G3S  FL 08 - LONDRINA</v>
      </c>
      <c r="G44" s="59" t="str">
        <f>VLOOKUP(A44,'Custo_Fopag (2)'!$A:$BQ,5,0)</f>
        <v>20.947.332/0008-61</v>
      </c>
      <c r="H44" s="59" t="str">
        <f>VLOOKUP(A44,'Custo_Fopag (2)'!$A:$BQ,6,0)</f>
        <v>ADMINISTRATIVO</v>
      </c>
      <c r="I44" s="59" t="str">
        <f>VLOOKUP(A44,'Custo_Fopag (2)'!$A:$BQ,7,0)</f>
        <v>ATENDIMENTO</v>
      </c>
      <c r="J44" s="59" t="str">
        <f>VLOOKUP(A44,'Custo_Fopag (2)'!$A:$BQ,8,0)</f>
        <v>SELETIVA LONDRINA</v>
      </c>
      <c r="K44" s="78">
        <f>VLOOKUP(A44,'Custo_Fopag (2)'!$A:$BQ,9,0)</f>
        <v>43903</v>
      </c>
      <c r="L44" s="52"/>
      <c r="M44" s="3"/>
      <c r="N44" s="3" t="str">
        <f>VLOOKUP(A44,'Custo_Fopag (2)'!$A:$BQ,11,0)</f>
        <v>1.2.3.1 ADMINISTRATIVO</v>
      </c>
      <c r="O44" s="3" t="str">
        <f>VLOOKUP(A44,'Custo_Fopag (2)'!$A:$BQ,12,0)</f>
        <v>AUX ADMINISTRATIVO SENIOR</v>
      </c>
      <c r="P44" s="126">
        <f>VLOOKUP(A44,'Custo_Fopag (2)'!$A:$BQ,13,0)</f>
        <v>2950</v>
      </c>
      <c r="Q44" s="127">
        <f>VLOOKUP(A44,'Custo_Fopag (2)'!$A:$BQ,16,0)</f>
        <v>2950</v>
      </c>
      <c r="R44" s="56">
        <f>VLOOKUP(A44,'Custo_Fopag (2)'!$A:$BQ,17,0)</f>
        <v>0</v>
      </c>
      <c r="S44" s="54">
        <f>VLOOKUP(A44,'Custo_Fopag (2)'!$A:$BP,18,0)</f>
        <v>0</v>
      </c>
      <c r="T44" s="54">
        <f>VLOOKUP(A44,'Custo_Fopag (2)'!$A:$BQ,20,0)</f>
        <v>0</v>
      </c>
      <c r="U44" s="54">
        <f>VLOOKUP(A44,'Custo_Fopag (2)'!$A:$BQ,21,0)</f>
        <v>0</v>
      </c>
      <c r="V44" s="54">
        <f>VLOOKUP(A44,'Custo_Fopag (2)'!$A:$BQ,22,0)</f>
        <v>0</v>
      </c>
      <c r="W44" s="54">
        <f>VLOOKUP(A44,'Custo_Fopag (2)'!$A:$BQ,23,0)</f>
        <v>0</v>
      </c>
      <c r="X44" s="54">
        <f>VLOOKUP(A44,'Custo_Fopag (2)'!$A:$BQ,24,0)</f>
        <v>0</v>
      </c>
      <c r="Y44" s="55">
        <f>VLOOKUP(A44,'Custo_Fopag (2)'!$A:$BQ,25,0)</f>
        <v>0</v>
      </c>
      <c r="Z44" s="54">
        <f>VLOOKUP(A44,'Custo_Fopag (2)'!$A:$BQ,26,0)</f>
        <v>0</v>
      </c>
      <c r="AA44" s="54">
        <f>VLOOKUP(A44,'Custo_Fopag (2)'!$A:$BQ,27,0)</f>
        <v>311.13</v>
      </c>
      <c r="AB44" s="54">
        <f>VLOOKUP(A44,'Custo_Fopag (2)'!$A:$BQ,28,0)</f>
        <v>59.83</v>
      </c>
      <c r="AC44" s="54">
        <f>VLOOKUP(A44,'Custo_Fopag (2)'!$A:$BQ,29,0)</f>
        <v>0</v>
      </c>
      <c r="AD44" s="54">
        <f>VLOOKUP(A44,'Custo_Fopag (2)'!$A:$BQ,30,0)</f>
        <v>0</v>
      </c>
      <c r="AE44" s="54">
        <f>VLOOKUP(A44,'Custo_Fopag (2)'!$A:$BQ,31,0)</f>
        <v>0</v>
      </c>
      <c r="AF44" s="54">
        <f>VLOOKUP(A44,'Custo_Fopag (2)'!$A:$BQ,32,0)</f>
        <v>295</v>
      </c>
      <c r="AG44" s="54">
        <f t="shared" si="12"/>
        <v>3615.96</v>
      </c>
      <c r="AH44" s="121">
        <f>VLOOKUP(A44,'Custo_Fopag (2)'!$A:$BQ,45,0)</f>
        <v>0</v>
      </c>
      <c r="AI44" s="54">
        <f>_xlfn.XLOOKUP(A44,Beneficios!A:A,Beneficios!B:B,0,0,1)</f>
        <v>521.87</v>
      </c>
      <c r="AJ44" s="54">
        <f>VLOOKUP(A44,'Custo_Fopag (2)'!$A:$BQ,47,0)</f>
        <v>0</v>
      </c>
      <c r="AK44" s="54">
        <v>0</v>
      </c>
      <c r="AL44" s="54">
        <f>VLOOKUP(A44,'Custo_Fopag (2)'!$A:$BQ,35,0)</f>
        <v>0</v>
      </c>
      <c r="AM44" s="54">
        <f>VLOOKUP(A44,'Custo_Fopag (2)'!$A:$BQ,36,0)</f>
        <v>0</v>
      </c>
      <c r="AN44" s="54">
        <f>VLOOKUP(A44,'Custo_Fopag (2)'!$A:$BQ,37,0)</f>
        <v>0</v>
      </c>
      <c r="AO44" s="54">
        <f>VLOOKUP(A44,'Custo_Fopag (2)'!$A:$BQ,39,0)</f>
        <v>0</v>
      </c>
      <c r="AP44" s="54">
        <f>VLOOKUP(A44,'Custo_Fopag (2)'!$A:$BQ,42,0)</f>
        <v>0</v>
      </c>
      <c r="AQ44" s="54">
        <f>VLOOKUP(A44,'Custo_Fopag (2)'!$A:$BQ,40,0)</f>
        <v>0</v>
      </c>
      <c r="AR44" s="54">
        <f>VLOOKUP(A44,'Custo_Fopag (2)'!$A:$BQ,41,0)</f>
        <v>529.48</v>
      </c>
      <c r="AS44" s="54">
        <f>VLOOKUP(A44,'Custo_Fopag (2)'!$A:$BQ,38,0)</f>
        <v>0</v>
      </c>
      <c r="AT44" s="54">
        <f>VLOOKUP(A44,'Custo_Fopag (2)'!$A:$BQ,43,0)</f>
        <v>0</v>
      </c>
      <c r="AU44" s="54">
        <f>VLOOKUP(A44,'Custo_Fopag (2)'!$A:$BQ,48,0)</f>
        <v>0</v>
      </c>
      <c r="AV44" s="54">
        <f>VLOOKUP(A44,'Custo_Fopag (2)'!$A:$BQ,49,0)</f>
        <v>0</v>
      </c>
      <c r="AW44" s="54">
        <f>VLOOKUP(A44,'Custo_Fopag (2)'!$A:$BQ,19,0)</f>
        <v>0</v>
      </c>
      <c r="AX44" s="54">
        <f>VLOOKUP(A44,'Custo_Fopag (2)'!$A:$BQ,50,0)</f>
        <v>0</v>
      </c>
      <c r="AY44" s="54">
        <f>VLOOKUP(A44,'Custo_Fopag (2)'!$A:$BQ,51,0)</f>
        <v>0</v>
      </c>
      <c r="AZ44" s="117">
        <v>0</v>
      </c>
      <c r="BA44" s="54">
        <f>VLOOKUP(A44,'Custo_Fopag (2)'!$A:$BQ,54,0)</f>
        <v>0</v>
      </c>
      <c r="BB44" s="54">
        <f>VLOOKUP(A44,'Custo_Fopag (2)'!$A:$BQ,52,0)</f>
        <v>0</v>
      </c>
      <c r="BC44" s="122">
        <f t="shared" si="13"/>
        <v>1051.3499999999999</v>
      </c>
      <c r="BD44" s="54">
        <f t="shared" si="14"/>
        <v>4667.3099999999995</v>
      </c>
      <c r="BE44" s="57"/>
      <c r="BF44" s="54">
        <f t="shared" si="15"/>
        <v>4667.3099999999995</v>
      </c>
      <c r="BG44" s="54">
        <f t="shared" si="16"/>
        <v>301.33</v>
      </c>
      <c r="BH44" s="54">
        <f t="shared" si="17"/>
        <v>301.33</v>
      </c>
      <c r="BI44" s="54">
        <f t="shared" si="18"/>
        <v>100.44333333333333</v>
      </c>
      <c r="BJ44" s="54">
        <f t="shared" si="19"/>
        <v>703.10333333333324</v>
      </c>
      <c r="BK44" s="54">
        <f>VLOOKUP(A44,'Custo_Fopag (2)'!$A:$BQ,65,0)</f>
        <v>723.19</v>
      </c>
      <c r="BL44" s="54">
        <f>VLOOKUP(A44,'Custo_Fopag (2)'!$A:$BQP,66,0)</f>
        <v>206.32</v>
      </c>
      <c r="BM44" s="54">
        <f>VLOOKUP(A44,'Custo_Fopag (2)'!$A:$BQ,67,0)</f>
        <v>209.72</v>
      </c>
      <c r="BN44" s="54">
        <f>VLOOKUP(A44,'Custo_Fopag (2)'!$A:$BQ,64,0)</f>
        <v>289.27</v>
      </c>
      <c r="BO44" s="54">
        <f t="shared" si="20"/>
        <v>1428.5</v>
      </c>
      <c r="BP44" s="54">
        <f t="shared" si="21"/>
        <v>6095.8099999999995</v>
      </c>
      <c r="BQ44" s="54">
        <f t="shared" si="22"/>
        <v>6798.913333333333</v>
      </c>
      <c r="BR44" s="109">
        <f>VLOOKUP(A44,'Custo_Fopag (2)'!$A:$BQ,60,0)</f>
        <v>0</v>
      </c>
      <c r="BS44" s="83" t="str">
        <f t="shared" si="23"/>
        <v>Ativo</v>
      </c>
    </row>
    <row r="45" spans="1:71" x14ac:dyDescent="0.25">
      <c r="A45" s="59" t="s">
        <v>284</v>
      </c>
      <c r="B45" s="88">
        <v>46082</v>
      </c>
      <c r="C45" s="59" t="s">
        <v>5</v>
      </c>
      <c r="D45" s="59" t="str">
        <f>VLOOKUP(A45,'Custo_Fopag (2)'!A:$BQ,4,0)</f>
        <v>G3S  FL 03 - DOURADOS</v>
      </c>
      <c r="E45" s="59"/>
      <c r="F45" s="59"/>
      <c r="G45" s="59" t="str">
        <f>VLOOKUP(A45,'Custo_Fopag (2)'!$A:$BQ,5,0)</f>
        <v>20.947.332/0003-57</v>
      </c>
      <c r="H45" s="59" t="str">
        <f>VLOOKUP(A45,'Custo_Fopag (2)'!$A:$BQ,6,0)</f>
        <v>ADMINISTRATIVO</v>
      </c>
      <c r="I45" s="59" t="str">
        <f>VLOOKUP(A45,'Custo_Fopag (2)'!$A:$BQ,7,0)</f>
        <v>ATENDIMENTO</v>
      </c>
      <c r="J45" s="59" t="str">
        <f>VLOOKUP(A45,'Custo_Fopag (2)'!$A:$BQ,8,0)</f>
        <v>SELETIVA DOURADOS</v>
      </c>
      <c r="K45" s="78">
        <f>VLOOKUP(A45,'Custo_Fopag (2)'!$A:$BQ,9,0)</f>
        <v>44769</v>
      </c>
      <c r="N45" s="3" t="str">
        <f>VLOOKUP(A45,'Custo_Fopag (2)'!$A:$BQ,11,0)</f>
        <v>1.2.2.1 ADMINISTRATIVO</v>
      </c>
      <c r="O45" s="3" t="str">
        <f>VLOOKUP(A45,'Custo_Fopag (2)'!$A:$BQ,12,0)</f>
        <v>AUX ADMINISTRATIVO JUNIOR</v>
      </c>
      <c r="P45" s="126">
        <f>VLOOKUP(A45,'Custo_Fopag (2)'!$A:$BQ,13,0)</f>
        <v>2482.4</v>
      </c>
      <c r="Q45" s="127">
        <f>VLOOKUP(A45,'Custo_Fopag (2)'!$A:$BQ,16,0)</f>
        <v>2482.4</v>
      </c>
      <c r="R45" s="56">
        <f>VLOOKUP(A45,'Custo_Fopag (2)'!$A:$BQ,17,0)</f>
        <v>0</v>
      </c>
      <c r="S45" s="54">
        <f>VLOOKUP(A45,'Custo_Fopag (2)'!$A:$BP,18,0)</f>
        <v>0</v>
      </c>
      <c r="T45" s="54">
        <f>VLOOKUP(A45,'Custo_Fopag (2)'!$A:$BQ,20,0)</f>
        <v>0</v>
      </c>
      <c r="U45" s="54">
        <f>VLOOKUP(A45,'Custo_Fopag (2)'!$A:$BQ,21,0)</f>
        <v>0</v>
      </c>
      <c r="V45" s="54">
        <f>VLOOKUP(A45,'Custo_Fopag (2)'!$A:$BQ,22,0)</f>
        <v>0</v>
      </c>
      <c r="W45" s="54">
        <f>VLOOKUP(A45,'Custo_Fopag (2)'!$A:$BQ,23,0)</f>
        <v>0</v>
      </c>
      <c r="X45" s="54">
        <f>VLOOKUP(A45,'Custo_Fopag (2)'!$A:$BQ,24,0)</f>
        <v>0</v>
      </c>
      <c r="Y45" s="55">
        <f>VLOOKUP(A45,'Custo_Fopag (2)'!$A:$BQ,25,0)</f>
        <v>0</v>
      </c>
      <c r="Z45" s="54">
        <f>VLOOKUP(A45,'Custo_Fopag (2)'!$A:$BQ,26,0)</f>
        <v>0</v>
      </c>
      <c r="AA45" s="54">
        <f>VLOOKUP(A45,'Custo_Fopag (2)'!$A:$BQ,27,0)</f>
        <v>192.22</v>
      </c>
      <c r="AB45" s="54">
        <f>VLOOKUP(A45,'Custo_Fopag (2)'!$A:$BQ,28,0)</f>
        <v>36.97</v>
      </c>
      <c r="AC45" s="54">
        <f>VLOOKUP(A45,'Custo_Fopag (2)'!$A:$BQ,29,0)</f>
        <v>0</v>
      </c>
      <c r="AD45" s="54">
        <f>VLOOKUP(A45,'Custo_Fopag (2)'!$A:$BQ,30,0)</f>
        <v>0</v>
      </c>
      <c r="AE45" s="54">
        <f>VLOOKUP(A45,'Custo_Fopag (2)'!$A:$BQ,31,0)</f>
        <v>0</v>
      </c>
      <c r="AF45" s="54">
        <f>VLOOKUP(A45,'Custo_Fopag (2)'!$A:$BQ,32,0)</f>
        <v>248.24</v>
      </c>
      <c r="AG45" s="54">
        <f t="shared" si="12"/>
        <v>2959.83</v>
      </c>
      <c r="AH45" s="121">
        <f>VLOOKUP(A45,'Custo_Fopag (2)'!$A:$BQ,45,0)</f>
        <v>0</v>
      </c>
      <c r="AI45" s="54">
        <f>_xlfn.XLOOKUP(A45,Beneficios!A:A,Beneficios!B:B,0,0,1)</f>
        <v>521.87</v>
      </c>
      <c r="AJ45" s="54">
        <f>VLOOKUP(A45,'Custo_Fopag (2)'!$A:$BQ,47,0)</f>
        <v>0</v>
      </c>
      <c r="AK45" s="54">
        <v>0</v>
      </c>
      <c r="AL45" s="54">
        <f>VLOOKUP(A45,'Custo_Fopag (2)'!$A:$BQ,35,0)</f>
        <v>0</v>
      </c>
      <c r="AM45" s="54">
        <f>VLOOKUP(A45,'Custo_Fopag (2)'!$A:$BQ,36,0)</f>
        <v>0</v>
      </c>
      <c r="AN45" s="54">
        <f>VLOOKUP(A45,'Custo_Fopag (2)'!$A:$BQ,37,0)</f>
        <v>0</v>
      </c>
      <c r="AO45" s="54">
        <f>VLOOKUP(A45,'Custo_Fopag (2)'!$A:$BQ,39,0)</f>
        <v>0</v>
      </c>
      <c r="AP45" s="54">
        <f>VLOOKUP(A45,'Custo_Fopag (2)'!$A:$BQ,42,0)</f>
        <v>0</v>
      </c>
      <c r="AQ45" s="54">
        <f>VLOOKUP(A45,'Custo_Fopag (2)'!$A:$BQ,40,0)</f>
        <v>0</v>
      </c>
      <c r="AR45" s="54">
        <f>VLOOKUP(A45,'Custo_Fopag (2)'!$A:$BQ,41,0)</f>
        <v>196.71</v>
      </c>
      <c r="AS45" s="54">
        <f>VLOOKUP(A45,'Custo_Fopag (2)'!$A:$BQ,38,0)</f>
        <v>0</v>
      </c>
      <c r="AT45" s="54">
        <f>VLOOKUP(A45,'Custo_Fopag (2)'!$A:$BQ,43,0)</f>
        <v>0</v>
      </c>
      <c r="AU45" s="54">
        <f>VLOOKUP(A45,'Custo_Fopag (2)'!$A:$BQ,48,0)</f>
        <v>0</v>
      </c>
      <c r="AV45" s="54">
        <f>VLOOKUP(A45,'Custo_Fopag (2)'!$A:$BQ,49,0)</f>
        <v>0</v>
      </c>
      <c r="AW45" s="54">
        <f>VLOOKUP(A45,'Custo_Fopag (2)'!$A:$BQ,19,0)</f>
        <v>0</v>
      </c>
      <c r="AX45" s="54">
        <f>VLOOKUP(A45,'Custo_Fopag (2)'!$A:$BQ,50,0)</f>
        <v>0</v>
      </c>
      <c r="AY45" s="54">
        <f>VLOOKUP(A45,'Custo_Fopag (2)'!$A:$BQ,51,0)</f>
        <v>0</v>
      </c>
      <c r="AZ45" s="117">
        <v>0</v>
      </c>
      <c r="BA45" s="54">
        <f>VLOOKUP(A45,'Custo_Fopag (2)'!$A:$BQ,54,0)</f>
        <v>0</v>
      </c>
      <c r="BB45" s="54">
        <f>VLOOKUP(A45,'Custo_Fopag (2)'!$A:$BQ,52,0)</f>
        <v>0</v>
      </c>
      <c r="BC45" s="122">
        <f t="shared" si="13"/>
        <v>718.58</v>
      </c>
      <c r="BD45" s="54">
        <f t="shared" si="14"/>
        <v>3678.41</v>
      </c>
      <c r="BE45" s="57"/>
      <c r="BF45" s="54">
        <f t="shared" si="15"/>
        <v>3678.41</v>
      </c>
      <c r="BG45" s="54">
        <f t="shared" si="16"/>
        <v>246.6525</v>
      </c>
      <c r="BH45" s="54">
        <f t="shared" si="17"/>
        <v>246.6525</v>
      </c>
      <c r="BI45" s="54">
        <f t="shared" si="18"/>
        <v>82.217500000000001</v>
      </c>
      <c r="BJ45" s="54">
        <f t="shared" si="19"/>
        <v>575.52250000000004</v>
      </c>
      <c r="BK45" s="54">
        <f>VLOOKUP(A45,'Custo_Fopag (2)'!$A:$BQ,65,0)</f>
        <v>591.97</v>
      </c>
      <c r="BL45" s="54">
        <f>VLOOKUP(A45,'Custo_Fopag (2)'!$A:$BQP,66,0)</f>
        <v>44.39</v>
      </c>
      <c r="BM45" s="54">
        <f>VLOOKUP(A45,'Custo_Fopag (2)'!$A:$BQ,67,0)</f>
        <v>171.67</v>
      </c>
      <c r="BN45" s="54">
        <f>VLOOKUP(A45,'Custo_Fopag (2)'!$A:$BQ,64,0)</f>
        <v>236.78</v>
      </c>
      <c r="BO45" s="54">
        <f t="shared" si="20"/>
        <v>1044.81</v>
      </c>
      <c r="BP45" s="54">
        <f t="shared" si="21"/>
        <v>4723.2199999999993</v>
      </c>
      <c r="BQ45" s="54">
        <f t="shared" si="22"/>
        <v>5298.7425000000003</v>
      </c>
      <c r="BR45" s="109">
        <f>VLOOKUP(A45,'Custo_Fopag (2)'!$A:$BQ,60,0)</f>
        <v>0</v>
      </c>
      <c r="BS45" s="83" t="str">
        <f t="shared" si="23"/>
        <v>Ativo</v>
      </c>
    </row>
    <row r="46" spans="1:71" s="59" customFormat="1" x14ac:dyDescent="0.25">
      <c r="A46" s="59" t="s">
        <v>321</v>
      </c>
      <c r="B46" s="88">
        <v>46082</v>
      </c>
      <c r="C46" s="59" t="s">
        <v>5</v>
      </c>
      <c r="D46" s="59" t="str">
        <f>VLOOKUP(A46,'Custo_Fopag (2)'!A:$BQ,4,0)</f>
        <v>G3S FL 05 - PRES PRUD</v>
      </c>
      <c r="G46" s="59" t="str">
        <f>VLOOKUP(A46,'Custo_Fopag (2)'!$A:$BQ,5,0)</f>
        <v>20.947.332/0005-19</v>
      </c>
      <c r="H46" s="59" t="str">
        <f>VLOOKUP(A46,'Custo_Fopag (2)'!$A:$BQ,6,0)</f>
        <v>ADMINISTRATIVO</v>
      </c>
      <c r="I46" s="59" t="str">
        <f>VLOOKUP(A46,'Custo_Fopag (2)'!$A:$BQ,7,0)</f>
        <v>FINANCEIRO</v>
      </c>
      <c r="J46" s="59" t="str">
        <f>VLOOKUP(A46,'Custo_Fopag (2)'!$A:$BQ,8,0)</f>
        <v>BRACOFER</v>
      </c>
      <c r="K46" s="78">
        <f>VLOOKUP(A46,'Custo_Fopag (2)'!$A:$BQ,9,0)</f>
        <v>44267</v>
      </c>
      <c r="L46" s="52"/>
      <c r="M46" s="3"/>
      <c r="N46" s="3" t="str">
        <f>VLOOKUP(A46,'Custo_Fopag (2)'!$A:$BQ,11,0)</f>
        <v>1.3.1.1 ADMINISTRATIVO</v>
      </c>
      <c r="O46" s="3" t="str">
        <f>VLOOKUP(A46,'Custo_Fopag (2)'!$A:$BQ,12,0)</f>
        <v>ANALISTA FINANCEIRO PLENO</v>
      </c>
      <c r="P46" s="126">
        <f>VLOOKUP(A46,'Custo_Fopag (2)'!$A:$BQ,13,0)</f>
        <v>3180</v>
      </c>
      <c r="Q46" s="127">
        <f>VLOOKUP(A46,'Custo_Fopag (2)'!$A:$BQ,16,0)</f>
        <v>0</v>
      </c>
      <c r="R46" s="56">
        <f>VLOOKUP(A46,'Custo_Fopag (2)'!$A:$BQ,17,0)</f>
        <v>3427.64</v>
      </c>
      <c r="S46" s="54">
        <f>VLOOKUP(A46,'Custo_Fopag (2)'!$A:$BP,18,0)</f>
        <v>0</v>
      </c>
      <c r="T46" s="54">
        <f>VLOOKUP(A46,'Custo_Fopag (2)'!$A:$BQ,20,0)</f>
        <v>0</v>
      </c>
      <c r="U46" s="54">
        <f>VLOOKUP(A46,'Custo_Fopag (2)'!$A:$BQ,21,0)</f>
        <v>0</v>
      </c>
      <c r="V46" s="54">
        <f>VLOOKUP(A46,'Custo_Fopag (2)'!$A:$BQ,22,0)</f>
        <v>0</v>
      </c>
      <c r="W46" s="54">
        <f>VLOOKUP(A46,'Custo_Fopag (2)'!$A:$BQ,23,0)</f>
        <v>0</v>
      </c>
      <c r="X46" s="54">
        <f>VLOOKUP(A46,'Custo_Fopag (2)'!$A:$BQ,24,0)</f>
        <v>0</v>
      </c>
      <c r="Y46" s="55">
        <f>VLOOKUP(A46,'Custo_Fopag (2)'!$A:$BQ,25,0)</f>
        <v>0</v>
      </c>
      <c r="Z46" s="54">
        <f>VLOOKUP(A46,'Custo_Fopag (2)'!$A:$BQ,26,0)</f>
        <v>0</v>
      </c>
      <c r="AA46" s="54">
        <f>VLOOKUP(A46,'Custo_Fopag (2)'!$A:$BQ,27,0)</f>
        <v>0</v>
      </c>
      <c r="AB46" s="54">
        <f>VLOOKUP(A46,'Custo_Fopag (2)'!$A:$BQ,28,0)</f>
        <v>0</v>
      </c>
      <c r="AC46" s="54">
        <f>VLOOKUP(A46,'Custo_Fopag (2)'!$A:$BQ,29,0)</f>
        <v>0</v>
      </c>
      <c r="AD46" s="54">
        <f>VLOOKUP(A46,'Custo_Fopag (2)'!$A:$BQ,30,0)</f>
        <v>0</v>
      </c>
      <c r="AE46" s="54">
        <f>VLOOKUP(A46,'Custo_Fopag (2)'!$A:$BQ,31,0)</f>
        <v>0</v>
      </c>
      <c r="AF46" s="54">
        <f>VLOOKUP(A46,'Custo_Fopag (2)'!$A:$BQ,32,0)</f>
        <v>0</v>
      </c>
      <c r="AG46" s="54">
        <f t="shared" si="12"/>
        <v>3427.64</v>
      </c>
      <c r="AH46" s="121">
        <f>VLOOKUP(A46,'Custo_Fopag (2)'!$A:$BQ,45,0)</f>
        <v>0</v>
      </c>
      <c r="AI46" s="54">
        <f>_xlfn.XLOOKUP(A46,Beneficios!A:A,Beneficios!B:B,0,0,1)</f>
        <v>521.87</v>
      </c>
      <c r="AJ46" s="54">
        <f>VLOOKUP(A46,'Custo_Fopag (2)'!$A:$BQ,47,0)</f>
        <v>0</v>
      </c>
      <c r="AK46" s="54">
        <v>0</v>
      </c>
      <c r="AL46" s="54">
        <f>VLOOKUP(A46,'Custo_Fopag (2)'!$A:$BQ,35,0)</f>
        <v>0</v>
      </c>
      <c r="AM46" s="54">
        <f>VLOOKUP(A46,'Custo_Fopag (2)'!$A:$BQ,36,0)</f>
        <v>0</v>
      </c>
      <c r="AN46" s="54">
        <f>VLOOKUP(A46,'Custo_Fopag (2)'!$A:$BQ,37,0)</f>
        <v>0</v>
      </c>
      <c r="AO46" s="54">
        <f>VLOOKUP(A46,'Custo_Fopag (2)'!$A:$BQ,39,0)</f>
        <v>0</v>
      </c>
      <c r="AP46" s="54">
        <f>VLOOKUP(A46,'Custo_Fopag (2)'!$A:$BQ,42,0)</f>
        <v>0</v>
      </c>
      <c r="AQ46" s="54">
        <f>VLOOKUP(A46,'Custo_Fopag (2)'!$A:$BQ,40,0)</f>
        <v>0</v>
      </c>
      <c r="AR46" s="54">
        <f>VLOOKUP(A46,'Custo_Fopag (2)'!$A:$BQ,41,0)</f>
        <v>0</v>
      </c>
      <c r="AS46" s="54">
        <f>VLOOKUP(A46,'Custo_Fopag (2)'!$A:$BQ,38,0)</f>
        <v>0</v>
      </c>
      <c r="AT46" s="54">
        <f>VLOOKUP(A46,'Custo_Fopag (2)'!$A:$BQ,43,0)</f>
        <v>0</v>
      </c>
      <c r="AU46" s="54">
        <f>VLOOKUP(A46,'Custo_Fopag (2)'!$A:$BQ,48,0)</f>
        <v>0</v>
      </c>
      <c r="AV46" s="54">
        <f>VLOOKUP(A46,'Custo_Fopag (2)'!$A:$BQ,49,0)</f>
        <v>0</v>
      </c>
      <c r="AW46" s="54">
        <f>VLOOKUP(A46,'Custo_Fopag (2)'!$A:$BQ,19,0)</f>
        <v>0</v>
      </c>
      <c r="AX46" s="54">
        <f>VLOOKUP(A46,'Custo_Fopag (2)'!$A:$BQ,50,0)</f>
        <v>0</v>
      </c>
      <c r="AY46" s="54">
        <f>VLOOKUP(A46,'Custo_Fopag (2)'!$A:$BQ,51,0)</f>
        <v>0</v>
      </c>
      <c r="AZ46" s="117">
        <v>0</v>
      </c>
      <c r="BA46" s="54">
        <f>VLOOKUP(A46,'Custo_Fopag (2)'!$A:$BQ,54,0)</f>
        <v>0</v>
      </c>
      <c r="BB46" s="54">
        <f>VLOOKUP(A46,'Custo_Fopag (2)'!$A:$BQ,52,0)</f>
        <v>0</v>
      </c>
      <c r="BC46" s="122">
        <f t="shared" si="13"/>
        <v>521.87</v>
      </c>
      <c r="BD46" s="54">
        <f t="shared" si="14"/>
        <v>3949.5099999999998</v>
      </c>
      <c r="BE46" s="57"/>
      <c r="BF46" s="54">
        <f t="shared" si="15"/>
        <v>3949.5099999999998</v>
      </c>
      <c r="BG46" s="54">
        <f t="shared" si="16"/>
        <v>285.63666666666666</v>
      </c>
      <c r="BH46" s="54">
        <f t="shared" si="17"/>
        <v>285.63666666666666</v>
      </c>
      <c r="BI46" s="54">
        <f t="shared" si="18"/>
        <v>95.212222222222223</v>
      </c>
      <c r="BJ46" s="54">
        <f t="shared" si="19"/>
        <v>666.48555555555549</v>
      </c>
      <c r="BK46" s="54">
        <f>VLOOKUP(A46,'Custo_Fopag (2)'!$A:$BQ,65,0)</f>
        <v>685.53</v>
      </c>
      <c r="BL46" s="54">
        <f>VLOOKUP(A46,'Custo_Fopag (2)'!$A:$BQP,66,0)</f>
        <v>51.41</v>
      </c>
      <c r="BM46" s="54">
        <f>VLOOKUP(A46,'Custo_Fopag (2)'!$A:$BQ,67,0)</f>
        <v>198.8</v>
      </c>
      <c r="BN46" s="54">
        <f>VLOOKUP(A46,'Custo_Fopag (2)'!$A:$BQ,64,0)</f>
        <v>274.20999999999998</v>
      </c>
      <c r="BO46" s="54">
        <f t="shared" si="20"/>
        <v>1209.95</v>
      </c>
      <c r="BP46" s="54">
        <f t="shared" si="21"/>
        <v>5159.46</v>
      </c>
      <c r="BQ46" s="54">
        <f t="shared" si="22"/>
        <v>5825.9455555555551</v>
      </c>
      <c r="BR46" s="109">
        <f>VLOOKUP(A46,'Custo_Fopag (2)'!$A:$BQ,60,0)</f>
        <v>0</v>
      </c>
      <c r="BS46" s="83" t="str">
        <f t="shared" si="23"/>
        <v>Ativo</v>
      </c>
    </row>
    <row r="47" spans="1:71" x14ac:dyDescent="0.25">
      <c r="A47" s="59" t="s">
        <v>236</v>
      </c>
      <c r="B47" s="88">
        <v>46082</v>
      </c>
      <c r="C47" s="59" t="s">
        <v>5</v>
      </c>
      <c r="D47" s="59" t="str">
        <f>VLOOKUP(A47,'Custo_Fopag (2)'!A:$BQ,4,0)</f>
        <v>G3S FL 10 - PRES PRUD</v>
      </c>
      <c r="E47" s="59"/>
      <c r="F47" s="59"/>
      <c r="G47" s="59" t="str">
        <f>VLOOKUP(A47,'Custo_Fopag (2)'!$A:$BQ,5,0)</f>
        <v>20.947.332/0010-86</v>
      </c>
      <c r="H47" s="59" t="str">
        <f>VLOOKUP(A47,'Custo_Fopag (2)'!$A:$BQ,6,0)</f>
        <v>COMERCIAL</v>
      </c>
      <c r="I47" s="59" t="str">
        <f>VLOOKUP(A47,'Custo_Fopag (2)'!$A:$BQ,7,0)</f>
        <v>COMERCIAL</v>
      </c>
      <c r="J47" s="59" t="str">
        <f>VLOOKUP(A47,'Custo_Fopag (2)'!$A:$BQ,8,0)</f>
        <v>SELETIVA CORPORATIVO SUCATA</v>
      </c>
      <c r="K47" s="78">
        <f>VLOOKUP(A47,'Custo_Fopag (2)'!$A:$BQ,9,0)</f>
        <v>45845</v>
      </c>
      <c r="N47" s="3" t="str">
        <f>VLOOKUP(A47,'Custo_Fopag (2)'!$A:$BQ,11,0)</f>
        <v>1.2.1.1 APOIO</v>
      </c>
      <c r="O47" s="3" t="str">
        <f>VLOOKUP(A47,'Custo_Fopag (2)'!$A:$BQ,12,0)</f>
        <v>ASSISTENTE COMERCIAL</v>
      </c>
      <c r="P47" s="126">
        <f>VLOOKUP(A47,'Custo_Fopag (2)'!$A:$BQ,13,0)</f>
        <v>2098</v>
      </c>
      <c r="Q47" s="127">
        <f>VLOOKUP(A47,'Custo_Fopag (2)'!$A:$BQ,16,0)</f>
        <v>2098</v>
      </c>
      <c r="R47" s="56">
        <f>VLOOKUP(A47,'Custo_Fopag (2)'!$A:$BQ,17,0)</f>
        <v>0</v>
      </c>
      <c r="S47" s="54">
        <f>VLOOKUP(A47,'Custo_Fopag (2)'!$A:$BP,18,0)</f>
        <v>0</v>
      </c>
      <c r="T47" s="54">
        <f>VLOOKUP(A47,'Custo_Fopag (2)'!$A:$BQ,20,0)</f>
        <v>0</v>
      </c>
      <c r="U47" s="54">
        <f>VLOOKUP(A47,'Custo_Fopag (2)'!$A:$BQ,21,0)</f>
        <v>0</v>
      </c>
      <c r="V47" s="54">
        <f>VLOOKUP(A47,'Custo_Fopag (2)'!$A:$BQ,22,0)</f>
        <v>0</v>
      </c>
      <c r="W47" s="54">
        <f>VLOOKUP(A47,'Custo_Fopag (2)'!$A:$BQ,23,0)</f>
        <v>0</v>
      </c>
      <c r="X47" s="54">
        <f>VLOOKUP(A47,'Custo_Fopag (2)'!$A:$BQ,24,0)</f>
        <v>0</v>
      </c>
      <c r="Y47" s="55">
        <f>VLOOKUP(A47,'Custo_Fopag (2)'!$A:$BQ,25,0)</f>
        <v>0</v>
      </c>
      <c r="Z47" s="54">
        <f>VLOOKUP(A47,'Custo_Fopag (2)'!$A:$BQ,26,0)</f>
        <v>0</v>
      </c>
      <c r="AA47" s="54">
        <f>VLOOKUP(A47,'Custo_Fopag (2)'!$A:$BQ,27,0)</f>
        <v>0</v>
      </c>
      <c r="AB47" s="54">
        <f>VLOOKUP(A47,'Custo_Fopag (2)'!$A:$BQ,28,0)</f>
        <v>0</v>
      </c>
      <c r="AC47" s="54">
        <f>VLOOKUP(A47,'Custo_Fopag (2)'!$A:$BQ,29,0)</f>
        <v>0</v>
      </c>
      <c r="AD47" s="54">
        <f>VLOOKUP(A47,'Custo_Fopag (2)'!$A:$BQ,30,0)</f>
        <v>0</v>
      </c>
      <c r="AE47" s="54">
        <f>VLOOKUP(A47,'Custo_Fopag (2)'!$A:$BQ,31,0)</f>
        <v>0</v>
      </c>
      <c r="AF47" s="54">
        <f>VLOOKUP(A47,'Custo_Fopag (2)'!$A:$BQ,32,0)</f>
        <v>0</v>
      </c>
      <c r="AG47" s="54">
        <f t="shared" si="12"/>
        <v>2098</v>
      </c>
      <c r="AH47" s="121">
        <f>VLOOKUP(A47,'Custo_Fopag (2)'!$A:$BQ,45,0)</f>
        <v>0</v>
      </c>
      <c r="AI47" s="54">
        <f>_xlfn.XLOOKUP(A47,Beneficios!A:A,Beneficios!B:B,0,0,1)</f>
        <v>521.87</v>
      </c>
      <c r="AJ47" s="54">
        <f>VLOOKUP(A47,'Custo_Fopag (2)'!$A:$BQ,47,0)</f>
        <v>0</v>
      </c>
      <c r="AK47" s="54">
        <v>0</v>
      </c>
      <c r="AL47" s="54">
        <f>VLOOKUP(A47,'Custo_Fopag (2)'!$A:$BQ,35,0)</f>
        <v>0</v>
      </c>
      <c r="AM47" s="54">
        <f>VLOOKUP(A47,'Custo_Fopag (2)'!$A:$BQ,36,0)</f>
        <v>0</v>
      </c>
      <c r="AN47" s="54">
        <f>VLOOKUP(A47,'Custo_Fopag (2)'!$A:$BQ,37,0)</f>
        <v>0</v>
      </c>
      <c r="AO47" s="54">
        <f>VLOOKUP(A47,'Custo_Fopag (2)'!$A:$BQ,39,0)</f>
        <v>0</v>
      </c>
      <c r="AP47" s="54">
        <f>VLOOKUP(A47,'Custo_Fopag (2)'!$A:$BQ,42,0)</f>
        <v>0</v>
      </c>
      <c r="AQ47" s="54">
        <f>VLOOKUP(A47,'Custo_Fopag (2)'!$A:$BQ,40,0)</f>
        <v>0</v>
      </c>
      <c r="AR47" s="54">
        <f>VLOOKUP(A47,'Custo_Fopag (2)'!$A:$BQ,41,0)</f>
        <v>0</v>
      </c>
      <c r="AS47" s="54">
        <f>VLOOKUP(A47,'Custo_Fopag (2)'!$A:$BQ,38,0)</f>
        <v>929.47</v>
      </c>
      <c r="AT47" s="54">
        <f>VLOOKUP(A47,'Custo_Fopag (2)'!$A:$BQ,43,0)</f>
        <v>0</v>
      </c>
      <c r="AU47" s="54">
        <f>VLOOKUP(A47,'Custo_Fopag (2)'!$A:$BQ,48,0)</f>
        <v>0</v>
      </c>
      <c r="AV47" s="54">
        <f>VLOOKUP(A47,'Custo_Fopag (2)'!$A:$BQ,49,0)</f>
        <v>0</v>
      </c>
      <c r="AW47" s="54">
        <f>VLOOKUP(A47,'Custo_Fopag (2)'!$A:$BQ,19,0)</f>
        <v>0</v>
      </c>
      <c r="AX47" s="54">
        <f>VLOOKUP(A47,'Custo_Fopag (2)'!$A:$BQ,50,0)</f>
        <v>0</v>
      </c>
      <c r="AY47" s="54">
        <f>VLOOKUP(A47,'Custo_Fopag (2)'!$A:$BQ,51,0)</f>
        <v>0</v>
      </c>
      <c r="AZ47" s="117">
        <v>0</v>
      </c>
      <c r="BA47" s="54">
        <f>VLOOKUP(A47,'Custo_Fopag (2)'!$A:$BQ,54,0)</f>
        <v>0</v>
      </c>
      <c r="BB47" s="54">
        <f>VLOOKUP(A47,'Custo_Fopag (2)'!$A:$BQ,52,0)</f>
        <v>0</v>
      </c>
      <c r="BC47" s="122">
        <f t="shared" si="13"/>
        <v>1451.3400000000001</v>
      </c>
      <c r="BD47" s="54">
        <f t="shared" si="14"/>
        <v>3549.34</v>
      </c>
      <c r="BE47" s="57"/>
      <c r="BF47" s="54">
        <f t="shared" si="15"/>
        <v>3549.34</v>
      </c>
      <c r="BG47" s="54">
        <f t="shared" si="16"/>
        <v>174.83333333333334</v>
      </c>
      <c r="BH47" s="54">
        <f t="shared" si="17"/>
        <v>174.83333333333334</v>
      </c>
      <c r="BI47" s="54">
        <f t="shared" si="18"/>
        <v>58.277777777777779</v>
      </c>
      <c r="BJ47" s="54">
        <f t="shared" si="19"/>
        <v>407.94444444444446</v>
      </c>
      <c r="BK47" s="54">
        <f>VLOOKUP(A47,'Custo_Fopag (2)'!$A:$BQ,65,0)</f>
        <v>419.6</v>
      </c>
      <c r="BL47" s="54">
        <f>VLOOKUP(A47,'Custo_Fopag (2)'!$A:$BQP,66,0)</f>
        <v>62.94</v>
      </c>
      <c r="BM47" s="54">
        <f>VLOOKUP(A47,'Custo_Fopag (2)'!$A:$BQ,67,0)</f>
        <v>121.68</v>
      </c>
      <c r="BN47" s="54">
        <f>VLOOKUP(A47,'Custo_Fopag (2)'!$A:$BQ,64,0)</f>
        <v>167.84</v>
      </c>
      <c r="BO47" s="54">
        <f t="shared" si="20"/>
        <v>772.06000000000006</v>
      </c>
      <c r="BP47" s="54">
        <f t="shared" si="21"/>
        <v>4321.4000000000005</v>
      </c>
      <c r="BQ47" s="54">
        <f t="shared" si="22"/>
        <v>4729.3444444444449</v>
      </c>
      <c r="BR47" s="109">
        <f>VLOOKUP(A47,'Custo_Fopag (2)'!$A:$BQ,60,0)</f>
        <v>0</v>
      </c>
      <c r="BS47" s="83" t="str">
        <f t="shared" si="23"/>
        <v>Ativo</v>
      </c>
    </row>
    <row r="48" spans="1:71" x14ac:dyDescent="0.25">
      <c r="A48" s="59" t="s">
        <v>186</v>
      </c>
      <c r="B48" s="88">
        <v>46082</v>
      </c>
      <c r="C48" s="59" t="s">
        <v>5</v>
      </c>
      <c r="D48" s="59" t="str">
        <f>VLOOKUP(A48,'Custo_Fopag (2)'!A:$BQ,4,0)</f>
        <v>G S FL 07 - LONDRINA</v>
      </c>
      <c r="E48" s="59"/>
      <c r="F48" s="59"/>
      <c r="G48" s="59" t="str">
        <f>VLOOKUP(A48,'Custo_Fopag (2)'!$A:$BQ,5,0)</f>
        <v>20.504.237/0007-02</v>
      </c>
      <c r="H48" s="59" t="str">
        <f>VLOOKUP(A48,'Custo_Fopag (2)'!$A:$BQ,6,0)</f>
        <v>OPERACIONAL</v>
      </c>
      <c r="I48" s="59" t="str">
        <f>VLOOKUP(A48,'Custo_Fopag (2)'!$A:$BQ,7,0)</f>
        <v>PATIO</v>
      </c>
      <c r="J48" s="59" t="str">
        <f>VLOOKUP(A48,'Custo_Fopag (2)'!$A:$BQ,8,0)</f>
        <v>SELETIVA LONDRINA</v>
      </c>
      <c r="K48" s="78">
        <f>VLOOKUP(A48,'Custo_Fopag (2)'!$A:$BQ,9,0)</f>
        <v>45532</v>
      </c>
      <c r="N48" s="3" t="str">
        <f>VLOOKUP(A48,'Custo_Fopag (2)'!$A:$BQ,11,0)</f>
        <v>1.2.3.3 OPERACIONAL</v>
      </c>
      <c r="O48" s="3" t="str">
        <f>VLOOKUP(A48,'Custo_Fopag (2)'!$A:$BQ,12,0)</f>
        <v>OPERADOR MANTENEDOR JR</v>
      </c>
      <c r="P48" s="126">
        <f>VLOOKUP(A48,'Custo_Fopag (2)'!$A:$BQ,13,0)</f>
        <v>2610</v>
      </c>
      <c r="Q48" s="127">
        <f>VLOOKUP(A48,'Custo_Fopag (2)'!$A:$BQ,16,0)</f>
        <v>2610</v>
      </c>
      <c r="R48" s="56">
        <f>VLOOKUP(A48,'Custo_Fopag (2)'!$A:$BQ,17,0)</f>
        <v>0</v>
      </c>
      <c r="S48" s="54">
        <f>VLOOKUP(A48,'Custo_Fopag (2)'!$A:$BP,18,0)</f>
        <v>0</v>
      </c>
      <c r="T48" s="54">
        <f>VLOOKUP(A48,'Custo_Fopag (2)'!$A:$BQ,20,0)</f>
        <v>513.58000000000004</v>
      </c>
      <c r="U48" s="54">
        <f>VLOOKUP(A48,'Custo_Fopag (2)'!$A:$BQ,21,0)</f>
        <v>0</v>
      </c>
      <c r="V48" s="54">
        <f>VLOOKUP(A48,'Custo_Fopag (2)'!$A:$BQ,22,0)</f>
        <v>0</v>
      </c>
      <c r="W48" s="54">
        <f>VLOOKUP(A48,'Custo_Fopag (2)'!$A:$BQ,23,0)</f>
        <v>0</v>
      </c>
      <c r="X48" s="54">
        <f>VLOOKUP(A48,'Custo_Fopag (2)'!$A:$BQ,24,0)</f>
        <v>0</v>
      </c>
      <c r="Y48" s="55">
        <f>VLOOKUP(A48,'Custo_Fopag (2)'!$A:$BQ,25,0)</f>
        <v>0</v>
      </c>
      <c r="Z48" s="54">
        <f>VLOOKUP(A48,'Custo_Fopag (2)'!$A:$BQ,26,0)</f>
        <v>0</v>
      </c>
      <c r="AA48" s="54">
        <f>VLOOKUP(A48,'Custo_Fopag (2)'!$A:$BQ,27,0)</f>
        <v>512.79</v>
      </c>
      <c r="AB48" s="54">
        <f>VLOOKUP(A48,'Custo_Fopag (2)'!$A:$BQ,28,0)</f>
        <v>98.61</v>
      </c>
      <c r="AC48" s="54">
        <f>VLOOKUP(A48,'Custo_Fopag (2)'!$A:$BQ,29,0)</f>
        <v>0</v>
      </c>
      <c r="AD48" s="54">
        <f>VLOOKUP(A48,'Custo_Fopag (2)'!$A:$BQ,30,0)</f>
        <v>0</v>
      </c>
      <c r="AE48" s="54">
        <f>VLOOKUP(A48,'Custo_Fopag (2)'!$A:$BQ,31,0)</f>
        <v>0</v>
      </c>
      <c r="AF48" s="54">
        <f>VLOOKUP(A48,'Custo_Fopag (2)'!$A:$BQ,32,0)</f>
        <v>0</v>
      </c>
      <c r="AG48" s="54">
        <f t="shared" si="12"/>
        <v>3734.98</v>
      </c>
      <c r="AH48" s="121">
        <f>VLOOKUP(A48,'Custo_Fopag (2)'!$A:$BQ,45,0)</f>
        <v>0</v>
      </c>
      <c r="AI48" s="54">
        <f>_xlfn.XLOOKUP(A48,Beneficios!A:A,Beneficios!B:B,0,0,1)</f>
        <v>512.87</v>
      </c>
      <c r="AJ48" s="54">
        <f>VLOOKUP(A48,'Custo_Fopag (2)'!$A:$BQ,47,0)</f>
        <v>0</v>
      </c>
      <c r="AK48" s="54">
        <v>0</v>
      </c>
      <c r="AL48" s="54">
        <f>VLOOKUP(A48,'Custo_Fopag (2)'!$A:$BQ,35,0)</f>
        <v>0</v>
      </c>
      <c r="AM48" s="54">
        <f>VLOOKUP(A48,'Custo_Fopag (2)'!$A:$BQ,36,0)</f>
        <v>0</v>
      </c>
      <c r="AN48" s="54">
        <f>VLOOKUP(A48,'Custo_Fopag (2)'!$A:$BQ,37,0)</f>
        <v>0</v>
      </c>
      <c r="AO48" s="54">
        <f>VLOOKUP(A48,'Custo_Fopag (2)'!$A:$BQ,39,0)</f>
        <v>0</v>
      </c>
      <c r="AP48" s="54">
        <f>VLOOKUP(A48,'Custo_Fopag (2)'!$A:$BQ,42,0)</f>
        <v>0</v>
      </c>
      <c r="AQ48" s="54">
        <f>VLOOKUP(A48,'Custo_Fopag (2)'!$A:$BQ,40,0)</f>
        <v>0</v>
      </c>
      <c r="AR48" s="54">
        <f>VLOOKUP(A48,'Custo_Fopag (2)'!$A:$BQ,41,0)</f>
        <v>529.48</v>
      </c>
      <c r="AS48" s="54">
        <f>VLOOKUP(A48,'Custo_Fopag (2)'!$A:$BQ,38,0)</f>
        <v>0</v>
      </c>
      <c r="AT48" s="54">
        <f>VLOOKUP(A48,'Custo_Fopag (2)'!$A:$BQ,43,0)</f>
        <v>0</v>
      </c>
      <c r="AU48" s="54">
        <f>VLOOKUP(A48,'Custo_Fopag (2)'!$A:$BQ,48,0)</f>
        <v>0</v>
      </c>
      <c r="AV48" s="54">
        <f>VLOOKUP(A48,'Custo_Fopag (2)'!$A:$BQ,49,0)</f>
        <v>0</v>
      </c>
      <c r="AW48" s="54">
        <f>VLOOKUP(A48,'Custo_Fopag (2)'!$A:$BQ,19,0)</f>
        <v>0</v>
      </c>
      <c r="AX48" s="54">
        <f>VLOOKUP(A48,'Custo_Fopag (2)'!$A:$BQ,50,0)</f>
        <v>0</v>
      </c>
      <c r="AY48" s="54">
        <f>VLOOKUP(A48,'Custo_Fopag (2)'!$A:$BQ,51,0)</f>
        <v>0</v>
      </c>
      <c r="AZ48" s="117">
        <v>0</v>
      </c>
      <c r="BA48" s="54">
        <f>VLOOKUP(A48,'Custo_Fopag (2)'!$A:$BQ,54,0)</f>
        <v>0</v>
      </c>
      <c r="BB48" s="54">
        <f>VLOOKUP(A48,'Custo_Fopag (2)'!$A:$BQ,52,0)</f>
        <v>0</v>
      </c>
      <c r="BC48" s="122">
        <f t="shared" si="13"/>
        <v>1042.3499999999999</v>
      </c>
      <c r="BD48" s="54">
        <f t="shared" si="14"/>
        <v>4777.33</v>
      </c>
      <c r="BE48" s="57"/>
      <c r="BF48" s="54">
        <f t="shared" si="15"/>
        <v>4777.33</v>
      </c>
      <c r="BG48" s="54">
        <f t="shared" si="16"/>
        <v>311.24833333333333</v>
      </c>
      <c r="BH48" s="54">
        <f t="shared" si="17"/>
        <v>311.24833333333333</v>
      </c>
      <c r="BI48" s="54">
        <f t="shared" si="18"/>
        <v>103.74944444444445</v>
      </c>
      <c r="BJ48" s="54">
        <f t="shared" si="19"/>
        <v>726.24611111111108</v>
      </c>
      <c r="BK48" s="54">
        <f>VLOOKUP(A48,'Custo_Fopag (2)'!$A:$BQ,65,0)</f>
        <v>747</v>
      </c>
      <c r="BL48" s="54">
        <f>VLOOKUP(A48,'Custo_Fopag (2)'!$A:$BQP,66,0)</f>
        <v>112.04</v>
      </c>
      <c r="BM48" s="54">
        <f>VLOOKUP(A48,'Custo_Fopag (2)'!$A:$BQ,67,0)</f>
        <v>216.62</v>
      </c>
      <c r="BN48" s="54">
        <f>VLOOKUP(A48,'Custo_Fopag (2)'!$A:$BQ,64,0)</f>
        <v>295.42</v>
      </c>
      <c r="BO48" s="54">
        <f t="shared" si="20"/>
        <v>1371.08</v>
      </c>
      <c r="BP48" s="54">
        <f t="shared" si="21"/>
        <v>6148.41</v>
      </c>
      <c r="BQ48" s="54">
        <f t="shared" si="22"/>
        <v>6874.6561111111114</v>
      </c>
      <c r="BR48" s="109">
        <f>VLOOKUP(A48,'Custo_Fopag (2)'!$A:$BQ,60,0)</f>
        <v>0</v>
      </c>
      <c r="BS48" s="83" t="str">
        <f t="shared" si="23"/>
        <v>Ativo</v>
      </c>
    </row>
    <row r="49" spans="1:71" x14ac:dyDescent="0.25">
      <c r="A49" s="59" t="s">
        <v>298</v>
      </c>
      <c r="B49" s="88">
        <v>46082</v>
      </c>
      <c r="C49" s="59" t="s">
        <v>5</v>
      </c>
      <c r="D49" s="59" t="str">
        <f>VLOOKUP(A49,'Custo_Fopag (2)'!A:$BQ,4,0)</f>
        <v>G3S  FL 04 - PRES PRUD</v>
      </c>
      <c r="E49" s="59"/>
      <c r="F49" s="59"/>
      <c r="G49" s="59" t="str">
        <f>VLOOKUP(A49,'Custo_Fopag (2)'!$A:$BQ,5,0)</f>
        <v>20.947.332/0004-38</v>
      </c>
      <c r="H49" s="59" t="str">
        <f>VLOOKUP(A49,'Custo_Fopag (2)'!$A:$BQ,6,0)</f>
        <v>ADMINISTRATIVO</v>
      </c>
      <c r="I49" s="59" t="str">
        <f>VLOOKUP(A49,'Custo_Fopag (2)'!$A:$BQ,7,0)</f>
        <v>ADMINISTRATIVO</v>
      </c>
      <c r="J49" s="59" t="str">
        <f>VLOOKUP(A49,'Custo_Fopag (2)'!$A:$BQ,8,0)</f>
        <v>SELETIVA PRESIDENTE PRUDENTE</v>
      </c>
      <c r="K49" s="78">
        <f>VLOOKUP(A49,'Custo_Fopag (2)'!$A:$BQ,9,0)</f>
        <v>45600</v>
      </c>
      <c r="N49" s="3" t="str">
        <f>VLOOKUP(A49,'Custo_Fopag (2)'!$A:$BQ,11,0)</f>
        <v>1.2.5.1 ADMINISTRATIVO</v>
      </c>
      <c r="O49" s="3" t="str">
        <f>VLOOKUP(A49,'Custo_Fopag (2)'!$A:$BQ,12,0)</f>
        <v>FAXINEIRO (EMPRESA)</v>
      </c>
      <c r="P49" s="126">
        <f>VLOOKUP(A49,'Custo_Fopag (2)'!$A:$BQ,13,0)</f>
        <v>1849.8</v>
      </c>
      <c r="Q49" s="127">
        <f>VLOOKUP(A49,'Custo_Fopag (2)'!$A:$BQ,16,0)</f>
        <v>1849.8</v>
      </c>
      <c r="R49" s="56">
        <f>VLOOKUP(A49,'Custo_Fopag (2)'!$A:$BQ,17,0)</f>
        <v>0</v>
      </c>
      <c r="S49" s="54">
        <f>VLOOKUP(A49,'Custo_Fopag (2)'!$A:$BP,18,0)</f>
        <v>0</v>
      </c>
      <c r="T49" s="54">
        <f>VLOOKUP(A49,'Custo_Fopag (2)'!$A:$BQ,20,0)</f>
        <v>0</v>
      </c>
      <c r="U49" s="54">
        <f>VLOOKUP(A49,'Custo_Fopag (2)'!$A:$BQ,21,0)</f>
        <v>0</v>
      </c>
      <c r="V49" s="54">
        <f>VLOOKUP(A49,'Custo_Fopag (2)'!$A:$BQ,22,0)</f>
        <v>0</v>
      </c>
      <c r="W49" s="54">
        <f>VLOOKUP(A49,'Custo_Fopag (2)'!$A:$BQ,23,0)</f>
        <v>0</v>
      </c>
      <c r="X49" s="54">
        <f>VLOOKUP(A49,'Custo_Fopag (2)'!$A:$BQ,24,0)</f>
        <v>0</v>
      </c>
      <c r="Y49" s="55">
        <f>VLOOKUP(A49,'Custo_Fopag (2)'!$A:$BQ,25,0)</f>
        <v>0</v>
      </c>
      <c r="Z49" s="54">
        <f>VLOOKUP(A49,'Custo_Fopag (2)'!$A:$BQ,26,0)</f>
        <v>0</v>
      </c>
      <c r="AA49" s="54">
        <f>VLOOKUP(A49,'Custo_Fopag (2)'!$A:$BQ,27,0)</f>
        <v>0</v>
      </c>
      <c r="AB49" s="54">
        <f>VLOOKUP(A49,'Custo_Fopag (2)'!$A:$BQ,28,0)</f>
        <v>0</v>
      </c>
      <c r="AC49" s="54">
        <f>VLOOKUP(A49,'Custo_Fopag (2)'!$A:$BQ,29,0)</f>
        <v>0</v>
      </c>
      <c r="AD49" s="54">
        <f>VLOOKUP(A49,'Custo_Fopag (2)'!$A:$BQ,30,0)</f>
        <v>0</v>
      </c>
      <c r="AE49" s="54">
        <f>VLOOKUP(A49,'Custo_Fopag (2)'!$A:$BQ,31,0)</f>
        <v>0</v>
      </c>
      <c r="AF49" s="54">
        <f>VLOOKUP(A49,'Custo_Fopag (2)'!$A:$BQ,32,0)</f>
        <v>0</v>
      </c>
      <c r="AG49" s="54">
        <f t="shared" si="12"/>
        <v>1849.8</v>
      </c>
      <c r="AH49" s="121">
        <f>VLOOKUP(A49,'Custo_Fopag (2)'!$A:$BQ,45,0)</f>
        <v>0</v>
      </c>
      <c r="AI49" s="54">
        <f>_xlfn.XLOOKUP(A49,Beneficios!A:A,Beneficios!B:B,0,0,1)</f>
        <v>512.87</v>
      </c>
      <c r="AJ49" s="54">
        <f>VLOOKUP(A49,'Custo_Fopag (2)'!$A:$BQ,47,0)</f>
        <v>0</v>
      </c>
      <c r="AK49" s="54">
        <v>0</v>
      </c>
      <c r="AL49" s="54">
        <f>VLOOKUP(A49,'Custo_Fopag (2)'!$A:$BQ,35,0)</f>
        <v>0</v>
      </c>
      <c r="AM49" s="54">
        <f>VLOOKUP(A49,'Custo_Fopag (2)'!$A:$BQ,36,0)</f>
        <v>0</v>
      </c>
      <c r="AN49" s="54">
        <f>VLOOKUP(A49,'Custo_Fopag (2)'!$A:$BQ,37,0)</f>
        <v>0</v>
      </c>
      <c r="AO49" s="54">
        <f>VLOOKUP(A49,'Custo_Fopag (2)'!$A:$BQ,39,0)</f>
        <v>0</v>
      </c>
      <c r="AP49" s="54">
        <f>VLOOKUP(A49,'Custo_Fopag (2)'!$A:$BQ,42,0)</f>
        <v>0</v>
      </c>
      <c r="AQ49" s="54">
        <f>VLOOKUP(A49,'Custo_Fopag (2)'!$A:$BQ,40,0)</f>
        <v>0</v>
      </c>
      <c r="AR49" s="54">
        <f>VLOOKUP(A49,'Custo_Fopag (2)'!$A:$BQ,41,0)</f>
        <v>0</v>
      </c>
      <c r="AS49" s="54">
        <f>VLOOKUP(A49,'Custo_Fopag (2)'!$A:$BQ,38,0)</f>
        <v>0</v>
      </c>
      <c r="AT49" s="54">
        <f>VLOOKUP(A49,'Custo_Fopag (2)'!$A:$BQ,43,0)</f>
        <v>0</v>
      </c>
      <c r="AU49" s="54">
        <f>VLOOKUP(A49,'Custo_Fopag (2)'!$A:$BQ,48,0)</f>
        <v>0</v>
      </c>
      <c r="AV49" s="54">
        <f>VLOOKUP(A49,'Custo_Fopag (2)'!$A:$BQ,49,0)</f>
        <v>0</v>
      </c>
      <c r="AW49" s="54">
        <f>VLOOKUP(A49,'Custo_Fopag (2)'!$A:$BQ,19,0)</f>
        <v>0</v>
      </c>
      <c r="AX49" s="54">
        <f>VLOOKUP(A49,'Custo_Fopag (2)'!$A:$BQ,50,0)</f>
        <v>0</v>
      </c>
      <c r="AY49" s="54">
        <f>VLOOKUP(A49,'Custo_Fopag (2)'!$A:$BQ,51,0)</f>
        <v>0</v>
      </c>
      <c r="AZ49" s="117">
        <v>0</v>
      </c>
      <c r="BA49" s="54">
        <f>VLOOKUP(A49,'Custo_Fopag (2)'!$A:$BQ,54,0)</f>
        <v>0</v>
      </c>
      <c r="BB49" s="54">
        <f>VLOOKUP(A49,'Custo_Fopag (2)'!$A:$BQ,52,0)</f>
        <v>0</v>
      </c>
      <c r="BC49" s="122">
        <f t="shared" si="13"/>
        <v>512.87</v>
      </c>
      <c r="BD49" s="54">
        <f t="shared" si="14"/>
        <v>2362.67</v>
      </c>
      <c r="BE49" s="57"/>
      <c r="BF49" s="54">
        <f t="shared" si="15"/>
        <v>2362.67</v>
      </c>
      <c r="BG49" s="54">
        <f t="shared" si="16"/>
        <v>154.15</v>
      </c>
      <c r="BH49" s="54">
        <f t="shared" si="17"/>
        <v>154.15</v>
      </c>
      <c r="BI49" s="54">
        <f t="shared" si="18"/>
        <v>51.383333333333333</v>
      </c>
      <c r="BJ49" s="54">
        <f t="shared" si="19"/>
        <v>359.68333333333334</v>
      </c>
      <c r="BK49" s="54">
        <f>VLOOKUP(A49,'Custo_Fopag (2)'!$A:$BQ,65,0)</f>
        <v>369.96</v>
      </c>
      <c r="BL49" s="54">
        <f>VLOOKUP(A49,'Custo_Fopag (2)'!$A:$BQP,66,0)</f>
        <v>27.74</v>
      </c>
      <c r="BM49" s="54">
        <f>VLOOKUP(A49,'Custo_Fopag (2)'!$A:$BQ,67,0)</f>
        <v>107.28</v>
      </c>
      <c r="BN49" s="54">
        <f>VLOOKUP(A49,'Custo_Fopag (2)'!$A:$BQ,64,0)</f>
        <v>147.97999999999999</v>
      </c>
      <c r="BO49" s="54">
        <f t="shared" si="20"/>
        <v>652.96</v>
      </c>
      <c r="BP49" s="54">
        <f t="shared" si="21"/>
        <v>3015.63</v>
      </c>
      <c r="BQ49" s="54">
        <f t="shared" si="22"/>
        <v>3375.3133333333335</v>
      </c>
      <c r="BR49" s="109">
        <f>VLOOKUP(A49,'Custo_Fopag (2)'!$A:$BQ,60,0)</f>
        <v>0</v>
      </c>
      <c r="BS49" s="83" t="str">
        <f t="shared" si="23"/>
        <v>Ativo</v>
      </c>
    </row>
    <row r="50" spans="1:71" x14ac:dyDescent="0.25">
      <c r="A50" s="59" t="s">
        <v>335</v>
      </c>
      <c r="B50" s="88">
        <v>46082</v>
      </c>
      <c r="C50" s="59" t="s">
        <v>5</v>
      </c>
      <c r="D50" s="59" t="str">
        <f>VLOOKUP(A50,'Custo_Fopag (2)'!A:$BQ,4,0)</f>
        <v>G3S FL 05 - PRES PRUD</v>
      </c>
      <c r="E50" s="59"/>
      <c r="F50" s="59"/>
      <c r="G50" s="59" t="str">
        <f>VLOOKUP(A50,'Custo_Fopag (2)'!$A:$BQ,5,0)</f>
        <v>20.947.332/0005-19</v>
      </c>
      <c r="H50" s="59" t="str">
        <f>VLOOKUP(A50,'Custo_Fopag (2)'!$A:$BQ,6,0)</f>
        <v>COMERCIAL</v>
      </c>
      <c r="I50" s="59" t="str">
        <f>VLOOKUP(A50,'Custo_Fopag (2)'!$A:$BQ,7,0)</f>
        <v>VENDAS</v>
      </c>
      <c r="J50" s="59" t="str">
        <f>VLOOKUP(A50,'Custo_Fopag (2)'!$A:$BQ,8,0)</f>
        <v>BRACOFER</v>
      </c>
      <c r="K50" s="78">
        <f>VLOOKUP(A50,'Custo_Fopag (2)'!$A:$BQ,9,0)</f>
        <v>45671</v>
      </c>
      <c r="N50" s="3" t="str">
        <f>VLOOKUP(A50,'Custo_Fopag (2)'!$A:$BQ,11,0)</f>
        <v>1.3.1.2 COMERCIAL</v>
      </c>
      <c r="O50" s="3" t="str">
        <f>VLOOKUP(A50,'Custo_Fopag (2)'!$A:$BQ,12,0)</f>
        <v>VENDEDOR(A)</v>
      </c>
      <c r="P50" s="126">
        <f>VLOOKUP(A50,'Custo_Fopag (2)'!$A:$BQ,13,0)</f>
        <v>0</v>
      </c>
      <c r="Q50" s="127">
        <f>VLOOKUP(A50,'Custo_Fopag (2)'!$A:$BQ,16,0)</f>
        <v>0</v>
      </c>
      <c r="R50" s="56">
        <f>VLOOKUP(A50,'Custo_Fopag (2)'!$A:$BQ,17,0)</f>
        <v>0</v>
      </c>
      <c r="S50" s="54">
        <f>VLOOKUP(A50,'Custo_Fopag (2)'!$A:$BP,18,0)</f>
        <v>0</v>
      </c>
      <c r="T50" s="54">
        <f>VLOOKUP(A50,'Custo_Fopag (2)'!$A:$BQ,20,0)</f>
        <v>0</v>
      </c>
      <c r="U50" s="54">
        <f>VLOOKUP(A50,'Custo_Fopag (2)'!$A:$BQ,21,0)</f>
        <v>0</v>
      </c>
      <c r="V50" s="54">
        <f>VLOOKUP(A50,'Custo_Fopag (2)'!$A:$BQ,22,0)</f>
        <v>0</v>
      </c>
      <c r="W50" s="54">
        <f>VLOOKUP(A50,'Custo_Fopag (2)'!$A:$BQ,23,0)</f>
        <v>0</v>
      </c>
      <c r="X50" s="54">
        <f>VLOOKUP(A50,'Custo_Fopag (2)'!$A:$BQ,24,0)</f>
        <v>0</v>
      </c>
      <c r="Y50" s="55">
        <f>VLOOKUP(A50,'Custo_Fopag (2)'!$A:$BQ,25,0)</f>
        <v>0</v>
      </c>
      <c r="Z50" s="54">
        <f>VLOOKUP(A50,'Custo_Fopag (2)'!$A:$BQ,26,0)</f>
        <v>0</v>
      </c>
      <c r="AA50" s="54">
        <f>VLOOKUP(A50,'Custo_Fopag (2)'!$A:$BQ,27,0)</f>
        <v>0</v>
      </c>
      <c r="AB50" s="54">
        <f>VLOOKUP(A50,'Custo_Fopag (2)'!$A:$BQ,28,0)</f>
        <v>0</v>
      </c>
      <c r="AC50" s="54">
        <f>VLOOKUP(A50,'Custo_Fopag (2)'!$A:$BQ,29,0)</f>
        <v>3877.78</v>
      </c>
      <c r="AD50" s="54">
        <f>VLOOKUP(A50,'Custo_Fopag (2)'!$A:$BQ,30,0)</f>
        <v>745.73</v>
      </c>
      <c r="AE50" s="54">
        <f>VLOOKUP(A50,'Custo_Fopag (2)'!$A:$BQ,31,0)</f>
        <v>0</v>
      </c>
      <c r="AF50" s="54">
        <f>VLOOKUP(A50,'Custo_Fopag (2)'!$A:$BQ,32,0)</f>
        <v>0</v>
      </c>
      <c r="AG50" s="54">
        <f t="shared" si="12"/>
        <v>4623.51</v>
      </c>
      <c r="AH50" s="121">
        <f>VLOOKUP(A50,'Custo_Fopag (2)'!$A:$BQ,45,0)</f>
        <v>0</v>
      </c>
      <c r="AI50" s="54">
        <f>_xlfn.XLOOKUP(A50,Beneficios!A:A,Beneficios!B:B,0,0,1)</f>
        <v>521.87</v>
      </c>
      <c r="AJ50" s="54">
        <f>VLOOKUP(A50,'Custo_Fopag (2)'!$A:$BQ,47,0)</f>
        <v>0</v>
      </c>
      <c r="AK50" s="54">
        <v>0</v>
      </c>
      <c r="AL50" s="54">
        <f>VLOOKUP(A50,'Custo_Fopag (2)'!$A:$BQ,35,0)</f>
        <v>0</v>
      </c>
      <c r="AM50" s="54">
        <f>VLOOKUP(A50,'Custo_Fopag (2)'!$A:$BQ,36,0)</f>
        <v>0</v>
      </c>
      <c r="AN50" s="54">
        <f>VLOOKUP(A50,'Custo_Fopag (2)'!$A:$BQ,37,0)</f>
        <v>0</v>
      </c>
      <c r="AO50" s="54">
        <f>VLOOKUP(A50,'Custo_Fopag (2)'!$A:$BQ,39,0)</f>
        <v>0</v>
      </c>
      <c r="AP50" s="54">
        <f>VLOOKUP(A50,'Custo_Fopag (2)'!$A:$BQ,42,0)</f>
        <v>0</v>
      </c>
      <c r="AQ50" s="54">
        <f>VLOOKUP(A50,'Custo_Fopag (2)'!$A:$BQ,40,0)</f>
        <v>0</v>
      </c>
      <c r="AR50" s="54">
        <f>VLOOKUP(A50,'Custo_Fopag (2)'!$A:$BQ,41,0)</f>
        <v>0</v>
      </c>
      <c r="AS50" s="54">
        <f>VLOOKUP(A50,'Custo_Fopag (2)'!$A:$BQ,38,0)</f>
        <v>0</v>
      </c>
      <c r="AT50" s="54">
        <f>VLOOKUP(A50,'Custo_Fopag (2)'!$A:$BQ,43,0)</f>
        <v>0</v>
      </c>
      <c r="AU50" s="54">
        <f>VLOOKUP(A50,'Custo_Fopag (2)'!$A:$BQ,48,0)</f>
        <v>0</v>
      </c>
      <c r="AV50" s="54">
        <f>VLOOKUP(A50,'Custo_Fopag (2)'!$A:$BQ,49,0)</f>
        <v>0</v>
      </c>
      <c r="AW50" s="54">
        <f>VLOOKUP(A50,'Custo_Fopag (2)'!$A:$BQ,19,0)</f>
        <v>0</v>
      </c>
      <c r="AX50" s="54">
        <f>VLOOKUP(A50,'Custo_Fopag (2)'!$A:$BQ,50,0)</f>
        <v>0</v>
      </c>
      <c r="AY50" s="54">
        <f>VLOOKUP(A50,'Custo_Fopag (2)'!$A:$BQ,51,0)</f>
        <v>0</v>
      </c>
      <c r="AZ50" s="117">
        <v>0</v>
      </c>
      <c r="BA50" s="54">
        <f>VLOOKUP(A50,'Custo_Fopag (2)'!$A:$BQ,54,0)</f>
        <v>0</v>
      </c>
      <c r="BB50" s="54">
        <f>VLOOKUP(A50,'Custo_Fopag (2)'!$A:$BQ,52,0)</f>
        <v>0</v>
      </c>
      <c r="BC50" s="122">
        <f t="shared" si="13"/>
        <v>521.87</v>
      </c>
      <c r="BD50" s="54">
        <f t="shared" si="14"/>
        <v>5145.38</v>
      </c>
      <c r="BE50" s="57"/>
      <c r="BF50" s="54">
        <f t="shared" si="15"/>
        <v>5145.38</v>
      </c>
      <c r="BG50" s="54">
        <f t="shared" si="16"/>
        <v>385.29250000000002</v>
      </c>
      <c r="BH50" s="54">
        <f t="shared" si="17"/>
        <v>385.29250000000002</v>
      </c>
      <c r="BI50" s="54">
        <f t="shared" si="18"/>
        <v>128.43083333333334</v>
      </c>
      <c r="BJ50" s="54">
        <f t="shared" si="19"/>
        <v>899.01583333333338</v>
      </c>
      <c r="BK50" s="54">
        <f>VLOOKUP(A50,'Custo_Fopag (2)'!$A:$BQ,65,0)</f>
        <v>924.7</v>
      </c>
      <c r="BL50" s="54">
        <f>VLOOKUP(A50,'Custo_Fopag (2)'!$A:$BQP,66,0)</f>
        <v>69.349999999999994</v>
      </c>
      <c r="BM50" s="54">
        <f>VLOOKUP(A50,'Custo_Fopag (2)'!$A:$BQ,67,0)</f>
        <v>268.16000000000003</v>
      </c>
      <c r="BN50" s="54">
        <f>VLOOKUP(A50,'Custo_Fopag (2)'!$A:$BQ,64,0)</f>
        <v>369.88</v>
      </c>
      <c r="BO50" s="54">
        <f t="shared" si="20"/>
        <v>1632.0900000000001</v>
      </c>
      <c r="BP50" s="54">
        <f t="shared" si="21"/>
        <v>6777.47</v>
      </c>
      <c r="BQ50" s="54">
        <f t="shared" si="22"/>
        <v>7676.4858333333341</v>
      </c>
      <c r="BR50" s="109">
        <f>VLOOKUP(A50,'Custo_Fopag (2)'!$A:$BQ,60,0)</f>
        <v>0</v>
      </c>
      <c r="BS50" s="83" t="str">
        <f t="shared" si="23"/>
        <v>Ativo</v>
      </c>
    </row>
    <row r="51" spans="1:71" x14ac:dyDescent="0.25">
      <c r="A51" s="81" t="s">
        <v>343</v>
      </c>
      <c r="B51" s="88">
        <v>46082</v>
      </c>
      <c r="C51" s="59" t="s">
        <v>5</v>
      </c>
      <c r="D51" s="59" t="str">
        <f>VLOOKUP(A51,'Custo_Fopag (2)'!A:$BQ,4,0)</f>
        <v>G3S FL 05 - PRES PRUD</v>
      </c>
      <c r="E51" s="59"/>
      <c r="F51" s="59"/>
      <c r="G51" s="59" t="str">
        <f>VLOOKUP(A51,'Custo_Fopag (2)'!$A:$BQ,5,0)</f>
        <v>20.947.332/0005-19</v>
      </c>
      <c r="H51" s="59" t="str">
        <f>VLOOKUP(A51,'Custo_Fopag (2)'!$A:$BQ,6,0)</f>
        <v>OPERACIONAL</v>
      </c>
      <c r="I51" s="59" t="str">
        <f>VLOOKUP(A51,'Custo_Fopag (2)'!$A:$BQ,7,0)</f>
        <v>CORTE E DOBRA</v>
      </c>
      <c r="J51" s="59" t="str">
        <f>VLOOKUP(A51,'Custo_Fopag (2)'!$A:$BQ,8,0)</f>
        <v>BRACOFER</v>
      </c>
      <c r="K51" s="78">
        <f>VLOOKUP(A51,'Custo_Fopag (2)'!$A:$BQ,9,0)</f>
        <v>45966</v>
      </c>
      <c r="N51" s="3" t="str">
        <f>VLOOKUP(A51,'Custo_Fopag (2)'!$A:$BQ,11,0)</f>
        <v>1.3.1.5 CORTE E DOBRA</v>
      </c>
      <c r="O51" s="3" t="str">
        <f>VLOOKUP(A51,'Custo_Fopag (2)'!$A:$BQ,12,0)</f>
        <v>AUXILIAR DE PATIO JUNIOR</v>
      </c>
      <c r="P51" s="126">
        <f>VLOOKUP(A51,'Custo_Fopag (2)'!$A:$BQ,13,0)</f>
        <v>2155</v>
      </c>
      <c r="Q51" s="127">
        <f>VLOOKUP(A51,'Custo_Fopag (2)'!$A:$BQ,16,0)</f>
        <v>2155</v>
      </c>
      <c r="R51" s="56">
        <f>VLOOKUP(A51,'Custo_Fopag (2)'!$A:$BQ,17,0)</f>
        <v>0</v>
      </c>
      <c r="S51" s="54">
        <f>VLOOKUP(A51,'Custo_Fopag (2)'!$A:$BP,18,0)</f>
        <v>0</v>
      </c>
      <c r="T51" s="54">
        <f>VLOOKUP(A51,'Custo_Fopag (2)'!$A:$BQ,20,0)</f>
        <v>0</v>
      </c>
      <c r="U51" s="54">
        <f>VLOOKUP(A51,'Custo_Fopag (2)'!$A:$BQ,21,0)</f>
        <v>0</v>
      </c>
      <c r="V51" s="54">
        <f>VLOOKUP(A51,'Custo_Fopag (2)'!$A:$BQ,22,0)</f>
        <v>0</v>
      </c>
      <c r="W51" s="54">
        <f>VLOOKUP(A51,'Custo_Fopag (2)'!$A:$BQ,23,0)</f>
        <v>0</v>
      </c>
      <c r="X51" s="54">
        <f>VLOOKUP(A51,'Custo_Fopag (2)'!$A:$BQ,24,0)</f>
        <v>0</v>
      </c>
      <c r="Y51" s="55">
        <f>VLOOKUP(A51,'Custo_Fopag (2)'!$A:$BQ,25,0)</f>
        <v>0</v>
      </c>
      <c r="Z51" s="54">
        <f>VLOOKUP(A51,'Custo_Fopag (2)'!$A:$BQ,26,0)</f>
        <v>0</v>
      </c>
      <c r="AA51" s="54">
        <f>VLOOKUP(A51,'Custo_Fopag (2)'!$A:$BQ,27,0)</f>
        <v>173.71</v>
      </c>
      <c r="AB51" s="54">
        <f>VLOOKUP(A51,'Custo_Fopag (2)'!$A:$BQ,28,0)</f>
        <v>33.409999999999997</v>
      </c>
      <c r="AC51" s="54">
        <f>VLOOKUP(A51,'Custo_Fopag (2)'!$A:$BQ,29,0)</f>
        <v>0</v>
      </c>
      <c r="AD51" s="54">
        <f>VLOOKUP(A51,'Custo_Fopag (2)'!$A:$BQ,30,0)</f>
        <v>0</v>
      </c>
      <c r="AE51" s="54">
        <f>VLOOKUP(A51,'Custo_Fopag (2)'!$A:$BQ,31,0)</f>
        <v>0</v>
      </c>
      <c r="AF51" s="54">
        <f>VLOOKUP(A51,'Custo_Fopag (2)'!$A:$BQ,32,0)</f>
        <v>0</v>
      </c>
      <c r="AG51" s="54">
        <f t="shared" si="12"/>
        <v>2362.12</v>
      </c>
      <c r="AH51" s="121">
        <f>VLOOKUP(A51,'Custo_Fopag (2)'!$A:$BQ,45,0)</f>
        <v>0</v>
      </c>
      <c r="AI51" s="54">
        <f>_xlfn.XLOOKUP(A51,Beneficios!A:A,Beneficios!B:B,0,0,1)</f>
        <v>521.87</v>
      </c>
      <c r="AJ51" s="54">
        <f>VLOOKUP(A51,'Custo_Fopag (2)'!$A:$BQ,47,0)</f>
        <v>0</v>
      </c>
      <c r="AK51" s="54">
        <v>0</v>
      </c>
      <c r="AL51" s="54">
        <f>VLOOKUP(A51,'Custo_Fopag (2)'!$A:$BQ,35,0)</f>
        <v>0</v>
      </c>
      <c r="AM51" s="54">
        <f>VLOOKUP(A51,'Custo_Fopag (2)'!$A:$BQ,36,0)</f>
        <v>0</v>
      </c>
      <c r="AN51" s="54">
        <f>VLOOKUP(A51,'Custo_Fopag (2)'!$A:$BQ,37,0)</f>
        <v>0</v>
      </c>
      <c r="AO51" s="54">
        <f>VLOOKUP(A51,'Custo_Fopag (2)'!$A:$BQ,39,0)</f>
        <v>0</v>
      </c>
      <c r="AP51" s="54">
        <f>VLOOKUP(A51,'Custo_Fopag (2)'!$A:$BQ,42,0)</f>
        <v>350</v>
      </c>
      <c r="AQ51" s="54">
        <f>VLOOKUP(A51,'Custo_Fopag (2)'!$A:$BQ,40,0)</f>
        <v>0</v>
      </c>
      <c r="AR51" s="54">
        <f>VLOOKUP(A51,'Custo_Fopag (2)'!$A:$BQ,41,0)</f>
        <v>0</v>
      </c>
      <c r="AS51" s="54">
        <f>VLOOKUP(A51,'Custo_Fopag (2)'!$A:$BQ,38,0)</f>
        <v>0</v>
      </c>
      <c r="AT51" s="54">
        <f>VLOOKUP(A51,'Custo_Fopag (2)'!$A:$BQ,43,0)</f>
        <v>0</v>
      </c>
      <c r="AU51" s="54">
        <f>VLOOKUP(A51,'Custo_Fopag (2)'!$A:$BQ,48,0)</f>
        <v>0</v>
      </c>
      <c r="AV51" s="54">
        <f>VLOOKUP(A51,'Custo_Fopag (2)'!$A:$BQ,49,0)</f>
        <v>0</v>
      </c>
      <c r="AW51" s="54">
        <f>VLOOKUP(A51,'Custo_Fopag (2)'!$A:$BQ,19,0)</f>
        <v>0</v>
      </c>
      <c r="AX51" s="54">
        <f>VLOOKUP(A51,'Custo_Fopag (2)'!$A:$BQ,50,0)</f>
        <v>0</v>
      </c>
      <c r="AY51" s="54">
        <f>VLOOKUP(A51,'Custo_Fopag (2)'!$A:$BQ,51,0)</f>
        <v>0</v>
      </c>
      <c r="AZ51" s="117">
        <v>0</v>
      </c>
      <c r="BA51" s="54">
        <f>VLOOKUP(A51,'Custo_Fopag (2)'!$A:$BQ,54,0)</f>
        <v>0</v>
      </c>
      <c r="BB51" s="54">
        <f>VLOOKUP(A51,'Custo_Fopag (2)'!$A:$BQ,52,0)</f>
        <v>0</v>
      </c>
      <c r="BC51" s="122">
        <f t="shared" si="13"/>
        <v>871.87</v>
      </c>
      <c r="BD51" s="54">
        <f t="shared" si="14"/>
        <v>3233.99</v>
      </c>
      <c r="BE51" s="57"/>
      <c r="BF51" s="54">
        <f t="shared" si="15"/>
        <v>3233.99</v>
      </c>
      <c r="BG51" s="54">
        <f t="shared" si="16"/>
        <v>196.84333333333333</v>
      </c>
      <c r="BH51" s="54">
        <f t="shared" si="17"/>
        <v>196.84333333333333</v>
      </c>
      <c r="BI51" s="54">
        <f t="shared" si="18"/>
        <v>65.614444444444445</v>
      </c>
      <c r="BJ51" s="54">
        <f t="shared" si="19"/>
        <v>459.30111111111114</v>
      </c>
      <c r="BK51" s="54">
        <f>VLOOKUP(A51,'Custo_Fopag (2)'!$A:$BQ,65,0)</f>
        <v>472.42</v>
      </c>
      <c r="BL51" s="54">
        <f>VLOOKUP(A51,'Custo_Fopag (2)'!$A:$BQP,66,0)</f>
        <v>35.43</v>
      </c>
      <c r="BM51" s="54">
        <f>VLOOKUP(A51,'Custo_Fopag (2)'!$A:$BQ,67,0)</f>
        <v>137</v>
      </c>
      <c r="BN51" s="54">
        <f>VLOOKUP(A51,'Custo_Fopag (2)'!$A:$BQ,64,0)</f>
        <v>188.96</v>
      </c>
      <c r="BO51" s="54">
        <f t="shared" si="20"/>
        <v>833.81000000000006</v>
      </c>
      <c r="BP51" s="54">
        <f t="shared" si="21"/>
        <v>4067.7999999999997</v>
      </c>
      <c r="BQ51" s="54">
        <f t="shared" si="22"/>
        <v>4527.1011111111111</v>
      </c>
      <c r="BR51" s="109">
        <f>VLOOKUP(A51,'Custo_Fopag (2)'!$A:$BQ,60,0)</f>
        <v>0</v>
      </c>
      <c r="BS51" s="83" t="str">
        <f t="shared" si="23"/>
        <v>Ativo</v>
      </c>
    </row>
    <row r="52" spans="1:71" x14ac:dyDescent="0.25">
      <c r="A52" s="65" t="s">
        <v>338</v>
      </c>
      <c r="B52" s="88">
        <v>46082</v>
      </c>
      <c r="C52" s="59" t="s">
        <v>5</v>
      </c>
      <c r="D52" s="59" t="str">
        <f>VLOOKUP(A52,'Custo_Fopag (2)'!A:$BQ,4,0)</f>
        <v>G3S FL 05 - PRES PRUD</v>
      </c>
      <c r="E52" s="59"/>
      <c r="F52" s="59"/>
      <c r="G52" s="59" t="str">
        <f>VLOOKUP(A52,'Custo_Fopag (2)'!$A:$BQ,5,0)</f>
        <v>20.947.332/0005-19</v>
      </c>
      <c r="H52" s="59" t="str">
        <f>VLOOKUP(A52,'Custo_Fopag (2)'!$A:$BQ,6,0)</f>
        <v>OPERACIONAL</v>
      </c>
      <c r="I52" s="59" t="str">
        <f>VLOOKUP(A52,'Custo_Fopag (2)'!$A:$BQ,7,0)</f>
        <v>CORTE E DOBRA</v>
      </c>
      <c r="J52" s="59" t="str">
        <f>VLOOKUP(A52,'Custo_Fopag (2)'!$A:$BQ,8,0)</f>
        <v>BRACOFER</v>
      </c>
      <c r="K52" s="78">
        <f>VLOOKUP(A52,'Custo_Fopag (2)'!$A:$BQ,9,0)</f>
        <v>45845</v>
      </c>
      <c r="N52" s="3" t="str">
        <f>VLOOKUP(A52,'Custo_Fopag (2)'!$A:$BQ,11,0)</f>
        <v>1.3.1.5 CORTE E DOBRA</v>
      </c>
      <c r="O52" s="3" t="str">
        <f>VLOOKUP(A52,'Custo_Fopag (2)'!$A:$BQ,12,0)</f>
        <v>AUXILIAR DE PATIO JUNIOR</v>
      </c>
      <c r="P52" s="126">
        <f>VLOOKUP(A52,'Custo_Fopag (2)'!$A:$BQ,13,0)</f>
        <v>2155</v>
      </c>
      <c r="Q52" s="127">
        <f>VLOOKUP(A52,'Custo_Fopag (2)'!$A:$BQ,16,0)</f>
        <v>2155</v>
      </c>
      <c r="R52" s="56">
        <f>VLOOKUP(A52,'Custo_Fopag (2)'!$A:$BQ,17,0)</f>
        <v>0</v>
      </c>
      <c r="S52" s="54">
        <f>VLOOKUP(A52,'Custo_Fopag (2)'!$A:$BP,18,0)</f>
        <v>0</v>
      </c>
      <c r="T52" s="54">
        <f>VLOOKUP(A52,'Custo_Fopag (2)'!$A:$BQ,20,0)</f>
        <v>0</v>
      </c>
      <c r="U52" s="54">
        <f>VLOOKUP(A52,'Custo_Fopag (2)'!$A:$BQ,21,0)</f>
        <v>0</v>
      </c>
      <c r="V52" s="54">
        <f>VLOOKUP(A52,'Custo_Fopag (2)'!$A:$BQ,22,0)</f>
        <v>0</v>
      </c>
      <c r="W52" s="54">
        <f>VLOOKUP(A52,'Custo_Fopag (2)'!$A:$BQ,23,0)</f>
        <v>0</v>
      </c>
      <c r="X52" s="54">
        <f>VLOOKUP(A52,'Custo_Fopag (2)'!$A:$BQ,24,0)</f>
        <v>0</v>
      </c>
      <c r="Y52" s="55">
        <f>VLOOKUP(A52,'Custo_Fopag (2)'!$A:$BQ,25,0)</f>
        <v>0</v>
      </c>
      <c r="Z52" s="54">
        <f>VLOOKUP(A52,'Custo_Fopag (2)'!$A:$BQ,26,0)</f>
        <v>0</v>
      </c>
      <c r="AA52" s="54">
        <f>VLOOKUP(A52,'Custo_Fopag (2)'!$A:$BQ,27,0)</f>
        <v>223.07</v>
      </c>
      <c r="AB52" s="54">
        <f>VLOOKUP(A52,'Custo_Fopag (2)'!$A:$BQ,28,0)</f>
        <v>42.9</v>
      </c>
      <c r="AC52" s="54">
        <f>VLOOKUP(A52,'Custo_Fopag (2)'!$A:$BQ,29,0)</f>
        <v>0</v>
      </c>
      <c r="AD52" s="54">
        <f>VLOOKUP(A52,'Custo_Fopag (2)'!$A:$BQ,30,0)</f>
        <v>0</v>
      </c>
      <c r="AE52" s="54">
        <f>VLOOKUP(A52,'Custo_Fopag (2)'!$A:$BQ,31,0)</f>
        <v>0</v>
      </c>
      <c r="AF52" s="54">
        <f>VLOOKUP(A52,'Custo_Fopag (2)'!$A:$BQ,32,0)</f>
        <v>0</v>
      </c>
      <c r="AG52" s="54">
        <f t="shared" si="12"/>
        <v>2420.9700000000003</v>
      </c>
      <c r="AH52" s="121">
        <f>VLOOKUP(A52,'Custo_Fopag (2)'!$A:$BQ,45,0)</f>
        <v>0</v>
      </c>
      <c r="AI52" s="54">
        <f>_xlfn.XLOOKUP(A52,Beneficios!A:A,Beneficios!B:B,0,0,1)</f>
        <v>512.87</v>
      </c>
      <c r="AJ52" s="54">
        <f>VLOOKUP(A52,'Custo_Fopag (2)'!$A:$BQ,47,0)</f>
        <v>0</v>
      </c>
      <c r="AK52" s="54">
        <v>0</v>
      </c>
      <c r="AL52" s="54">
        <f>VLOOKUP(A52,'Custo_Fopag (2)'!$A:$BQ,35,0)</f>
        <v>0</v>
      </c>
      <c r="AM52" s="54">
        <f>VLOOKUP(A52,'Custo_Fopag (2)'!$A:$BQ,36,0)</f>
        <v>0</v>
      </c>
      <c r="AN52" s="54">
        <f>VLOOKUP(A52,'Custo_Fopag (2)'!$A:$BQ,37,0)</f>
        <v>0</v>
      </c>
      <c r="AO52" s="54">
        <f>VLOOKUP(A52,'Custo_Fopag (2)'!$A:$BQ,39,0)</f>
        <v>0</v>
      </c>
      <c r="AP52" s="54">
        <f>VLOOKUP(A52,'Custo_Fopag (2)'!$A:$BQ,42,0)</f>
        <v>350</v>
      </c>
      <c r="AQ52" s="54">
        <f>VLOOKUP(A52,'Custo_Fopag (2)'!$A:$BQ,40,0)</f>
        <v>0</v>
      </c>
      <c r="AR52" s="54">
        <f>VLOOKUP(A52,'Custo_Fopag (2)'!$A:$BQ,41,0)</f>
        <v>0</v>
      </c>
      <c r="AS52" s="54">
        <f>VLOOKUP(A52,'Custo_Fopag (2)'!$A:$BQ,38,0)</f>
        <v>0</v>
      </c>
      <c r="AT52" s="54">
        <f>VLOOKUP(A52,'Custo_Fopag (2)'!$A:$BQ,43,0)</f>
        <v>0</v>
      </c>
      <c r="AU52" s="54">
        <f>VLOOKUP(A52,'Custo_Fopag (2)'!$A:$BQ,48,0)</f>
        <v>0</v>
      </c>
      <c r="AV52" s="54">
        <f>VLOOKUP(A52,'Custo_Fopag (2)'!$A:$BQ,49,0)</f>
        <v>0</v>
      </c>
      <c r="AW52" s="54">
        <f>VLOOKUP(A52,'Custo_Fopag (2)'!$A:$BQ,19,0)</f>
        <v>0</v>
      </c>
      <c r="AX52" s="54">
        <f>VLOOKUP(A52,'Custo_Fopag (2)'!$A:$BQ,50,0)</f>
        <v>0</v>
      </c>
      <c r="AY52" s="54">
        <f>VLOOKUP(A52,'Custo_Fopag (2)'!$A:$BQ,51,0)</f>
        <v>0</v>
      </c>
      <c r="AZ52" s="117">
        <v>0</v>
      </c>
      <c r="BA52" s="54">
        <f>VLOOKUP(A52,'Custo_Fopag (2)'!$A:$BQ,54,0)</f>
        <v>0</v>
      </c>
      <c r="BB52" s="54">
        <f>VLOOKUP(A52,'Custo_Fopag (2)'!$A:$BQ,52,0)</f>
        <v>0</v>
      </c>
      <c r="BC52" s="122">
        <f t="shared" si="13"/>
        <v>862.87</v>
      </c>
      <c r="BD52" s="54">
        <f t="shared" si="14"/>
        <v>3283.84</v>
      </c>
      <c r="BE52" s="57"/>
      <c r="BF52" s="54">
        <f t="shared" si="15"/>
        <v>3283.84</v>
      </c>
      <c r="BG52" s="54">
        <f t="shared" si="16"/>
        <v>201.74750000000003</v>
      </c>
      <c r="BH52" s="54">
        <f t="shared" si="17"/>
        <v>201.74750000000003</v>
      </c>
      <c r="BI52" s="54">
        <f t="shared" si="18"/>
        <v>67.249166666666682</v>
      </c>
      <c r="BJ52" s="54">
        <f t="shared" si="19"/>
        <v>470.74416666666673</v>
      </c>
      <c r="BK52" s="54">
        <f>VLOOKUP(A52,'Custo_Fopag (2)'!$A:$BQ,65,0)</f>
        <v>484.19</v>
      </c>
      <c r="BL52" s="54">
        <f>VLOOKUP(A52,'Custo_Fopag (2)'!$A:$BQP,66,0)</f>
        <v>36.31</v>
      </c>
      <c r="BM52" s="54">
        <f>VLOOKUP(A52,'Custo_Fopag (2)'!$A:$BQ,67,0)</f>
        <v>140.41</v>
      </c>
      <c r="BN52" s="54">
        <f>VLOOKUP(A52,'Custo_Fopag (2)'!$A:$BQ,64,0)</f>
        <v>193.67</v>
      </c>
      <c r="BO52" s="54">
        <f t="shared" si="20"/>
        <v>854.57999999999993</v>
      </c>
      <c r="BP52" s="54">
        <f t="shared" si="21"/>
        <v>4138.42</v>
      </c>
      <c r="BQ52" s="54">
        <f t="shared" si="22"/>
        <v>4609.1641666666674</v>
      </c>
      <c r="BR52" s="109">
        <f>VLOOKUP(A52,'Custo_Fopag (2)'!$A:$BQ,60,0)</f>
        <v>0</v>
      </c>
      <c r="BS52" s="83" t="str">
        <f t="shared" si="23"/>
        <v>Ativo</v>
      </c>
    </row>
    <row r="53" spans="1:71" x14ac:dyDescent="0.25">
      <c r="A53" s="59" t="s">
        <v>326</v>
      </c>
      <c r="B53" s="88">
        <v>46082</v>
      </c>
      <c r="C53" s="59" t="s">
        <v>5</v>
      </c>
      <c r="D53" s="59" t="str">
        <f>VLOOKUP(A53,'Custo_Fopag (2)'!A:$BQ,4,0)</f>
        <v>G3S FL 05 - PRES PRUD</v>
      </c>
      <c r="E53" s="59"/>
      <c r="F53" s="59"/>
      <c r="G53" s="59" t="str">
        <f>VLOOKUP(A53,'Custo_Fopag (2)'!$A:$BQ,5,0)</f>
        <v>20.947.332/0005-19</v>
      </c>
      <c r="H53" s="59" t="str">
        <f>VLOOKUP(A53,'Custo_Fopag (2)'!$A:$BQ,6,0)</f>
        <v>OPERACIONAL</v>
      </c>
      <c r="I53" s="59" t="str">
        <f>VLOOKUP(A53,'Custo_Fopag (2)'!$A:$BQ,7,0)</f>
        <v>PATIO</v>
      </c>
      <c r="J53" s="59" t="str">
        <f>VLOOKUP(A53,'Custo_Fopag (2)'!$A:$BQ,8,0)</f>
        <v>BRACOFER</v>
      </c>
      <c r="K53" s="78">
        <f>VLOOKUP(A53,'Custo_Fopag (2)'!$A:$BQ,9,0)</f>
        <v>44378</v>
      </c>
      <c r="N53" s="3" t="str">
        <f>VLOOKUP(A53,'Custo_Fopag (2)'!$A:$BQ,11,0)</f>
        <v>1.3.1.3 OPERACIONAL</v>
      </c>
      <c r="O53" s="3" t="str">
        <f>VLOOKUP(A53,'Custo_Fopag (2)'!$A:$BQ,12,0)</f>
        <v>AUXILIAR DE PATIO SENIOR</v>
      </c>
      <c r="P53" s="126">
        <f>VLOOKUP(A53,'Custo_Fopag (2)'!$A:$BQ,13,0)</f>
        <v>2600</v>
      </c>
      <c r="Q53" s="127">
        <f>VLOOKUP(A53,'Custo_Fopag (2)'!$A:$BQ,16,0)</f>
        <v>2600</v>
      </c>
      <c r="R53" s="56">
        <f>VLOOKUP(A53,'Custo_Fopag (2)'!$A:$BQ,17,0)</f>
        <v>0</v>
      </c>
      <c r="S53" s="54">
        <f>VLOOKUP(A53,'Custo_Fopag (2)'!$A:$BP,18,0)</f>
        <v>0</v>
      </c>
      <c r="T53" s="54">
        <f>VLOOKUP(A53,'Custo_Fopag (2)'!$A:$BQ,20,0)</f>
        <v>0</v>
      </c>
      <c r="U53" s="54">
        <f>VLOOKUP(A53,'Custo_Fopag (2)'!$A:$BQ,21,0)</f>
        <v>0</v>
      </c>
      <c r="V53" s="54">
        <f>VLOOKUP(A53,'Custo_Fopag (2)'!$A:$BQ,22,0)</f>
        <v>0</v>
      </c>
      <c r="W53" s="54">
        <f>VLOOKUP(A53,'Custo_Fopag (2)'!$A:$BQ,23,0)</f>
        <v>0</v>
      </c>
      <c r="X53" s="54">
        <f>VLOOKUP(A53,'Custo_Fopag (2)'!$A:$BQ,24,0)</f>
        <v>0</v>
      </c>
      <c r="Y53" s="55">
        <f>VLOOKUP(A53,'Custo_Fopag (2)'!$A:$BQ,25,0)</f>
        <v>0</v>
      </c>
      <c r="Z53" s="54">
        <f>VLOOKUP(A53,'Custo_Fopag (2)'!$A:$BQ,26,0)</f>
        <v>0</v>
      </c>
      <c r="AA53" s="54">
        <f>VLOOKUP(A53,'Custo_Fopag (2)'!$A:$BQ,27,0)</f>
        <v>71.22</v>
      </c>
      <c r="AB53" s="54">
        <f>VLOOKUP(A53,'Custo_Fopag (2)'!$A:$BQ,28,0)</f>
        <v>13.7</v>
      </c>
      <c r="AC53" s="54">
        <f>VLOOKUP(A53,'Custo_Fopag (2)'!$A:$BQ,29,0)</f>
        <v>0</v>
      </c>
      <c r="AD53" s="54">
        <f>VLOOKUP(A53,'Custo_Fopag (2)'!$A:$BQ,30,0)</f>
        <v>0</v>
      </c>
      <c r="AE53" s="54">
        <f>VLOOKUP(A53,'Custo_Fopag (2)'!$A:$BQ,31,0)</f>
        <v>0</v>
      </c>
      <c r="AF53" s="54">
        <f>VLOOKUP(A53,'Custo_Fopag (2)'!$A:$BQ,32,0)</f>
        <v>0</v>
      </c>
      <c r="AG53" s="54">
        <f t="shared" si="12"/>
        <v>2684.9199999999996</v>
      </c>
      <c r="AH53" s="121">
        <f>VLOOKUP(A53,'Custo_Fopag (2)'!$A:$BQ,45,0)</f>
        <v>0</v>
      </c>
      <c r="AI53" s="54">
        <f>_xlfn.XLOOKUP(A53,Beneficios!A:A,Beneficios!B:B,0,0,1)</f>
        <v>521.87</v>
      </c>
      <c r="AJ53" s="54">
        <f>VLOOKUP(A53,'Custo_Fopag (2)'!$A:$BQ,47,0)</f>
        <v>0</v>
      </c>
      <c r="AK53" s="54">
        <v>0</v>
      </c>
      <c r="AL53" s="54">
        <f>VLOOKUP(A53,'Custo_Fopag (2)'!$A:$BQ,35,0)</f>
        <v>0</v>
      </c>
      <c r="AM53" s="54">
        <f>VLOOKUP(A53,'Custo_Fopag (2)'!$A:$BQ,36,0)</f>
        <v>0</v>
      </c>
      <c r="AN53" s="54">
        <f>VLOOKUP(A53,'Custo_Fopag (2)'!$A:$BQ,37,0)</f>
        <v>0</v>
      </c>
      <c r="AO53" s="54">
        <f>VLOOKUP(A53,'Custo_Fopag (2)'!$A:$BQ,39,0)</f>
        <v>0</v>
      </c>
      <c r="AP53" s="54">
        <f>VLOOKUP(A53,'Custo_Fopag (2)'!$A:$BQ,42,0)</f>
        <v>1710</v>
      </c>
      <c r="AQ53" s="54">
        <f>VLOOKUP(A53,'Custo_Fopag (2)'!$A:$BQ,40,0)</f>
        <v>0</v>
      </c>
      <c r="AR53" s="54">
        <f>VLOOKUP(A53,'Custo_Fopag (2)'!$A:$BQ,41,0)</f>
        <v>0</v>
      </c>
      <c r="AS53" s="54">
        <f>VLOOKUP(A53,'Custo_Fopag (2)'!$A:$BQ,38,0)</f>
        <v>0</v>
      </c>
      <c r="AT53" s="54">
        <f>VLOOKUP(A53,'Custo_Fopag (2)'!$A:$BQ,43,0)</f>
        <v>0</v>
      </c>
      <c r="AU53" s="54">
        <f>VLOOKUP(A53,'Custo_Fopag (2)'!$A:$BQ,48,0)</f>
        <v>0</v>
      </c>
      <c r="AV53" s="54">
        <f>VLOOKUP(A53,'Custo_Fopag (2)'!$A:$BQ,49,0)</f>
        <v>0</v>
      </c>
      <c r="AW53" s="54">
        <f>VLOOKUP(A53,'Custo_Fopag (2)'!$A:$BQ,19,0)</f>
        <v>0</v>
      </c>
      <c r="AX53" s="54">
        <f>VLOOKUP(A53,'Custo_Fopag (2)'!$A:$BQ,50,0)</f>
        <v>0</v>
      </c>
      <c r="AY53" s="54">
        <f>VLOOKUP(A53,'Custo_Fopag (2)'!$A:$BQ,51,0)</f>
        <v>0</v>
      </c>
      <c r="AZ53" s="117">
        <v>0</v>
      </c>
      <c r="BA53" s="54">
        <f>VLOOKUP(A53,'Custo_Fopag (2)'!$A:$BQ,54,0)</f>
        <v>0</v>
      </c>
      <c r="BB53" s="54">
        <f>VLOOKUP(A53,'Custo_Fopag (2)'!$A:$BQ,52,0)</f>
        <v>0</v>
      </c>
      <c r="BC53" s="122">
        <f t="shared" si="13"/>
        <v>2231.87</v>
      </c>
      <c r="BD53" s="54">
        <f t="shared" si="14"/>
        <v>4916.7899999999991</v>
      </c>
      <c r="BE53" s="57"/>
      <c r="BF53" s="54">
        <f t="shared" si="15"/>
        <v>4916.7899999999991</v>
      </c>
      <c r="BG53" s="54">
        <f t="shared" si="16"/>
        <v>223.74333333333331</v>
      </c>
      <c r="BH53" s="54">
        <f t="shared" si="17"/>
        <v>223.74333333333331</v>
      </c>
      <c r="BI53" s="54">
        <f t="shared" si="18"/>
        <v>74.581111111111099</v>
      </c>
      <c r="BJ53" s="54">
        <f t="shared" si="19"/>
        <v>522.06777777777768</v>
      </c>
      <c r="BK53" s="54">
        <f>VLOOKUP(A53,'Custo_Fopag (2)'!$A:$BQ,65,0)</f>
        <v>536.98</v>
      </c>
      <c r="BL53" s="54">
        <f>VLOOKUP(A53,'Custo_Fopag (2)'!$A:$BQP,66,0)</f>
        <v>40.270000000000003</v>
      </c>
      <c r="BM53" s="54">
        <f>VLOOKUP(A53,'Custo_Fopag (2)'!$A:$BQ,67,0)</f>
        <v>155.72</v>
      </c>
      <c r="BN53" s="54">
        <f>VLOOKUP(A53,'Custo_Fopag (2)'!$A:$BQ,64,0)</f>
        <v>214.79</v>
      </c>
      <c r="BO53" s="54">
        <f t="shared" si="20"/>
        <v>947.76</v>
      </c>
      <c r="BP53" s="54">
        <f t="shared" si="21"/>
        <v>5864.5499999999993</v>
      </c>
      <c r="BQ53" s="54">
        <f t="shared" si="22"/>
        <v>6386.6177777777766</v>
      </c>
      <c r="BR53" s="109">
        <f>VLOOKUP(A53,'Custo_Fopag (2)'!$A:$BQ,60,0)</f>
        <v>0</v>
      </c>
      <c r="BS53" s="83" t="str">
        <f t="shared" si="23"/>
        <v>Ativo</v>
      </c>
    </row>
    <row r="54" spans="1:71" s="60" customFormat="1" x14ac:dyDescent="0.25">
      <c r="A54" s="59" t="s">
        <v>278</v>
      </c>
      <c r="B54" s="88">
        <v>46082</v>
      </c>
      <c r="C54" s="59" t="s">
        <v>5</v>
      </c>
      <c r="D54" s="59" t="str">
        <f>VLOOKUP(A54,'Custo_Fopag (2)'!A:$BQ,4,0)</f>
        <v>G3S CMATRIZ - CAMPO GRANDE</v>
      </c>
      <c r="E54" s="59"/>
      <c r="F54" s="59"/>
      <c r="G54" s="59" t="str">
        <f>VLOOKUP(A54,'Custo_Fopag (2)'!$A:$BQ,5,0)</f>
        <v>20.947.332/0001-95</v>
      </c>
      <c r="H54" s="59" t="str">
        <f>VLOOKUP(A54,'Custo_Fopag (2)'!$A:$BQ,6,0)</f>
        <v>OPERACIONAL</v>
      </c>
      <c r="I54" s="59" t="str">
        <f>VLOOKUP(A54,'Custo_Fopag (2)'!$A:$BQ,7,0)</f>
        <v>PATIO</v>
      </c>
      <c r="J54" s="59" t="str">
        <f>VLOOKUP(A54,'Custo_Fopag (2)'!$A:$BQ,8,0)</f>
        <v>SELETIVA C GRANDE</v>
      </c>
      <c r="K54" s="78">
        <f>VLOOKUP(A54,'Custo_Fopag (2)'!$A:$BQ,9,0)</f>
        <v>44630</v>
      </c>
      <c r="L54" s="52"/>
      <c r="M54" s="3"/>
      <c r="N54" s="3" t="str">
        <f>VLOOKUP(A54,'Custo_Fopag (2)'!$A:$BQ,11,0)</f>
        <v>1.2.7.3 OPERACIONAL</v>
      </c>
      <c r="O54" s="3" t="str">
        <f>VLOOKUP(A54,'Custo_Fopag (2)'!$A:$BQ,12,0)</f>
        <v>GERENTE DE PATIO SENIOR</v>
      </c>
      <c r="P54" s="126">
        <f>VLOOKUP(A54,'Custo_Fopag (2)'!$A:$BQ,13,0)</f>
        <v>3679.83</v>
      </c>
      <c r="Q54" s="127">
        <f>VLOOKUP(A54,'Custo_Fopag (2)'!$A:$BQ,16,0)</f>
        <v>3679.83</v>
      </c>
      <c r="R54" s="56">
        <f>VLOOKUP(A54,'Custo_Fopag (2)'!$A:$BQ,17,0)</f>
        <v>0</v>
      </c>
      <c r="S54" s="54">
        <f>VLOOKUP(A54,'Custo_Fopag (2)'!$A:$BP,18,0)</f>
        <v>0</v>
      </c>
      <c r="T54" s="54">
        <f>VLOOKUP(A54,'Custo_Fopag (2)'!$A:$BQ,20,0)</f>
        <v>735.97</v>
      </c>
      <c r="U54" s="54">
        <f>VLOOKUP(A54,'Custo_Fopag (2)'!$A:$BQ,21,0)</f>
        <v>0</v>
      </c>
      <c r="V54" s="54">
        <f>VLOOKUP(A54,'Custo_Fopag (2)'!$A:$BQ,22,0)</f>
        <v>1103.95</v>
      </c>
      <c r="W54" s="54">
        <f>VLOOKUP(A54,'Custo_Fopag (2)'!$A:$BQ,23,0)</f>
        <v>0</v>
      </c>
      <c r="X54" s="54">
        <f>VLOOKUP(A54,'Custo_Fopag (2)'!$A:$BQ,24,0)</f>
        <v>0</v>
      </c>
      <c r="Y54" s="55">
        <f>VLOOKUP(A54,'Custo_Fopag (2)'!$A:$BQ,25,0)</f>
        <v>0</v>
      </c>
      <c r="Z54" s="54">
        <f>VLOOKUP(A54,'Custo_Fopag (2)'!$A:$BQ,26,0)</f>
        <v>0</v>
      </c>
      <c r="AA54" s="54">
        <f>VLOOKUP(A54,'Custo_Fopag (2)'!$A:$BQ,27,0)</f>
        <v>0</v>
      </c>
      <c r="AB54" s="54">
        <f>VLOOKUP(A54,'Custo_Fopag (2)'!$A:$BQ,28,0)</f>
        <v>0</v>
      </c>
      <c r="AC54" s="54">
        <f>VLOOKUP(A54,'Custo_Fopag (2)'!$A:$BQ,29,0)</f>
        <v>0</v>
      </c>
      <c r="AD54" s="54">
        <f>VLOOKUP(A54,'Custo_Fopag (2)'!$A:$BQ,30,0)</f>
        <v>0</v>
      </c>
      <c r="AE54" s="54">
        <f>VLOOKUP(A54,'Custo_Fopag (2)'!$A:$BQ,31,0)</f>
        <v>0</v>
      </c>
      <c r="AF54" s="54">
        <f>VLOOKUP(A54,'Custo_Fopag (2)'!$A:$BQ,32,0)</f>
        <v>0</v>
      </c>
      <c r="AG54" s="54">
        <f t="shared" si="12"/>
        <v>5519.75</v>
      </c>
      <c r="AH54" s="121">
        <f>VLOOKUP(A54,'Custo_Fopag (2)'!$A:$BQ,45,0)</f>
        <v>0</v>
      </c>
      <c r="AI54" s="54">
        <f>_xlfn.XLOOKUP(A54,Beneficios!A:A,Beneficios!B:B,0,0,1)</f>
        <v>512.87</v>
      </c>
      <c r="AJ54" s="54">
        <f>VLOOKUP(A54,'Custo_Fopag (2)'!$A:$BQ,47,0)</f>
        <v>0</v>
      </c>
      <c r="AK54" s="54">
        <v>0</v>
      </c>
      <c r="AL54" s="54">
        <f>VLOOKUP(A54,'Custo_Fopag (2)'!$A:$BQ,35,0)</f>
        <v>0</v>
      </c>
      <c r="AM54" s="54">
        <f>VLOOKUP(A54,'Custo_Fopag (2)'!$A:$BQ,36,0)</f>
        <v>0</v>
      </c>
      <c r="AN54" s="54">
        <f>VLOOKUP(A54,'Custo_Fopag (2)'!$A:$BQ,37,0)</f>
        <v>0</v>
      </c>
      <c r="AO54" s="54">
        <f>VLOOKUP(A54,'Custo_Fopag (2)'!$A:$BQ,39,0)</f>
        <v>0</v>
      </c>
      <c r="AP54" s="54">
        <f>VLOOKUP(A54,'Custo_Fopag (2)'!$A:$BQ,42,0)</f>
        <v>0</v>
      </c>
      <c r="AQ54" s="54">
        <f>VLOOKUP(A54,'Custo_Fopag (2)'!$A:$BQ,40,0)</f>
        <v>0</v>
      </c>
      <c r="AR54" s="54">
        <f>VLOOKUP(A54,'Custo_Fopag (2)'!$A:$BQ,41,0)</f>
        <v>533.04</v>
      </c>
      <c r="AS54" s="54">
        <f>VLOOKUP(A54,'Custo_Fopag (2)'!$A:$BQ,38,0)</f>
        <v>0</v>
      </c>
      <c r="AT54" s="54">
        <f>VLOOKUP(A54,'Custo_Fopag (2)'!$A:$BQ,43,0)</f>
        <v>0</v>
      </c>
      <c r="AU54" s="54">
        <f>VLOOKUP(A54,'Custo_Fopag (2)'!$A:$BQ,48,0)</f>
        <v>160</v>
      </c>
      <c r="AV54" s="54">
        <f>VLOOKUP(A54,'Custo_Fopag (2)'!$A:$BQ,49,0)</f>
        <v>0</v>
      </c>
      <c r="AW54" s="54">
        <f>VLOOKUP(A54,'Custo_Fopag (2)'!$A:$BQ,19,0)</f>
        <v>0</v>
      </c>
      <c r="AX54" s="54">
        <f>VLOOKUP(A54,'Custo_Fopag (2)'!$A:$BQ,50,0)</f>
        <v>0</v>
      </c>
      <c r="AY54" s="54">
        <f>VLOOKUP(A54,'Custo_Fopag (2)'!$A:$BQ,51,0)</f>
        <v>0</v>
      </c>
      <c r="AZ54" s="117">
        <v>0</v>
      </c>
      <c r="BA54" s="54">
        <f>VLOOKUP(A54,'Custo_Fopag (2)'!$A:$BQ,54,0)</f>
        <v>0</v>
      </c>
      <c r="BB54" s="54">
        <f>VLOOKUP(A54,'Custo_Fopag (2)'!$A:$BQ,52,0)</f>
        <v>0</v>
      </c>
      <c r="BC54" s="122">
        <f t="shared" si="13"/>
        <v>1205.9099999999999</v>
      </c>
      <c r="BD54" s="54">
        <f t="shared" si="14"/>
        <v>6725.66</v>
      </c>
      <c r="BE54" s="57"/>
      <c r="BF54" s="54">
        <f t="shared" si="15"/>
        <v>6725.66</v>
      </c>
      <c r="BG54" s="54">
        <f t="shared" si="16"/>
        <v>459.97916666666669</v>
      </c>
      <c r="BH54" s="54">
        <f t="shared" si="17"/>
        <v>459.97916666666669</v>
      </c>
      <c r="BI54" s="54">
        <f t="shared" si="18"/>
        <v>153.32638888888889</v>
      </c>
      <c r="BJ54" s="54">
        <f t="shared" si="19"/>
        <v>1073.2847222222222</v>
      </c>
      <c r="BK54" s="54">
        <f>VLOOKUP(A54,'Custo_Fopag (2)'!$A:$BQ,65,0)</f>
        <v>1103.95</v>
      </c>
      <c r="BL54" s="54">
        <f>VLOOKUP(A54,'Custo_Fopag (2)'!$A:$BQP,66,0)</f>
        <v>252.52</v>
      </c>
      <c r="BM54" s="54">
        <f>VLOOKUP(A54,'Custo_Fopag (2)'!$A:$BQ,67,0)</f>
        <v>320.14</v>
      </c>
      <c r="BN54" s="54">
        <f>VLOOKUP(A54,'Custo_Fopag (2)'!$A:$BQ,64,0)</f>
        <v>441.58</v>
      </c>
      <c r="BO54" s="54">
        <f t="shared" si="20"/>
        <v>2118.19</v>
      </c>
      <c r="BP54" s="54">
        <f t="shared" si="21"/>
        <v>8843.85</v>
      </c>
      <c r="BQ54" s="54">
        <f t="shared" si="22"/>
        <v>9917.134722222223</v>
      </c>
      <c r="BR54" s="109">
        <f>VLOOKUP(A54,'Custo_Fopag (2)'!$A:$BQ,60,0)</f>
        <v>0</v>
      </c>
      <c r="BS54" s="83" t="str">
        <f t="shared" si="23"/>
        <v>Ativo</v>
      </c>
    </row>
    <row r="55" spans="1:71" s="60" customFormat="1" x14ac:dyDescent="0.25">
      <c r="A55" s="59" t="s">
        <v>118</v>
      </c>
      <c r="B55" s="88">
        <v>46082</v>
      </c>
      <c r="C55" s="59" t="s">
        <v>5</v>
      </c>
      <c r="D55" s="59" t="str">
        <f>VLOOKUP(A55,'Custo_Fopag (2)'!A:$BQ,4,0)</f>
        <v>G S MATRIZ - PRES PRUD</v>
      </c>
      <c r="E55" s="59"/>
      <c r="F55" s="59"/>
      <c r="G55" s="59" t="str">
        <f>VLOOKUP(A55,'Custo_Fopag (2)'!$A:$BQ,5,0)</f>
        <v>20.504.237/0001-17</v>
      </c>
      <c r="H55" s="59" t="str">
        <f>VLOOKUP(A55,'Custo_Fopag (2)'!$A:$BQ,6,0)</f>
        <v>OPERACIONAL</v>
      </c>
      <c r="I55" s="59" t="str">
        <f>VLOOKUP(A55,'Custo_Fopag (2)'!$A:$BQ,7,0)</f>
        <v>PATIO</v>
      </c>
      <c r="J55" s="59" t="str">
        <f>VLOOKUP(A55,'Custo_Fopag (2)'!$A:$BQ,8,0)</f>
        <v>SELETIVA PRESIDENTE PRUDENTE</v>
      </c>
      <c r="K55" s="78">
        <f>VLOOKUP(A55,'Custo_Fopag (2)'!$A:$BQ,9,0)</f>
        <v>43790</v>
      </c>
      <c r="L55" s="52"/>
      <c r="M55" s="59"/>
      <c r="N55" s="3" t="str">
        <f>VLOOKUP(A55,'Custo_Fopag (2)'!$A:$BQ,11,0)</f>
        <v>1.2.5.5 PRENSA FIXA JCG800</v>
      </c>
      <c r="O55" s="3" t="str">
        <f>VLOOKUP(A55,'Custo_Fopag (2)'!$A:$BQ,12,0)</f>
        <v>OPERADOR MANTENEDOR SENIOR</v>
      </c>
      <c r="P55" s="126">
        <f>VLOOKUP(A55,'Custo_Fopag (2)'!$A:$BQ,13,0)</f>
        <v>3158.66</v>
      </c>
      <c r="Q55" s="127">
        <f>VLOOKUP(A55,'Custo_Fopag (2)'!$A:$BQ,16,0)</f>
        <v>3158.66</v>
      </c>
      <c r="R55" s="56">
        <f>VLOOKUP(A55,'Custo_Fopag (2)'!$A:$BQ,17,0)</f>
        <v>0</v>
      </c>
      <c r="S55" s="54">
        <f>VLOOKUP(A55,'Custo_Fopag (2)'!$A:$BP,18,0)</f>
        <v>0</v>
      </c>
      <c r="T55" s="54">
        <f>VLOOKUP(A55,'Custo_Fopag (2)'!$A:$BQ,20,0)</f>
        <v>631.73</v>
      </c>
      <c r="U55" s="54">
        <f>VLOOKUP(A55,'Custo_Fopag (2)'!$A:$BQ,21,0)</f>
        <v>0</v>
      </c>
      <c r="V55" s="54">
        <f>VLOOKUP(A55,'Custo_Fopag (2)'!$A:$BQ,22,0)</f>
        <v>0</v>
      </c>
      <c r="W55" s="54">
        <f>VLOOKUP(A55,'Custo_Fopag (2)'!$A:$BQ,23,0)</f>
        <v>0</v>
      </c>
      <c r="X55" s="54">
        <f>VLOOKUP(A55,'Custo_Fopag (2)'!$A:$BQ,24,0)</f>
        <v>0</v>
      </c>
      <c r="Y55" s="55">
        <f>VLOOKUP(A55,'Custo_Fopag (2)'!$A:$BQ,25,0)</f>
        <v>157.93</v>
      </c>
      <c r="Z55" s="54">
        <f>VLOOKUP(A55,'Custo_Fopag (2)'!$A:$BQ,26,0)</f>
        <v>0</v>
      </c>
      <c r="AA55" s="54">
        <f>VLOOKUP(A55,'Custo_Fopag (2)'!$A:$BQ,27,0)</f>
        <v>2010.05</v>
      </c>
      <c r="AB55" s="54">
        <f>VLOOKUP(A55,'Custo_Fopag (2)'!$A:$BQ,28,0)</f>
        <v>386.55</v>
      </c>
      <c r="AC55" s="54">
        <f>VLOOKUP(A55,'Custo_Fopag (2)'!$A:$BQ,29,0)</f>
        <v>0</v>
      </c>
      <c r="AD55" s="54">
        <f>VLOOKUP(A55,'Custo_Fopag (2)'!$A:$BQ,30,0)</f>
        <v>0</v>
      </c>
      <c r="AE55" s="54">
        <f>VLOOKUP(A55,'Custo_Fopag (2)'!$A:$BQ,31,0)</f>
        <v>0</v>
      </c>
      <c r="AF55" s="54">
        <f>VLOOKUP(A55,'Custo_Fopag (2)'!$A:$BQ,32,0)</f>
        <v>0</v>
      </c>
      <c r="AG55" s="54">
        <f t="shared" si="12"/>
        <v>6344.92</v>
      </c>
      <c r="AH55" s="121">
        <f>VLOOKUP(A55,'Custo_Fopag (2)'!$A:$BQ,45,0)</f>
        <v>0</v>
      </c>
      <c r="AI55" s="54">
        <f>_xlfn.XLOOKUP(A55,Beneficios!A:A,Beneficios!B:B,0,0,1)</f>
        <v>512.87</v>
      </c>
      <c r="AJ55" s="54">
        <f>VLOOKUP(A55,'Custo_Fopag (2)'!$A:$BQ,47,0)</f>
        <v>0</v>
      </c>
      <c r="AK55" s="54">
        <v>0</v>
      </c>
      <c r="AL55" s="54">
        <f>VLOOKUP(A55,'Custo_Fopag (2)'!$A:$BQ,35,0)</f>
        <v>424.21</v>
      </c>
      <c r="AM55" s="54">
        <f>VLOOKUP(A55,'Custo_Fopag (2)'!$A:$BQ,36,0)</f>
        <v>0</v>
      </c>
      <c r="AN55" s="54">
        <f>VLOOKUP(A55,'Custo_Fopag (2)'!$A:$BQ,37,0)</f>
        <v>0</v>
      </c>
      <c r="AO55" s="54">
        <f>VLOOKUP(A55,'Custo_Fopag (2)'!$A:$BQ,39,0)</f>
        <v>0</v>
      </c>
      <c r="AP55" s="54">
        <f>VLOOKUP(A55,'Custo_Fopag (2)'!$A:$BQ,42,0)</f>
        <v>0</v>
      </c>
      <c r="AQ55" s="54">
        <f>VLOOKUP(A55,'Custo_Fopag (2)'!$A:$BQ,40,0)</f>
        <v>0</v>
      </c>
      <c r="AR55" s="54">
        <f>VLOOKUP(A55,'Custo_Fopag (2)'!$A:$BQ,41,0)</f>
        <v>579.34</v>
      </c>
      <c r="AS55" s="54">
        <f>VLOOKUP(A55,'Custo_Fopag (2)'!$A:$BQ,38,0)</f>
        <v>0</v>
      </c>
      <c r="AT55" s="54">
        <f>VLOOKUP(A55,'Custo_Fopag (2)'!$A:$BQ,43,0)</f>
        <v>0</v>
      </c>
      <c r="AU55" s="54">
        <f>VLOOKUP(A55,'Custo_Fopag (2)'!$A:$BQ,48,0)</f>
        <v>2016</v>
      </c>
      <c r="AV55" s="54">
        <f>VLOOKUP(A55,'Custo_Fopag (2)'!$A:$BQ,49,0)</f>
        <v>0</v>
      </c>
      <c r="AW55" s="54">
        <f>VLOOKUP(A55,'Custo_Fopag (2)'!$A:$BQ,19,0)</f>
        <v>0</v>
      </c>
      <c r="AX55" s="54">
        <f>VLOOKUP(A55,'Custo_Fopag (2)'!$A:$BQ,50,0)</f>
        <v>0</v>
      </c>
      <c r="AY55" s="54">
        <f>VLOOKUP(A55,'Custo_Fopag (2)'!$A:$BQ,51,0)</f>
        <v>0</v>
      </c>
      <c r="AZ55" s="117">
        <v>0</v>
      </c>
      <c r="BA55" s="54">
        <f>VLOOKUP(A55,'Custo_Fopag (2)'!$A:$BQ,54,0)</f>
        <v>0</v>
      </c>
      <c r="BB55" s="54">
        <f>VLOOKUP(A55,'Custo_Fopag (2)'!$A:$BQ,52,0)</f>
        <v>0</v>
      </c>
      <c r="BC55" s="122">
        <f t="shared" si="13"/>
        <v>3532.42</v>
      </c>
      <c r="BD55" s="54">
        <f t="shared" si="14"/>
        <v>9877.34</v>
      </c>
      <c r="BE55" s="57"/>
      <c r="BF55" s="54">
        <f t="shared" si="15"/>
        <v>9877.34</v>
      </c>
      <c r="BG55" s="54">
        <f t="shared" si="16"/>
        <v>528.74333333333334</v>
      </c>
      <c r="BH55" s="54">
        <f t="shared" si="17"/>
        <v>528.74333333333334</v>
      </c>
      <c r="BI55" s="54">
        <f t="shared" si="18"/>
        <v>176.24777777777777</v>
      </c>
      <c r="BJ55" s="54">
        <f t="shared" si="19"/>
        <v>1233.7344444444445</v>
      </c>
      <c r="BK55" s="54">
        <f>VLOOKUP(A55,'Custo_Fopag (2)'!$A:$BQ,65,0)</f>
        <v>1268.98</v>
      </c>
      <c r="BL55" s="54">
        <f>VLOOKUP(A55,'Custo_Fopag (2)'!$A:$BQP,66,0)</f>
        <v>95.17</v>
      </c>
      <c r="BM55" s="54">
        <f>VLOOKUP(A55,'Custo_Fopag (2)'!$A:$BQ,67,0)</f>
        <v>368</v>
      </c>
      <c r="BN55" s="54">
        <f>VLOOKUP(A55,'Custo_Fopag (2)'!$A:$BQ,64,0)</f>
        <v>507.59</v>
      </c>
      <c r="BO55" s="54">
        <f t="shared" si="20"/>
        <v>2239.7400000000002</v>
      </c>
      <c r="BP55" s="54">
        <f t="shared" si="21"/>
        <v>12117.08</v>
      </c>
      <c r="BQ55" s="54">
        <f t="shared" si="22"/>
        <v>13350.814444444444</v>
      </c>
      <c r="BR55" s="109">
        <f>VLOOKUP(A55,'Custo_Fopag (2)'!$A:$BQ,60,0)</f>
        <v>0</v>
      </c>
      <c r="BS55" s="83" t="str">
        <f t="shared" si="23"/>
        <v>Ativo</v>
      </c>
    </row>
    <row r="56" spans="1:71" x14ac:dyDescent="0.25">
      <c r="A56" s="59" t="s">
        <v>103</v>
      </c>
      <c r="B56" s="88">
        <v>46082</v>
      </c>
      <c r="C56" s="59" t="s">
        <v>5</v>
      </c>
      <c r="D56" s="59" t="str">
        <f>VLOOKUP(A56,'Custo_Fopag (2)'!A:$BQ,4,0)</f>
        <v>G S MATRIZ - PRES PRUD</v>
      </c>
      <c r="E56" s="59"/>
      <c r="F56" s="59"/>
      <c r="G56" s="59" t="str">
        <f>VLOOKUP(A56,'Custo_Fopag (2)'!$A:$BQ,5,0)</f>
        <v>20.504.237/0001-17</v>
      </c>
      <c r="H56" s="59" t="str">
        <f>VLOOKUP(A56,'Custo_Fopag (2)'!$A:$BQ,6,0)</f>
        <v>LOGISTICA</v>
      </c>
      <c r="I56" s="59" t="str">
        <f>VLOOKUP(A56,'Custo_Fopag (2)'!$A:$BQ,7,0)</f>
        <v>TRANSPORTE</v>
      </c>
      <c r="J56" s="59" t="str">
        <f>VLOOKUP(A56,'Custo_Fopag (2)'!$A:$BQ,8,0)</f>
        <v>SELETIVA PRESIDENTE PRUDENTE</v>
      </c>
      <c r="K56" s="78">
        <f>VLOOKUP(A56,'Custo_Fopag (2)'!$A:$BQ,9,0)</f>
        <v>44153</v>
      </c>
      <c r="N56" s="3" t="str">
        <f>VLOOKUP(A56,'Custo_Fopag (2)'!$A:$BQ,11,0)</f>
        <v>1.7.8.4 LOGISTICA</v>
      </c>
      <c r="O56" s="3" t="str">
        <f>VLOOKUP(A56,'Custo_Fopag (2)'!$A:$BQ,12,0)</f>
        <v>MOTORISTA CARRETEIRO MANTENEDOR SENIOR III</v>
      </c>
      <c r="P56" s="126">
        <f>VLOOKUP(A56,'Custo_Fopag (2)'!$A:$BQ,13,0)</f>
        <v>3287.33</v>
      </c>
      <c r="Q56" s="127">
        <f>VLOOKUP(A56,'Custo_Fopag (2)'!$A:$BQ,16,0)</f>
        <v>3287.33</v>
      </c>
      <c r="R56" s="56">
        <f>VLOOKUP(A56,'Custo_Fopag (2)'!$A:$BQ,17,0)</f>
        <v>0</v>
      </c>
      <c r="S56" s="54">
        <f>VLOOKUP(A56,'Custo_Fopag (2)'!$A:$BP,18,0)</f>
        <v>0</v>
      </c>
      <c r="T56" s="54">
        <f>VLOOKUP(A56,'Custo_Fopag (2)'!$A:$BQ,20,0)</f>
        <v>657.47</v>
      </c>
      <c r="U56" s="54">
        <f>VLOOKUP(A56,'Custo_Fopag (2)'!$A:$BQ,21,0)</f>
        <v>0</v>
      </c>
      <c r="V56" s="54">
        <f>VLOOKUP(A56,'Custo_Fopag (2)'!$A:$BQ,22,0)</f>
        <v>0</v>
      </c>
      <c r="W56" s="54">
        <f>VLOOKUP(A56,'Custo_Fopag (2)'!$A:$BQ,23,0)</f>
        <v>0</v>
      </c>
      <c r="X56" s="54">
        <f>VLOOKUP(A56,'Custo_Fopag (2)'!$A:$BQ,24,0)</f>
        <v>0</v>
      </c>
      <c r="Y56" s="55">
        <f>VLOOKUP(A56,'Custo_Fopag (2)'!$A:$BQ,25,0)</f>
        <v>164.37</v>
      </c>
      <c r="Z56" s="54">
        <f>VLOOKUP(A56,'Custo_Fopag (2)'!$A:$BQ,26,0)</f>
        <v>0</v>
      </c>
      <c r="AA56" s="54">
        <f>VLOOKUP(A56,'Custo_Fopag (2)'!$A:$BQ,27,0)</f>
        <v>834.91</v>
      </c>
      <c r="AB56" s="54">
        <f>VLOOKUP(A56,'Custo_Fopag (2)'!$A:$BQ,28,0)</f>
        <v>160.56</v>
      </c>
      <c r="AC56" s="54">
        <f>VLOOKUP(A56,'Custo_Fopag (2)'!$A:$BQ,29,0)</f>
        <v>0</v>
      </c>
      <c r="AD56" s="54">
        <f>VLOOKUP(A56,'Custo_Fopag (2)'!$A:$BQ,30,0)</f>
        <v>0</v>
      </c>
      <c r="AE56" s="54">
        <f>VLOOKUP(A56,'Custo_Fopag (2)'!$A:$BQ,31,0)</f>
        <v>0</v>
      </c>
      <c r="AF56" s="54">
        <f>VLOOKUP(A56,'Custo_Fopag (2)'!$A:$BQ,32,0)</f>
        <v>0</v>
      </c>
      <c r="AG56" s="54">
        <f t="shared" si="12"/>
        <v>5104.6400000000003</v>
      </c>
      <c r="AH56" s="121">
        <f>VLOOKUP(A56,'Custo_Fopag (2)'!$A:$BQ,45,0)</f>
        <v>0</v>
      </c>
      <c r="AI56" s="54">
        <f>_xlfn.XLOOKUP(A56,Beneficios!A:A,Beneficios!B:B,0,0,1)</f>
        <v>512.87</v>
      </c>
      <c r="AJ56" s="54">
        <f>VLOOKUP(A56,'Custo_Fopag (2)'!$A:$BQ,47,0)</f>
        <v>0</v>
      </c>
      <c r="AK56" s="54">
        <v>0</v>
      </c>
      <c r="AL56" s="54">
        <f>VLOOKUP(A56,'Custo_Fopag (2)'!$A:$BQ,35,0)</f>
        <v>0</v>
      </c>
      <c r="AM56" s="54">
        <f>VLOOKUP(A56,'Custo_Fopag (2)'!$A:$BQ,36,0)</f>
        <v>906.92</v>
      </c>
      <c r="AN56" s="54">
        <f>VLOOKUP(A56,'Custo_Fopag (2)'!$A:$BQ,37,0)</f>
        <v>0</v>
      </c>
      <c r="AO56" s="54">
        <f>VLOOKUP(A56,'Custo_Fopag (2)'!$A:$BQ,39,0)</f>
        <v>0</v>
      </c>
      <c r="AP56" s="54">
        <f>VLOOKUP(A56,'Custo_Fopag (2)'!$A:$BQ,42,0)</f>
        <v>0</v>
      </c>
      <c r="AQ56" s="54">
        <f>VLOOKUP(A56,'Custo_Fopag (2)'!$A:$BQ,40,0)</f>
        <v>0</v>
      </c>
      <c r="AR56" s="54">
        <f>VLOOKUP(A56,'Custo_Fopag (2)'!$A:$BQ,41,0)</f>
        <v>579.34</v>
      </c>
      <c r="AS56" s="54">
        <f>VLOOKUP(A56,'Custo_Fopag (2)'!$A:$BQ,38,0)</f>
        <v>0</v>
      </c>
      <c r="AT56" s="54">
        <f>VLOOKUP(A56,'Custo_Fopag (2)'!$A:$BQ,43,0)</f>
        <v>0</v>
      </c>
      <c r="AU56" s="54">
        <f>VLOOKUP(A56,'Custo_Fopag (2)'!$A:$BQ,48,0)</f>
        <v>1452</v>
      </c>
      <c r="AV56" s="54">
        <f>VLOOKUP(A56,'Custo_Fopag (2)'!$A:$BQ,49,0)</f>
        <v>0</v>
      </c>
      <c r="AW56" s="54">
        <f>VLOOKUP(A56,'Custo_Fopag (2)'!$A:$BQ,19,0)</f>
        <v>0</v>
      </c>
      <c r="AX56" s="54">
        <f>VLOOKUP(A56,'Custo_Fopag (2)'!$A:$BQ,50,0)</f>
        <v>0</v>
      </c>
      <c r="AY56" s="54">
        <f>VLOOKUP(A56,'Custo_Fopag (2)'!$A:$BQ,51,0)</f>
        <v>0</v>
      </c>
      <c r="AZ56" s="117">
        <v>0</v>
      </c>
      <c r="BA56" s="54">
        <f>VLOOKUP(A56,'Custo_Fopag (2)'!$A:$BQ,54,0)</f>
        <v>0</v>
      </c>
      <c r="BB56" s="54">
        <f>VLOOKUP(A56,'Custo_Fopag (2)'!$A:$BQ,52,0)</f>
        <v>0</v>
      </c>
      <c r="BC56" s="122">
        <f t="shared" si="13"/>
        <v>3451.13</v>
      </c>
      <c r="BD56" s="54">
        <f t="shared" si="14"/>
        <v>8555.77</v>
      </c>
      <c r="BE56" s="57"/>
      <c r="BF56" s="54">
        <f t="shared" si="15"/>
        <v>8555.77</v>
      </c>
      <c r="BG56" s="54">
        <f t="shared" si="16"/>
        <v>425.38666666666671</v>
      </c>
      <c r="BH56" s="54">
        <f t="shared" si="17"/>
        <v>425.38666666666671</v>
      </c>
      <c r="BI56" s="54">
        <f t="shared" si="18"/>
        <v>141.79555555555558</v>
      </c>
      <c r="BJ56" s="54">
        <f t="shared" si="19"/>
        <v>992.56888888888898</v>
      </c>
      <c r="BK56" s="54">
        <f>VLOOKUP(A56,'Custo_Fopag (2)'!$A:$BQ,65,0)</f>
        <v>1020.93</v>
      </c>
      <c r="BL56" s="54">
        <f>VLOOKUP(A56,'Custo_Fopag (2)'!$A:$BQP,66,0)</f>
        <v>76.56</v>
      </c>
      <c r="BM56" s="54">
        <f>VLOOKUP(A56,'Custo_Fopag (2)'!$A:$BQ,67,0)</f>
        <v>296.06</v>
      </c>
      <c r="BN56" s="54">
        <f>VLOOKUP(A56,'Custo_Fopag (2)'!$A:$BQ,64,0)</f>
        <v>408.37</v>
      </c>
      <c r="BO56" s="54">
        <f t="shared" si="20"/>
        <v>1801.92</v>
      </c>
      <c r="BP56" s="54">
        <f t="shared" si="21"/>
        <v>10357.69</v>
      </c>
      <c r="BQ56" s="54">
        <f t="shared" si="22"/>
        <v>11350.258888888889</v>
      </c>
      <c r="BR56" s="109">
        <f>VLOOKUP(A56,'Custo_Fopag (2)'!$A:$BQ,60,0)</f>
        <v>0</v>
      </c>
      <c r="BS56" s="83" t="str">
        <f t="shared" si="23"/>
        <v>Ativo</v>
      </c>
    </row>
    <row r="57" spans="1:71" x14ac:dyDescent="0.25">
      <c r="A57" s="59" t="s">
        <v>189</v>
      </c>
      <c r="B57" s="88">
        <v>46082</v>
      </c>
      <c r="C57" s="59" t="s">
        <v>5</v>
      </c>
      <c r="D57" s="59" t="str">
        <f>VLOOKUP(A57,'Custo_Fopag (2)'!A:$BQ,4,0)</f>
        <v>G S FL 07 - LONDRINA</v>
      </c>
      <c r="E57" s="59"/>
      <c r="F57" s="59"/>
      <c r="G57" s="59" t="str">
        <f>VLOOKUP(A57,'Custo_Fopag (2)'!$A:$BQ,5,0)</f>
        <v>20.504.237/0007-02</v>
      </c>
      <c r="H57" s="59" t="str">
        <f>VLOOKUP(A57,'Custo_Fopag (2)'!$A:$BQ,6,0)</f>
        <v>LOGISTICA</v>
      </c>
      <c r="I57" s="59" t="str">
        <f>VLOOKUP(A57,'Custo_Fopag (2)'!$A:$BQ,7,0)</f>
        <v>TRANSPORTE</v>
      </c>
      <c r="J57" s="59" t="str">
        <f>VLOOKUP(A57,'Custo_Fopag (2)'!$A:$BQ,8,0)</f>
        <v>SELETIVA LONDRINA</v>
      </c>
      <c r="K57" s="78">
        <f>VLOOKUP(A57,'Custo_Fopag (2)'!$A:$BQ,9,0)</f>
        <v>45261</v>
      </c>
      <c r="N57" s="3" t="str">
        <f>VLOOKUP(A57,'Custo_Fopag (2)'!$A:$BQ,11,0)</f>
        <v>1.7.6.4 LOGISTICA</v>
      </c>
      <c r="O57" s="3" t="str">
        <f>VLOOKUP(A57,'Custo_Fopag (2)'!$A:$BQ,12,0)</f>
        <v>MOTORISTA CARRETEIRO MANTENEDOR SENIOR I</v>
      </c>
      <c r="P57" s="126">
        <f>VLOOKUP(A57,'Custo_Fopag (2)'!$A:$BQ,13,0)</f>
        <v>3345</v>
      </c>
      <c r="Q57" s="127">
        <f>VLOOKUP(A57,'Custo_Fopag (2)'!$A:$BQ,16,0)</f>
        <v>3345</v>
      </c>
      <c r="R57" s="56">
        <f>VLOOKUP(A57,'Custo_Fopag (2)'!$A:$BQ,17,0)</f>
        <v>0</v>
      </c>
      <c r="S57" s="54">
        <f>VLOOKUP(A57,'Custo_Fopag (2)'!$A:$BP,18,0)</f>
        <v>0</v>
      </c>
      <c r="T57" s="54">
        <f>VLOOKUP(A57,'Custo_Fopag (2)'!$A:$BQ,20,0)</f>
        <v>666.06</v>
      </c>
      <c r="U57" s="54">
        <f>VLOOKUP(A57,'Custo_Fopag (2)'!$A:$BQ,21,0)</f>
        <v>0</v>
      </c>
      <c r="V57" s="54">
        <f>VLOOKUP(A57,'Custo_Fopag (2)'!$A:$BQ,22,0)</f>
        <v>0</v>
      </c>
      <c r="W57" s="54">
        <f>VLOOKUP(A57,'Custo_Fopag (2)'!$A:$BQ,23,0)</f>
        <v>0</v>
      </c>
      <c r="X57" s="54">
        <f>VLOOKUP(A57,'Custo_Fopag (2)'!$A:$BQ,24,0)</f>
        <v>0</v>
      </c>
      <c r="Y57" s="55">
        <f>VLOOKUP(A57,'Custo_Fopag (2)'!$A:$BQ,25,0)</f>
        <v>0</v>
      </c>
      <c r="Z57" s="54">
        <f>VLOOKUP(A57,'Custo_Fopag (2)'!$A:$BQ,26,0)</f>
        <v>0</v>
      </c>
      <c r="AA57" s="54">
        <f>VLOOKUP(A57,'Custo_Fopag (2)'!$A:$BQ,27,0)</f>
        <v>413.08</v>
      </c>
      <c r="AB57" s="54">
        <f>VLOOKUP(A57,'Custo_Fopag (2)'!$A:$BQ,28,0)</f>
        <v>79.44</v>
      </c>
      <c r="AC57" s="54">
        <f>VLOOKUP(A57,'Custo_Fopag (2)'!$A:$BQ,29,0)</f>
        <v>0</v>
      </c>
      <c r="AD57" s="54">
        <f>VLOOKUP(A57,'Custo_Fopag (2)'!$A:$BQ,30,0)</f>
        <v>0</v>
      </c>
      <c r="AE57" s="54">
        <f>VLOOKUP(A57,'Custo_Fopag (2)'!$A:$BQ,31,0)</f>
        <v>0</v>
      </c>
      <c r="AF57" s="54">
        <f>VLOOKUP(A57,'Custo_Fopag (2)'!$A:$BQ,32,0)</f>
        <v>0</v>
      </c>
      <c r="AG57" s="54">
        <f t="shared" si="12"/>
        <v>4503.58</v>
      </c>
      <c r="AH57" s="121">
        <f>VLOOKUP(A57,'Custo_Fopag (2)'!$A:$BQ,45,0)</f>
        <v>0</v>
      </c>
      <c r="AI57" s="54">
        <f>_xlfn.XLOOKUP(A57,Beneficios!A:A,Beneficios!B:B,0,0,1)</f>
        <v>512.87</v>
      </c>
      <c r="AJ57" s="54">
        <f>VLOOKUP(A57,'Custo_Fopag (2)'!$A:$BQ,47,0)</f>
        <v>0</v>
      </c>
      <c r="AK57" s="54">
        <v>0</v>
      </c>
      <c r="AL57" s="54">
        <f>VLOOKUP(A57,'Custo_Fopag (2)'!$A:$BQ,35,0)</f>
        <v>0</v>
      </c>
      <c r="AM57" s="54">
        <f>VLOOKUP(A57,'Custo_Fopag (2)'!$A:$BQ,36,0)</f>
        <v>341.04</v>
      </c>
      <c r="AN57" s="54">
        <f>VLOOKUP(A57,'Custo_Fopag (2)'!$A:$BQ,37,0)</f>
        <v>0</v>
      </c>
      <c r="AO57" s="54">
        <f>VLOOKUP(A57,'Custo_Fopag (2)'!$A:$BQ,39,0)</f>
        <v>0</v>
      </c>
      <c r="AP57" s="54">
        <f>VLOOKUP(A57,'Custo_Fopag (2)'!$A:$BQ,42,0)</f>
        <v>0</v>
      </c>
      <c r="AQ57" s="54">
        <f>VLOOKUP(A57,'Custo_Fopag (2)'!$A:$BQ,40,0)</f>
        <v>0</v>
      </c>
      <c r="AR57" s="54">
        <f>VLOOKUP(A57,'Custo_Fopag (2)'!$A:$BQ,41,0)</f>
        <v>529.48</v>
      </c>
      <c r="AS57" s="54">
        <f>VLOOKUP(A57,'Custo_Fopag (2)'!$A:$BQ,38,0)</f>
        <v>0</v>
      </c>
      <c r="AT57" s="54">
        <f>VLOOKUP(A57,'Custo_Fopag (2)'!$A:$BQ,43,0)</f>
        <v>0</v>
      </c>
      <c r="AU57" s="54">
        <f>VLOOKUP(A57,'Custo_Fopag (2)'!$A:$BQ,48,0)</f>
        <v>115.5</v>
      </c>
      <c r="AV57" s="54">
        <f>VLOOKUP(A57,'Custo_Fopag (2)'!$A:$BQ,49,0)</f>
        <v>0</v>
      </c>
      <c r="AW57" s="54">
        <f>VLOOKUP(A57,'Custo_Fopag (2)'!$A:$BQ,19,0)</f>
        <v>0</v>
      </c>
      <c r="AX57" s="54">
        <f>VLOOKUP(A57,'Custo_Fopag (2)'!$A:$BQ,50,0)</f>
        <v>0</v>
      </c>
      <c r="AY57" s="54">
        <f>VLOOKUP(A57,'Custo_Fopag (2)'!$A:$BQ,51,0)</f>
        <v>0</v>
      </c>
      <c r="AZ57" s="117">
        <v>0</v>
      </c>
      <c r="BA57" s="54">
        <f>VLOOKUP(A57,'Custo_Fopag (2)'!$A:$BQ,54,0)</f>
        <v>0</v>
      </c>
      <c r="BB57" s="54">
        <f>VLOOKUP(A57,'Custo_Fopag (2)'!$A:$BQ,52,0)</f>
        <v>0</v>
      </c>
      <c r="BC57" s="122">
        <f t="shared" si="13"/>
        <v>1498.89</v>
      </c>
      <c r="BD57" s="54">
        <f t="shared" si="14"/>
        <v>6002.47</v>
      </c>
      <c r="BE57" s="57"/>
      <c r="BF57" s="54">
        <f t="shared" si="15"/>
        <v>6002.47</v>
      </c>
      <c r="BG57" s="54">
        <f t="shared" si="16"/>
        <v>375.29833333333335</v>
      </c>
      <c r="BH57" s="54">
        <f t="shared" si="17"/>
        <v>375.29833333333335</v>
      </c>
      <c r="BI57" s="54">
        <f t="shared" si="18"/>
        <v>125.09944444444444</v>
      </c>
      <c r="BJ57" s="54">
        <f t="shared" si="19"/>
        <v>875.69611111111112</v>
      </c>
      <c r="BK57" s="54">
        <f>VLOOKUP(A57,'Custo_Fopag (2)'!$A:$BQ,65,0)</f>
        <v>900.72</v>
      </c>
      <c r="BL57" s="54">
        <f>VLOOKUP(A57,'Custo_Fopag (2)'!$A:$BQP,66,0)</f>
        <v>135.1</v>
      </c>
      <c r="BM57" s="54">
        <f>VLOOKUP(A57,'Custo_Fopag (2)'!$A:$BQ,67,0)</f>
        <v>261.2</v>
      </c>
      <c r="BN57" s="54">
        <f>VLOOKUP(A57,'Custo_Fopag (2)'!$A:$BQ,64,0)</f>
        <v>359.11</v>
      </c>
      <c r="BO57" s="54">
        <f t="shared" si="20"/>
        <v>1656.13</v>
      </c>
      <c r="BP57" s="54">
        <f t="shared" si="21"/>
        <v>7658.6</v>
      </c>
      <c r="BQ57" s="54">
        <f t="shared" si="22"/>
        <v>8534.2961111111108</v>
      </c>
      <c r="BR57" s="109">
        <f>VLOOKUP(A57,'Custo_Fopag (2)'!$A:$BQ,60,0)</f>
        <v>0</v>
      </c>
      <c r="BS57" s="83" t="str">
        <f t="shared" si="23"/>
        <v>Ativo</v>
      </c>
    </row>
    <row r="58" spans="1:71" x14ac:dyDescent="0.25">
      <c r="A58" s="59" t="s">
        <v>158</v>
      </c>
      <c r="B58" s="88">
        <v>46082</v>
      </c>
      <c r="C58" s="59" t="s">
        <v>5</v>
      </c>
      <c r="D58" s="59" t="str">
        <f>VLOOKUP(A58,'Custo_Fopag (2)'!A:$BQ,4,0)</f>
        <v>G S FL 05 - BARUERI</v>
      </c>
      <c r="E58" s="59"/>
      <c r="F58" s="59"/>
      <c r="G58" s="59" t="str">
        <f>VLOOKUP(A58,'Custo_Fopag (2)'!$A:$BQ,5,0)</f>
        <v>20.504.237/0005-40</v>
      </c>
      <c r="H58" s="59" t="str">
        <f>VLOOKUP(A58,'Custo_Fopag (2)'!$A:$BQ,6,0)</f>
        <v>OPERACIONAL</v>
      </c>
      <c r="I58" s="59" t="str">
        <f>VLOOKUP(A58,'Custo_Fopag (2)'!$A:$BQ,7,0)</f>
        <v>ARCELOR/PIRACICABA - SP</v>
      </c>
      <c r="J58" s="59" t="str">
        <f>VLOOKUP(A58,'Custo_Fopag (2)'!$A:$BQ,8,0)</f>
        <v>EKIPA LOCACOES E SERV G&amp;S</v>
      </c>
      <c r="K58" s="78">
        <f>VLOOKUP(A58,'Custo_Fopag (2)'!$A:$BQ,9,0)</f>
        <v>45742</v>
      </c>
      <c r="N58" s="3" t="str">
        <f>VLOOKUP(A58,'Custo_Fopag (2)'!$A:$BQ,11,0)</f>
        <v>1.7.1.4.1 ARCELOR/PIRACICABA</v>
      </c>
      <c r="O58" s="3" t="str">
        <f>VLOOKUP(A58,'Custo_Fopag (2)'!$A:$BQ,12,0)</f>
        <v>OPERADOR MANTENEDOR PLENO</v>
      </c>
      <c r="P58" s="126">
        <f>VLOOKUP(A58,'Custo_Fopag (2)'!$A:$BQ,13,0)</f>
        <v>2816.11</v>
      </c>
      <c r="Q58" s="127">
        <f>VLOOKUP(A58,'Custo_Fopag (2)'!$A:$BQ,16,0)</f>
        <v>2816.11</v>
      </c>
      <c r="R58" s="56">
        <f>VLOOKUP(A58,'Custo_Fopag (2)'!$A:$BQ,17,0)</f>
        <v>0</v>
      </c>
      <c r="S58" s="54">
        <f>VLOOKUP(A58,'Custo_Fopag (2)'!$A:$BP,18,0)</f>
        <v>0</v>
      </c>
      <c r="T58" s="54">
        <f>VLOOKUP(A58,'Custo_Fopag (2)'!$A:$BQ,20,0)</f>
        <v>563.22</v>
      </c>
      <c r="U58" s="54">
        <f>VLOOKUP(A58,'Custo_Fopag (2)'!$A:$BQ,21,0)</f>
        <v>0</v>
      </c>
      <c r="V58" s="54">
        <f>VLOOKUP(A58,'Custo_Fopag (2)'!$A:$BQ,22,0)</f>
        <v>0</v>
      </c>
      <c r="W58" s="54">
        <f>VLOOKUP(A58,'Custo_Fopag (2)'!$A:$BQ,23,0)</f>
        <v>0</v>
      </c>
      <c r="X58" s="54">
        <f>VLOOKUP(A58,'Custo_Fopag (2)'!$A:$BQ,24,0)</f>
        <v>0</v>
      </c>
      <c r="Y58" s="55">
        <f>VLOOKUP(A58,'Custo_Fopag (2)'!$A:$BQ,25,0)</f>
        <v>0</v>
      </c>
      <c r="Z58" s="54">
        <f>VLOOKUP(A58,'Custo_Fopag (2)'!$A:$BQ,26,0)</f>
        <v>0</v>
      </c>
      <c r="AA58" s="54">
        <f>VLOOKUP(A58,'Custo_Fopag (2)'!$A:$BQ,27,0)</f>
        <v>1542.98</v>
      </c>
      <c r="AB58" s="54">
        <f>VLOOKUP(A58,'Custo_Fopag (2)'!$A:$BQ,28,0)</f>
        <v>296.73</v>
      </c>
      <c r="AC58" s="54">
        <f>VLOOKUP(A58,'Custo_Fopag (2)'!$A:$BQ,29,0)</f>
        <v>0</v>
      </c>
      <c r="AD58" s="54">
        <f>VLOOKUP(A58,'Custo_Fopag (2)'!$A:$BQ,30,0)</f>
        <v>0</v>
      </c>
      <c r="AE58" s="54">
        <f>VLOOKUP(A58,'Custo_Fopag (2)'!$A:$BQ,31,0)</f>
        <v>0</v>
      </c>
      <c r="AF58" s="54">
        <f>VLOOKUP(A58,'Custo_Fopag (2)'!$A:$BQ,32,0)</f>
        <v>0</v>
      </c>
      <c r="AG58" s="54">
        <f t="shared" si="12"/>
        <v>5219.0399999999991</v>
      </c>
      <c r="AH58" s="121">
        <f>VLOOKUP(A58,'Custo_Fopag (2)'!$A:$BQ,45,0)</f>
        <v>0</v>
      </c>
      <c r="AI58" s="54">
        <f>_xlfn.XLOOKUP(A58,Beneficios!A:A,Beneficios!B:B,0,0,1)</f>
        <v>512.87</v>
      </c>
      <c r="AJ58" s="54">
        <f>VLOOKUP(A58,'Custo_Fopag (2)'!$A:$BQ,47,0)</f>
        <v>0</v>
      </c>
      <c r="AK58" s="54">
        <v>0</v>
      </c>
      <c r="AL58" s="54">
        <f>VLOOKUP(A58,'Custo_Fopag (2)'!$A:$BQ,35,0)</f>
        <v>0</v>
      </c>
      <c r="AM58" s="54">
        <f>VLOOKUP(A58,'Custo_Fopag (2)'!$A:$BQ,36,0)</f>
        <v>0</v>
      </c>
      <c r="AN58" s="54">
        <f>VLOOKUP(A58,'Custo_Fopag (2)'!$A:$BQ,37,0)</f>
        <v>1903.5</v>
      </c>
      <c r="AO58" s="54">
        <f>VLOOKUP(A58,'Custo_Fopag (2)'!$A:$BQ,39,0)</f>
        <v>0</v>
      </c>
      <c r="AP58" s="54">
        <f>VLOOKUP(A58,'Custo_Fopag (2)'!$A:$BQ,42,0)</f>
        <v>0</v>
      </c>
      <c r="AQ58" s="54">
        <f>VLOOKUP(A58,'Custo_Fopag (2)'!$A:$BQ,40,0)</f>
        <v>0</v>
      </c>
      <c r="AR58" s="54">
        <f>VLOOKUP(A58,'Custo_Fopag (2)'!$A:$BQ,41,0)</f>
        <v>0</v>
      </c>
      <c r="AS58" s="54">
        <f>VLOOKUP(A58,'Custo_Fopag (2)'!$A:$BQ,38,0)</f>
        <v>0</v>
      </c>
      <c r="AT58" s="54">
        <f>VLOOKUP(A58,'Custo_Fopag (2)'!$A:$BQ,43,0)</f>
        <v>0</v>
      </c>
      <c r="AU58" s="54">
        <f>VLOOKUP(A58,'Custo_Fopag (2)'!$A:$BQ,48,0)</f>
        <v>2016</v>
      </c>
      <c r="AV58" s="54">
        <f>VLOOKUP(A58,'Custo_Fopag (2)'!$A:$BQ,49,0)</f>
        <v>0</v>
      </c>
      <c r="AW58" s="54">
        <f>VLOOKUP(A58,'Custo_Fopag (2)'!$A:$BQ,19,0)</f>
        <v>0</v>
      </c>
      <c r="AX58" s="54">
        <f>VLOOKUP(A58,'Custo_Fopag (2)'!$A:$BQ,50,0)</f>
        <v>0</v>
      </c>
      <c r="AY58" s="54">
        <f>VLOOKUP(A58,'Custo_Fopag (2)'!$A:$BQ,51,0)</f>
        <v>0</v>
      </c>
      <c r="AZ58" s="117">
        <v>0</v>
      </c>
      <c r="BA58" s="54">
        <f>VLOOKUP(A58,'Custo_Fopag (2)'!$A:$BQ,54,0)</f>
        <v>0</v>
      </c>
      <c r="BB58" s="54">
        <f>VLOOKUP(A58,'Custo_Fopag (2)'!$A:$BQ,52,0)</f>
        <v>0</v>
      </c>
      <c r="BC58" s="122">
        <f t="shared" si="13"/>
        <v>4432.37</v>
      </c>
      <c r="BD58" s="54">
        <f t="shared" si="14"/>
        <v>9651.41</v>
      </c>
      <c r="BE58" s="57"/>
      <c r="BF58" s="54">
        <f t="shared" si="15"/>
        <v>9651.41</v>
      </c>
      <c r="BG58" s="54">
        <f t="shared" si="16"/>
        <v>434.9199999999999</v>
      </c>
      <c r="BH58" s="54">
        <f t="shared" si="17"/>
        <v>434.9199999999999</v>
      </c>
      <c r="BI58" s="54">
        <f t="shared" si="18"/>
        <v>144.9733333333333</v>
      </c>
      <c r="BJ58" s="54">
        <f t="shared" si="19"/>
        <v>1014.813333333333</v>
      </c>
      <c r="BK58" s="54">
        <f>VLOOKUP(A58,'Custo_Fopag (2)'!$A:$BQ,65,0)</f>
        <v>1043.81</v>
      </c>
      <c r="BL58" s="54">
        <f>VLOOKUP(A58,'Custo_Fopag (2)'!$A:$BQP,66,0)</f>
        <v>78.28</v>
      </c>
      <c r="BM58" s="54">
        <f>VLOOKUP(A58,'Custo_Fopag (2)'!$A:$BQ,67,0)</f>
        <v>302.7</v>
      </c>
      <c r="BN58" s="54">
        <f>VLOOKUP(A58,'Custo_Fopag (2)'!$A:$BQ,64,0)</f>
        <v>417.52</v>
      </c>
      <c r="BO58" s="54">
        <f t="shared" si="20"/>
        <v>1842.31</v>
      </c>
      <c r="BP58" s="54">
        <f t="shared" si="21"/>
        <v>11493.72</v>
      </c>
      <c r="BQ58" s="54">
        <f t="shared" si="22"/>
        <v>12508.533333333333</v>
      </c>
      <c r="BR58" s="109">
        <f>VLOOKUP(A58,'Custo_Fopag (2)'!$A:$BQ,60,0)</f>
        <v>0</v>
      </c>
      <c r="BS58" s="83" t="str">
        <f t="shared" si="23"/>
        <v>Ativo</v>
      </c>
    </row>
    <row r="59" spans="1:71" x14ac:dyDescent="0.25">
      <c r="A59" s="59" t="s">
        <v>301</v>
      </c>
      <c r="B59" s="88">
        <v>46082</v>
      </c>
      <c r="C59" s="59" t="s">
        <v>5</v>
      </c>
      <c r="D59" s="59" t="str">
        <f>VLOOKUP(A59,'Custo_Fopag (2)'!A:$BQ,4,0)</f>
        <v>G3S  FL 04 - PRES PRUD</v>
      </c>
      <c r="E59" s="59"/>
      <c r="F59" s="59"/>
      <c r="G59" s="59" t="str">
        <f>VLOOKUP(A59,'Custo_Fopag (2)'!$A:$BQ,5,0)</f>
        <v>20.947.332/0004-38</v>
      </c>
      <c r="H59" s="59" t="str">
        <f>VLOOKUP(A59,'Custo_Fopag (2)'!$A:$BQ,6,0)</f>
        <v>OPERACIONAL</v>
      </c>
      <c r="I59" s="59" t="str">
        <f>VLOOKUP(A59,'Custo_Fopag (2)'!$A:$BQ,7,0)</f>
        <v>PATIO</v>
      </c>
      <c r="J59" s="59" t="str">
        <f>VLOOKUP(A59,'Custo_Fopag (2)'!$A:$BQ,8,0)</f>
        <v>SELETIVA PRESIDENTE PRUDENTE</v>
      </c>
      <c r="K59" s="78">
        <f>VLOOKUP(A59,'Custo_Fopag (2)'!$A:$BQ,9,0)</f>
        <v>44228</v>
      </c>
      <c r="N59" s="3" t="str">
        <f>VLOOKUP(A59,'Custo_Fopag (2)'!$A:$BQ,11,0)</f>
        <v>1.2.5.3 OPERACIONAL</v>
      </c>
      <c r="O59" s="3" t="str">
        <f>VLOOKUP(A59,'Custo_Fopag (2)'!$A:$BQ,12,0)</f>
        <v>SOLDADOR MAÇARIQUEIRO</v>
      </c>
      <c r="P59" s="126">
        <f>VLOOKUP(A59,'Custo_Fopag (2)'!$A:$BQ,13,0)</f>
        <v>2893.8</v>
      </c>
      <c r="Q59" s="127">
        <f>VLOOKUP(A59,'Custo_Fopag (2)'!$A:$BQ,16,0)</f>
        <v>2893.8</v>
      </c>
      <c r="R59" s="56">
        <f>VLOOKUP(A59,'Custo_Fopag (2)'!$A:$BQ,17,0)</f>
        <v>0</v>
      </c>
      <c r="S59" s="54">
        <f>VLOOKUP(A59,'Custo_Fopag (2)'!$A:$BP,18,0)</f>
        <v>0</v>
      </c>
      <c r="T59" s="54">
        <f>VLOOKUP(A59,'Custo_Fopag (2)'!$A:$BQ,20,0)</f>
        <v>0</v>
      </c>
      <c r="U59" s="54">
        <f>VLOOKUP(A59,'Custo_Fopag (2)'!$A:$BQ,21,0)</f>
        <v>324.2</v>
      </c>
      <c r="V59" s="54">
        <f>VLOOKUP(A59,'Custo_Fopag (2)'!$A:$BQ,22,0)</f>
        <v>0</v>
      </c>
      <c r="W59" s="54">
        <f>VLOOKUP(A59,'Custo_Fopag (2)'!$A:$BQ,23,0)</f>
        <v>0</v>
      </c>
      <c r="X59" s="54">
        <f>VLOOKUP(A59,'Custo_Fopag (2)'!$A:$BQ,24,0)</f>
        <v>0</v>
      </c>
      <c r="Y59" s="55">
        <f>VLOOKUP(A59,'Custo_Fopag (2)'!$A:$BQ,25,0)</f>
        <v>0</v>
      </c>
      <c r="Z59" s="54">
        <f>VLOOKUP(A59,'Custo_Fopag (2)'!$A:$BQ,26,0)</f>
        <v>0</v>
      </c>
      <c r="AA59" s="54">
        <f>VLOOKUP(A59,'Custo_Fopag (2)'!$A:$BQ,27,0)</f>
        <v>74.89</v>
      </c>
      <c r="AB59" s="54">
        <f>VLOOKUP(A59,'Custo_Fopag (2)'!$A:$BQ,28,0)</f>
        <v>14.4</v>
      </c>
      <c r="AC59" s="54">
        <f>VLOOKUP(A59,'Custo_Fopag (2)'!$A:$BQ,29,0)</f>
        <v>0</v>
      </c>
      <c r="AD59" s="54">
        <f>VLOOKUP(A59,'Custo_Fopag (2)'!$A:$BQ,30,0)</f>
        <v>0</v>
      </c>
      <c r="AE59" s="54">
        <f>VLOOKUP(A59,'Custo_Fopag (2)'!$A:$BQ,31,0)</f>
        <v>0</v>
      </c>
      <c r="AF59" s="54">
        <f>VLOOKUP(A59,'Custo_Fopag (2)'!$A:$BQ,32,0)</f>
        <v>0</v>
      </c>
      <c r="AG59" s="54">
        <f t="shared" si="12"/>
        <v>3307.29</v>
      </c>
      <c r="AH59" s="121">
        <f>VLOOKUP(A59,'Custo_Fopag (2)'!$A:$BQ,45,0)</f>
        <v>0</v>
      </c>
      <c r="AI59" s="54">
        <f>_xlfn.XLOOKUP(A59,Beneficios!A:A,Beneficios!B:B,0,0,1)</f>
        <v>512.87</v>
      </c>
      <c r="AJ59" s="54">
        <f>VLOOKUP(A59,'Custo_Fopag (2)'!$A:$BQ,47,0)</f>
        <v>0</v>
      </c>
      <c r="AK59" s="54">
        <v>0</v>
      </c>
      <c r="AL59" s="54">
        <f>VLOOKUP(A59,'Custo_Fopag (2)'!$A:$BQ,35,0)</f>
        <v>0</v>
      </c>
      <c r="AM59" s="54">
        <f>VLOOKUP(A59,'Custo_Fopag (2)'!$A:$BQ,36,0)</f>
        <v>0</v>
      </c>
      <c r="AN59" s="54">
        <f>VLOOKUP(A59,'Custo_Fopag (2)'!$A:$BQ,37,0)</f>
        <v>0</v>
      </c>
      <c r="AO59" s="54">
        <f>VLOOKUP(A59,'Custo_Fopag (2)'!$A:$BQ,39,0)</f>
        <v>0</v>
      </c>
      <c r="AP59" s="54">
        <f>VLOOKUP(A59,'Custo_Fopag (2)'!$A:$BQ,42,0)</f>
        <v>515</v>
      </c>
      <c r="AQ59" s="54">
        <f>VLOOKUP(A59,'Custo_Fopag (2)'!$A:$BQ,40,0)</f>
        <v>0</v>
      </c>
      <c r="AR59" s="54">
        <f>VLOOKUP(A59,'Custo_Fopag (2)'!$A:$BQ,41,0)</f>
        <v>579.34</v>
      </c>
      <c r="AS59" s="54">
        <f>VLOOKUP(A59,'Custo_Fopag (2)'!$A:$BQ,38,0)</f>
        <v>0</v>
      </c>
      <c r="AT59" s="54">
        <f>VLOOKUP(A59,'Custo_Fopag (2)'!$A:$BQ,43,0)</f>
        <v>0</v>
      </c>
      <c r="AU59" s="54">
        <f>VLOOKUP(A59,'Custo_Fopag (2)'!$A:$BQ,48,0)</f>
        <v>0</v>
      </c>
      <c r="AV59" s="54">
        <f>VLOOKUP(A59,'Custo_Fopag (2)'!$A:$BQ,49,0)</f>
        <v>0</v>
      </c>
      <c r="AW59" s="54">
        <f>VLOOKUP(A59,'Custo_Fopag (2)'!$A:$BQ,19,0)</f>
        <v>0</v>
      </c>
      <c r="AX59" s="54">
        <f>VLOOKUP(A59,'Custo_Fopag (2)'!$A:$BQ,50,0)</f>
        <v>0</v>
      </c>
      <c r="AY59" s="54">
        <f>VLOOKUP(A59,'Custo_Fopag (2)'!$A:$BQ,51,0)</f>
        <v>0</v>
      </c>
      <c r="AZ59" s="117">
        <v>0</v>
      </c>
      <c r="BA59" s="54">
        <f>VLOOKUP(A59,'Custo_Fopag (2)'!$A:$BQ,54,0)</f>
        <v>0</v>
      </c>
      <c r="BB59" s="54">
        <f>VLOOKUP(A59,'Custo_Fopag (2)'!$A:$BQ,52,0)</f>
        <v>0</v>
      </c>
      <c r="BC59" s="122">
        <f t="shared" si="13"/>
        <v>1607.21</v>
      </c>
      <c r="BD59" s="54">
        <f t="shared" si="14"/>
        <v>4914.5</v>
      </c>
      <c r="BE59" s="57"/>
      <c r="BF59" s="54">
        <f t="shared" si="15"/>
        <v>4914.5</v>
      </c>
      <c r="BG59" s="54">
        <f t="shared" si="16"/>
        <v>275.60750000000002</v>
      </c>
      <c r="BH59" s="54">
        <f t="shared" si="17"/>
        <v>275.60750000000002</v>
      </c>
      <c r="BI59" s="54">
        <f t="shared" si="18"/>
        <v>91.869166666666672</v>
      </c>
      <c r="BJ59" s="54">
        <f t="shared" si="19"/>
        <v>643.08416666666676</v>
      </c>
      <c r="BK59" s="54">
        <f>VLOOKUP(A59,'Custo_Fopag (2)'!$A:$BQ,65,0)</f>
        <v>661.46</v>
      </c>
      <c r="BL59" s="54">
        <f>VLOOKUP(A59,'Custo_Fopag (2)'!$A:$BQP,66,0)</f>
        <v>49.6</v>
      </c>
      <c r="BM59" s="54">
        <f>VLOOKUP(A59,'Custo_Fopag (2)'!$A:$BQ,67,0)</f>
        <v>191.82</v>
      </c>
      <c r="BN59" s="54">
        <f>VLOOKUP(A59,'Custo_Fopag (2)'!$A:$BQ,64,0)</f>
        <v>264.58</v>
      </c>
      <c r="BO59" s="54">
        <f t="shared" si="20"/>
        <v>1167.46</v>
      </c>
      <c r="BP59" s="54">
        <f t="shared" si="21"/>
        <v>6081.96</v>
      </c>
      <c r="BQ59" s="54">
        <f t="shared" si="22"/>
        <v>6725.0441666666666</v>
      </c>
      <c r="BR59" s="109">
        <f>VLOOKUP(A59,'Custo_Fopag (2)'!$A:$BQ,60,0)</f>
        <v>0</v>
      </c>
      <c r="BS59" s="83" t="str">
        <f t="shared" si="23"/>
        <v>Ativo</v>
      </c>
    </row>
    <row r="60" spans="1:71" x14ac:dyDescent="0.25">
      <c r="A60" s="59" t="s">
        <v>336</v>
      </c>
      <c r="B60" s="88">
        <v>46082</v>
      </c>
      <c r="C60" s="59" t="s">
        <v>5</v>
      </c>
      <c r="D60" s="59" t="str">
        <f>VLOOKUP(A60,'Custo_Fopag (2)'!A:$BQ,4,0)</f>
        <v>G3S FL 05 - PRES PRUD</v>
      </c>
      <c r="E60" s="59"/>
      <c r="F60" s="59"/>
      <c r="G60" s="59" t="str">
        <f>VLOOKUP(A60,'Custo_Fopag (2)'!$A:$BQ,5,0)</f>
        <v>20.947.332/0005-19</v>
      </c>
      <c r="H60" s="59" t="str">
        <f>VLOOKUP(A60,'Custo_Fopag (2)'!$A:$BQ,6,0)</f>
        <v>LOGISTICA</v>
      </c>
      <c r="I60" s="59" t="str">
        <f>VLOOKUP(A60,'Custo_Fopag (2)'!$A:$BQ,7,0)</f>
        <v>TRANSPORTE</v>
      </c>
      <c r="J60" s="59" t="str">
        <f>VLOOKUP(A60,'Custo_Fopag (2)'!$A:$BQ,8,0)</f>
        <v>BRACOFER</v>
      </c>
      <c r="K60" s="78">
        <f>VLOOKUP(A60,'Custo_Fopag (2)'!$A:$BQ,9,0)</f>
        <v>45701</v>
      </c>
      <c r="L60" s="52">
        <f>VLOOKUP(A60,'Custo_Fopag (2)'!$A:$BQ,10,0)</f>
        <v>46093</v>
      </c>
      <c r="N60" s="3" t="str">
        <f>VLOOKUP(A60,'Custo_Fopag (2)'!$A:$BQ,11,0)</f>
        <v>1.3.1.4 LOGISTICA</v>
      </c>
      <c r="O60" s="3" t="str">
        <f>VLOOKUP(A60,'Custo_Fopag (2)'!$A:$BQ,12,0)</f>
        <v>MOTORISTA TRUCK MANTENEDOR JUNIOR</v>
      </c>
      <c r="P60" s="126">
        <f>VLOOKUP(A60,'Custo_Fopag (2)'!$A:$BQ,13,0)</f>
        <v>2308.81</v>
      </c>
      <c r="Q60" s="127">
        <f>VLOOKUP(A60,'Custo_Fopag (2)'!$A:$BQ,16,0)</f>
        <v>0</v>
      </c>
      <c r="R60" s="56">
        <f>VLOOKUP(A60,'Custo_Fopag (2)'!$A:$BQ,17,0)</f>
        <v>0</v>
      </c>
      <c r="S60" s="54">
        <f>VLOOKUP(A60,'Custo_Fopag (2)'!$A:$BP,18,0)</f>
        <v>0</v>
      </c>
      <c r="T60" s="54">
        <f>VLOOKUP(A60,'Custo_Fopag (2)'!$A:$BQ,20,0)</f>
        <v>182.92</v>
      </c>
      <c r="U60" s="54">
        <f>VLOOKUP(A60,'Custo_Fopag (2)'!$A:$BQ,21,0)</f>
        <v>0</v>
      </c>
      <c r="V60" s="54">
        <f>VLOOKUP(A60,'Custo_Fopag (2)'!$A:$BQ,22,0)</f>
        <v>0</v>
      </c>
      <c r="W60" s="54">
        <f>VLOOKUP(A60,'Custo_Fopag (2)'!$A:$BQ,23,0)</f>
        <v>0</v>
      </c>
      <c r="X60" s="54">
        <f>VLOOKUP(A60,'Custo_Fopag (2)'!$A:$BQ,24,0)</f>
        <v>0</v>
      </c>
      <c r="Y60" s="55">
        <f>VLOOKUP(A60,'Custo_Fopag (2)'!$A:$BQ,25,0)</f>
        <v>0</v>
      </c>
      <c r="Z60" s="54">
        <f>VLOOKUP(A60,'Custo_Fopag (2)'!$A:$BQ,26,0)</f>
        <v>0</v>
      </c>
      <c r="AA60" s="54">
        <f>VLOOKUP(A60,'Custo_Fopag (2)'!$A:$BQ,27,0)</f>
        <v>70.52</v>
      </c>
      <c r="AB60" s="54">
        <f>VLOOKUP(A60,'Custo_Fopag (2)'!$A:$BQ,28,0)</f>
        <v>14.1</v>
      </c>
      <c r="AC60" s="54">
        <f>VLOOKUP(A60,'Custo_Fopag (2)'!$A:$BQ,29,0)</f>
        <v>0</v>
      </c>
      <c r="AD60" s="54">
        <f>VLOOKUP(A60,'Custo_Fopag (2)'!$A:$BQ,30,0)</f>
        <v>0</v>
      </c>
      <c r="AE60" s="54">
        <f>VLOOKUP(A60,'Custo_Fopag (2)'!$A:$BQ,31,0)</f>
        <v>0</v>
      </c>
      <c r="AF60" s="54">
        <f>VLOOKUP(A60,'Custo_Fopag (2)'!$A:$BQ,32,0)</f>
        <v>0</v>
      </c>
      <c r="AG60" s="54">
        <f t="shared" si="12"/>
        <v>267.54000000000002</v>
      </c>
      <c r="AH60" s="121">
        <f>VLOOKUP(A60,'Custo_Fopag (2)'!$A:$BQ,45,0)</f>
        <v>0</v>
      </c>
      <c r="AI60" s="54">
        <f>_xlfn.XLOOKUP(A60,'Custo_Fopag (2)'!A:A,'Custo_Fopag (2)'!AT:AT,0,0,1)</f>
        <v>500</v>
      </c>
      <c r="AJ60" s="54">
        <f>VLOOKUP(A60,'Custo_Fopag (2)'!$A:$BQ,47,0)</f>
        <v>0</v>
      </c>
      <c r="AK60" s="54">
        <v>0</v>
      </c>
      <c r="AL60" s="54">
        <f>VLOOKUP(A60,'Custo_Fopag (2)'!$A:$BQ,35,0)</f>
        <v>0</v>
      </c>
      <c r="AM60" s="54">
        <f>VLOOKUP(A60,'Custo_Fopag (2)'!$A:$BQ,36,0)</f>
        <v>0</v>
      </c>
      <c r="AN60" s="54">
        <f>VLOOKUP(A60,'Custo_Fopag (2)'!$A:$BQ,37,0)</f>
        <v>0</v>
      </c>
      <c r="AO60" s="54">
        <f>VLOOKUP(A60,'Custo_Fopag (2)'!$A:$BQ,39,0)</f>
        <v>0</v>
      </c>
      <c r="AP60" s="54">
        <f>VLOOKUP(A60,'Custo_Fopag (2)'!$A:$BQ,42,0)</f>
        <v>0</v>
      </c>
      <c r="AQ60" s="54">
        <f>VLOOKUP(A60,'Custo_Fopag (2)'!$A:$BQ,40,0)</f>
        <v>0</v>
      </c>
      <c r="AR60" s="54">
        <f>VLOOKUP(A60,'Custo_Fopag (2)'!$A:$BQ,41,0)</f>
        <v>0</v>
      </c>
      <c r="AS60" s="54">
        <f>VLOOKUP(A60,'Custo_Fopag (2)'!$A:$BQ,38,0)</f>
        <v>0</v>
      </c>
      <c r="AT60" s="54">
        <f>VLOOKUP(A60,'Custo_Fopag (2)'!$A:$BQ,43,0)</f>
        <v>0</v>
      </c>
      <c r="AU60" s="54">
        <f>VLOOKUP(A60,'Custo_Fopag (2)'!$A:$BQ,48,0)</f>
        <v>0</v>
      </c>
      <c r="AV60" s="54">
        <f>VLOOKUP(A60,'Custo_Fopag (2)'!$A:$BQ,49,0)</f>
        <v>0</v>
      </c>
      <c r="AW60" s="54">
        <f>VLOOKUP(A60,'Custo_Fopag (2)'!$A:$BQ,19,0)</f>
        <v>0</v>
      </c>
      <c r="AX60" s="54">
        <f>VLOOKUP(A60,'Custo_Fopag (2)'!$A:$BQ,50,0)</f>
        <v>54.03</v>
      </c>
      <c r="AY60" s="54">
        <f>VLOOKUP(A60,'Custo_Fopag (2)'!$A:$BQ,51,0)</f>
        <v>0</v>
      </c>
      <c r="AZ60" s="117">
        <v>0</v>
      </c>
      <c r="BA60" s="54">
        <f>VLOOKUP(A60,'Custo_Fopag (2)'!$A:$BQ,54,0)</f>
        <v>0</v>
      </c>
      <c r="BB60" s="54">
        <f>VLOOKUP(A60,'Custo_Fopag (2)'!$A:$BQ,52,0)</f>
        <v>0</v>
      </c>
      <c r="BC60" s="122">
        <f t="shared" si="13"/>
        <v>554.03</v>
      </c>
      <c r="BD60" s="54">
        <f t="shared" si="14"/>
        <v>821.56999999999994</v>
      </c>
      <c r="BE60" s="57"/>
      <c r="BF60" s="54">
        <f t="shared" si="15"/>
        <v>821.56999999999994</v>
      </c>
      <c r="BG60" s="54">
        <f t="shared" si="16"/>
        <v>22.295000000000002</v>
      </c>
      <c r="BH60" s="54">
        <f t="shared" si="17"/>
        <v>22.295000000000002</v>
      </c>
      <c r="BI60" s="54">
        <f t="shared" si="18"/>
        <v>7.4316666666666675</v>
      </c>
      <c r="BJ60" s="54">
        <f t="shared" si="19"/>
        <v>52.021666666666668</v>
      </c>
      <c r="BK60" s="54">
        <f>VLOOKUP(A60,'Custo_Fopag (2)'!$A:$BQ,65,0)</f>
        <v>53.51</v>
      </c>
      <c r="BL60" s="54">
        <f>VLOOKUP(A60,'Custo_Fopag (2)'!$A:$BQP,66,0)</f>
        <v>4.01</v>
      </c>
      <c r="BM60" s="54">
        <f>VLOOKUP(A60,'Custo_Fopag (2)'!$A:$BQ,67,0)</f>
        <v>15.51</v>
      </c>
      <c r="BN60" s="54">
        <f>VLOOKUP(A60,'Custo_Fopag (2)'!$A:$BQ,64,0)</f>
        <v>0</v>
      </c>
      <c r="BO60" s="54">
        <f t="shared" si="20"/>
        <v>73.03</v>
      </c>
      <c r="BP60" s="54">
        <f t="shared" si="21"/>
        <v>894.59999999999991</v>
      </c>
      <c r="BQ60" s="54">
        <f t="shared" si="22"/>
        <v>946.62166666666656</v>
      </c>
      <c r="BR60" s="109">
        <f>VLOOKUP(A60,'Custo_Fopag (2)'!$A:$BQ,60,0)</f>
        <v>7959.66</v>
      </c>
      <c r="BS60" s="83" t="str">
        <f t="shared" si="23"/>
        <v>Desligado</v>
      </c>
    </row>
    <row r="61" spans="1:71" x14ac:dyDescent="0.25">
      <c r="A61" s="130" t="s">
        <v>217</v>
      </c>
      <c r="B61" s="88">
        <v>46082</v>
      </c>
      <c r="C61" s="130" t="s">
        <v>5</v>
      </c>
      <c r="D61" s="130" t="str">
        <f>VLOOKUP(A61,'Custo_Fopag (2)'!A:$BQ,4,0)</f>
        <v>G3S FL 10 - PRES PRUD</v>
      </c>
      <c r="E61" s="130"/>
      <c r="F61" s="130"/>
      <c r="G61" s="130" t="str">
        <f>VLOOKUP(A61,'Custo_Fopag (2)'!$A:$BQ,5,0)</f>
        <v>20.947.332/0010-86</v>
      </c>
      <c r="H61" s="130" t="str">
        <f>VLOOKUP(A61,'Custo_Fopag (2)'!$A:$BQ,6,0)</f>
        <v>ADMINISTRATIVO</v>
      </c>
      <c r="I61" s="130" t="str">
        <f>VLOOKUP(A61,'Custo_Fopag (2)'!$A:$BQ,7,0)</f>
        <v>FINANCEIRO</v>
      </c>
      <c r="J61" s="130" t="str">
        <f>VLOOKUP(A61,'Custo_Fopag (2)'!$A:$BQ,8,0)</f>
        <v>SELETIVA CORPORATIVO SUCATA</v>
      </c>
      <c r="K61" s="131">
        <f>VLOOKUP(A61,'Custo_Fopag (2)'!$A:$BQ,9,0)</f>
        <v>44410</v>
      </c>
      <c r="M61" s="113"/>
      <c r="N61" s="113" t="str">
        <f>VLOOKUP(A61,'Custo_Fopag (2)'!$A:$BQ,11,0)</f>
        <v>1.1.3 FINANCEIRO</v>
      </c>
      <c r="O61" s="3" t="str">
        <f>VLOOKUP(A61,'Custo_Fopag (2)'!$A:$BQ,12,0)</f>
        <v>ANALISTA FINANCEIRO SENIOR II</v>
      </c>
      <c r="P61" s="126">
        <f>VLOOKUP(A61,'Custo_Fopag (2)'!$A:$BQ,13,0)</f>
        <v>3850</v>
      </c>
      <c r="Q61" s="127">
        <f>VLOOKUP(A61,'Custo_Fopag (2)'!$A:$BQ,16,0)</f>
        <v>3850</v>
      </c>
      <c r="R61" s="56">
        <f>VLOOKUP(A61,'Custo_Fopag (2)'!$A:$BQ,17,0)</f>
        <v>0</v>
      </c>
      <c r="S61" s="54">
        <f>VLOOKUP(A61,'Custo_Fopag (2)'!$A:$BP,18,0)</f>
        <v>0</v>
      </c>
      <c r="T61" s="54">
        <f>VLOOKUP(A61,'Custo_Fopag (2)'!$A:$BQ,20,0)</f>
        <v>0</v>
      </c>
      <c r="U61" s="54">
        <f>VLOOKUP(A61,'Custo_Fopag (2)'!$A:$BQ,21,0)</f>
        <v>0</v>
      </c>
      <c r="V61" s="54">
        <f>VLOOKUP(A61,'Custo_Fopag (2)'!$A:$BQ,22,0)</f>
        <v>0</v>
      </c>
      <c r="W61" s="54">
        <f>VLOOKUP(A61,'Custo_Fopag (2)'!$A:$BQ,23,0)</f>
        <v>0</v>
      </c>
      <c r="X61" s="54">
        <f>VLOOKUP(A61,'Custo_Fopag (2)'!$A:$BQ,24,0)</f>
        <v>0</v>
      </c>
      <c r="Y61" s="55">
        <f>VLOOKUP(A61,'Custo_Fopag (2)'!$A:$BQ,25,0)</f>
        <v>0</v>
      </c>
      <c r="Z61" s="54">
        <f>VLOOKUP(A61,'Custo_Fopag (2)'!$A:$BQ,26,0)</f>
        <v>0</v>
      </c>
      <c r="AA61" s="54">
        <f>VLOOKUP(A61,'Custo_Fopag (2)'!$A:$BQ,27,0)</f>
        <v>0</v>
      </c>
      <c r="AB61" s="54">
        <f>VLOOKUP(A61,'Custo_Fopag (2)'!$A:$BQ,28,0)</f>
        <v>0</v>
      </c>
      <c r="AC61" s="54">
        <f>VLOOKUP(A61,'Custo_Fopag (2)'!$A:$BQ,29,0)</f>
        <v>0</v>
      </c>
      <c r="AD61" s="54">
        <f>VLOOKUP(A61,'Custo_Fopag (2)'!$A:$BQ,30,0)</f>
        <v>0</v>
      </c>
      <c r="AE61" s="54">
        <f>VLOOKUP(A61,'Custo_Fopag (2)'!$A:$BQ,31,0)</f>
        <v>0</v>
      </c>
      <c r="AF61" s="54">
        <f>VLOOKUP(A61,'Custo_Fopag (2)'!$A:$BQ,32,0)</f>
        <v>0</v>
      </c>
      <c r="AG61" s="54">
        <f t="shared" si="12"/>
        <v>3850</v>
      </c>
      <c r="AH61" s="121">
        <f>VLOOKUP(A61,'Custo_Fopag (2)'!$A:$BQ,45,0)</f>
        <v>0</v>
      </c>
      <c r="AI61" s="54">
        <f>_xlfn.XLOOKUP(A61,Beneficios!A:A,Beneficios!B:B,0,0,1)</f>
        <v>521.87</v>
      </c>
      <c r="AJ61" s="54">
        <f>VLOOKUP(A61,'Custo_Fopag (2)'!$A:$BQ,47,0)</f>
        <v>0</v>
      </c>
      <c r="AK61" s="54">
        <v>0</v>
      </c>
      <c r="AL61" s="54">
        <f>VLOOKUP(A61,'Custo_Fopag (2)'!$A:$BQ,35,0)</f>
        <v>0</v>
      </c>
      <c r="AM61" s="54">
        <f>VLOOKUP(A61,'Custo_Fopag (2)'!$A:$BQ,36,0)</f>
        <v>0</v>
      </c>
      <c r="AN61" s="54">
        <f>VLOOKUP(A61,'Custo_Fopag (2)'!$A:$BQ,37,0)</f>
        <v>0</v>
      </c>
      <c r="AO61" s="54">
        <f>VLOOKUP(A61,'Custo_Fopag (2)'!$A:$BQ,39,0)</f>
        <v>0</v>
      </c>
      <c r="AP61" s="54">
        <f>VLOOKUP(A61,'Custo_Fopag (2)'!$A:$BQ,42,0)</f>
        <v>0</v>
      </c>
      <c r="AQ61" s="54">
        <f>VLOOKUP(A61,'Custo_Fopag (2)'!$A:$BQ,40,0)</f>
        <v>0</v>
      </c>
      <c r="AR61" s="54">
        <f>VLOOKUP(A61,'Custo_Fopag (2)'!$A:$BQ,41,0)</f>
        <v>0</v>
      </c>
      <c r="AS61" s="54">
        <f>VLOOKUP(A61,'Custo_Fopag (2)'!$A:$BQ,38,0)</f>
        <v>0</v>
      </c>
      <c r="AT61" s="54">
        <f>VLOOKUP(A61,'Custo_Fopag (2)'!$A:$BQ,43,0)</f>
        <v>0</v>
      </c>
      <c r="AU61" s="54">
        <f>VLOOKUP(A61,'Custo_Fopag (2)'!$A:$BQ,48,0)</f>
        <v>0</v>
      </c>
      <c r="AV61" s="54">
        <f>VLOOKUP(A61,'Custo_Fopag (2)'!$A:$BQ,49,0)</f>
        <v>0</v>
      </c>
      <c r="AW61" s="54">
        <f>VLOOKUP(A61,'Custo_Fopag (2)'!$A:$BQ,19,0)</f>
        <v>0</v>
      </c>
      <c r="AX61" s="54">
        <f>VLOOKUP(A61,'Custo_Fopag (2)'!$A:$BQ,50,0)</f>
        <v>0</v>
      </c>
      <c r="AY61" s="54">
        <f>VLOOKUP(A61,'Custo_Fopag (2)'!$A:$BQ,51,0)</f>
        <v>0</v>
      </c>
      <c r="AZ61" s="117">
        <v>0</v>
      </c>
      <c r="BA61" s="54">
        <f>VLOOKUP(A61,'Custo_Fopag (2)'!$A:$BQ,54,0)</f>
        <v>0</v>
      </c>
      <c r="BB61" s="54">
        <f>VLOOKUP(A61,'Custo_Fopag (2)'!$A:$BQ,52,0)</f>
        <v>0</v>
      </c>
      <c r="BC61" s="122">
        <f t="shared" si="13"/>
        <v>521.87</v>
      </c>
      <c r="BD61" s="54">
        <f t="shared" si="14"/>
        <v>4371.87</v>
      </c>
      <c r="BE61" s="57"/>
      <c r="BF61" s="54">
        <f t="shared" si="15"/>
        <v>4371.87</v>
      </c>
      <c r="BG61" s="54">
        <f t="shared" si="16"/>
        <v>320.83333333333331</v>
      </c>
      <c r="BH61" s="54">
        <f t="shared" si="17"/>
        <v>320.83333333333331</v>
      </c>
      <c r="BI61" s="54">
        <f t="shared" si="18"/>
        <v>106.94444444444444</v>
      </c>
      <c r="BJ61" s="54">
        <f t="shared" si="19"/>
        <v>748.61111111111109</v>
      </c>
      <c r="BK61" s="54">
        <f>VLOOKUP(A61,'Custo_Fopag (2)'!$A:$BQ,65,0)</f>
        <v>770</v>
      </c>
      <c r="BL61" s="54">
        <f>VLOOKUP(A61,'Custo_Fopag (2)'!$A:$BQP,66,0)</f>
        <v>115.5</v>
      </c>
      <c r="BM61" s="54">
        <f>VLOOKUP(A61,'Custo_Fopag (2)'!$A:$BQ,67,0)</f>
        <v>223.3</v>
      </c>
      <c r="BN61" s="54">
        <f>VLOOKUP(A61,'Custo_Fopag (2)'!$A:$BQ,64,0)</f>
        <v>308</v>
      </c>
      <c r="BO61" s="54">
        <f t="shared" si="20"/>
        <v>1416.8</v>
      </c>
      <c r="BP61" s="54">
        <f t="shared" si="21"/>
        <v>5788.67</v>
      </c>
      <c r="BQ61" s="54">
        <f t="shared" si="22"/>
        <v>6537.2811111111114</v>
      </c>
      <c r="BR61" s="109">
        <f>VLOOKUP(A61,'Custo_Fopag (2)'!$A:$BQ,60,0)</f>
        <v>0</v>
      </c>
      <c r="BS61" s="83" t="str">
        <f t="shared" si="23"/>
        <v>Ativo</v>
      </c>
    </row>
    <row r="62" spans="1:71" x14ac:dyDescent="0.25">
      <c r="A62" s="3" t="s">
        <v>238</v>
      </c>
      <c r="B62" s="88">
        <v>46082</v>
      </c>
      <c r="C62" s="3" t="s">
        <v>5</v>
      </c>
      <c r="D62" s="59" t="str">
        <f>VLOOKUP(A62,'Custo_Fopag (2)'!A:$BQ,4,0)</f>
        <v>G3S FL 10 - PRES PRUD</v>
      </c>
      <c r="E62" s="59"/>
      <c r="F62" s="59"/>
      <c r="G62" s="59" t="str">
        <f>VLOOKUP(A62,'Custo_Fopag (2)'!$A:$BQ,5,0)</f>
        <v>20.947.332/0010-86</v>
      </c>
      <c r="H62" s="59" t="str">
        <f>VLOOKUP(A62,'Custo_Fopag (2)'!$A:$BQ,6,0)</f>
        <v>COMERCIAL</v>
      </c>
      <c r="I62" s="59" t="str">
        <f>VLOOKUP(A62,'Custo_Fopag (2)'!$A:$BQ,7,0)</f>
        <v>COMERCIAL</v>
      </c>
      <c r="J62" s="59" t="str">
        <f>VLOOKUP(A62,'Custo_Fopag (2)'!$A:$BQ,8,0)</f>
        <v>SELETIVA CORPORATIVO SUCATA</v>
      </c>
      <c r="K62" s="78">
        <f>VLOOKUP(A62,'Custo_Fopag (2)'!$A:$BQ,9,0)</f>
        <v>46055</v>
      </c>
      <c r="N62" s="3" t="str">
        <f>VLOOKUP(A62,'Custo_Fopag (2)'!$A:$BQ,11,0)</f>
        <v>1.2.1.1 APOIO</v>
      </c>
      <c r="O62" s="3" t="str">
        <f>VLOOKUP(A62,'Custo_Fopag (2)'!$A:$BQ,12,0)</f>
        <v>ASSISTENTE COMERCIAL</v>
      </c>
      <c r="P62" s="126">
        <f>VLOOKUP(A62,'Custo_Fopag (2)'!$A:$BQ,13,0)</f>
        <v>2098</v>
      </c>
      <c r="Q62" s="127">
        <f>VLOOKUP(A62,'Custo_Fopag (2)'!$A:$BQ,16,0)</f>
        <v>2098</v>
      </c>
      <c r="R62" s="56">
        <f>VLOOKUP(A62,'Custo_Fopag (2)'!$A:$BQ,17,0)</f>
        <v>0</v>
      </c>
      <c r="S62" s="54">
        <f>VLOOKUP(A62,'Custo_Fopag (2)'!$A:$BP,18,0)</f>
        <v>0</v>
      </c>
      <c r="T62" s="54">
        <f>VLOOKUP(A62,'Custo_Fopag (2)'!$A:$BQ,20,0)</f>
        <v>0</v>
      </c>
      <c r="U62" s="54">
        <f>VLOOKUP(A62,'Custo_Fopag (2)'!$A:$BQ,21,0)</f>
        <v>0</v>
      </c>
      <c r="V62" s="54">
        <f>VLOOKUP(A62,'Custo_Fopag (2)'!$A:$BQ,22,0)</f>
        <v>0</v>
      </c>
      <c r="W62" s="54">
        <f>VLOOKUP(A62,'Custo_Fopag (2)'!$A:$BQ,23,0)</f>
        <v>0</v>
      </c>
      <c r="X62" s="54">
        <f>VLOOKUP(A62,'Custo_Fopag (2)'!$A:$BQ,24,0)</f>
        <v>0</v>
      </c>
      <c r="Y62" s="55">
        <f>VLOOKUP(A62,'Custo_Fopag (2)'!$A:$BQ,25,0)</f>
        <v>0</v>
      </c>
      <c r="Z62" s="54">
        <f>VLOOKUP(A62,'Custo_Fopag (2)'!$A:$BQ,26,0)</f>
        <v>0</v>
      </c>
      <c r="AA62" s="54">
        <f>VLOOKUP(A62,'Custo_Fopag (2)'!$A:$BQ,27,0)</f>
        <v>0</v>
      </c>
      <c r="AB62" s="54">
        <f>VLOOKUP(A62,'Custo_Fopag (2)'!$A:$BQ,28,0)</f>
        <v>0</v>
      </c>
      <c r="AC62" s="54">
        <f>VLOOKUP(A62,'Custo_Fopag (2)'!$A:$BQ,29,0)</f>
        <v>0</v>
      </c>
      <c r="AD62" s="54">
        <f>VLOOKUP(A62,'Custo_Fopag (2)'!$A:$BQ,30,0)</f>
        <v>0</v>
      </c>
      <c r="AE62" s="54">
        <f>VLOOKUP(A62,'Custo_Fopag (2)'!$A:$BQ,31,0)</f>
        <v>0</v>
      </c>
      <c r="AF62" s="54">
        <f>VLOOKUP(A62,'Custo_Fopag (2)'!$A:$BQ,32,0)</f>
        <v>0</v>
      </c>
      <c r="AG62" s="54">
        <f t="shared" si="12"/>
        <v>2098</v>
      </c>
      <c r="AH62" s="121">
        <f>VLOOKUP(A62,'Custo_Fopag (2)'!$A:$BQ,45,0)</f>
        <v>0</v>
      </c>
      <c r="AI62" s="54">
        <f>_xlfn.XLOOKUP(A62,Beneficios!A:A,Beneficios!B:B,0,0,1)</f>
        <v>521.87</v>
      </c>
      <c r="AJ62" s="54">
        <f>VLOOKUP(A62,'Custo_Fopag (2)'!$A:$BQ,47,0)</f>
        <v>0</v>
      </c>
      <c r="AK62" s="54">
        <v>0</v>
      </c>
      <c r="AL62" s="54">
        <f>VLOOKUP(A62,'Custo_Fopag (2)'!$A:$BQ,35,0)</f>
        <v>0</v>
      </c>
      <c r="AM62" s="54">
        <f>VLOOKUP(A62,'Custo_Fopag (2)'!$A:$BQ,36,0)</f>
        <v>0</v>
      </c>
      <c r="AN62" s="54">
        <f>VLOOKUP(A62,'Custo_Fopag (2)'!$A:$BQ,37,0)</f>
        <v>0</v>
      </c>
      <c r="AO62" s="54">
        <f>VLOOKUP(A62,'Custo_Fopag (2)'!$A:$BQ,39,0)</f>
        <v>0</v>
      </c>
      <c r="AP62" s="54">
        <f>VLOOKUP(A62,'Custo_Fopag (2)'!$A:$BQ,42,0)</f>
        <v>0</v>
      </c>
      <c r="AQ62" s="54">
        <f>VLOOKUP(A62,'Custo_Fopag (2)'!$A:$BQ,40,0)</f>
        <v>0</v>
      </c>
      <c r="AR62" s="54">
        <f>VLOOKUP(A62,'Custo_Fopag (2)'!$A:$BQ,41,0)</f>
        <v>0</v>
      </c>
      <c r="AS62" s="54">
        <f>VLOOKUP(A62,'Custo_Fopag (2)'!$A:$BQ,38,0)</f>
        <v>929.47</v>
      </c>
      <c r="AT62" s="54">
        <f>VLOOKUP(A62,'Custo_Fopag (2)'!$A:$BQ,43,0)</f>
        <v>0</v>
      </c>
      <c r="AU62" s="54">
        <f>VLOOKUP(A62,'Custo_Fopag (2)'!$A:$BQ,48,0)</f>
        <v>0</v>
      </c>
      <c r="AV62" s="54">
        <f>VLOOKUP(A62,'Custo_Fopag (2)'!$A:$BQ,49,0)</f>
        <v>0</v>
      </c>
      <c r="AW62" s="54">
        <f>VLOOKUP(A62,'Custo_Fopag (2)'!$A:$BQ,19,0)</f>
        <v>0</v>
      </c>
      <c r="AX62" s="54">
        <f>VLOOKUP(A62,'Custo_Fopag (2)'!$A:$BQ,50,0)</f>
        <v>0</v>
      </c>
      <c r="AY62" s="54">
        <f>VLOOKUP(A62,'Custo_Fopag (2)'!$A:$BQ,51,0)</f>
        <v>0</v>
      </c>
      <c r="AZ62" s="117">
        <v>0</v>
      </c>
      <c r="BA62" s="54">
        <f>VLOOKUP(A62,'Custo_Fopag (2)'!$A:$BQ,54,0)</f>
        <v>0</v>
      </c>
      <c r="BB62" s="54">
        <f>VLOOKUP(A62,'Custo_Fopag (2)'!$A:$BQ,52,0)</f>
        <v>0</v>
      </c>
      <c r="BC62" s="122">
        <f t="shared" si="13"/>
        <v>1451.3400000000001</v>
      </c>
      <c r="BD62" s="54">
        <f t="shared" si="14"/>
        <v>3549.34</v>
      </c>
      <c r="BE62" s="57"/>
      <c r="BF62" s="54">
        <f t="shared" si="15"/>
        <v>3549.34</v>
      </c>
      <c r="BG62" s="54">
        <f t="shared" si="16"/>
        <v>174.83333333333334</v>
      </c>
      <c r="BH62" s="54">
        <f t="shared" si="17"/>
        <v>174.83333333333334</v>
      </c>
      <c r="BI62" s="54">
        <f t="shared" si="18"/>
        <v>58.277777777777779</v>
      </c>
      <c r="BJ62" s="54">
        <f t="shared" si="19"/>
        <v>407.94444444444446</v>
      </c>
      <c r="BK62" s="54">
        <f>VLOOKUP(A62,'Custo_Fopag (2)'!$A:$BQ,65,0)</f>
        <v>419.6</v>
      </c>
      <c r="BL62" s="54">
        <f>VLOOKUP(A62,'Custo_Fopag (2)'!$A:$BQP,66,0)</f>
        <v>62.94</v>
      </c>
      <c r="BM62" s="54">
        <f>VLOOKUP(A62,'Custo_Fopag (2)'!$A:$BQ,67,0)</f>
        <v>121.68</v>
      </c>
      <c r="BN62" s="54">
        <f>VLOOKUP(A62,'Custo_Fopag (2)'!$A:$BQ,64,0)</f>
        <v>167.84</v>
      </c>
      <c r="BO62" s="54">
        <f t="shared" si="20"/>
        <v>772.06000000000006</v>
      </c>
      <c r="BP62" s="54">
        <f t="shared" si="21"/>
        <v>4321.4000000000005</v>
      </c>
      <c r="BQ62" s="54">
        <f t="shared" si="22"/>
        <v>4729.3444444444449</v>
      </c>
      <c r="BR62" s="109">
        <f>VLOOKUP(A62,'Custo_Fopag (2)'!$A:$BQ,60,0)</f>
        <v>0</v>
      </c>
      <c r="BS62" s="83" t="str">
        <f t="shared" si="23"/>
        <v>Ativo</v>
      </c>
    </row>
    <row r="63" spans="1:71" s="58" customFormat="1" x14ac:dyDescent="0.25">
      <c r="A63" s="130" t="s">
        <v>221</v>
      </c>
      <c r="B63" s="88">
        <v>46082</v>
      </c>
      <c r="C63" s="130" t="s">
        <v>5</v>
      </c>
      <c r="D63" s="130" t="str">
        <f>VLOOKUP(A63,'Custo_Fopag (2)'!A:$BQ,4,0)</f>
        <v>G3S FL 10 - PRES PRUD</v>
      </c>
      <c r="E63" s="130"/>
      <c r="F63" s="130"/>
      <c r="G63" s="130" t="str">
        <f>VLOOKUP(A63,'Custo_Fopag (2)'!$A:$BQ,5,0)</f>
        <v>20.947.332/0010-86</v>
      </c>
      <c r="H63" s="130" t="str">
        <f>VLOOKUP(A63,'Custo_Fopag (2)'!$A:$BQ,6,0)</f>
        <v>GESTÃO DE GENTE</v>
      </c>
      <c r="I63" s="130" t="str">
        <f>VLOOKUP(A63,'Custo_Fopag (2)'!$A:$BQ,7,0)</f>
        <v>SEGURANCA DO TRABALHO</v>
      </c>
      <c r="J63" s="130" t="str">
        <f>VLOOKUP(A63,'Custo_Fopag (2)'!$A:$BQ,8,0)</f>
        <v>SELETIVA CORPORATIVO SUCATA</v>
      </c>
      <c r="K63" s="131">
        <f>VLOOKUP(A63,'Custo_Fopag (2)'!$A:$BQ,9,0)</f>
        <v>44271</v>
      </c>
      <c r="L63" s="52"/>
      <c r="M63" s="113"/>
      <c r="N63" s="113" t="str">
        <f>VLOOKUP(A63,'Custo_Fopag (2)'!$A:$BQ,11,0)</f>
        <v>1.1.10 PESSOAS</v>
      </c>
      <c r="O63" s="3" t="str">
        <f>VLOOKUP(A63,'Custo_Fopag (2)'!$A:$BQ,12,0)</f>
        <v>ANALISTA DE SESMT</v>
      </c>
      <c r="P63" s="126">
        <f>VLOOKUP(A63,'Custo_Fopag (2)'!$A:$BQ,13,0)</f>
        <v>4250</v>
      </c>
      <c r="Q63" s="127">
        <f>VLOOKUP(A63,'Custo_Fopag (2)'!$A:$BQ,16,0)</f>
        <v>4250</v>
      </c>
      <c r="R63" s="56">
        <f>VLOOKUP(A63,'Custo_Fopag (2)'!$A:$BQ,17,0)</f>
        <v>0</v>
      </c>
      <c r="S63" s="54">
        <f>VLOOKUP(A63,'Custo_Fopag (2)'!$A:$BP,18,0)</f>
        <v>0</v>
      </c>
      <c r="T63" s="54">
        <f>VLOOKUP(A63,'Custo_Fopag (2)'!$A:$BQ,20,0)</f>
        <v>0</v>
      </c>
      <c r="U63" s="54">
        <f>VLOOKUP(A63,'Custo_Fopag (2)'!$A:$BQ,21,0)</f>
        <v>0</v>
      </c>
      <c r="V63" s="54">
        <f>VLOOKUP(A63,'Custo_Fopag (2)'!$A:$BQ,22,0)</f>
        <v>0</v>
      </c>
      <c r="W63" s="54">
        <f>VLOOKUP(A63,'Custo_Fopag (2)'!$A:$BQ,23,0)</f>
        <v>0</v>
      </c>
      <c r="X63" s="54">
        <f>VLOOKUP(A63,'Custo_Fopag (2)'!$A:$BQ,24,0)</f>
        <v>0</v>
      </c>
      <c r="Y63" s="55">
        <f>VLOOKUP(A63,'Custo_Fopag (2)'!$A:$BQ,25,0)</f>
        <v>0</v>
      </c>
      <c r="Z63" s="54">
        <f>VLOOKUP(A63,'Custo_Fopag (2)'!$A:$BQ,26,0)</f>
        <v>0</v>
      </c>
      <c r="AA63" s="54">
        <f>VLOOKUP(A63,'Custo_Fopag (2)'!$A:$BQ,27,0)</f>
        <v>0</v>
      </c>
      <c r="AB63" s="54">
        <f>VLOOKUP(A63,'Custo_Fopag (2)'!$A:$BQ,28,0)</f>
        <v>0</v>
      </c>
      <c r="AC63" s="54">
        <f>VLOOKUP(A63,'Custo_Fopag (2)'!$A:$BQ,29,0)</f>
        <v>0</v>
      </c>
      <c r="AD63" s="54">
        <f>VLOOKUP(A63,'Custo_Fopag (2)'!$A:$BQ,30,0)</f>
        <v>0</v>
      </c>
      <c r="AE63" s="54">
        <f>VLOOKUP(A63,'Custo_Fopag (2)'!$A:$BQ,31,0)</f>
        <v>0</v>
      </c>
      <c r="AF63" s="54">
        <f>VLOOKUP(A63,'Custo_Fopag (2)'!$A:$BQ,32,0)</f>
        <v>0</v>
      </c>
      <c r="AG63" s="54">
        <f t="shared" si="12"/>
        <v>4250</v>
      </c>
      <c r="AH63" s="121">
        <f>VLOOKUP(A63,'Custo_Fopag (2)'!$A:$BQ,45,0)</f>
        <v>0</v>
      </c>
      <c r="AI63" s="54">
        <f>_xlfn.XLOOKUP(A63,Beneficios!A:A,Beneficios!B:B,0,0,1)</f>
        <v>521.87</v>
      </c>
      <c r="AJ63" s="54">
        <f>VLOOKUP(A63,'Custo_Fopag (2)'!$A:$BQ,47,0)</f>
        <v>0</v>
      </c>
      <c r="AK63" s="54">
        <v>0</v>
      </c>
      <c r="AL63" s="54">
        <f>VLOOKUP(A63,'Custo_Fopag (2)'!$A:$BQ,35,0)</f>
        <v>0</v>
      </c>
      <c r="AM63" s="54">
        <f>VLOOKUP(A63,'Custo_Fopag (2)'!$A:$BQ,36,0)</f>
        <v>0</v>
      </c>
      <c r="AN63" s="54">
        <f>VLOOKUP(A63,'Custo_Fopag (2)'!$A:$BQ,37,0)</f>
        <v>0</v>
      </c>
      <c r="AO63" s="54">
        <f>VLOOKUP(A63,'Custo_Fopag (2)'!$A:$BQ,39,0)</f>
        <v>0</v>
      </c>
      <c r="AP63" s="54">
        <f>VLOOKUP(A63,'Custo_Fopag (2)'!$A:$BQ,42,0)</f>
        <v>0</v>
      </c>
      <c r="AQ63" s="54">
        <f>VLOOKUP(A63,'Custo_Fopag (2)'!$A:$BQ,40,0)</f>
        <v>0</v>
      </c>
      <c r="AR63" s="54">
        <f>VLOOKUP(A63,'Custo_Fopag (2)'!$A:$BQ,41,0)</f>
        <v>651</v>
      </c>
      <c r="AS63" s="54">
        <f>VLOOKUP(A63,'Custo_Fopag (2)'!$A:$BQ,38,0)</f>
        <v>0</v>
      </c>
      <c r="AT63" s="54">
        <f>VLOOKUP(A63,'Custo_Fopag (2)'!$A:$BQ,43,0)</f>
        <v>0</v>
      </c>
      <c r="AU63" s="54">
        <f>VLOOKUP(A63,'Custo_Fopag (2)'!$A:$BQ,48,0)</f>
        <v>0</v>
      </c>
      <c r="AV63" s="54">
        <f>VLOOKUP(A63,'Custo_Fopag (2)'!$A:$BQ,49,0)</f>
        <v>0</v>
      </c>
      <c r="AW63" s="54">
        <f>VLOOKUP(A63,'Custo_Fopag (2)'!$A:$BQ,19,0)</f>
        <v>984.97</v>
      </c>
      <c r="AX63" s="54">
        <f>VLOOKUP(A63,'Custo_Fopag (2)'!$A:$BQ,50,0)</f>
        <v>0</v>
      </c>
      <c r="AY63" s="54">
        <f>VLOOKUP(A63,'Custo_Fopag (2)'!$A:$BQ,51,0)</f>
        <v>0</v>
      </c>
      <c r="AZ63" s="117">
        <v>0</v>
      </c>
      <c r="BA63" s="54">
        <f>VLOOKUP(A63,'Custo_Fopag (2)'!$A:$BQ,54,0)</f>
        <v>0</v>
      </c>
      <c r="BB63" s="54">
        <f>VLOOKUP(A63,'Custo_Fopag (2)'!$A:$BQ,52,0)</f>
        <v>0</v>
      </c>
      <c r="BC63" s="122">
        <f t="shared" si="13"/>
        <v>2157.84</v>
      </c>
      <c r="BD63" s="54">
        <f t="shared" si="14"/>
        <v>6407.84</v>
      </c>
      <c r="BE63" s="57"/>
      <c r="BF63" s="54">
        <f t="shared" si="15"/>
        <v>6407.84</v>
      </c>
      <c r="BG63" s="54">
        <f t="shared" si="16"/>
        <v>354.16666666666669</v>
      </c>
      <c r="BH63" s="54">
        <f t="shared" si="17"/>
        <v>354.16666666666669</v>
      </c>
      <c r="BI63" s="54">
        <f t="shared" si="18"/>
        <v>118.05555555555556</v>
      </c>
      <c r="BJ63" s="54">
        <f t="shared" si="19"/>
        <v>826.38888888888891</v>
      </c>
      <c r="BK63" s="54">
        <f>VLOOKUP(A63,'Custo_Fopag (2)'!$A:$BQ,65,0)</f>
        <v>1046.99</v>
      </c>
      <c r="BL63" s="54">
        <f>VLOOKUP(A63,'Custo_Fopag (2)'!$A:$BQP,66,0)</f>
        <v>157.04</v>
      </c>
      <c r="BM63" s="54">
        <f>VLOOKUP(A63,'Custo_Fopag (2)'!$A:$BQ,67,0)</f>
        <v>303.62</v>
      </c>
      <c r="BN63" s="54">
        <f>VLOOKUP(A63,'Custo_Fopag (2)'!$A:$BQ,64,0)</f>
        <v>340</v>
      </c>
      <c r="BO63" s="54">
        <f t="shared" si="20"/>
        <v>1847.65</v>
      </c>
      <c r="BP63" s="54">
        <f t="shared" si="21"/>
        <v>8255.49</v>
      </c>
      <c r="BQ63" s="54">
        <f t="shared" si="22"/>
        <v>9081.8788888888885</v>
      </c>
      <c r="BR63" s="109">
        <f>VLOOKUP(A63,'Custo_Fopag (2)'!$A:$BQ,60,0)</f>
        <v>0</v>
      </c>
      <c r="BS63" s="83" t="str">
        <f t="shared" si="23"/>
        <v>Ativo</v>
      </c>
    </row>
    <row r="64" spans="1:71" s="58" customFormat="1" x14ac:dyDescent="0.25">
      <c r="A64" s="59" t="s">
        <v>306</v>
      </c>
      <c r="B64" s="88">
        <v>46082</v>
      </c>
      <c r="C64" s="59" t="s">
        <v>5</v>
      </c>
      <c r="D64" s="59" t="str">
        <f>VLOOKUP(A64,'Custo_Fopag (2)'!A:$BQ,4,0)</f>
        <v>G3S  FL 04 - PRES PRUD</v>
      </c>
      <c r="E64" s="59"/>
      <c r="F64" s="59"/>
      <c r="G64" s="59" t="str">
        <f>VLOOKUP(A64,'Custo_Fopag (2)'!$A:$BQ,5,0)</f>
        <v>20.947.332/0004-38</v>
      </c>
      <c r="H64" s="59" t="str">
        <f>VLOOKUP(A64,'Custo_Fopag (2)'!$A:$BQ,6,0)</f>
        <v>OPERACIONAL</v>
      </c>
      <c r="I64" s="59" t="str">
        <f>VLOOKUP(A64,'Custo_Fopag (2)'!$A:$BQ,7,0)</f>
        <v>PATIO</v>
      </c>
      <c r="J64" s="59" t="str">
        <f>VLOOKUP(A64,'Custo_Fopag (2)'!$A:$BQ,8,0)</f>
        <v>SELETIVA PRESIDENTE PRUDENTE</v>
      </c>
      <c r="K64" s="78">
        <f>VLOOKUP(A64,'Custo_Fopag (2)'!$A:$BQ,9,0)</f>
        <v>44942</v>
      </c>
      <c r="L64" s="52"/>
      <c r="M64" s="3"/>
      <c r="N64" s="3" t="str">
        <f>VLOOKUP(A64,'Custo_Fopag (2)'!$A:$BQ,11,0)</f>
        <v>1.2.5.3 OPERACIONAL</v>
      </c>
      <c r="O64" s="3" t="str">
        <f>VLOOKUP(A64,'Custo_Fopag (2)'!$A:$BQ,12,0)</f>
        <v>GERENTE DE PATIO SENIOR</v>
      </c>
      <c r="P64" s="126">
        <f>VLOOKUP(A64,'Custo_Fopag (2)'!$A:$BQ,13,0)</f>
        <v>3679.83</v>
      </c>
      <c r="Q64" s="127">
        <f>VLOOKUP(A64,'Custo_Fopag (2)'!$A:$BQ,16,0)</f>
        <v>3679.83</v>
      </c>
      <c r="R64" s="56">
        <f>VLOOKUP(A64,'Custo_Fopag (2)'!$A:$BQ,17,0)</f>
        <v>0</v>
      </c>
      <c r="S64" s="54">
        <f>VLOOKUP(A64,'Custo_Fopag (2)'!$A:$BP,18,0)</f>
        <v>0</v>
      </c>
      <c r="T64" s="54">
        <f>VLOOKUP(A64,'Custo_Fopag (2)'!$A:$BQ,20,0)</f>
        <v>0</v>
      </c>
      <c r="U64" s="54">
        <f>VLOOKUP(A64,'Custo_Fopag (2)'!$A:$BQ,21,0)</f>
        <v>0</v>
      </c>
      <c r="V64" s="54">
        <f>VLOOKUP(A64,'Custo_Fopag (2)'!$A:$BQ,22,0)</f>
        <v>1103.95</v>
      </c>
      <c r="W64" s="54">
        <f>VLOOKUP(A64,'Custo_Fopag (2)'!$A:$BQ,23,0)</f>
        <v>0</v>
      </c>
      <c r="X64" s="54">
        <f>VLOOKUP(A64,'Custo_Fopag (2)'!$A:$BQ,24,0)</f>
        <v>0</v>
      </c>
      <c r="Y64" s="55">
        <f>VLOOKUP(A64,'Custo_Fopag (2)'!$A:$BQ,25,0)</f>
        <v>0</v>
      </c>
      <c r="Z64" s="54">
        <f>VLOOKUP(A64,'Custo_Fopag (2)'!$A:$BQ,26,0)</f>
        <v>0</v>
      </c>
      <c r="AA64" s="54">
        <f>VLOOKUP(A64,'Custo_Fopag (2)'!$A:$BQ,27,0)</f>
        <v>290.51</v>
      </c>
      <c r="AB64" s="54">
        <f>VLOOKUP(A64,'Custo_Fopag (2)'!$A:$BQ,28,0)</f>
        <v>55.87</v>
      </c>
      <c r="AC64" s="54">
        <f>VLOOKUP(A64,'Custo_Fopag (2)'!$A:$BQ,29,0)</f>
        <v>0</v>
      </c>
      <c r="AD64" s="54">
        <f>VLOOKUP(A64,'Custo_Fopag (2)'!$A:$BQ,30,0)</f>
        <v>0</v>
      </c>
      <c r="AE64" s="54">
        <f>VLOOKUP(A64,'Custo_Fopag (2)'!$A:$BQ,31,0)</f>
        <v>0</v>
      </c>
      <c r="AF64" s="54">
        <f>VLOOKUP(A64,'Custo_Fopag (2)'!$A:$BQ,32,0)</f>
        <v>0</v>
      </c>
      <c r="AG64" s="54">
        <f t="shared" si="12"/>
        <v>5130.16</v>
      </c>
      <c r="AH64" s="121">
        <f>VLOOKUP(A64,'Custo_Fopag (2)'!$A:$BQ,45,0)</f>
        <v>0</v>
      </c>
      <c r="AI64" s="54">
        <f>_xlfn.XLOOKUP(A64,Beneficios!A:A,Beneficios!B:B,0,0,1)</f>
        <v>512.87</v>
      </c>
      <c r="AJ64" s="54">
        <f>VLOOKUP(A64,'Custo_Fopag (2)'!$A:$BQ,47,0)</f>
        <v>0</v>
      </c>
      <c r="AK64" s="54">
        <v>0</v>
      </c>
      <c r="AL64" s="54">
        <f>VLOOKUP(A64,'Custo_Fopag (2)'!$A:$BQ,35,0)</f>
        <v>0</v>
      </c>
      <c r="AM64" s="54">
        <f>VLOOKUP(A64,'Custo_Fopag (2)'!$A:$BQ,36,0)</f>
        <v>0</v>
      </c>
      <c r="AN64" s="54">
        <f>VLOOKUP(A64,'Custo_Fopag (2)'!$A:$BQ,37,0)</f>
        <v>0</v>
      </c>
      <c r="AO64" s="54">
        <f>VLOOKUP(A64,'Custo_Fopag (2)'!$A:$BQ,39,0)</f>
        <v>0</v>
      </c>
      <c r="AP64" s="54">
        <f>VLOOKUP(A64,'Custo_Fopag (2)'!$A:$BQ,42,0)</f>
        <v>0</v>
      </c>
      <c r="AQ64" s="54">
        <f>VLOOKUP(A64,'Custo_Fopag (2)'!$A:$BQ,40,0)</f>
        <v>0</v>
      </c>
      <c r="AR64" s="54">
        <f>VLOOKUP(A64,'Custo_Fopag (2)'!$A:$BQ,41,0)</f>
        <v>579.34</v>
      </c>
      <c r="AS64" s="54">
        <f>VLOOKUP(A64,'Custo_Fopag (2)'!$A:$BQ,38,0)</f>
        <v>0</v>
      </c>
      <c r="AT64" s="54">
        <f>VLOOKUP(A64,'Custo_Fopag (2)'!$A:$BQ,43,0)</f>
        <v>0</v>
      </c>
      <c r="AU64" s="54">
        <f>VLOOKUP(A64,'Custo_Fopag (2)'!$A:$BQ,48,0)</f>
        <v>0</v>
      </c>
      <c r="AV64" s="54">
        <f>VLOOKUP(A64,'Custo_Fopag (2)'!$A:$BQ,49,0)</f>
        <v>0</v>
      </c>
      <c r="AW64" s="54">
        <f>VLOOKUP(A64,'Custo_Fopag (2)'!$A:$BQ,19,0)</f>
        <v>0</v>
      </c>
      <c r="AX64" s="54">
        <f>VLOOKUP(A64,'Custo_Fopag (2)'!$A:$BQ,50,0)</f>
        <v>0</v>
      </c>
      <c r="AY64" s="54">
        <f>VLOOKUP(A64,'Custo_Fopag (2)'!$A:$BQ,51,0)</f>
        <v>0</v>
      </c>
      <c r="AZ64" s="117">
        <v>0</v>
      </c>
      <c r="BA64" s="54">
        <f>VLOOKUP(A64,'Custo_Fopag (2)'!$A:$BQ,54,0)</f>
        <v>0</v>
      </c>
      <c r="BB64" s="54">
        <f>VLOOKUP(A64,'Custo_Fopag (2)'!$A:$BQ,52,0)</f>
        <v>0</v>
      </c>
      <c r="BC64" s="122">
        <f t="shared" si="13"/>
        <v>1092.21</v>
      </c>
      <c r="BD64" s="54">
        <f t="shared" si="14"/>
        <v>6222.37</v>
      </c>
      <c r="BE64" s="57"/>
      <c r="BF64" s="54">
        <f t="shared" si="15"/>
        <v>6222.37</v>
      </c>
      <c r="BG64" s="54">
        <f t="shared" si="16"/>
        <v>427.51333333333332</v>
      </c>
      <c r="BH64" s="54">
        <f t="shared" si="17"/>
        <v>427.51333333333332</v>
      </c>
      <c r="BI64" s="54">
        <f t="shared" si="18"/>
        <v>142.50444444444443</v>
      </c>
      <c r="BJ64" s="54">
        <f t="shared" si="19"/>
        <v>997.53111111111104</v>
      </c>
      <c r="BK64" s="54">
        <f>VLOOKUP(A64,'Custo_Fopag (2)'!$A:$BQ,65,0)</f>
        <v>1026.03</v>
      </c>
      <c r="BL64" s="54">
        <f>VLOOKUP(A64,'Custo_Fopag (2)'!$A:$BQP,66,0)</f>
        <v>76.95</v>
      </c>
      <c r="BM64" s="54">
        <f>VLOOKUP(A64,'Custo_Fopag (2)'!$A:$BQ,67,0)</f>
        <v>297.54000000000002</v>
      </c>
      <c r="BN64" s="54">
        <f>VLOOKUP(A64,'Custo_Fopag (2)'!$A:$BQ,64,0)</f>
        <v>410.41</v>
      </c>
      <c r="BO64" s="54">
        <f t="shared" si="20"/>
        <v>1810.93</v>
      </c>
      <c r="BP64" s="54">
        <f t="shared" si="21"/>
        <v>8033.3</v>
      </c>
      <c r="BQ64" s="54">
        <f t="shared" si="22"/>
        <v>9030.8311111111107</v>
      </c>
      <c r="BR64" s="109">
        <f>VLOOKUP(A64,'Custo_Fopag (2)'!$A:$BQ,60,0)</f>
        <v>0</v>
      </c>
      <c r="BS64" s="83" t="str">
        <f t="shared" si="23"/>
        <v>Ativo</v>
      </c>
    </row>
    <row r="65" spans="1:71" s="58" customFormat="1" x14ac:dyDescent="0.25">
      <c r="A65" s="59" t="s">
        <v>108</v>
      </c>
      <c r="B65" s="88">
        <v>46082</v>
      </c>
      <c r="C65" s="59" t="s">
        <v>5</v>
      </c>
      <c r="D65" s="59" t="str">
        <f>VLOOKUP(A65,'Custo_Fopag (2)'!A:$BQ,4,0)</f>
        <v>G S MATRIZ - PRES PRUD</v>
      </c>
      <c r="E65" s="59"/>
      <c r="F65" s="59"/>
      <c r="G65" s="59" t="str">
        <f>VLOOKUP(A65,'Custo_Fopag (2)'!$A:$BQ,5,0)</f>
        <v>20.504.237/0001-17</v>
      </c>
      <c r="H65" s="59" t="str">
        <f>VLOOKUP(A65,'Custo_Fopag (2)'!$A:$BQ,6,0)</f>
        <v>TRANSMOVE</v>
      </c>
      <c r="I65" s="59" t="str">
        <f>VLOOKUP(A65,'Custo_Fopag (2)'!$A:$BQ,7,0)</f>
        <v>ADMINISTRATIVO</v>
      </c>
      <c r="J65" s="59" t="str">
        <f>VLOOKUP(A65,'Custo_Fopag (2)'!$A:$BQ,8,0)</f>
        <v>TRANSMOVE GSL</v>
      </c>
      <c r="K65" s="78">
        <f>VLOOKUP(A65,'Custo_Fopag (2)'!$A:$BQ,9,0)</f>
        <v>44274</v>
      </c>
      <c r="L65" s="52"/>
      <c r="M65" s="3"/>
      <c r="N65" s="3" t="str">
        <f>VLOOKUP(A65,'Custo_Fopag (2)'!$A:$BQ,11,0)</f>
        <v>1.4.1.2 ADMINISTRATIVO</v>
      </c>
      <c r="O65" s="3" t="str">
        <f>VLOOKUP(A65,'Custo_Fopag (2)'!$A:$BQ,12,0)</f>
        <v>ANALISTA ADMINISTRATIVO SENIOR</v>
      </c>
      <c r="P65" s="126">
        <f>VLOOKUP(A65,'Custo_Fopag (2)'!$A:$BQ,13,0)</f>
        <v>2950</v>
      </c>
      <c r="Q65" s="127">
        <f>VLOOKUP(A65,'Custo_Fopag (2)'!$A:$BQ,16,0)</f>
        <v>2950</v>
      </c>
      <c r="R65" s="56">
        <f>VLOOKUP(A65,'Custo_Fopag (2)'!$A:$BQ,17,0)</f>
        <v>0</v>
      </c>
      <c r="S65" s="54">
        <f>VLOOKUP(A65,'Custo_Fopag (2)'!$A:$BP,18,0)</f>
        <v>0</v>
      </c>
      <c r="T65" s="54">
        <f>VLOOKUP(A65,'Custo_Fopag (2)'!$A:$BQ,20,0)</f>
        <v>0</v>
      </c>
      <c r="U65" s="54">
        <f>VLOOKUP(A65,'Custo_Fopag (2)'!$A:$BQ,21,0)</f>
        <v>0</v>
      </c>
      <c r="V65" s="54">
        <f>VLOOKUP(A65,'Custo_Fopag (2)'!$A:$BQ,22,0)</f>
        <v>0</v>
      </c>
      <c r="W65" s="54">
        <f>VLOOKUP(A65,'Custo_Fopag (2)'!$A:$BQ,23,0)</f>
        <v>0</v>
      </c>
      <c r="X65" s="54">
        <f>VLOOKUP(A65,'Custo_Fopag (2)'!$A:$BQ,24,0)</f>
        <v>0</v>
      </c>
      <c r="Y65" s="55">
        <f>VLOOKUP(A65,'Custo_Fopag (2)'!$A:$BQ,25,0)</f>
        <v>147.5</v>
      </c>
      <c r="Z65" s="54">
        <f>VLOOKUP(A65,'Custo_Fopag (2)'!$A:$BQ,26,0)</f>
        <v>0</v>
      </c>
      <c r="AA65" s="54">
        <f>VLOOKUP(A65,'Custo_Fopag (2)'!$A:$BQ,27,0)</f>
        <v>577.61</v>
      </c>
      <c r="AB65" s="54">
        <f>VLOOKUP(A65,'Custo_Fopag (2)'!$A:$BQ,28,0)</f>
        <v>111.08</v>
      </c>
      <c r="AC65" s="54">
        <f>VLOOKUP(A65,'Custo_Fopag (2)'!$A:$BQ,29,0)</f>
        <v>0</v>
      </c>
      <c r="AD65" s="54">
        <f>VLOOKUP(A65,'Custo_Fopag (2)'!$A:$BQ,30,0)</f>
        <v>0</v>
      </c>
      <c r="AE65" s="54">
        <f>VLOOKUP(A65,'Custo_Fopag (2)'!$A:$BQ,31,0)</f>
        <v>0</v>
      </c>
      <c r="AF65" s="54">
        <f>VLOOKUP(A65,'Custo_Fopag (2)'!$A:$BQ,32,0)</f>
        <v>0</v>
      </c>
      <c r="AG65" s="54">
        <f t="shared" si="12"/>
        <v>3786.19</v>
      </c>
      <c r="AH65" s="121">
        <f>VLOOKUP(A65,'Custo_Fopag (2)'!$A:$BQ,45,0)</f>
        <v>0</v>
      </c>
      <c r="AI65" s="54">
        <f>_xlfn.XLOOKUP(A65,Beneficios!A:A,Beneficios!B:B,0,0,1)</f>
        <v>521.87</v>
      </c>
      <c r="AJ65" s="54">
        <f>VLOOKUP(A65,'Custo_Fopag (2)'!$A:$BQ,47,0)</f>
        <v>0</v>
      </c>
      <c r="AK65" s="54">
        <v>0</v>
      </c>
      <c r="AL65" s="54">
        <f>VLOOKUP(A65,'Custo_Fopag (2)'!$A:$BQ,35,0)</f>
        <v>808</v>
      </c>
      <c r="AM65" s="54">
        <f>VLOOKUP(A65,'Custo_Fopag (2)'!$A:$BQ,36,0)</f>
        <v>0</v>
      </c>
      <c r="AN65" s="54">
        <f>VLOOKUP(A65,'Custo_Fopag (2)'!$A:$BQ,37,0)</f>
        <v>0</v>
      </c>
      <c r="AO65" s="54">
        <f>VLOOKUP(A65,'Custo_Fopag (2)'!$A:$BQ,39,0)</f>
        <v>0</v>
      </c>
      <c r="AP65" s="54">
        <f>VLOOKUP(A65,'Custo_Fopag (2)'!$A:$BQ,42,0)</f>
        <v>150</v>
      </c>
      <c r="AQ65" s="54">
        <f>VLOOKUP(A65,'Custo_Fopag (2)'!$A:$BQ,40,0)</f>
        <v>0</v>
      </c>
      <c r="AR65" s="54">
        <f>VLOOKUP(A65,'Custo_Fopag (2)'!$A:$BQ,41,0)</f>
        <v>0</v>
      </c>
      <c r="AS65" s="54">
        <f>VLOOKUP(A65,'Custo_Fopag (2)'!$A:$BQ,38,0)</f>
        <v>0</v>
      </c>
      <c r="AT65" s="54">
        <f>VLOOKUP(A65,'Custo_Fopag (2)'!$A:$BQ,43,0)</f>
        <v>0</v>
      </c>
      <c r="AU65" s="54">
        <f>VLOOKUP(A65,'Custo_Fopag (2)'!$A:$BQ,48,0)</f>
        <v>0</v>
      </c>
      <c r="AV65" s="54">
        <f>VLOOKUP(A65,'Custo_Fopag (2)'!$A:$BQ,49,0)</f>
        <v>0</v>
      </c>
      <c r="AW65" s="54">
        <f>VLOOKUP(A65,'Custo_Fopag (2)'!$A:$BQ,19,0)</f>
        <v>0</v>
      </c>
      <c r="AX65" s="54">
        <f>VLOOKUP(A65,'Custo_Fopag (2)'!$A:$BQ,50,0)</f>
        <v>0</v>
      </c>
      <c r="AY65" s="54">
        <f>VLOOKUP(A65,'Custo_Fopag (2)'!$A:$BQ,51,0)</f>
        <v>0</v>
      </c>
      <c r="AZ65" s="117">
        <v>0</v>
      </c>
      <c r="BA65" s="54">
        <f>VLOOKUP(A65,'Custo_Fopag (2)'!$A:$BQ,54,0)</f>
        <v>0</v>
      </c>
      <c r="BB65" s="54">
        <f>VLOOKUP(A65,'Custo_Fopag (2)'!$A:$BQ,52,0)</f>
        <v>0</v>
      </c>
      <c r="BC65" s="122">
        <f t="shared" si="13"/>
        <v>1479.87</v>
      </c>
      <c r="BD65" s="54">
        <f t="shared" si="14"/>
        <v>5266.0599999999995</v>
      </c>
      <c r="BE65" s="57"/>
      <c r="BF65" s="54">
        <f t="shared" si="15"/>
        <v>5266.0599999999995</v>
      </c>
      <c r="BG65" s="54">
        <f t="shared" si="16"/>
        <v>315.51583333333332</v>
      </c>
      <c r="BH65" s="54">
        <f t="shared" si="17"/>
        <v>315.51583333333332</v>
      </c>
      <c r="BI65" s="54">
        <f t="shared" si="18"/>
        <v>105.17194444444443</v>
      </c>
      <c r="BJ65" s="54">
        <f t="shared" si="19"/>
        <v>736.20361111111106</v>
      </c>
      <c r="BK65" s="54">
        <f>VLOOKUP(A65,'Custo_Fopag (2)'!$A:$BQ,65,0)</f>
        <v>757.24</v>
      </c>
      <c r="BL65" s="54">
        <f>VLOOKUP(A65,'Custo_Fopag (2)'!$A:$BQP,66,0)</f>
        <v>56.79</v>
      </c>
      <c r="BM65" s="54">
        <f>VLOOKUP(A65,'Custo_Fopag (2)'!$A:$BQ,67,0)</f>
        <v>219.59</v>
      </c>
      <c r="BN65" s="54">
        <f>VLOOKUP(A65,'Custo_Fopag (2)'!$A:$BQ,64,0)</f>
        <v>302.14</v>
      </c>
      <c r="BO65" s="54">
        <f t="shared" si="20"/>
        <v>1335.7599999999998</v>
      </c>
      <c r="BP65" s="54">
        <f t="shared" si="21"/>
        <v>6601.82</v>
      </c>
      <c r="BQ65" s="54">
        <f t="shared" si="22"/>
        <v>7338.0236111111099</v>
      </c>
      <c r="BR65" s="109">
        <f>VLOOKUP(A65,'Custo_Fopag (2)'!$A:$BQ,60,0)</f>
        <v>0</v>
      </c>
      <c r="BS65" s="83" t="str">
        <f t="shared" si="23"/>
        <v>Ativo</v>
      </c>
    </row>
    <row r="66" spans="1:71" s="58" customFormat="1" x14ac:dyDescent="0.25">
      <c r="A66" s="81" t="s">
        <v>341</v>
      </c>
      <c r="B66" s="88">
        <v>46082</v>
      </c>
      <c r="C66" s="59" t="s">
        <v>5</v>
      </c>
      <c r="D66" s="59" t="str">
        <f>VLOOKUP(A66,'Custo_Fopag (2)'!A:$BQ,4,0)</f>
        <v>G3S FL 05 - PRES PRUD</v>
      </c>
      <c r="E66" s="59"/>
      <c r="F66" s="59"/>
      <c r="G66" s="59" t="str">
        <f>VLOOKUP(A66,'Custo_Fopag (2)'!$A:$BQ,5,0)</f>
        <v>20.947.332/0005-19</v>
      </c>
      <c r="H66" s="59" t="str">
        <f>VLOOKUP(A66,'Custo_Fopag (2)'!$A:$BQ,6,0)</f>
        <v>ADMINISTRATIVO</v>
      </c>
      <c r="I66" s="59" t="str">
        <f>VLOOKUP(A66,'Custo_Fopag (2)'!$A:$BQ,7,0)</f>
        <v>FINANCEIRO</v>
      </c>
      <c r="J66" s="59" t="str">
        <f>VLOOKUP(A66,'Custo_Fopag (2)'!$A:$BQ,8,0)</f>
        <v>BRACOFER</v>
      </c>
      <c r="K66" s="78">
        <f>VLOOKUP(A66,'Custo_Fopag (2)'!$A:$BQ,9,0)</f>
        <v>45962</v>
      </c>
      <c r="L66" s="52"/>
      <c r="M66" s="3"/>
      <c r="N66" s="3" t="str">
        <f>VLOOKUP(A66,'Custo_Fopag (2)'!$A:$BQ,11,0)</f>
        <v>1.3.1.1 ADMINISTRATIVO</v>
      </c>
      <c r="O66" s="3" t="str">
        <f>VLOOKUP(A66,'Custo_Fopag (2)'!$A:$BQ,12,0)</f>
        <v>AUXILIAR FINANCEIRO</v>
      </c>
      <c r="P66" s="126">
        <f>VLOOKUP(A66,'Custo_Fopag (2)'!$A:$BQ,13,0)</f>
        <v>2098</v>
      </c>
      <c r="Q66" s="127">
        <f>VLOOKUP(A66,'Custo_Fopag (2)'!$A:$BQ,16,0)</f>
        <v>2098</v>
      </c>
      <c r="R66" s="56">
        <f>VLOOKUP(A66,'Custo_Fopag (2)'!$A:$BQ,17,0)</f>
        <v>0</v>
      </c>
      <c r="S66" s="54">
        <f>VLOOKUP(A66,'Custo_Fopag (2)'!$A:$BP,18,0)</f>
        <v>0</v>
      </c>
      <c r="T66" s="54">
        <f>VLOOKUP(A66,'Custo_Fopag (2)'!$A:$BQ,20,0)</f>
        <v>0</v>
      </c>
      <c r="U66" s="54">
        <f>VLOOKUP(A66,'Custo_Fopag (2)'!$A:$BQ,21,0)</f>
        <v>0</v>
      </c>
      <c r="V66" s="54">
        <f>VLOOKUP(A66,'Custo_Fopag (2)'!$A:$BQ,22,0)</f>
        <v>0</v>
      </c>
      <c r="W66" s="54">
        <f>VLOOKUP(A66,'Custo_Fopag (2)'!$A:$BQ,23,0)</f>
        <v>0</v>
      </c>
      <c r="X66" s="54">
        <f>VLOOKUP(A66,'Custo_Fopag (2)'!$A:$BQ,24,0)</f>
        <v>0</v>
      </c>
      <c r="Y66" s="55">
        <f>VLOOKUP(A66,'Custo_Fopag (2)'!$A:$BQ,25,0)</f>
        <v>0</v>
      </c>
      <c r="Z66" s="54">
        <f>VLOOKUP(A66,'Custo_Fopag (2)'!$A:$BQ,26,0)</f>
        <v>0</v>
      </c>
      <c r="AA66" s="54">
        <f>VLOOKUP(A66,'Custo_Fopag (2)'!$A:$BQ,27,0)</f>
        <v>131.47999999999999</v>
      </c>
      <c r="AB66" s="54">
        <f>VLOOKUP(A66,'Custo_Fopag (2)'!$A:$BQ,28,0)</f>
        <v>25.28</v>
      </c>
      <c r="AC66" s="54">
        <f>VLOOKUP(A66,'Custo_Fopag (2)'!$A:$BQ,29,0)</f>
        <v>0</v>
      </c>
      <c r="AD66" s="54">
        <f>VLOOKUP(A66,'Custo_Fopag (2)'!$A:$BQ,30,0)</f>
        <v>0</v>
      </c>
      <c r="AE66" s="54">
        <f>VLOOKUP(A66,'Custo_Fopag (2)'!$A:$BQ,31,0)</f>
        <v>0</v>
      </c>
      <c r="AF66" s="54">
        <f>VLOOKUP(A66,'Custo_Fopag (2)'!$A:$BQ,32,0)</f>
        <v>0</v>
      </c>
      <c r="AG66" s="54">
        <f t="shared" ref="AG66:AG97" si="24">SUM(Q66:AF66)</f>
        <v>2254.7600000000002</v>
      </c>
      <c r="AH66" s="121">
        <f>VLOOKUP(A66,'Custo_Fopag (2)'!$A:$BQ,45,0)</f>
        <v>0</v>
      </c>
      <c r="AI66" s="54">
        <f>_xlfn.XLOOKUP(A66,Beneficios!A:A,Beneficios!B:B,0,0,1)</f>
        <v>521.87</v>
      </c>
      <c r="AJ66" s="54">
        <f>VLOOKUP(A66,'Custo_Fopag (2)'!$A:$BQ,47,0)</f>
        <v>0</v>
      </c>
      <c r="AK66" s="54">
        <v>0</v>
      </c>
      <c r="AL66" s="54">
        <f>VLOOKUP(A66,'Custo_Fopag (2)'!$A:$BQ,35,0)</f>
        <v>0</v>
      </c>
      <c r="AM66" s="54">
        <f>VLOOKUP(A66,'Custo_Fopag (2)'!$A:$BQ,36,0)</f>
        <v>0</v>
      </c>
      <c r="AN66" s="54">
        <f>VLOOKUP(A66,'Custo_Fopag (2)'!$A:$BQ,37,0)</f>
        <v>0</v>
      </c>
      <c r="AO66" s="54">
        <f>VLOOKUP(A66,'Custo_Fopag (2)'!$A:$BQ,39,0)</f>
        <v>0</v>
      </c>
      <c r="AP66" s="54">
        <f>VLOOKUP(A66,'Custo_Fopag (2)'!$A:$BQ,42,0)</f>
        <v>0</v>
      </c>
      <c r="AQ66" s="54">
        <f>VLOOKUP(A66,'Custo_Fopag (2)'!$A:$BQ,40,0)</f>
        <v>0</v>
      </c>
      <c r="AR66" s="54">
        <f>VLOOKUP(A66,'Custo_Fopag (2)'!$A:$BQ,41,0)</f>
        <v>0</v>
      </c>
      <c r="AS66" s="54">
        <f>VLOOKUP(A66,'Custo_Fopag (2)'!$A:$BQ,38,0)</f>
        <v>0</v>
      </c>
      <c r="AT66" s="54">
        <f>VLOOKUP(A66,'Custo_Fopag (2)'!$A:$BQ,43,0)</f>
        <v>0</v>
      </c>
      <c r="AU66" s="54">
        <f>VLOOKUP(A66,'Custo_Fopag (2)'!$A:$BQ,48,0)</f>
        <v>0</v>
      </c>
      <c r="AV66" s="54">
        <f>VLOOKUP(A66,'Custo_Fopag (2)'!$A:$BQ,49,0)</f>
        <v>0</v>
      </c>
      <c r="AW66" s="54">
        <f>VLOOKUP(A66,'Custo_Fopag (2)'!$A:$BQ,19,0)</f>
        <v>0</v>
      </c>
      <c r="AX66" s="54">
        <f>VLOOKUP(A66,'Custo_Fopag (2)'!$A:$BQ,50,0)</f>
        <v>0</v>
      </c>
      <c r="AY66" s="54">
        <f>VLOOKUP(A66,'Custo_Fopag (2)'!$A:$BQ,51,0)</f>
        <v>0</v>
      </c>
      <c r="AZ66" s="117">
        <v>0</v>
      </c>
      <c r="BA66" s="54">
        <f>VLOOKUP(A66,'Custo_Fopag (2)'!$A:$BQ,54,0)</f>
        <v>0</v>
      </c>
      <c r="BB66" s="54">
        <f>VLOOKUP(A66,'Custo_Fopag (2)'!$A:$BQ,52,0)</f>
        <v>0</v>
      </c>
      <c r="BC66" s="122">
        <f t="shared" ref="BC66:BC97" si="25">SUM(AH66:BB66)</f>
        <v>521.87</v>
      </c>
      <c r="BD66" s="54">
        <f t="shared" ref="BD66:BD97" si="26">BC66+AG66</f>
        <v>2776.63</v>
      </c>
      <c r="BE66" s="57"/>
      <c r="BF66" s="54">
        <f t="shared" ref="BF66:BF97" si="27">BD66+BE66</f>
        <v>2776.63</v>
      </c>
      <c r="BG66" s="54">
        <f t="shared" ref="BG66:BG97" si="28">AG66/12</f>
        <v>187.89666666666668</v>
      </c>
      <c r="BH66" s="54">
        <f t="shared" ref="BH66:BH97" si="29">BG66</f>
        <v>187.89666666666668</v>
      </c>
      <c r="BI66" s="54">
        <f t="shared" ref="BI66:BI97" si="30">BH66/3</f>
        <v>62.632222222222225</v>
      </c>
      <c r="BJ66" s="54">
        <f t="shared" ref="BJ66:BJ97" si="31">SUM(BG66:BI66)</f>
        <v>438.42555555555555</v>
      </c>
      <c r="BK66" s="54">
        <f>VLOOKUP(A66,'Custo_Fopag (2)'!$A:$BQ,65,0)</f>
        <v>450.95</v>
      </c>
      <c r="BL66" s="54">
        <f>VLOOKUP(A66,'Custo_Fopag (2)'!$A:$BQP,66,0)</f>
        <v>33.82</v>
      </c>
      <c r="BM66" s="54">
        <f>VLOOKUP(A66,'Custo_Fopag (2)'!$A:$BQ,67,0)</f>
        <v>130.77000000000001</v>
      </c>
      <c r="BN66" s="54">
        <f>VLOOKUP(A66,'Custo_Fopag (2)'!$A:$BQ,64,0)</f>
        <v>180.07</v>
      </c>
      <c r="BO66" s="54">
        <f t="shared" ref="BO66:BO97" si="32">SUM(BK66:BN66)</f>
        <v>795.6099999999999</v>
      </c>
      <c r="BP66" s="54">
        <f t="shared" ref="BP66:BP97" si="33">BF66+BO66</f>
        <v>3572.24</v>
      </c>
      <c r="BQ66" s="54">
        <f t="shared" ref="BQ66:BQ97" si="34">BF66+BJ66+BO66</f>
        <v>4010.6655555555553</v>
      </c>
      <c r="BR66" s="109">
        <f>VLOOKUP(A66,'Custo_Fopag (2)'!$A:$BQ,60,0)</f>
        <v>0</v>
      </c>
      <c r="BS66" s="83" t="str">
        <f t="shared" ref="BS66:BS97" si="35">IF(ISBLANK(L66),"Ativo","Desligado")</f>
        <v>Ativo</v>
      </c>
    </row>
    <row r="67" spans="1:71" s="58" customFormat="1" x14ac:dyDescent="0.25">
      <c r="A67" s="59" t="s">
        <v>296</v>
      </c>
      <c r="B67" s="88">
        <v>46082</v>
      </c>
      <c r="C67" s="59" t="s">
        <v>5</v>
      </c>
      <c r="D67" s="59" t="str">
        <f>VLOOKUP(A67,'Custo_Fopag (2)'!A:$BQ,4,0)</f>
        <v>G3S  FL 04 - PRES PRUD</v>
      </c>
      <c r="E67" s="59"/>
      <c r="F67" s="59"/>
      <c r="G67" s="59" t="str">
        <f>VLOOKUP(A67,'Custo_Fopag (2)'!$A:$BQ,5,0)</f>
        <v>20.947.332/0004-38</v>
      </c>
      <c r="H67" s="59" t="str">
        <f>VLOOKUP(A67,'Custo_Fopag (2)'!$A:$BQ,6,0)</f>
        <v>OPERACIONAL</v>
      </c>
      <c r="I67" s="59" t="str">
        <f>VLOOKUP(A67,'Custo_Fopag (2)'!$A:$BQ,7,0)</f>
        <v>PATIO</v>
      </c>
      <c r="J67" s="59" t="str">
        <f>VLOOKUP(A67,'Custo_Fopag (2)'!$A:$BQ,8,0)</f>
        <v>SELETIVA PRESIDENTE PRUDENTE</v>
      </c>
      <c r="K67" s="78">
        <f>VLOOKUP(A67,'Custo_Fopag (2)'!$A:$BQ,9,0)</f>
        <v>44166</v>
      </c>
      <c r="L67" s="52"/>
      <c r="M67" s="3"/>
      <c r="N67" s="3" t="str">
        <f>VLOOKUP(A67,'Custo_Fopag (2)'!$A:$BQ,11,0)</f>
        <v>1.2.5.3 OPERACIONAL</v>
      </c>
      <c r="O67" s="3" t="str">
        <f>VLOOKUP(A67,'Custo_Fopag (2)'!$A:$BQ,12,0)</f>
        <v>GERENTE DE PATIO SENIOR PP</v>
      </c>
      <c r="P67" s="126">
        <f>VLOOKUP(A67,'Custo_Fopag (2)'!$A:$BQ,13,0)</f>
        <v>3679.83</v>
      </c>
      <c r="Q67" s="127">
        <f>VLOOKUP(A67,'Custo_Fopag (2)'!$A:$BQ,16,0)</f>
        <v>3679.83</v>
      </c>
      <c r="R67" s="56">
        <f>VLOOKUP(A67,'Custo_Fopag (2)'!$A:$BQ,17,0)</f>
        <v>0</v>
      </c>
      <c r="S67" s="54">
        <f>VLOOKUP(A67,'Custo_Fopag (2)'!$A:$BP,18,0)</f>
        <v>0</v>
      </c>
      <c r="T67" s="54">
        <f>VLOOKUP(A67,'Custo_Fopag (2)'!$A:$BQ,20,0)</f>
        <v>735.97</v>
      </c>
      <c r="U67" s="54">
        <f>VLOOKUP(A67,'Custo_Fopag (2)'!$A:$BQ,21,0)</f>
        <v>0</v>
      </c>
      <c r="V67" s="54">
        <f>VLOOKUP(A67,'Custo_Fopag (2)'!$A:$BQ,22,0)</f>
        <v>1103.95</v>
      </c>
      <c r="W67" s="54">
        <f>VLOOKUP(A67,'Custo_Fopag (2)'!$A:$BQ,23,0)</f>
        <v>0</v>
      </c>
      <c r="X67" s="54">
        <f>VLOOKUP(A67,'Custo_Fopag (2)'!$A:$BQ,24,0)</f>
        <v>0</v>
      </c>
      <c r="Y67" s="55">
        <f>VLOOKUP(A67,'Custo_Fopag (2)'!$A:$BQ,25,0)</f>
        <v>0</v>
      </c>
      <c r="Z67" s="54">
        <f>VLOOKUP(A67,'Custo_Fopag (2)'!$A:$BQ,26,0)</f>
        <v>0</v>
      </c>
      <c r="AA67" s="54">
        <f>VLOOKUP(A67,'Custo_Fopag (2)'!$A:$BQ,27,0)</f>
        <v>176.63</v>
      </c>
      <c r="AB67" s="54">
        <f>VLOOKUP(A67,'Custo_Fopag (2)'!$A:$BQ,28,0)</f>
        <v>33.97</v>
      </c>
      <c r="AC67" s="54">
        <f>VLOOKUP(A67,'Custo_Fopag (2)'!$A:$BQ,29,0)</f>
        <v>0</v>
      </c>
      <c r="AD67" s="54">
        <f>VLOOKUP(A67,'Custo_Fopag (2)'!$A:$BQ,30,0)</f>
        <v>0</v>
      </c>
      <c r="AE67" s="54">
        <f>VLOOKUP(A67,'Custo_Fopag (2)'!$A:$BQ,31,0)</f>
        <v>0</v>
      </c>
      <c r="AF67" s="54">
        <f>VLOOKUP(A67,'Custo_Fopag (2)'!$A:$BQ,32,0)</f>
        <v>0</v>
      </c>
      <c r="AG67" s="54">
        <f t="shared" si="24"/>
        <v>5730.35</v>
      </c>
      <c r="AH67" s="121">
        <f>VLOOKUP(A67,'Custo_Fopag (2)'!$A:$BQ,45,0)</f>
        <v>0</v>
      </c>
      <c r="AI67" s="54">
        <f>_xlfn.XLOOKUP(A67,Beneficios!A:A,Beneficios!B:B,0,0,1)</f>
        <v>512.87</v>
      </c>
      <c r="AJ67" s="54">
        <f>VLOOKUP(A67,'Custo_Fopag (2)'!$A:$BQ,47,0)</f>
        <v>0</v>
      </c>
      <c r="AK67" s="54">
        <v>0</v>
      </c>
      <c r="AL67" s="54">
        <f>VLOOKUP(A67,'Custo_Fopag (2)'!$A:$BQ,35,0)</f>
        <v>0</v>
      </c>
      <c r="AM67" s="54">
        <f>VLOOKUP(A67,'Custo_Fopag (2)'!$A:$BQ,36,0)</f>
        <v>0</v>
      </c>
      <c r="AN67" s="54">
        <f>VLOOKUP(A67,'Custo_Fopag (2)'!$A:$BQ,37,0)</f>
        <v>0</v>
      </c>
      <c r="AO67" s="54">
        <f>VLOOKUP(A67,'Custo_Fopag (2)'!$A:$BQ,39,0)</f>
        <v>0</v>
      </c>
      <c r="AP67" s="54">
        <f>VLOOKUP(A67,'Custo_Fopag (2)'!$A:$BQ,42,0)</f>
        <v>450</v>
      </c>
      <c r="AQ67" s="54">
        <f>VLOOKUP(A67,'Custo_Fopag (2)'!$A:$BQ,40,0)</f>
        <v>0</v>
      </c>
      <c r="AR67" s="54">
        <f>VLOOKUP(A67,'Custo_Fopag (2)'!$A:$BQ,41,0)</f>
        <v>579.34</v>
      </c>
      <c r="AS67" s="54">
        <f>VLOOKUP(A67,'Custo_Fopag (2)'!$A:$BQ,38,0)</f>
        <v>0</v>
      </c>
      <c r="AT67" s="54">
        <f>VLOOKUP(A67,'Custo_Fopag (2)'!$A:$BQ,43,0)</f>
        <v>0</v>
      </c>
      <c r="AU67" s="54">
        <f>VLOOKUP(A67,'Custo_Fopag (2)'!$A:$BQ,48,0)</f>
        <v>2016</v>
      </c>
      <c r="AV67" s="54">
        <f>VLOOKUP(A67,'Custo_Fopag (2)'!$A:$BQ,49,0)</f>
        <v>0</v>
      </c>
      <c r="AW67" s="54">
        <f>VLOOKUP(A67,'Custo_Fopag (2)'!$A:$BQ,19,0)</f>
        <v>0</v>
      </c>
      <c r="AX67" s="54">
        <f>VLOOKUP(A67,'Custo_Fopag (2)'!$A:$BQ,50,0)</f>
        <v>0</v>
      </c>
      <c r="AY67" s="54">
        <f>VLOOKUP(A67,'Custo_Fopag (2)'!$A:$BQ,51,0)</f>
        <v>0</v>
      </c>
      <c r="AZ67" s="117">
        <v>0</v>
      </c>
      <c r="BA67" s="54">
        <f>VLOOKUP(A67,'Custo_Fopag (2)'!$A:$BQ,54,0)</f>
        <v>0</v>
      </c>
      <c r="BB67" s="54">
        <f>VLOOKUP(A67,'Custo_Fopag (2)'!$A:$BQ,52,0)</f>
        <v>0</v>
      </c>
      <c r="BC67" s="122">
        <f t="shared" si="25"/>
        <v>3558.21</v>
      </c>
      <c r="BD67" s="54">
        <f t="shared" si="26"/>
        <v>9288.5600000000013</v>
      </c>
      <c r="BE67" s="57"/>
      <c r="BF67" s="54">
        <f t="shared" si="27"/>
        <v>9288.5600000000013</v>
      </c>
      <c r="BG67" s="54">
        <f t="shared" si="28"/>
        <v>477.5291666666667</v>
      </c>
      <c r="BH67" s="54">
        <f t="shared" si="29"/>
        <v>477.5291666666667</v>
      </c>
      <c r="BI67" s="54">
        <f t="shared" si="30"/>
        <v>159.17638888888891</v>
      </c>
      <c r="BJ67" s="54">
        <f t="shared" si="31"/>
        <v>1114.2347222222222</v>
      </c>
      <c r="BK67" s="54">
        <f>VLOOKUP(A67,'Custo_Fopag (2)'!$A:$BQ,65,0)</f>
        <v>1146.07</v>
      </c>
      <c r="BL67" s="54">
        <f>VLOOKUP(A67,'Custo_Fopag (2)'!$A:$BQP,66,0)</f>
        <v>85.95</v>
      </c>
      <c r="BM67" s="54">
        <f>VLOOKUP(A67,'Custo_Fopag (2)'!$A:$BQ,67,0)</f>
        <v>332.36</v>
      </c>
      <c r="BN67" s="54">
        <f>VLOOKUP(A67,'Custo_Fopag (2)'!$A:$BQ,64,0)</f>
        <v>458.42</v>
      </c>
      <c r="BO67" s="54">
        <f t="shared" si="32"/>
        <v>2022.8000000000002</v>
      </c>
      <c r="BP67" s="54">
        <f t="shared" si="33"/>
        <v>11311.36</v>
      </c>
      <c r="BQ67" s="54">
        <f t="shared" si="34"/>
        <v>12425.594722222224</v>
      </c>
      <c r="BR67" s="109">
        <f>VLOOKUP(A67,'Custo_Fopag (2)'!$A:$BQ,60,0)</f>
        <v>0</v>
      </c>
      <c r="BS67" s="83" t="str">
        <f t="shared" si="35"/>
        <v>Ativo</v>
      </c>
    </row>
    <row r="68" spans="1:71" s="58" customFormat="1" x14ac:dyDescent="0.25">
      <c r="A68" s="3" t="s">
        <v>359</v>
      </c>
      <c r="B68" s="88">
        <v>46082</v>
      </c>
      <c r="C68" s="3" t="s">
        <v>5</v>
      </c>
      <c r="D68" s="59" t="str">
        <f>VLOOKUP(A68,'Custo_Fopag (2)'!A:$BQ,4,0)</f>
        <v>G3S FL 06 - MARINGA</v>
      </c>
      <c r="E68" s="59"/>
      <c r="F68" s="59"/>
      <c r="G68" s="59" t="str">
        <f>VLOOKUP(A68,'Custo_Fopag (2)'!$A:$BQ,5,0)</f>
        <v>20.947.332/0006-08</v>
      </c>
      <c r="H68" s="59" t="str">
        <f>VLOOKUP(A68,'Custo_Fopag (2)'!$A:$BQ,6,0)</f>
        <v>OPERACIONAL</v>
      </c>
      <c r="I68" s="59" t="str">
        <f>VLOOKUP(A68,'Custo_Fopag (2)'!$A:$BQ,7,0)</f>
        <v>PATIO</v>
      </c>
      <c r="J68" s="59" t="str">
        <f>VLOOKUP(A68,'Custo_Fopag (2)'!$A:$BQ,8,0)</f>
        <v>SELETIVA MARINGA DISTRITO</v>
      </c>
      <c r="K68" s="78">
        <f>VLOOKUP(A68,'Custo_Fopag (2)'!$A:$BQ,9,0)</f>
        <v>46076</v>
      </c>
      <c r="L68" s="52"/>
      <c r="M68" s="3"/>
      <c r="N68" s="3" t="str">
        <f>VLOOKUP(A68,'Custo_Fopag (2)'!$A:$BQ,11,0)</f>
        <v>1.2.4.3 OPERACIONAL</v>
      </c>
      <c r="O68" s="3" t="str">
        <f>VLOOKUP(A68,'Custo_Fopag (2)'!$A:$BQ,12,0)</f>
        <v>CLASSIFICADOR PLENO</v>
      </c>
      <c r="P68" s="126">
        <f>VLOOKUP(A68,'Custo_Fopag (2)'!$A:$BQ,13,0)</f>
        <v>2333.09</v>
      </c>
      <c r="Q68" s="127">
        <f>VLOOKUP(A68,'Custo_Fopag (2)'!$A:$BQ,16,0)</f>
        <v>2333.09</v>
      </c>
      <c r="R68" s="56">
        <f>VLOOKUP(A68,'Custo_Fopag (2)'!$A:$BQ,17,0)</f>
        <v>0</v>
      </c>
      <c r="S68" s="54">
        <f>VLOOKUP(A68,'Custo_Fopag (2)'!$A:$BP,18,0)</f>
        <v>0</v>
      </c>
      <c r="T68" s="54">
        <f>VLOOKUP(A68,'Custo_Fopag (2)'!$A:$BQ,20,0)</f>
        <v>0</v>
      </c>
      <c r="U68" s="54">
        <f>VLOOKUP(A68,'Custo_Fopag (2)'!$A:$BQ,21,0)</f>
        <v>0</v>
      </c>
      <c r="V68" s="54">
        <f>VLOOKUP(A68,'Custo_Fopag (2)'!$A:$BQ,22,0)</f>
        <v>0</v>
      </c>
      <c r="W68" s="54">
        <f>VLOOKUP(A68,'Custo_Fopag (2)'!$A:$BQ,23,0)</f>
        <v>0</v>
      </c>
      <c r="X68" s="54">
        <f>VLOOKUP(A68,'Custo_Fopag (2)'!$A:$BQ,24,0)</f>
        <v>0</v>
      </c>
      <c r="Y68" s="55">
        <f>VLOOKUP(A68,'Custo_Fopag (2)'!$A:$BQ,25,0)</f>
        <v>0</v>
      </c>
      <c r="Z68" s="54">
        <f>VLOOKUP(A68,'Custo_Fopag (2)'!$A:$BQ,26,0)</f>
        <v>0</v>
      </c>
      <c r="AA68" s="54">
        <f>VLOOKUP(A68,'Custo_Fopag (2)'!$A:$BQ,27,0)</f>
        <v>74.95</v>
      </c>
      <c r="AB68" s="54">
        <f>VLOOKUP(A68,'Custo_Fopag (2)'!$A:$BQ,28,0)</f>
        <v>14.41</v>
      </c>
      <c r="AC68" s="54">
        <f>VLOOKUP(A68,'Custo_Fopag (2)'!$A:$BQ,29,0)</f>
        <v>0</v>
      </c>
      <c r="AD68" s="54">
        <f>VLOOKUP(A68,'Custo_Fopag (2)'!$A:$BQ,30,0)</f>
        <v>0</v>
      </c>
      <c r="AE68" s="54">
        <f>VLOOKUP(A68,'Custo_Fopag (2)'!$A:$BQ,31,0)</f>
        <v>0</v>
      </c>
      <c r="AF68" s="54">
        <f>VLOOKUP(A68,'Custo_Fopag (2)'!$A:$BQ,32,0)</f>
        <v>0</v>
      </c>
      <c r="AG68" s="54">
        <f t="shared" si="24"/>
        <v>2422.4499999999998</v>
      </c>
      <c r="AH68" s="121">
        <f>VLOOKUP(A68,'Custo_Fopag (2)'!$A:$BQ,45,0)</f>
        <v>0</v>
      </c>
      <c r="AI68" s="54">
        <f>_xlfn.XLOOKUP(A68,Beneficios!A:A,Beneficios!B:B,0,0,1)</f>
        <v>521.87</v>
      </c>
      <c r="AJ68" s="54">
        <f>VLOOKUP(A68,'Custo_Fopag (2)'!$A:$BQ,47,0)</f>
        <v>0</v>
      </c>
      <c r="AK68" s="54">
        <v>0</v>
      </c>
      <c r="AL68" s="54">
        <f>VLOOKUP(A68,'Custo_Fopag (2)'!$A:$BQ,35,0)</f>
        <v>0</v>
      </c>
      <c r="AM68" s="54">
        <f>VLOOKUP(A68,'Custo_Fopag (2)'!$A:$BQ,36,0)</f>
        <v>0</v>
      </c>
      <c r="AN68" s="54">
        <f>VLOOKUP(A68,'Custo_Fopag (2)'!$A:$BQ,37,0)</f>
        <v>0</v>
      </c>
      <c r="AO68" s="54">
        <f>VLOOKUP(A68,'Custo_Fopag (2)'!$A:$BQ,39,0)</f>
        <v>0</v>
      </c>
      <c r="AP68" s="54">
        <f>VLOOKUP(A68,'Custo_Fopag (2)'!$A:$BQ,42,0)</f>
        <v>0</v>
      </c>
      <c r="AQ68" s="54">
        <f>VLOOKUP(A68,'Custo_Fopag (2)'!$A:$BQ,40,0)</f>
        <v>0</v>
      </c>
      <c r="AR68" s="54">
        <f>VLOOKUP(A68,'Custo_Fopag (2)'!$A:$BQ,41,0)</f>
        <v>252.45</v>
      </c>
      <c r="AS68" s="54">
        <f>VLOOKUP(A68,'Custo_Fopag (2)'!$A:$BQ,38,0)</f>
        <v>0</v>
      </c>
      <c r="AT68" s="54">
        <f>VLOOKUP(A68,'Custo_Fopag (2)'!$A:$BQ,43,0)</f>
        <v>0</v>
      </c>
      <c r="AU68" s="54">
        <f>VLOOKUP(A68,'Custo_Fopag (2)'!$A:$BQ,48,0)</f>
        <v>0</v>
      </c>
      <c r="AV68" s="54">
        <f>VLOOKUP(A68,'Custo_Fopag (2)'!$A:$BQ,49,0)</f>
        <v>0</v>
      </c>
      <c r="AW68" s="54">
        <f>VLOOKUP(A68,'Custo_Fopag (2)'!$A:$BQ,19,0)</f>
        <v>0</v>
      </c>
      <c r="AX68" s="54">
        <f>VLOOKUP(A68,'Custo_Fopag (2)'!$A:$BQ,50,0)</f>
        <v>0</v>
      </c>
      <c r="AY68" s="54">
        <f>VLOOKUP(A68,'Custo_Fopag (2)'!$A:$BQ,51,0)</f>
        <v>0</v>
      </c>
      <c r="AZ68" s="117">
        <v>0</v>
      </c>
      <c r="BA68" s="54">
        <f>VLOOKUP(A68,'Custo_Fopag (2)'!$A:$BQ,54,0)</f>
        <v>0</v>
      </c>
      <c r="BB68" s="54">
        <f>VLOOKUP(A68,'Custo_Fopag (2)'!$A:$BQ,52,0)</f>
        <v>0</v>
      </c>
      <c r="BC68" s="122">
        <f t="shared" si="25"/>
        <v>774.31999999999994</v>
      </c>
      <c r="BD68" s="54">
        <f t="shared" si="26"/>
        <v>3196.7699999999995</v>
      </c>
      <c r="BE68" s="57"/>
      <c r="BF68" s="54">
        <f t="shared" si="27"/>
        <v>3196.7699999999995</v>
      </c>
      <c r="BG68" s="54">
        <f t="shared" si="28"/>
        <v>201.87083333333331</v>
      </c>
      <c r="BH68" s="54">
        <f t="shared" si="29"/>
        <v>201.87083333333331</v>
      </c>
      <c r="BI68" s="54">
        <f t="shared" si="30"/>
        <v>67.290277777777774</v>
      </c>
      <c r="BJ68" s="54">
        <f t="shared" si="31"/>
        <v>471.03194444444438</v>
      </c>
      <c r="BK68" s="54">
        <f>VLOOKUP(A68,'Custo_Fopag (2)'!$A:$BQ,65,0)</f>
        <v>484.49</v>
      </c>
      <c r="BL68" s="54">
        <f>VLOOKUP(A68,'Custo_Fopag (2)'!$A:$BQP,66,0)</f>
        <v>36.33</v>
      </c>
      <c r="BM68" s="54">
        <f>VLOOKUP(A68,'Custo_Fopag (2)'!$A:$BQ,67,0)</f>
        <v>140.5</v>
      </c>
      <c r="BN68" s="54">
        <f>VLOOKUP(A68,'Custo_Fopag (2)'!$A:$BQ,64,0)</f>
        <v>193.79</v>
      </c>
      <c r="BO68" s="54">
        <f t="shared" si="32"/>
        <v>855.11</v>
      </c>
      <c r="BP68" s="54">
        <f t="shared" si="33"/>
        <v>4051.8799999999997</v>
      </c>
      <c r="BQ68" s="54">
        <f t="shared" si="34"/>
        <v>4522.9119444444441</v>
      </c>
      <c r="BR68" s="109">
        <f>VLOOKUP(A68,'Custo_Fopag (2)'!$A:$BQ,60,0)</f>
        <v>0</v>
      </c>
      <c r="BS68" s="83" t="str">
        <f t="shared" si="35"/>
        <v>Ativo</v>
      </c>
    </row>
    <row r="69" spans="1:71" s="58" customFormat="1" x14ac:dyDescent="0.25">
      <c r="A69" s="59" t="s">
        <v>357</v>
      </c>
      <c r="B69" s="88">
        <v>46082</v>
      </c>
      <c r="C69" s="59" t="s">
        <v>5</v>
      </c>
      <c r="D69" s="59" t="str">
        <f>VLOOKUP(A69,'Custo_Fopag (2)'!A:$BQ,4,0)</f>
        <v>G3S FL 06 - MARINGA</v>
      </c>
      <c r="E69" s="59"/>
      <c r="F69" s="59"/>
      <c r="G69" s="59" t="str">
        <f>VLOOKUP(A69,'Custo_Fopag (2)'!$A:$BQ,5,0)</f>
        <v>20.947.332/0006-08</v>
      </c>
      <c r="H69" s="59" t="str">
        <f>VLOOKUP(A69,'Custo_Fopag (2)'!$A:$BQ,6,0)</f>
        <v>ADMINISTRATIVO</v>
      </c>
      <c r="I69" s="59" t="str">
        <f>VLOOKUP(A69,'Custo_Fopag (2)'!$A:$BQ,7,0)</f>
        <v>ATENDIMENTO</v>
      </c>
      <c r="J69" s="59" t="str">
        <f>VLOOKUP(A69,'Custo_Fopag (2)'!$A:$BQ,8,0)</f>
        <v>SELETIVA MARINGA DISTRITO</v>
      </c>
      <c r="K69" s="78">
        <f>VLOOKUP(A69,'Custo_Fopag (2)'!$A:$BQ,9,0)</f>
        <v>45880</v>
      </c>
      <c r="L69" s="52"/>
      <c r="M69" s="3"/>
      <c r="N69" s="3" t="str">
        <f>VLOOKUP(A69,'Custo_Fopag (2)'!$A:$BQ,11,0)</f>
        <v>1.2.4.1 ADMINISTRATIVO</v>
      </c>
      <c r="O69" s="3" t="str">
        <f>VLOOKUP(A69,'Custo_Fopag (2)'!$A:$BQ,12,0)</f>
        <v>AUX ADMINISTRATIVO PLENO</v>
      </c>
      <c r="P69" s="126">
        <f>VLOOKUP(A69,'Custo_Fopag (2)'!$A:$BQ,13,0)</f>
        <v>2650</v>
      </c>
      <c r="Q69" s="127">
        <f>VLOOKUP(A69,'Custo_Fopag (2)'!$A:$BQ,16,0)</f>
        <v>2650</v>
      </c>
      <c r="R69" s="56">
        <f>VLOOKUP(A69,'Custo_Fopag (2)'!$A:$BQ,17,0)</f>
        <v>0</v>
      </c>
      <c r="S69" s="54">
        <f>VLOOKUP(A69,'Custo_Fopag (2)'!$A:$BP,18,0)</f>
        <v>0</v>
      </c>
      <c r="T69" s="54">
        <f>VLOOKUP(A69,'Custo_Fopag (2)'!$A:$BQ,20,0)</f>
        <v>0</v>
      </c>
      <c r="U69" s="54">
        <f>VLOOKUP(A69,'Custo_Fopag (2)'!$A:$BQ,21,0)</f>
        <v>0</v>
      </c>
      <c r="V69" s="54">
        <f>VLOOKUP(A69,'Custo_Fopag (2)'!$A:$BQ,22,0)</f>
        <v>0</v>
      </c>
      <c r="W69" s="54">
        <f>VLOOKUP(A69,'Custo_Fopag (2)'!$A:$BQ,23,0)</f>
        <v>0</v>
      </c>
      <c r="X69" s="54">
        <f>VLOOKUP(A69,'Custo_Fopag (2)'!$A:$BQ,24,0)</f>
        <v>0</v>
      </c>
      <c r="Y69" s="55">
        <f>VLOOKUP(A69,'Custo_Fopag (2)'!$A:$BQ,25,0)</f>
        <v>0</v>
      </c>
      <c r="Z69" s="54">
        <f>VLOOKUP(A69,'Custo_Fopag (2)'!$A:$BQ,26,0)</f>
        <v>0</v>
      </c>
      <c r="AA69" s="54">
        <f>VLOOKUP(A69,'Custo_Fopag (2)'!$A:$BQ,27,0)</f>
        <v>382.59</v>
      </c>
      <c r="AB69" s="54">
        <f>VLOOKUP(A69,'Custo_Fopag (2)'!$A:$BQ,28,0)</f>
        <v>73.58</v>
      </c>
      <c r="AC69" s="54">
        <f>VLOOKUP(A69,'Custo_Fopag (2)'!$A:$BQ,29,0)</f>
        <v>0</v>
      </c>
      <c r="AD69" s="54">
        <f>VLOOKUP(A69,'Custo_Fopag (2)'!$A:$BQ,30,0)</f>
        <v>0</v>
      </c>
      <c r="AE69" s="54">
        <f>VLOOKUP(A69,'Custo_Fopag (2)'!$A:$BQ,31,0)</f>
        <v>0</v>
      </c>
      <c r="AF69" s="54">
        <f>VLOOKUP(A69,'Custo_Fopag (2)'!$A:$BQ,32,0)</f>
        <v>265</v>
      </c>
      <c r="AG69" s="54">
        <f t="shared" si="24"/>
        <v>3371.17</v>
      </c>
      <c r="AH69" s="121">
        <f>VLOOKUP(A69,'Custo_Fopag (2)'!$A:$BQ,45,0)</f>
        <v>0</v>
      </c>
      <c r="AI69" s="54">
        <f>_xlfn.XLOOKUP(A69,Beneficios!A:A,Beneficios!B:B,0,0,1)</f>
        <v>512.87</v>
      </c>
      <c r="AJ69" s="54">
        <f>VLOOKUP(A69,'Custo_Fopag (2)'!$A:$BQ,47,0)</f>
        <v>0</v>
      </c>
      <c r="AK69" s="54">
        <v>0</v>
      </c>
      <c r="AL69" s="54">
        <f>VLOOKUP(A69,'Custo_Fopag (2)'!$A:$BQ,35,0)</f>
        <v>0</v>
      </c>
      <c r="AM69" s="54">
        <f>VLOOKUP(A69,'Custo_Fopag (2)'!$A:$BQ,36,0)</f>
        <v>0</v>
      </c>
      <c r="AN69" s="54">
        <f>VLOOKUP(A69,'Custo_Fopag (2)'!$A:$BQ,37,0)</f>
        <v>0</v>
      </c>
      <c r="AO69" s="54">
        <f>VLOOKUP(A69,'Custo_Fopag (2)'!$A:$BQ,39,0)</f>
        <v>0</v>
      </c>
      <c r="AP69" s="54">
        <f>VLOOKUP(A69,'Custo_Fopag (2)'!$A:$BQ,42,0)</f>
        <v>0</v>
      </c>
      <c r="AQ69" s="54">
        <f>VLOOKUP(A69,'Custo_Fopag (2)'!$A:$BQ,40,0)</f>
        <v>0</v>
      </c>
      <c r="AR69" s="54">
        <f>VLOOKUP(A69,'Custo_Fopag (2)'!$A:$BQ,41,0)</f>
        <v>252.45</v>
      </c>
      <c r="AS69" s="54">
        <f>VLOOKUP(A69,'Custo_Fopag (2)'!$A:$BQ,38,0)</f>
        <v>0</v>
      </c>
      <c r="AT69" s="54">
        <f>VLOOKUP(A69,'Custo_Fopag (2)'!$A:$BQ,43,0)</f>
        <v>0</v>
      </c>
      <c r="AU69" s="54">
        <f>VLOOKUP(A69,'Custo_Fopag (2)'!$A:$BQ,48,0)</f>
        <v>0</v>
      </c>
      <c r="AV69" s="54">
        <f>VLOOKUP(A69,'Custo_Fopag (2)'!$A:$BQ,49,0)</f>
        <v>0</v>
      </c>
      <c r="AW69" s="54">
        <f>VLOOKUP(A69,'Custo_Fopag (2)'!$A:$BQ,19,0)</f>
        <v>0</v>
      </c>
      <c r="AX69" s="54">
        <f>VLOOKUP(A69,'Custo_Fopag (2)'!$A:$BQ,50,0)</f>
        <v>0</v>
      </c>
      <c r="AY69" s="54">
        <f>VLOOKUP(A69,'Custo_Fopag (2)'!$A:$BQ,51,0)</f>
        <v>0</v>
      </c>
      <c r="AZ69" s="117">
        <v>0</v>
      </c>
      <c r="BA69" s="54">
        <f>VLOOKUP(A69,'Custo_Fopag (2)'!$A:$BQ,54,0)</f>
        <v>0</v>
      </c>
      <c r="BB69" s="54">
        <f>VLOOKUP(A69,'Custo_Fopag (2)'!$A:$BQ,52,0)</f>
        <v>0</v>
      </c>
      <c r="BC69" s="122">
        <f t="shared" si="25"/>
        <v>765.31999999999994</v>
      </c>
      <c r="BD69" s="54">
        <f t="shared" si="26"/>
        <v>4136.49</v>
      </c>
      <c r="BE69" s="57"/>
      <c r="BF69" s="54">
        <f t="shared" si="27"/>
        <v>4136.49</v>
      </c>
      <c r="BG69" s="54">
        <f t="shared" si="28"/>
        <v>280.93083333333334</v>
      </c>
      <c r="BH69" s="54">
        <f t="shared" si="29"/>
        <v>280.93083333333334</v>
      </c>
      <c r="BI69" s="54">
        <f t="shared" si="30"/>
        <v>93.643611111111113</v>
      </c>
      <c r="BJ69" s="54">
        <f t="shared" si="31"/>
        <v>655.50527777777779</v>
      </c>
      <c r="BK69" s="54">
        <f>VLOOKUP(A69,'Custo_Fopag (2)'!$A:$BQ,65,0)</f>
        <v>674.23</v>
      </c>
      <c r="BL69" s="54">
        <f>VLOOKUP(A69,'Custo_Fopag (2)'!$A:$BQP,66,0)</f>
        <v>50.56</v>
      </c>
      <c r="BM69" s="54">
        <f>VLOOKUP(A69,'Custo_Fopag (2)'!$A:$BQ,67,0)</f>
        <v>195.52</v>
      </c>
      <c r="BN69" s="54">
        <f>VLOOKUP(A69,'Custo_Fopag (2)'!$A:$BQ,64,0)</f>
        <v>269.69</v>
      </c>
      <c r="BO69" s="54">
        <f t="shared" si="32"/>
        <v>1190</v>
      </c>
      <c r="BP69" s="54">
        <f t="shared" si="33"/>
        <v>5326.49</v>
      </c>
      <c r="BQ69" s="54">
        <f t="shared" si="34"/>
        <v>5981.995277777778</v>
      </c>
      <c r="BR69" s="109">
        <f>VLOOKUP(A69,'Custo_Fopag (2)'!$A:$BQ,60,0)</f>
        <v>0</v>
      </c>
      <c r="BS69" s="83" t="str">
        <f t="shared" si="35"/>
        <v>Ativo</v>
      </c>
    </row>
    <row r="70" spans="1:71" s="58" customFormat="1" x14ac:dyDescent="0.25">
      <c r="A70" s="59" t="s">
        <v>275</v>
      </c>
      <c r="B70" s="88">
        <v>46082</v>
      </c>
      <c r="C70" s="59" t="s">
        <v>5</v>
      </c>
      <c r="D70" s="59" t="str">
        <f>VLOOKUP(A70,'Custo_Fopag (2)'!A:$BQ,4,0)</f>
        <v>G3S CMATRIZ - CAMPO GRANDE</v>
      </c>
      <c r="E70" s="59"/>
      <c r="F70" s="59"/>
      <c r="G70" s="59" t="str">
        <f>VLOOKUP(A70,'Custo_Fopag (2)'!$A:$BQ,5,0)</f>
        <v>20.947.332/0001-95</v>
      </c>
      <c r="H70" s="59" t="str">
        <f>VLOOKUP(A70,'Custo_Fopag (2)'!$A:$BQ,6,0)</f>
        <v>ADMINISTRATIVO</v>
      </c>
      <c r="I70" s="59" t="str">
        <f>VLOOKUP(A70,'Custo_Fopag (2)'!$A:$BQ,7,0)</f>
        <v>ATENDIMENTO</v>
      </c>
      <c r="J70" s="59" t="str">
        <f>VLOOKUP(A70,'Custo_Fopag (2)'!$A:$BQ,8,0)</f>
        <v>SELETIVA C GRANDE</v>
      </c>
      <c r="K70" s="78">
        <f>VLOOKUP(A70,'Custo_Fopag (2)'!$A:$BQ,9,0)</f>
        <v>45733</v>
      </c>
      <c r="L70" s="52"/>
      <c r="M70" s="3"/>
      <c r="N70" s="3" t="str">
        <f>VLOOKUP(A70,'Custo_Fopag (2)'!$A:$BQ,11,0)</f>
        <v>1.2.7.1 ADMINISTRATIVO</v>
      </c>
      <c r="O70" s="3" t="str">
        <f>VLOOKUP(A70,'Custo_Fopag (2)'!$A:$BQ,12,0)</f>
        <v>AUX ADMINISTRATIVO PLENO</v>
      </c>
      <c r="P70" s="126">
        <f>VLOOKUP(A70,'Custo_Fopag (2)'!$A:$BQ,13,0)</f>
        <v>2650</v>
      </c>
      <c r="Q70" s="127">
        <f>VLOOKUP(A70,'Custo_Fopag (2)'!$A:$BQ,16,0)</f>
        <v>2650</v>
      </c>
      <c r="R70" s="56">
        <f>VLOOKUP(A70,'Custo_Fopag (2)'!$A:$BQ,17,0)</f>
        <v>0</v>
      </c>
      <c r="S70" s="54">
        <f>VLOOKUP(A70,'Custo_Fopag (2)'!$A:$BP,18,0)</f>
        <v>0</v>
      </c>
      <c r="T70" s="54">
        <f>VLOOKUP(A70,'Custo_Fopag (2)'!$A:$BQ,20,0)</f>
        <v>0</v>
      </c>
      <c r="U70" s="54">
        <f>VLOOKUP(A70,'Custo_Fopag (2)'!$A:$BQ,21,0)</f>
        <v>0</v>
      </c>
      <c r="V70" s="54">
        <f>VLOOKUP(A70,'Custo_Fopag (2)'!$A:$BQ,22,0)</f>
        <v>0</v>
      </c>
      <c r="W70" s="54">
        <f>VLOOKUP(A70,'Custo_Fopag (2)'!$A:$BQ,23,0)</f>
        <v>0</v>
      </c>
      <c r="X70" s="54">
        <f>VLOOKUP(A70,'Custo_Fopag (2)'!$A:$BQ,24,0)</f>
        <v>0</v>
      </c>
      <c r="Y70" s="55">
        <f>VLOOKUP(A70,'Custo_Fopag (2)'!$A:$BQ,25,0)</f>
        <v>0</v>
      </c>
      <c r="Z70" s="54">
        <f>VLOOKUP(A70,'Custo_Fopag (2)'!$A:$BQ,26,0)</f>
        <v>0</v>
      </c>
      <c r="AA70" s="54">
        <f>VLOOKUP(A70,'Custo_Fopag (2)'!$A:$BQ,27,0)</f>
        <v>34.909999999999997</v>
      </c>
      <c r="AB70" s="54">
        <f>VLOOKUP(A70,'Custo_Fopag (2)'!$A:$BQ,28,0)</f>
        <v>6.71</v>
      </c>
      <c r="AC70" s="54">
        <f>VLOOKUP(A70,'Custo_Fopag (2)'!$A:$BQ,29,0)</f>
        <v>0</v>
      </c>
      <c r="AD70" s="54">
        <f>VLOOKUP(A70,'Custo_Fopag (2)'!$A:$BQ,30,0)</f>
        <v>0</v>
      </c>
      <c r="AE70" s="54">
        <f>VLOOKUP(A70,'Custo_Fopag (2)'!$A:$BQ,31,0)</f>
        <v>0</v>
      </c>
      <c r="AF70" s="54">
        <f>VLOOKUP(A70,'Custo_Fopag (2)'!$A:$BQ,32,0)</f>
        <v>265</v>
      </c>
      <c r="AG70" s="54">
        <f t="shared" si="24"/>
        <v>2956.62</v>
      </c>
      <c r="AH70" s="121">
        <f>VLOOKUP(A70,'Custo_Fopag (2)'!$A:$BQ,45,0)</f>
        <v>0</v>
      </c>
      <c r="AI70" s="54">
        <f>_xlfn.XLOOKUP(A70,Beneficios!A:A,Beneficios!B:B,0,0,1)</f>
        <v>521.87</v>
      </c>
      <c r="AJ70" s="54">
        <f>VLOOKUP(A70,'Custo_Fopag (2)'!$A:$BQ,47,0)</f>
        <v>0</v>
      </c>
      <c r="AK70" s="54">
        <v>0</v>
      </c>
      <c r="AL70" s="54">
        <f>VLOOKUP(A70,'Custo_Fopag (2)'!$A:$BQ,35,0)</f>
        <v>0</v>
      </c>
      <c r="AM70" s="54">
        <f>VLOOKUP(A70,'Custo_Fopag (2)'!$A:$BQ,36,0)</f>
        <v>0</v>
      </c>
      <c r="AN70" s="54">
        <f>VLOOKUP(A70,'Custo_Fopag (2)'!$A:$BQ,37,0)</f>
        <v>0</v>
      </c>
      <c r="AO70" s="54">
        <f>VLOOKUP(A70,'Custo_Fopag (2)'!$A:$BQ,39,0)</f>
        <v>0</v>
      </c>
      <c r="AP70" s="54">
        <f>VLOOKUP(A70,'Custo_Fopag (2)'!$A:$BQ,42,0)</f>
        <v>0</v>
      </c>
      <c r="AQ70" s="54">
        <f>VLOOKUP(A70,'Custo_Fopag (2)'!$A:$BQ,40,0)</f>
        <v>0</v>
      </c>
      <c r="AR70" s="54">
        <f>VLOOKUP(A70,'Custo_Fopag (2)'!$A:$BQ,41,0)</f>
        <v>533.04</v>
      </c>
      <c r="AS70" s="54">
        <f>VLOOKUP(A70,'Custo_Fopag (2)'!$A:$BQ,38,0)</f>
        <v>0</v>
      </c>
      <c r="AT70" s="54">
        <f>VLOOKUP(A70,'Custo_Fopag (2)'!$A:$BQ,43,0)</f>
        <v>0</v>
      </c>
      <c r="AU70" s="54">
        <f>VLOOKUP(A70,'Custo_Fopag (2)'!$A:$BQ,48,0)</f>
        <v>0</v>
      </c>
      <c r="AV70" s="54">
        <f>VLOOKUP(A70,'Custo_Fopag (2)'!$A:$BQ,49,0)</f>
        <v>0</v>
      </c>
      <c r="AW70" s="54">
        <f>VLOOKUP(A70,'Custo_Fopag (2)'!$A:$BQ,19,0)</f>
        <v>0</v>
      </c>
      <c r="AX70" s="54">
        <f>VLOOKUP(A70,'Custo_Fopag (2)'!$A:$BQ,50,0)</f>
        <v>0</v>
      </c>
      <c r="AY70" s="54">
        <f>VLOOKUP(A70,'Custo_Fopag (2)'!$A:$BQ,51,0)</f>
        <v>0</v>
      </c>
      <c r="AZ70" s="117">
        <v>0</v>
      </c>
      <c r="BA70" s="54">
        <f>VLOOKUP(A70,'Custo_Fopag (2)'!$A:$BQ,54,0)</f>
        <v>0</v>
      </c>
      <c r="BB70" s="54">
        <f>VLOOKUP(A70,'Custo_Fopag (2)'!$A:$BQ,52,0)</f>
        <v>0</v>
      </c>
      <c r="BC70" s="122">
        <f t="shared" si="25"/>
        <v>1054.9099999999999</v>
      </c>
      <c r="BD70" s="54">
        <f t="shared" si="26"/>
        <v>4011.5299999999997</v>
      </c>
      <c r="BE70" s="57"/>
      <c r="BF70" s="54">
        <f t="shared" si="27"/>
        <v>4011.5299999999997</v>
      </c>
      <c r="BG70" s="54">
        <f t="shared" si="28"/>
        <v>246.38499999999999</v>
      </c>
      <c r="BH70" s="54">
        <f t="shared" si="29"/>
        <v>246.38499999999999</v>
      </c>
      <c r="BI70" s="54">
        <f t="shared" si="30"/>
        <v>82.12833333333333</v>
      </c>
      <c r="BJ70" s="54">
        <f t="shared" si="31"/>
        <v>574.89833333333331</v>
      </c>
      <c r="BK70" s="54">
        <f>VLOOKUP(A70,'Custo_Fopag (2)'!$A:$BQ,65,0)</f>
        <v>591.32000000000005</v>
      </c>
      <c r="BL70" s="54">
        <f>VLOOKUP(A70,'Custo_Fopag (2)'!$A:$BQP,66,0)</f>
        <v>135.26</v>
      </c>
      <c r="BM70" s="54">
        <f>VLOOKUP(A70,'Custo_Fopag (2)'!$A:$BQ,67,0)</f>
        <v>171.48</v>
      </c>
      <c r="BN70" s="54">
        <f>VLOOKUP(A70,'Custo_Fopag (2)'!$A:$BQ,64,0)</f>
        <v>236.52</v>
      </c>
      <c r="BO70" s="54">
        <f t="shared" si="32"/>
        <v>1134.5800000000002</v>
      </c>
      <c r="BP70" s="54">
        <f t="shared" si="33"/>
        <v>5146.1099999999997</v>
      </c>
      <c r="BQ70" s="54">
        <f t="shared" si="34"/>
        <v>5721.0083333333332</v>
      </c>
      <c r="BR70" s="109">
        <f>VLOOKUP(A70,'Custo_Fopag (2)'!$A:$BQ,60,0)</f>
        <v>0</v>
      </c>
      <c r="BS70" s="83" t="str">
        <f t="shared" si="35"/>
        <v>Ativo</v>
      </c>
    </row>
    <row r="71" spans="1:71" s="58" customFormat="1" x14ac:dyDescent="0.25">
      <c r="A71" s="59" t="s">
        <v>128</v>
      </c>
      <c r="B71" s="88">
        <v>46082</v>
      </c>
      <c r="C71" s="59" t="s">
        <v>5</v>
      </c>
      <c r="D71" s="59" t="str">
        <f>VLOOKUP(A71,'Custo_Fopag (2)'!A:$BQ,4,0)</f>
        <v>G S FL 04 - MARINGA</v>
      </c>
      <c r="E71" s="59"/>
      <c r="F71" s="59"/>
      <c r="G71" s="59" t="str">
        <f>VLOOKUP(A71,'Custo_Fopag (2)'!$A:$BQ,5,0)</f>
        <v>20.504.237/0004-60</v>
      </c>
      <c r="H71" s="59" t="str">
        <f>VLOOKUP(A71,'Custo_Fopag (2)'!$A:$BQ,6,0)</f>
        <v>OPERACIONAL</v>
      </c>
      <c r="I71" s="59" t="str">
        <f>VLOOKUP(A71,'Custo_Fopag (2)'!$A:$BQ,7,0)</f>
        <v>PATIO</v>
      </c>
      <c r="J71" s="59" t="str">
        <f>VLOOKUP(A71,'Custo_Fopag (2)'!$A:$BQ,8,0)</f>
        <v>SELETIVA MARINGA DISTRITO</v>
      </c>
      <c r="K71" s="78">
        <f>VLOOKUP(A71,'Custo_Fopag (2)'!$A:$BQ,9,0)</f>
        <v>41276</v>
      </c>
      <c r="L71" s="52"/>
      <c r="M71" s="3"/>
      <c r="N71" s="3" t="str">
        <f>VLOOKUP(A71,'Custo_Fopag (2)'!$A:$BQ,11,0)</f>
        <v>1.2.4.3 OPERACIONAL</v>
      </c>
      <c r="O71" s="3" t="str">
        <f>VLOOKUP(A71,'Custo_Fopag (2)'!$A:$BQ,12,0)</f>
        <v>OPERADOR MANTENEDOR SENIOR</v>
      </c>
      <c r="P71" s="126">
        <f>VLOOKUP(A71,'Custo_Fopag (2)'!$A:$BQ,13,0)</f>
        <v>3354.5</v>
      </c>
      <c r="Q71" s="127">
        <f>VLOOKUP(A71,'Custo_Fopag (2)'!$A:$BQ,16,0)</f>
        <v>3354.5</v>
      </c>
      <c r="R71" s="56">
        <f>VLOOKUP(A71,'Custo_Fopag (2)'!$A:$BQ,17,0)</f>
        <v>0</v>
      </c>
      <c r="S71" s="54">
        <f>VLOOKUP(A71,'Custo_Fopag (2)'!$A:$BP,18,0)</f>
        <v>0</v>
      </c>
      <c r="T71" s="54">
        <f>VLOOKUP(A71,'Custo_Fopag (2)'!$A:$BQ,20,0)</f>
        <v>670.9</v>
      </c>
      <c r="U71" s="54">
        <f>VLOOKUP(A71,'Custo_Fopag (2)'!$A:$BQ,21,0)</f>
        <v>0</v>
      </c>
      <c r="V71" s="54">
        <f>VLOOKUP(A71,'Custo_Fopag (2)'!$A:$BQ,22,0)</f>
        <v>0</v>
      </c>
      <c r="W71" s="54">
        <f>VLOOKUP(A71,'Custo_Fopag (2)'!$A:$BQ,23,0)</f>
        <v>0</v>
      </c>
      <c r="X71" s="54">
        <f>VLOOKUP(A71,'Custo_Fopag (2)'!$A:$BQ,24,0)</f>
        <v>0</v>
      </c>
      <c r="Y71" s="55">
        <f>VLOOKUP(A71,'Custo_Fopag (2)'!$A:$BQ,25,0)</f>
        <v>0</v>
      </c>
      <c r="Z71" s="54">
        <f>VLOOKUP(A71,'Custo_Fopag (2)'!$A:$BQ,26,0)</f>
        <v>0</v>
      </c>
      <c r="AA71" s="54">
        <f>VLOOKUP(A71,'Custo_Fopag (2)'!$A:$BQ,27,0)</f>
        <v>1849.24</v>
      </c>
      <c r="AB71" s="54">
        <f>VLOOKUP(A71,'Custo_Fopag (2)'!$A:$BQ,28,0)</f>
        <v>355.62</v>
      </c>
      <c r="AC71" s="54">
        <f>VLOOKUP(A71,'Custo_Fopag (2)'!$A:$BQ,29,0)</f>
        <v>0</v>
      </c>
      <c r="AD71" s="54">
        <f>VLOOKUP(A71,'Custo_Fopag (2)'!$A:$BQ,30,0)</f>
        <v>0</v>
      </c>
      <c r="AE71" s="54">
        <f>VLOOKUP(A71,'Custo_Fopag (2)'!$A:$BQ,31,0)</f>
        <v>0</v>
      </c>
      <c r="AF71" s="54">
        <f>VLOOKUP(A71,'Custo_Fopag (2)'!$A:$BQ,32,0)</f>
        <v>0</v>
      </c>
      <c r="AG71" s="54">
        <f t="shared" si="24"/>
        <v>6230.26</v>
      </c>
      <c r="AH71" s="121">
        <f>VLOOKUP(A71,'Custo_Fopag (2)'!$A:$BQ,45,0)</f>
        <v>0</v>
      </c>
      <c r="AI71" s="54">
        <f>_xlfn.XLOOKUP(A71,Beneficios!A:A,Beneficios!B:B,0,0,1)</f>
        <v>512.87</v>
      </c>
      <c r="AJ71" s="54">
        <f>VLOOKUP(A71,'Custo_Fopag (2)'!$A:$BQ,47,0)</f>
        <v>0</v>
      </c>
      <c r="AK71" s="54">
        <v>0</v>
      </c>
      <c r="AL71" s="54">
        <f>VLOOKUP(A71,'Custo_Fopag (2)'!$A:$BQ,35,0)</f>
        <v>807.76</v>
      </c>
      <c r="AM71" s="54">
        <f>VLOOKUP(A71,'Custo_Fopag (2)'!$A:$BQ,36,0)</f>
        <v>0</v>
      </c>
      <c r="AN71" s="54">
        <f>VLOOKUP(A71,'Custo_Fopag (2)'!$A:$BQ,37,0)</f>
        <v>0</v>
      </c>
      <c r="AO71" s="54">
        <f>VLOOKUP(A71,'Custo_Fopag (2)'!$A:$BQ,39,0)</f>
        <v>0</v>
      </c>
      <c r="AP71" s="54">
        <f>VLOOKUP(A71,'Custo_Fopag (2)'!$A:$BQ,42,0)</f>
        <v>0</v>
      </c>
      <c r="AQ71" s="54">
        <f>VLOOKUP(A71,'Custo_Fopag (2)'!$A:$BQ,40,0)</f>
        <v>0</v>
      </c>
      <c r="AR71" s="54">
        <f>VLOOKUP(A71,'Custo_Fopag (2)'!$A:$BQ,41,0)</f>
        <v>252.45</v>
      </c>
      <c r="AS71" s="54">
        <f>VLOOKUP(A71,'Custo_Fopag (2)'!$A:$BQ,38,0)</f>
        <v>0</v>
      </c>
      <c r="AT71" s="54">
        <f>VLOOKUP(A71,'Custo_Fopag (2)'!$A:$BQ,43,0)</f>
        <v>0</v>
      </c>
      <c r="AU71" s="54">
        <f>VLOOKUP(A71,'Custo_Fopag (2)'!$A:$BQ,48,0)</f>
        <v>0</v>
      </c>
      <c r="AV71" s="54">
        <f>VLOOKUP(A71,'Custo_Fopag (2)'!$A:$BQ,49,0)</f>
        <v>0</v>
      </c>
      <c r="AW71" s="54">
        <f>VLOOKUP(A71,'Custo_Fopag (2)'!$A:$BQ,19,0)</f>
        <v>0</v>
      </c>
      <c r="AX71" s="54">
        <f>VLOOKUP(A71,'Custo_Fopag (2)'!$A:$BQ,50,0)</f>
        <v>0</v>
      </c>
      <c r="AY71" s="54">
        <f>VLOOKUP(A71,'Custo_Fopag (2)'!$A:$BQ,51,0)</f>
        <v>0</v>
      </c>
      <c r="AZ71" s="117">
        <v>0</v>
      </c>
      <c r="BA71" s="54">
        <f>VLOOKUP(A71,'Custo_Fopag (2)'!$A:$BQ,54,0)</f>
        <v>0</v>
      </c>
      <c r="BB71" s="54">
        <f>VLOOKUP(A71,'Custo_Fopag (2)'!$A:$BQ,52,0)</f>
        <v>0</v>
      </c>
      <c r="BC71" s="122">
        <f t="shared" si="25"/>
        <v>1573.0800000000002</v>
      </c>
      <c r="BD71" s="54">
        <f t="shared" si="26"/>
        <v>7803.34</v>
      </c>
      <c r="BE71" s="57"/>
      <c r="BF71" s="54">
        <f t="shared" si="27"/>
        <v>7803.34</v>
      </c>
      <c r="BG71" s="54">
        <f t="shared" si="28"/>
        <v>519.18833333333339</v>
      </c>
      <c r="BH71" s="54">
        <f t="shared" si="29"/>
        <v>519.18833333333339</v>
      </c>
      <c r="BI71" s="54">
        <f t="shared" si="30"/>
        <v>173.0627777777778</v>
      </c>
      <c r="BJ71" s="54">
        <f t="shared" si="31"/>
        <v>1211.4394444444447</v>
      </c>
      <c r="BK71" s="54">
        <f>VLOOKUP(A71,'Custo_Fopag (2)'!$A:$BQ,65,0)</f>
        <v>1246.05</v>
      </c>
      <c r="BL71" s="54">
        <f>VLOOKUP(A71,'Custo_Fopag (2)'!$A:$BQP,66,0)</f>
        <v>186.9</v>
      </c>
      <c r="BM71" s="54">
        <f>VLOOKUP(A71,'Custo_Fopag (2)'!$A:$BQ,67,0)</f>
        <v>361.35</v>
      </c>
      <c r="BN71" s="54">
        <f>VLOOKUP(A71,'Custo_Fopag (2)'!$A:$BQ,64,0)</f>
        <v>498.42</v>
      </c>
      <c r="BO71" s="54">
        <f t="shared" si="32"/>
        <v>2292.7200000000003</v>
      </c>
      <c r="BP71" s="54">
        <f t="shared" si="33"/>
        <v>10096.060000000001</v>
      </c>
      <c r="BQ71" s="54">
        <f t="shared" si="34"/>
        <v>11307.499444444446</v>
      </c>
      <c r="BR71" s="109">
        <f>VLOOKUP(A71,'Custo_Fopag (2)'!$A:$BQ,60,0)</f>
        <v>0</v>
      </c>
      <c r="BS71" s="83" t="str">
        <f t="shared" si="35"/>
        <v>Ativo</v>
      </c>
    </row>
    <row r="72" spans="1:71" s="60" customFormat="1" x14ac:dyDescent="0.25">
      <c r="A72" s="59" t="s">
        <v>320</v>
      </c>
      <c r="B72" s="88">
        <v>46082</v>
      </c>
      <c r="C72" s="59" t="s">
        <v>5</v>
      </c>
      <c r="D72" s="59" t="str">
        <f>VLOOKUP(A72,'Custo_Fopag (2)'!A:$BQ,4,0)</f>
        <v>G3S FL 05 - PRES PRUD</v>
      </c>
      <c r="E72" s="59"/>
      <c r="F72" s="59"/>
      <c r="G72" s="59" t="str">
        <f>VLOOKUP(A72,'Custo_Fopag (2)'!$A:$BQ,5,0)</f>
        <v>20.947.332/0005-19</v>
      </c>
      <c r="H72" s="59" t="str">
        <f>VLOOKUP(A72,'Custo_Fopag (2)'!$A:$BQ,6,0)</f>
        <v>LOGISTICA</v>
      </c>
      <c r="I72" s="59" t="str">
        <f>VLOOKUP(A72,'Custo_Fopag (2)'!$A:$BQ,7,0)</f>
        <v>TRANSPORTE</v>
      </c>
      <c r="J72" s="59" t="str">
        <f>VLOOKUP(A72,'Custo_Fopag (2)'!$A:$BQ,8,0)</f>
        <v>BRACOFER</v>
      </c>
      <c r="K72" s="78">
        <f>VLOOKUP(A72,'Custo_Fopag (2)'!$A:$BQ,9,0)</f>
        <v>43888</v>
      </c>
      <c r="L72" s="52"/>
      <c r="M72" s="59"/>
      <c r="N72" s="3" t="str">
        <f>VLOOKUP(A72,'Custo_Fopag (2)'!$A:$BQ,11,0)</f>
        <v>1.3.1.4 LOGISTICA</v>
      </c>
      <c r="O72" s="3" t="str">
        <f>VLOOKUP(A72,'Custo_Fopag (2)'!$A:$BQ,12,0)</f>
        <v>MOTORISTA TRUCK MANTENEDOR SENIOR</v>
      </c>
      <c r="P72" s="126">
        <f>VLOOKUP(A72,'Custo_Fopag (2)'!$A:$BQ,13,0)</f>
        <v>2700</v>
      </c>
      <c r="Q72" s="127">
        <f>VLOOKUP(A72,'Custo_Fopag (2)'!$A:$BQ,16,0)</f>
        <v>2700</v>
      </c>
      <c r="R72" s="56">
        <f>VLOOKUP(A72,'Custo_Fopag (2)'!$A:$BQ,17,0)</f>
        <v>0</v>
      </c>
      <c r="S72" s="54">
        <f>VLOOKUP(A72,'Custo_Fopag (2)'!$A:$BP,18,0)</f>
        <v>0</v>
      </c>
      <c r="T72" s="54">
        <f>VLOOKUP(A72,'Custo_Fopag (2)'!$A:$BQ,20,0)</f>
        <v>540</v>
      </c>
      <c r="U72" s="54">
        <f>VLOOKUP(A72,'Custo_Fopag (2)'!$A:$BQ,21,0)</f>
        <v>0</v>
      </c>
      <c r="V72" s="54">
        <f>VLOOKUP(A72,'Custo_Fopag (2)'!$A:$BQ,22,0)</f>
        <v>0</v>
      </c>
      <c r="W72" s="54">
        <f>VLOOKUP(A72,'Custo_Fopag (2)'!$A:$BQ,23,0)</f>
        <v>0</v>
      </c>
      <c r="X72" s="54">
        <f>VLOOKUP(A72,'Custo_Fopag (2)'!$A:$BQ,24,0)</f>
        <v>0</v>
      </c>
      <c r="Y72" s="55">
        <f>VLOOKUP(A72,'Custo_Fopag (2)'!$A:$BQ,25,0)</f>
        <v>135</v>
      </c>
      <c r="Z72" s="54">
        <f>VLOOKUP(A72,'Custo_Fopag (2)'!$A:$BQ,26,0)</f>
        <v>0</v>
      </c>
      <c r="AA72" s="54">
        <f>VLOOKUP(A72,'Custo_Fopag (2)'!$A:$BQ,27,0)</f>
        <v>64.819999999999993</v>
      </c>
      <c r="AB72" s="54">
        <f>VLOOKUP(A72,'Custo_Fopag (2)'!$A:$BQ,28,0)</f>
        <v>12.47</v>
      </c>
      <c r="AC72" s="54">
        <f>VLOOKUP(A72,'Custo_Fopag (2)'!$A:$BQ,29,0)</f>
        <v>0</v>
      </c>
      <c r="AD72" s="54">
        <f>VLOOKUP(A72,'Custo_Fopag (2)'!$A:$BQ,30,0)</f>
        <v>0</v>
      </c>
      <c r="AE72" s="54">
        <f>VLOOKUP(A72,'Custo_Fopag (2)'!$A:$BQ,31,0)</f>
        <v>0</v>
      </c>
      <c r="AF72" s="54">
        <f>VLOOKUP(A72,'Custo_Fopag (2)'!$A:$BQ,32,0)</f>
        <v>0</v>
      </c>
      <c r="AG72" s="54">
        <f t="shared" si="24"/>
        <v>3452.29</v>
      </c>
      <c r="AH72" s="121">
        <f>VLOOKUP(A72,'Custo_Fopag (2)'!$A:$BQ,45,0)</f>
        <v>0</v>
      </c>
      <c r="AI72" s="54">
        <f>_xlfn.XLOOKUP(A72,Beneficios!A:A,Beneficios!B:B,0,0,1)</f>
        <v>512.87</v>
      </c>
      <c r="AJ72" s="54">
        <f>VLOOKUP(A72,'Custo_Fopag (2)'!$A:$BQ,47,0)</f>
        <v>0</v>
      </c>
      <c r="AK72" s="54">
        <v>0</v>
      </c>
      <c r="AL72" s="54">
        <f>VLOOKUP(A72,'Custo_Fopag (2)'!$A:$BQ,35,0)</f>
        <v>0</v>
      </c>
      <c r="AM72" s="54">
        <f>VLOOKUP(A72,'Custo_Fopag (2)'!$A:$BQ,36,0)</f>
        <v>0</v>
      </c>
      <c r="AN72" s="54">
        <f>VLOOKUP(A72,'Custo_Fopag (2)'!$A:$BQ,37,0)</f>
        <v>0</v>
      </c>
      <c r="AO72" s="54">
        <f>VLOOKUP(A72,'Custo_Fopag (2)'!$A:$BQ,39,0)</f>
        <v>0</v>
      </c>
      <c r="AP72" s="54">
        <f>VLOOKUP(A72,'Custo_Fopag (2)'!$A:$BQ,42,0)</f>
        <v>612</v>
      </c>
      <c r="AQ72" s="54">
        <f>VLOOKUP(A72,'Custo_Fopag (2)'!$A:$BQ,40,0)</f>
        <v>0</v>
      </c>
      <c r="AR72" s="54">
        <f>VLOOKUP(A72,'Custo_Fopag (2)'!$A:$BQ,41,0)</f>
        <v>0</v>
      </c>
      <c r="AS72" s="54">
        <f>VLOOKUP(A72,'Custo_Fopag (2)'!$A:$BQ,38,0)</f>
        <v>0</v>
      </c>
      <c r="AT72" s="54">
        <f>VLOOKUP(A72,'Custo_Fopag (2)'!$A:$BQ,43,0)</f>
        <v>0</v>
      </c>
      <c r="AU72" s="54">
        <f>VLOOKUP(A72,'Custo_Fopag (2)'!$A:$BQ,48,0)</f>
        <v>1323</v>
      </c>
      <c r="AV72" s="54">
        <f>VLOOKUP(A72,'Custo_Fopag (2)'!$A:$BQ,49,0)</f>
        <v>0</v>
      </c>
      <c r="AW72" s="54">
        <f>VLOOKUP(A72,'Custo_Fopag (2)'!$A:$BQ,19,0)</f>
        <v>0</v>
      </c>
      <c r="AX72" s="54">
        <f>VLOOKUP(A72,'Custo_Fopag (2)'!$A:$BQ,50,0)</f>
        <v>0</v>
      </c>
      <c r="AY72" s="54">
        <f>VLOOKUP(A72,'Custo_Fopag (2)'!$A:$BQ,51,0)</f>
        <v>0</v>
      </c>
      <c r="AZ72" s="117">
        <v>0</v>
      </c>
      <c r="BA72" s="54">
        <f>VLOOKUP(A72,'Custo_Fopag (2)'!$A:$BQ,54,0)</f>
        <v>0</v>
      </c>
      <c r="BB72" s="54">
        <f>VLOOKUP(A72,'Custo_Fopag (2)'!$A:$BQ,52,0)</f>
        <v>0</v>
      </c>
      <c r="BC72" s="122">
        <f t="shared" si="25"/>
        <v>2447.87</v>
      </c>
      <c r="BD72" s="54">
        <f t="shared" si="26"/>
        <v>5900.16</v>
      </c>
      <c r="BE72" s="57"/>
      <c r="BF72" s="54">
        <f t="shared" si="27"/>
        <v>5900.16</v>
      </c>
      <c r="BG72" s="54">
        <f t="shared" si="28"/>
        <v>287.69083333333333</v>
      </c>
      <c r="BH72" s="54">
        <f t="shared" si="29"/>
        <v>287.69083333333333</v>
      </c>
      <c r="BI72" s="54">
        <f t="shared" si="30"/>
        <v>95.896944444444443</v>
      </c>
      <c r="BJ72" s="54">
        <f t="shared" si="31"/>
        <v>671.2786111111111</v>
      </c>
      <c r="BK72" s="54">
        <f>VLOOKUP(A72,'Custo_Fopag (2)'!$A:$BQ,65,0)</f>
        <v>690.46</v>
      </c>
      <c r="BL72" s="54">
        <f>VLOOKUP(A72,'Custo_Fopag (2)'!$A:$BQP,66,0)</f>
        <v>51.78</v>
      </c>
      <c r="BM72" s="54">
        <f>VLOOKUP(A72,'Custo_Fopag (2)'!$A:$BQ,67,0)</f>
        <v>200.23</v>
      </c>
      <c r="BN72" s="54">
        <f>VLOOKUP(A72,'Custo_Fopag (2)'!$A:$BQ,64,0)</f>
        <v>276.18</v>
      </c>
      <c r="BO72" s="54">
        <f t="shared" si="32"/>
        <v>1218.6500000000001</v>
      </c>
      <c r="BP72" s="54">
        <f t="shared" si="33"/>
        <v>7118.8099999999995</v>
      </c>
      <c r="BQ72" s="54">
        <f t="shared" si="34"/>
        <v>7790.0886111111104</v>
      </c>
      <c r="BR72" s="109">
        <f>VLOOKUP(A72,'Custo_Fopag (2)'!$A:$BQ,60,0)</f>
        <v>0</v>
      </c>
      <c r="BS72" s="83" t="str">
        <f t="shared" si="35"/>
        <v>Ativo</v>
      </c>
    </row>
    <row r="73" spans="1:71" s="60" customFormat="1" x14ac:dyDescent="0.25">
      <c r="A73" s="59" t="s">
        <v>86</v>
      </c>
      <c r="B73" s="88">
        <v>46082</v>
      </c>
      <c r="C73" s="59" t="s">
        <v>5</v>
      </c>
      <c r="D73" s="59" t="str">
        <f>VLOOKUP(A73,'Custo_Fopag (2)'!A:$BQ,4,0)</f>
        <v>G3S  FL 08 - LONDRINA</v>
      </c>
      <c r="E73" s="59"/>
      <c r="F73" s="59"/>
      <c r="G73" s="59" t="str">
        <f>VLOOKUP(A73,'Custo_Fopag (2)'!$A:$BQ,5,0)</f>
        <v>20.947.332/0008-61</v>
      </c>
      <c r="H73" s="59" t="str">
        <f>VLOOKUP(A73,'Custo_Fopag (2)'!$A:$BQ,6,0)</f>
        <v>OPERACIONAL</v>
      </c>
      <c r="I73" s="59" t="str">
        <f>VLOOKUP(A73,'Custo_Fopag (2)'!$A:$BQ,7,0)</f>
        <v>PATIO</v>
      </c>
      <c r="J73" s="59" t="str">
        <f>VLOOKUP(A73,'Custo_Fopag (2)'!$A:$BQ,8,0)</f>
        <v>SELETIVA LONDRINA</v>
      </c>
      <c r="K73" s="78">
        <f>VLOOKUP(A73,'Custo_Fopag (2)'!$A:$BQ,9,0)</f>
        <v>45027</v>
      </c>
      <c r="L73" s="52"/>
      <c r="M73" s="3"/>
      <c r="N73" s="3" t="str">
        <f>VLOOKUP(A73,'Custo_Fopag (2)'!$A:$BQ,11,0)</f>
        <v>1.2.3.3 OPERACIONAL</v>
      </c>
      <c r="O73" s="3" t="str">
        <f>VLOOKUP(A73,'Custo_Fopag (2)'!$A:$BQ,12,0)</f>
        <v>GERENTE DE PATIO SENIOR</v>
      </c>
      <c r="P73" s="126">
        <f>VLOOKUP(A73,'Custo_Fopag (2)'!$A:$BQ,13,0)</f>
        <v>3679.83</v>
      </c>
      <c r="Q73" s="127">
        <f>VLOOKUP(A73,'Custo_Fopag (2)'!$A:$BQ,16,0)</f>
        <v>1226.6099999999999</v>
      </c>
      <c r="R73" s="56">
        <f>VLOOKUP(A73,'Custo_Fopag (2)'!$A:$BQ,17,0)</f>
        <v>0</v>
      </c>
      <c r="S73" s="54">
        <f>VLOOKUP(A73,'Custo_Fopag (2)'!$A:$BP,18,0)</f>
        <v>5497.23</v>
      </c>
      <c r="T73" s="54">
        <f>VLOOKUP(A73,'Custo_Fopag (2)'!$A:$BQ,20,0)</f>
        <v>245.32</v>
      </c>
      <c r="U73" s="54">
        <f>VLOOKUP(A73,'Custo_Fopag (2)'!$A:$BQ,21,0)</f>
        <v>0</v>
      </c>
      <c r="V73" s="54">
        <f>VLOOKUP(A73,'Custo_Fopag (2)'!$A:$BQ,22,0)</f>
        <v>367.98</v>
      </c>
      <c r="W73" s="54">
        <f>VLOOKUP(A73,'Custo_Fopag (2)'!$A:$BQ,23,0)</f>
        <v>0</v>
      </c>
      <c r="X73" s="54">
        <f>VLOOKUP(A73,'Custo_Fopag (2)'!$A:$BQ,24,0)</f>
        <v>0</v>
      </c>
      <c r="Y73" s="55">
        <f>VLOOKUP(A73,'Custo_Fopag (2)'!$A:$BQ,25,0)</f>
        <v>0</v>
      </c>
      <c r="Z73" s="54">
        <f>VLOOKUP(A73,'Custo_Fopag (2)'!$A:$BQ,26,0)</f>
        <v>0</v>
      </c>
      <c r="AA73" s="54">
        <f>VLOOKUP(A73,'Custo_Fopag (2)'!$A:$BQ,27,0)</f>
        <v>0</v>
      </c>
      <c r="AB73" s="54">
        <f>VLOOKUP(A73,'Custo_Fopag (2)'!$A:$BQ,28,0)</f>
        <v>0</v>
      </c>
      <c r="AC73" s="54">
        <f>VLOOKUP(A73,'Custo_Fopag (2)'!$A:$BQ,29,0)</f>
        <v>0</v>
      </c>
      <c r="AD73" s="54">
        <f>VLOOKUP(A73,'Custo_Fopag (2)'!$A:$BQ,30,0)</f>
        <v>0</v>
      </c>
      <c r="AE73" s="54">
        <f>VLOOKUP(A73,'Custo_Fopag (2)'!$A:$BQ,31,0)</f>
        <v>0</v>
      </c>
      <c r="AF73" s="54">
        <f>VLOOKUP(A73,'Custo_Fopag (2)'!$A:$BQ,32,0)</f>
        <v>0</v>
      </c>
      <c r="AG73" s="54">
        <f t="shared" si="24"/>
        <v>7337.1399999999994</v>
      </c>
      <c r="AH73" s="121">
        <f>VLOOKUP(A73,'Custo_Fopag (2)'!$A:$BQ,45,0)</f>
        <v>0</v>
      </c>
      <c r="AI73" s="54">
        <f>_xlfn.XLOOKUP(A73,Beneficios!A:A,Beneficios!B:B,0,0,1)</f>
        <v>521.87</v>
      </c>
      <c r="AJ73" s="54">
        <f>VLOOKUP(A73,'Custo_Fopag (2)'!$A:$BQ,47,0)</f>
        <v>0</v>
      </c>
      <c r="AK73" s="54">
        <v>0</v>
      </c>
      <c r="AL73" s="54">
        <f>VLOOKUP(A73,'Custo_Fopag (2)'!$A:$BQ,35,0)</f>
        <v>0</v>
      </c>
      <c r="AM73" s="54">
        <f>VLOOKUP(A73,'Custo_Fopag (2)'!$A:$BQ,36,0)</f>
        <v>0</v>
      </c>
      <c r="AN73" s="54">
        <f>VLOOKUP(A73,'Custo_Fopag (2)'!$A:$BQ,37,0)</f>
        <v>0</v>
      </c>
      <c r="AO73" s="54">
        <f>VLOOKUP(A73,'Custo_Fopag (2)'!$A:$BQ,39,0)</f>
        <v>0</v>
      </c>
      <c r="AP73" s="54">
        <f>VLOOKUP(A73,'Custo_Fopag (2)'!$A:$BQ,42,0)</f>
        <v>0</v>
      </c>
      <c r="AQ73" s="54">
        <f>VLOOKUP(A73,'Custo_Fopag (2)'!$A:$BQ,40,0)</f>
        <v>0</v>
      </c>
      <c r="AR73" s="54">
        <f>VLOOKUP(A73,'Custo_Fopag (2)'!$A:$BQ,41,0)</f>
        <v>529.48</v>
      </c>
      <c r="AS73" s="54">
        <f>VLOOKUP(A73,'Custo_Fopag (2)'!$A:$BQ,38,0)</f>
        <v>0</v>
      </c>
      <c r="AT73" s="54">
        <f>VLOOKUP(A73,'Custo_Fopag (2)'!$A:$BQ,43,0)</f>
        <v>0</v>
      </c>
      <c r="AU73" s="54">
        <f>VLOOKUP(A73,'Custo_Fopag (2)'!$A:$BQ,48,0)</f>
        <v>0</v>
      </c>
      <c r="AV73" s="54">
        <f>VLOOKUP(A73,'Custo_Fopag (2)'!$A:$BQ,49,0)</f>
        <v>0</v>
      </c>
      <c r="AW73" s="54">
        <f>VLOOKUP(A73,'Custo_Fopag (2)'!$A:$BQ,19,0)</f>
        <v>2748.61</v>
      </c>
      <c r="AX73" s="54">
        <f>VLOOKUP(A73,'Custo_Fopag (2)'!$A:$BQ,50,0)</f>
        <v>0</v>
      </c>
      <c r="AY73" s="54">
        <f>VLOOKUP(A73,'Custo_Fopag (2)'!$A:$BQ,51,0)</f>
        <v>0</v>
      </c>
      <c r="AZ73" s="117">
        <v>0</v>
      </c>
      <c r="BA73" s="54">
        <f>VLOOKUP(A73,'Custo_Fopag (2)'!$A:$BQ,54,0)</f>
        <v>0</v>
      </c>
      <c r="BB73" s="54">
        <f>VLOOKUP(A73,'Custo_Fopag (2)'!$A:$BQ,52,0)</f>
        <v>0</v>
      </c>
      <c r="BC73" s="122">
        <f t="shared" si="25"/>
        <v>3799.96</v>
      </c>
      <c r="BD73" s="54">
        <f t="shared" si="26"/>
        <v>11137.099999999999</v>
      </c>
      <c r="BE73" s="57"/>
      <c r="BF73" s="54">
        <f t="shared" si="27"/>
        <v>11137.099999999999</v>
      </c>
      <c r="BG73" s="54">
        <f t="shared" si="28"/>
        <v>611.42833333333328</v>
      </c>
      <c r="BH73" s="54">
        <f t="shared" si="29"/>
        <v>611.42833333333328</v>
      </c>
      <c r="BI73" s="54">
        <f t="shared" si="30"/>
        <v>203.80944444444444</v>
      </c>
      <c r="BJ73" s="54">
        <f t="shared" si="31"/>
        <v>1426.6661111111109</v>
      </c>
      <c r="BK73" s="54">
        <f>VLOOKUP(A73,'Custo_Fopag (2)'!$A:$BQ,65,0)</f>
        <v>2017.15</v>
      </c>
      <c r="BL73" s="54">
        <f>VLOOKUP(A73,'Custo_Fopag (2)'!$A:$BQP,66,0)</f>
        <v>575.49</v>
      </c>
      <c r="BM73" s="54">
        <f>VLOOKUP(A73,'Custo_Fopag (2)'!$A:$BQ,67,0)</f>
        <v>584.97</v>
      </c>
      <c r="BN73" s="54">
        <f>VLOOKUP(A73,'Custo_Fopag (2)'!$A:$BQ,64,0)</f>
        <v>586.97</v>
      </c>
      <c r="BO73" s="54">
        <f t="shared" si="32"/>
        <v>3764.5800000000008</v>
      </c>
      <c r="BP73" s="54">
        <f t="shared" si="33"/>
        <v>14901.68</v>
      </c>
      <c r="BQ73" s="54">
        <f t="shared" si="34"/>
        <v>16328.34611111111</v>
      </c>
      <c r="BR73" s="109">
        <f>VLOOKUP(A73,'Custo_Fopag (2)'!$A:$BQ,60,0)</f>
        <v>0</v>
      </c>
      <c r="BS73" s="83" t="str">
        <f t="shared" si="35"/>
        <v>Ativo</v>
      </c>
    </row>
    <row r="74" spans="1:71" x14ac:dyDescent="0.25">
      <c r="A74" s="3" t="s">
        <v>279</v>
      </c>
      <c r="B74" s="88">
        <v>46082</v>
      </c>
      <c r="C74" s="59" t="s">
        <v>5</v>
      </c>
      <c r="D74" s="59" t="str">
        <f>VLOOKUP(A74,'Custo_Fopag (2)'!A:$BQ,4,0)</f>
        <v>G3S CMATRIZ - CAMPO GRANDE</v>
      </c>
      <c r="G74" s="59" t="str">
        <f>VLOOKUP(A74,'Custo_Fopag (2)'!$A:$BQ,5,0)</f>
        <v>20.947.332/0001-95</v>
      </c>
      <c r="H74" s="59" t="str">
        <f>VLOOKUP(A74,'Custo_Fopag (2)'!$A:$BQ,6,0)</f>
        <v>OPERACIONAL</v>
      </c>
      <c r="I74" s="59" t="str">
        <f>VLOOKUP(A74,'Custo_Fopag (2)'!$A:$BQ,7,0)</f>
        <v>PATIO</v>
      </c>
      <c r="J74" s="59" t="str">
        <f>VLOOKUP(A74,'Custo_Fopag (2)'!$A:$BQ,8,0)</f>
        <v>SELETIVA C GRANDE</v>
      </c>
      <c r="K74" s="78">
        <f>VLOOKUP(A74,'Custo_Fopag (2)'!$A:$BQ,9,0)</f>
        <v>46001</v>
      </c>
      <c r="L74" s="52">
        <f>VLOOKUP(A74,'Custo_Fopag (2)'!$A:$BQ,10,0)</f>
        <v>46090</v>
      </c>
      <c r="N74" s="3" t="str">
        <f>VLOOKUP(A74,'Custo_Fopag (2)'!$A:$BQ,11,0)</f>
        <v>1.2.7.3 OPERACIONAL</v>
      </c>
      <c r="O74" s="3" t="str">
        <f>VLOOKUP(A74,'Custo_Fopag (2)'!$A:$BQ,12,0)</f>
        <v>AUXILIAR DE PATIO JUNIOR</v>
      </c>
      <c r="P74" s="126">
        <f>VLOOKUP(A74,'Custo_Fopag (2)'!$A:$BQ,13,0)</f>
        <v>2155</v>
      </c>
      <c r="Q74" s="127">
        <f>VLOOKUP(A74,'Custo_Fopag (2)'!$A:$BQ,16,0)</f>
        <v>0</v>
      </c>
      <c r="R74" s="56">
        <f>VLOOKUP(A74,'Custo_Fopag (2)'!$A:$BQ,17,0)</f>
        <v>0</v>
      </c>
      <c r="S74" s="54">
        <f>VLOOKUP(A74,'Custo_Fopag (2)'!$A:$BP,18,0)</f>
        <v>0</v>
      </c>
      <c r="T74" s="54">
        <f>VLOOKUP(A74,'Custo_Fopag (2)'!$A:$BQ,20,0)</f>
        <v>0</v>
      </c>
      <c r="U74" s="54">
        <f>VLOOKUP(A74,'Custo_Fopag (2)'!$A:$BQ,21,0)</f>
        <v>0</v>
      </c>
      <c r="V74" s="54">
        <f>VLOOKUP(A74,'Custo_Fopag (2)'!$A:$BQ,22,0)</f>
        <v>0</v>
      </c>
      <c r="W74" s="54">
        <f>VLOOKUP(A74,'Custo_Fopag (2)'!$A:$BQ,23,0)</f>
        <v>0</v>
      </c>
      <c r="X74" s="54">
        <f>VLOOKUP(A74,'Custo_Fopag (2)'!$A:$BQ,24,0)</f>
        <v>0</v>
      </c>
      <c r="Y74" s="55">
        <f>VLOOKUP(A74,'Custo_Fopag (2)'!$A:$BQ,25,0)</f>
        <v>0</v>
      </c>
      <c r="Z74" s="54">
        <f>VLOOKUP(A74,'Custo_Fopag (2)'!$A:$BQ,26,0)</f>
        <v>0</v>
      </c>
      <c r="AA74" s="54">
        <f>VLOOKUP(A74,'Custo_Fopag (2)'!$A:$BQ,27,0)</f>
        <v>0</v>
      </c>
      <c r="AB74" s="54">
        <f>VLOOKUP(A74,'Custo_Fopag (2)'!$A:$BQ,28,0)</f>
        <v>0</v>
      </c>
      <c r="AC74" s="54">
        <f>VLOOKUP(A74,'Custo_Fopag (2)'!$A:$BQ,29,0)</f>
        <v>0</v>
      </c>
      <c r="AD74" s="54">
        <f>VLOOKUP(A74,'Custo_Fopag (2)'!$A:$BQ,30,0)</f>
        <v>0</v>
      </c>
      <c r="AE74" s="54">
        <f>VLOOKUP(A74,'Custo_Fopag (2)'!$A:$BQ,31,0)</f>
        <v>0</v>
      </c>
      <c r="AF74" s="54">
        <f>VLOOKUP(A74,'Custo_Fopag (2)'!$A:$BQ,32,0)</f>
        <v>0</v>
      </c>
      <c r="AG74" s="54">
        <f t="shared" si="24"/>
        <v>0</v>
      </c>
      <c r="AH74" s="121">
        <f>VLOOKUP(A74,'Custo_Fopag (2)'!$A:$BQ,45,0)</f>
        <v>0</v>
      </c>
      <c r="AI74" s="54">
        <f>_xlfn.XLOOKUP(A74,'Custo_Fopag (2)'!A:A,'Custo_Fopag (2)'!AT:AT,0,0,1)</f>
        <v>150</v>
      </c>
      <c r="AJ74" s="54">
        <f>VLOOKUP(A74,'Custo_Fopag (2)'!$A:$BQ,47,0)</f>
        <v>0</v>
      </c>
      <c r="AK74" s="54">
        <v>0</v>
      </c>
      <c r="AL74" s="54">
        <f>VLOOKUP(A74,'Custo_Fopag (2)'!$A:$BQ,35,0)</f>
        <v>0</v>
      </c>
      <c r="AM74" s="54">
        <f>VLOOKUP(A74,'Custo_Fopag (2)'!$A:$BQ,36,0)</f>
        <v>0</v>
      </c>
      <c r="AN74" s="54">
        <f>VLOOKUP(A74,'Custo_Fopag (2)'!$A:$BQ,37,0)</f>
        <v>0</v>
      </c>
      <c r="AO74" s="54">
        <f>VLOOKUP(A74,'Custo_Fopag (2)'!$A:$BQ,39,0)</f>
        <v>0</v>
      </c>
      <c r="AP74" s="54">
        <f>VLOOKUP(A74,'Custo_Fopag (2)'!$A:$BQ,42,0)</f>
        <v>0</v>
      </c>
      <c r="AQ74" s="54">
        <f>VLOOKUP(A74,'Custo_Fopag (2)'!$A:$BQ,40,0)</f>
        <v>0</v>
      </c>
      <c r="AR74" s="54">
        <f>VLOOKUP(A74,'Custo_Fopag (2)'!$A:$BQ,41,0)</f>
        <v>110.84</v>
      </c>
      <c r="AS74" s="54">
        <f>VLOOKUP(A74,'Custo_Fopag (2)'!$A:$BQ,38,0)</f>
        <v>0</v>
      </c>
      <c r="AT74" s="54">
        <f>VLOOKUP(A74,'Custo_Fopag (2)'!$A:$BQ,43,0)</f>
        <v>0</v>
      </c>
      <c r="AU74" s="54">
        <f>VLOOKUP(A74,'Custo_Fopag (2)'!$A:$BQ,48,0)</f>
        <v>0</v>
      </c>
      <c r="AV74" s="54">
        <f>VLOOKUP(A74,'Custo_Fopag (2)'!$A:$BQ,49,0)</f>
        <v>0</v>
      </c>
      <c r="AW74" s="54">
        <f>VLOOKUP(A74,'Custo_Fopag (2)'!$A:$BQ,19,0)</f>
        <v>0</v>
      </c>
      <c r="AX74" s="54">
        <f>VLOOKUP(A74,'Custo_Fopag (2)'!$A:$BQ,50,0)</f>
        <v>0</v>
      </c>
      <c r="AY74" s="54">
        <f>VLOOKUP(A74,'Custo_Fopag (2)'!$A:$BQ,51,0)</f>
        <v>0</v>
      </c>
      <c r="AZ74" s="117">
        <v>0</v>
      </c>
      <c r="BA74" s="54">
        <f>VLOOKUP(A74,'Custo_Fopag (2)'!$A:$BQ,54,0)</f>
        <v>0</v>
      </c>
      <c r="BB74" s="54">
        <f>VLOOKUP(A74,'Custo_Fopag (2)'!$A:$BQ,52,0)</f>
        <v>0</v>
      </c>
      <c r="BC74" s="122">
        <f t="shared" si="25"/>
        <v>260.84000000000003</v>
      </c>
      <c r="BD74" s="54">
        <f t="shared" si="26"/>
        <v>260.84000000000003</v>
      </c>
      <c r="BE74" s="57"/>
      <c r="BF74" s="54">
        <f t="shared" si="27"/>
        <v>260.84000000000003</v>
      </c>
      <c r="BG74" s="54">
        <f t="shared" si="28"/>
        <v>0</v>
      </c>
      <c r="BH74" s="54">
        <f t="shared" si="29"/>
        <v>0</v>
      </c>
      <c r="BI74" s="54">
        <f t="shared" si="30"/>
        <v>0</v>
      </c>
      <c r="BJ74" s="54">
        <f t="shared" si="31"/>
        <v>0</v>
      </c>
      <c r="BK74" s="54">
        <f>VLOOKUP(A74,'Custo_Fopag (2)'!$A:$BQ,65,0)</f>
        <v>0</v>
      </c>
      <c r="BL74" s="54">
        <f>VLOOKUP(A74,'Custo_Fopag (2)'!$A:$BQP,66,0)</f>
        <v>0</v>
      </c>
      <c r="BM74" s="54">
        <f>VLOOKUP(A74,'Custo_Fopag (2)'!$A:$BQ,67,0)</f>
        <v>0</v>
      </c>
      <c r="BN74" s="54">
        <f>VLOOKUP(A74,'Custo_Fopag (2)'!$A:$BQ,64,0)</f>
        <v>0</v>
      </c>
      <c r="BO74" s="54">
        <f t="shared" si="32"/>
        <v>0</v>
      </c>
      <c r="BP74" s="54">
        <f t="shared" si="33"/>
        <v>260.84000000000003</v>
      </c>
      <c r="BQ74" s="54">
        <f t="shared" si="34"/>
        <v>260.84000000000003</v>
      </c>
      <c r="BR74" s="109">
        <f>VLOOKUP(A74,'Custo_Fopag (2)'!$A:$BQ,60,0)</f>
        <v>1845.49</v>
      </c>
      <c r="BS74" s="83" t="str">
        <f t="shared" si="35"/>
        <v>Desligado</v>
      </c>
    </row>
    <row r="75" spans="1:71" x14ac:dyDescent="0.25">
      <c r="A75" s="59" t="s">
        <v>286</v>
      </c>
      <c r="B75" s="88">
        <v>46082</v>
      </c>
      <c r="C75" s="59" t="s">
        <v>5</v>
      </c>
      <c r="D75" s="59" t="str">
        <f>VLOOKUP(A75,'Custo_Fopag (2)'!A:$BQ,4,0)</f>
        <v>G3S  FL 03 - DOURADOS</v>
      </c>
      <c r="E75" s="59"/>
      <c r="F75" s="59"/>
      <c r="G75" s="59" t="str">
        <f>VLOOKUP(A75,'Custo_Fopag (2)'!$A:$BQ,5,0)</f>
        <v>20.947.332/0003-57</v>
      </c>
      <c r="H75" s="59" t="str">
        <f>VLOOKUP(A75,'Custo_Fopag (2)'!$A:$BQ,6,0)</f>
        <v>ADMINISTRATIVO</v>
      </c>
      <c r="I75" s="59" t="str">
        <f>VLOOKUP(A75,'Custo_Fopag (2)'!$A:$BQ,7,0)</f>
        <v>ATENDIMENTO</v>
      </c>
      <c r="J75" s="59" t="str">
        <f>VLOOKUP(A75,'Custo_Fopag (2)'!$A:$BQ,8,0)</f>
        <v>SELETIVA DOURADOS</v>
      </c>
      <c r="K75" s="78">
        <f>VLOOKUP(A75,'Custo_Fopag (2)'!$A:$BQ,9,0)</f>
        <v>45376</v>
      </c>
      <c r="N75" s="3" t="str">
        <f>VLOOKUP(A75,'Custo_Fopag (2)'!$A:$BQ,11,0)</f>
        <v>1.2.2.1 ADMINISTRATIVO</v>
      </c>
      <c r="O75" s="3" t="str">
        <f>VLOOKUP(A75,'Custo_Fopag (2)'!$A:$BQ,12,0)</f>
        <v>AUX ADMINISTRATIVO JUNIOR</v>
      </c>
      <c r="P75" s="126">
        <f>VLOOKUP(A75,'Custo_Fopag (2)'!$A:$BQ,13,0)</f>
        <v>2482.4</v>
      </c>
      <c r="Q75" s="127">
        <f>VLOOKUP(A75,'Custo_Fopag (2)'!$A:$BQ,16,0)</f>
        <v>2482.4</v>
      </c>
      <c r="R75" s="56">
        <f>VLOOKUP(A75,'Custo_Fopag (2)'!$A:$BQ,17,0)</f>
        <v>0</v>
      </c>
      <c r="S75" s="54">
        <f>VLOOKUP(A75,'Custo_Fopag (2)'!$A:$BP,18,0)</f>
        <v>0</v>
      </c>
      <c r="T75" s="54">
        <f>VLOOKUP(A75,'Custo_Fopag (2)'!$A:$BQ,20,0)</f>
        <v>0</v>
      </c>
      <c r="U75" s="54">
        <f>VLOOKUP(A75,'Custo_Fopag (2)'!$A:$BQ,21,0)</f>
        <v>0</v>
      </c>
      <c r="V75" s="54">
        <f>VLOOKUP(A75,'Custo_Fopag (2)'!$A:$BQ,22,0)</f>
        <v>0</v>
      </c>
      <c r="W75" s="54">
        <f>VLOOKUP(A75,'Custo_Fopag (2)'!$A:$BQ,23,0)</f>
        <v>0</v>
      </c>
      <c r="X75" s="54">
        <f>VLOOKUP(A75,'Custo_Fopag (2)'!$A:$BQ,24,0)</f>
        <v>0</v>
      </c>
      <c r="Y75" s="55">
        <f>VLOOKUP(A75,'Custo_Fopag (2)'!$A:$BQ,25,0)</f>
        <v>0</v>
      </c>
      <c r="Z75" s="54">
        <f>VLOOKUP(A75,'Custo_Fopag (2)'!$A:$BQ,26,0)</f>
        <v>1.88</v>
      </c>
      <c r="AA75" s="54">
        <f>VLOOKUP(A75,'Custo_Fopag (2)'!$A:$BQ,27,0)</f>
        <v>585.54</v>
      </c>
      <c r="AB75" s="54">
        <f>VLOOKUP(A75,'Custo_Fopag (2)'!$A:$BQ,28,0)</f>
        <v>112.6</v>
      </c>
      <c r="AC75" s="54">
        <f>VLOOKUP(A75,'Custo_Fopag (2)'!$A:$BQ,29,0)</f>
        <v>0</v>
      </c>
      <c r="AD75" s="54">
        <f>VLOOKUP(A75,'Custo_Fopag (2)'!$A:$BQ,30,0)</f>
        <v>0</v>
      </c>
      <c r="AE75" s="54">
        <f>VLOOKUP(A75,'Custo_Fopag (2)'!$A:$BQ,31,0)</f>
        <v>0</v>
      </c>
      <c r="AF75" s="54">
        <f>VLOOKUP(A75,'Custo_Fopag (2)'!$A:$BQ,32,0)</f>
        <v>0</v>
      </c>
      <c r="AG75" s="54">
        <f t="shared" si="24"/>
        <v>3182.42</v>
      </c>
      <c r="AH75" s="121">
        <f>VLOOKUP(A75,'Custo_Fopag (2)'!$A:$BQ,45,0)</f>
        <v>0</v>
      </c>
      <c r="AI75" s="54">
        <f>_xlfn.XLOOKUP(A75,Beneficios!A:A,Beneficios!B:B,0,0,1)</f>
        <v>521.87</v>
      </c>
      <c r="AJ75" s="54">
        <f>VLOOKUP(A75,'Custo_Fopag (2)'!$A:$BQ,47,0)</f>
        <v>0</v>
      </c>
      <c r="AK75" s="54">
        <v>0</v>
      </c>
      <c r="AL75" s="54">
        <f>VLOOKUP(A75,'Custo_Fopag (2)'!$A:$BQ,35,0)</f>
        <v>0</v>
      </c>
      <c r="AM75" s="54">
        <f>VLOOKUP(A75,'Custo_Fopag (2)'!$A:$BQ,36,0)</f>
        <v>0</v>
      </c>
      <c r="AN75" s="54">
        <f>VLOOKUP(A75,'Custo_Fopag (2)'!$A:$BQ,37,0)</f>
        <v>0</v>
      </c>
      <c r="AO75" s="54">
        <f>VLOOKUP(A75,'Custo_Fopag (2)'!$A:$BQ,39,0)</f>
        <v>0</v>
      </c>
      <c r="AP75" s="54">
        <f>VLOOKUP(A75,'Custo_Fopag (2)'!$A:$BQ,42,0)</f>
        <v>0</v>
      </c>
      <c r="AQ75" s="54">
        <f>VLOOKUP(A75,'Custo_Fopag (2)'!$A:$BQ,40,0)</f>
        <v>0</v>
      </c>
      <c r="AR75" s="54">
        <f>VLOOKUP(A75,'Custo_Fopag (2)'!$A:$BQ,41,0)</f>
        <v>196.71</v>
      </c>
      <c r="AS75" s="54">
        <f>VLOOKUP(A75,'Custo_Fopag (2)'!$A:$BQ,38,0)</f>
        <v>0</v>
      </c>
      <c r="AT75" s="54">
        <f>VLOOKUP(A75,'Custo_Fopag (2)'!$A:$BQ,43,0)</f>
        <v>0</v>
      </c>
      <c r="AU75" s="54">
        <f>VLOOKUP(A75,'Custo_Fopag (2)'!$A:$BQ,48,0)</f>
        <v>0</v>
      </c>
      <c r="AV75" s="54">
        <f>VLOOKUP(A75,'Custo_Fopag (2)'!$A:$BQ,49,0)</f>
        <v>0</v>
      </c>
      <c r="AW75" s="54">
        <f>VLOOKUP(A75,'Custo_Fopag (2)'!$A:$BQ,19,0)</f>
        <v>0</v>
      </c>
      <c r="AX75" s="54">
        <f>VLOOKUP(A75,'Custo_Fopag (2)'!$A:$BQ,50,0)</f>
        <v>0</v>
      </c>
      <c r="AY75" s="54">
        <f>VLOOKUP(A75,'Custo_Fopag (2)'!$A:$BQ,51,0)</f>
        <v>0</v>
      </c>
      <c r="AZ75" s="117">
        <v>0</v>
      </c>
      <c r="BA75" s="54">
        <f>VLOOKUP(A75,'Custo_Fopag (2)'!$A:$BQ,54,0)</f>
        <v>0</v>
      </c>
      <c r="BB75" s="54">
        <f>VLOOKUP(A75,'Custo_Fopag (2)'!$A:$BQ,52,0)</f>
        <v>0</v>
      </c>
      <c r="BC75" s="122">
        <f t="shared" si="25"/>
        <v>718.58</v>
      </c>
      <c r="BD75" s="54">
        <f t="shared" si="26"/>
        <v>3901</v>
      </c>
      <c r="BE75" s="57"/>
      <c r="BF75" s="54">
        <f t="shared" si="27"/>
        <v>3901</v>
      </c>
      <c r="BG75" s="54">
        <f t="shared" si="28"/>
        <v>265.20166666666665</v>
      </c>
      <c r="BH75" s="54">
        <f t="shared" si="29"/>
        <v>265.20166666666665</v>
      </c>
      <c r="BI75" s="54">
        <f t="shared" si="30"/>
        <v>88.400555555555556</v>
      </c>
      <c r="BJ75" s="54">
        <f t="shared" si="31"/>
        <v>618.80388888888888</v>
      </c>
      <c r="BK75" s="54">
        <f>VLOOKUP(A75,'Custo_Fopag (2)'!$A:$BQ,65,0)</f>
        <v>636.48</v>
      </c>
      <c r="BL75" s="54">
        <f>VLOOKUP(A75,'Custo_Fopag (2)'!$A:$BQP,66,0)</f>
        <v>47.73</v>
      </c>
      <c r="BM75" s="54">
        <f>VLOOKUP(A75,'Custo_Fopag (2)'!$A:$BQ,67,0)</f>
        <v>184.58</v>
      </c>
      <c r="BN75" s="54">
        <f>VLOOKUP(A75,'Custo_Fopag (2)'!$A:$BQ,64,0)</f>
        <v>254.59</v>
      </c>
      <c r="BO75" s="54">
        <f t="shared" si="32"/>
        <v>1123.3800000000001</v>
      </c>
      <c r="BP75" s="54">
        <f t="shared" si="33"/>
        <v>5024.38</v>
      </c>
      <c r="BQ75" s="54">
        <f t="shared" si="34"/>
        <v>5643.1838888888888</v>
      </c>
      <c r="BR75" s="109">
        <f>VLOOKUP(A75,'Custo_Fopag (2)'!$A:$BQ,60,0)</f>
        <v>0</v>
      </c>
      <c r="BS75" s="83" t="str">
        <f t="shared" si="35"/>
        <v>Ativo</v>
      </c>
    </row>
    <row r="76" spans="1:71" x14ac:dyDescent="0.25">
      <c r="A76" s="3" t="s">
        <v>280</v>
      </c>
      <c r="B76" s="88">
        <v>46082</v>
      </c>
      <c r="C76" s="3" t="s">
        <v>5</v>
      </c>
      <c r="D76" s="59" t="str">
        <f>VLOOKUP(A76,'Custo_Fopag (2)'!A:$BQ,4,0)</f>
        <v>G3S CMATRIZ - CAMPO GRANDE</v>
      </c>
      <c r="E76" s="59"/>
      <c r="F76" s="59"/>
      <c r="G76" s="59" t="str">
        <f>VLOOKUP(A76,'Custo_Fopag (2)'!$A:$BQ,5,0)</f>
        <v>20.947.332/0001-95</v>
      </c>
      <c r="H76" s="59" t="str">
        <f>VLOOKUP(A76,'Custo_Fopag (2)'!$A:$BQ,6,0)</f>
        <v>OPERACIONAL</v>
      </c>
      <c r="I76" s="59" t="str">
        <f>VLOOKUP(A76,'Custo_Fopag (2)'!$A:$BQ,7,0)</f>
        <v>PATIO</v>
      </c>
      <c r="J76" s="59" t="str">
        <f>VLOOKUP(A76,'Custo_Fopag (2)'!$A:$BQ,8,0)</f>
        <v>SELETIVA C GRANDE</v>
      </c>
      <c r="K76" s="78">
        <f>VLOOKUP(A76,'Custo_Fopag (2)'!$A:$BQ,9,0)</f>
        <v>46071</v>
      </c>
      <c r="N76" s="3" t="str">
        <f>VLOOKUP(A76,'Custo_Fopag (2)'!$A:$BQ,11,0)</f>
        <v>1.2.7.3 OPERACIONAL</v>
      </c>
      <c r="O76" s="3" t="str">
        <f>VLOOKUP(A76,'Custo_Fopag (2)'!$A:$BQ,12,0)</f>
        <v>AUXILIAR DE PATIO JUNIOR</v>
      </c>
      <c r="P76" s="126">
        <f>VLOOKUP(A76,'Custo_Fopag (2)'!$A:$BQ,13,0)</f>
        <v>2155</v>
      </c>
      <c r="Q76" s="127">
        <f>VLOOKUP(A76,'Custo_Fopag (2)'!$A:$BQ,16,0)</f>
        <v>2155</v>
      </c>
      <c r="R76" s="56">
        <f>VLOOKUP(A76,'Custo_Fopag (2)'!$A:$BQ,17,0)</f>
        <v>0</v>
      </c>
      <c r="S76" s="54">
        <f>VLOOKUP(A76,'Custo_Fopag (2)'!$A:$BP,18,0)</f>
        <v>0</v>
      </c>
      <c r="T76" s="54">
        <f>VLOOKUP(A76,'Custo_Fopag (2)'!$A:$BQ,20,0)</f>
        <v>0</v>
      </c>
      <c r="U76" s="54">
        <f>VLOOKUP(A76,'Custo_Fopag (2)'!$A:$BQ,21,0)</f>
        <v>0</v>
      </c>
      <c r="V76" s="54">
        <f>VLOOKUP(A76,'Custo_Fopag (2)'!$A:$BQ,22,0)</f>
        <v>0</v>
      </c>
      <c r="W76" s="54">
        <f>VLOOKUP(A76,'Custo_Fopag (2)'!$A:$BQ,23,0)</f>
        <v>0</v>
      </c>
      <c r="X76" s="54">
        <f>VLOOKUP(A76,'Custo_Fopag (2)'!$A:$BQ,24,0)</f>
        <v>0</v>
      </c>
      <c r="Y76" s="55">
        <f>VLOOKUP(A76,'Custo_Fopag (2)'!$A:$BQ,25,0)</f>
        <v>0</v>
      </c>
      <c r="Z76" s="54">
        <f>VLOOKUP(A76,'Custo_Fopag (2)'!$A:$BQ,26,0)</f>
        <v>0</v>
      </c>
      <c r="AA76" s="54">
        <f>VLOOKUP(A76,'Custo_Fopag (2)'!$A:$BQ,27,0)</f>
        <v>0</v>
      </c>
      <c r="AB76" s="54">
        <f>VLOOKUP(A76,'Custo_Fopag (2)'!$A:$BQ,28,0)</f>
        <v>0</v>
      </c>
      <c r="AC76" s="54">
        <f>VLOOKUP(A76,'Custo_Fopag (2)'!$A:$BQ,29,0)</f>
        <v>0</v>
      </c>
      <c r="AD76" s="54">
        <f>VLOOKUP(A76,'Custo_Fopag (2)'!$A:$BQ,30,0)</f>
        <v>0</v>
      </c>
      <c r="AE76" s="54">
        <f>VLOOKUP(A76,'Custo_Fopag (2)'!$A:$BQ,31,0)</f>
        <v>0</v>
      </c>
      <c r="AF76" s="54">
        <f>VLOOKUP(A76,'Custo_Fopag (2)'!$A:$BQ,32,0)</f>
        <v>0</v>
      </c>
      <c r="AG76" s="54">
        <f t="shared" si="24"/>
        <v>2155</v>
      </c>
      <c r="AH76" s="121">
        <f>VLOOKUP(A76,'Custo_Fopag (2)'!$A:$BQ,45,0)</f>
        <v>0</v>
      </c>
      <c r="AI76" s="54">
        <f>_xlfn.XLOOKUP(A76,Beneficios!A:A,Beneficios!B:B,0,0,1)</f>
        <v>512.87</v>
      </c>
      <c r="AJ76" s="54">
        <f>VLOOKUP(A76,'Custo_Fopag (2)'!$A:$BQ,47,0)</f>
        <v>0</v>
      </c>
      <c r="AK76" s="54">
        <v>0</v>
      </c>
      <c r="AL76" s="54">
        <f>VLOOKUP(A76,'Custo_Fopag (2)'!$A:$BQ,35,0)</f>
        <v>0</v>
      </c>
      <c r="AM76" s="54">
        <f>VLOOKUP(A76,'Custo_Fopag (2)'!$A:$BQ,36,0)</f>
        <v>0</v>
      </c>
      <c r="AN76" s="54">
        <f>VLOOKUP(A76,'Custo_Fopag (2)'!$A:$BQ,37,0)</f>
        <v>0</v>
      </c>
      <c r="AO76" s="54">
        <f>VLOOKUP(A76,'Custo_Fopag (2)'!$A:$BQ,39,0)</f>
        <v>0</v>
      </c>
      <c r="AP76" s="54">
        <f>VLOOKUP(A76,'Custo_Fopag (2)'!$A:$BQ,42,0)</f>
        <v>0</v>
      </c>
      <c r="AQ76" s="54">
        <f>VLOOKUP(A76,'Custo_Fopag (2)'!$A:$BQ,40,0)</f>
        <v>0</v>
      </c>
      <c r="AR76" s="54">
        <f>VLOOKUP(A76,'Custo_Fopag (2)'!$A:$BQ,41,0)</f>
        <v>533.04</v>
      </c>
      <c r="AS76" s="54">
        <f>VLOOKUP(A76,'Custo_Fopag (2)'!$A:$BQ,38,0)</f>
        <v>0</v>
      </c>
      <c r="AT76" s="54">
        <f>VLOOKUP(A76,'Custo_Fopag (2)'!$A:$BQ,43,0)</f>
        <v>0</v>
      </c>
      <c r="AU76" s="54">
        <f>VLOOKUP(A76,'Custo_Fopag (2)'!$A:$BQ,48,0)</f>
        <v>0</v>
      </c>
      <c r="AV76" s="54">
        <f>VLOOKUP(A76,'Custo_Fopag (2)'!$A:$BQ,49,0)</f>
        <v>0</v>
      </c>
      <c r="AW76" s="54">
        <f>VLOOKUP(A76,'Custo_Fopag (2)'!$A:$BQ,19,0)</f>
        <v>0</v>
      </c>
      <c r="AX76" s="54">
        <f>VLOOKUP(A76,'Custo_Fopag (2)'!$A:$BQ,50,0)</f>
        <v>0</v>
      </c>
      <c r="AY76" s="54">
        <f>VLOOKUP(A76,'Custo_Fopag (2)'!$A:$BQ,51,0)</f>
        <v>0</v>
      </c>
      <c r="AZ76" s="117">
        <v>0</v>
      </c>
      <c r="BA76" s="54">
        <f>VLOOKUP(A76,'Custo_Fopag (2)'!$A:$BQ,54,0)</f>
        <v>0</v>
      </c>
      <c r="BB76" s="54">
        <f>VLOOKUP(A76,'Custo_Fopag (2)'!$A:$BQ,52,0)</f>
        <v>0</v>
      </c>
      <c r="BC76" s="122">
        <f t="shared" si="25"/>
        <v>1045.9099999999999</v>
      </c>
      <c r="BD76" s="54">
        <f t="shared" si="26"/>
        <v>3200.91</v>
      </c>
      <c r="BE76" s="57"/>
      <c r="BF76" s="54">
        <f t="shared" si="27"/>
        <v>3200.91</v>
      </c>
      <c r="BG76" s="54">
        <f t="shared" si="28"/>
        <v>179.58333333333334</v>
      </c>
      <c r="BH76" s="54">
        <f t="shared" si="29"/>
        <v>179.58333333333334</v>
      </c>
      <c r="BI76" s="54">
        <f t="shared" si="30"/>
        <v>59.861111111111114</v>
      </c>
      <c r="BJ76" s="54">
        <f t="shared" si="31"/>
        <v>419.02777777777783</v>
      </c>
      <c r="BK76" s="54">
        <f>VLOOKUP(A76,'Custo_Fopag (2)'!$A:$BQ,65,0)</f>
        <v>431</v>
      </c>
      <c r="BL76" s="54">
        <f>VLOOKUP(A76,'Custo_Fopag (2)'!$A:$BQP,66,0)</f>
        <v>98.59</v>
      </c>
      <c r="BM76" s="54">
        <f>VLOOKUP(A76,'Custo_Fopag (2)'!$A:$BQ,67,0)</f>
        <v>124.99</v>
      </c>
      <c r="BN76" s="54">
        <f>VLOOKUP(A76,'Custo_Fopag (2)'!$A:$BQ,64,0)</f>
        <v>172.4</v>
      </c>
      <c r="BO76" s="54">
        <f t="shared" si="32"/>
        <v>826.98</v>
      </c>
      <c r="BP76" s="54">
        <f t="shared" si="33"/>
        <v>4027.89</v>
      </c>
      <c r="BQ76" s="54">
        <f t="shared" si="34"/>
        <v>4446.9177777777777</v>
      </c>
      <c r="BR76" s="109">
        <f>VLOOKUP(A76,'Custo_Fopag (2)'!$A:$BQ,60,0)</f>
        <v>0</v>
      </c>
      <c r="BS76" s="83" t="str">
        <f t="shared" si="35"/>
        <v>Ativo</v>
      </c>
    </row>
    <row r="77" spans="1:71" x14ac:dyDescent="0.25">
      <c r="A77" s="59" t="s">
        <v>181</v>
      </c>
      <c r="B77" s="88">
        <v>46082</v>
      </c>
      <c r="C77" s="59" t="s">
        <v>5</v>
      </c>
      <c r="D77" s="59" t="str">
        <f>VLOOKUP(A77,'Custo_Fopag (2)'!A:$BQ,4,0)</f>
        <v>G S FL 06 - CAMPO GRANDE</v>
      </c>
      <c r="E77" s="59"/>
      <c r="F77" s="59"/>
      <c r="G77" s="59" t="str">
        <f>VLOOKUP(A77,'Custo_Fopag (2)'!$A:$BQ,5,0)</f>
        <v>20.504.237/0006-21</v>
      </c>
      <c r="H77" s="59" t="str">
        <f>VLOOKUP(A77,'Custo_Fopag (2)'!$A:$BQ,6,0)</f>
        <v>LOGISTICA</v>
      </c>
      <c r="I77" s="59" t="str">
        <f>VLOOKUP(A77,'Custo_Fopag (2)'!$A:$BQ,7,0)</f>
        <v>TRANSPORTE</v>
      </c>
      <c r="J77" s="59" t="str">
        <f>VLOOKUP(A77,'Custo_Fopag (2)'!$A:$BQ,8,0)</f>
        <v>SELETIVA CORPORATIVO SUCATA</v>
      </c>
      <c r="K77" s="78">
        <f>VLOOKUP(A77,'Custo_Fopag (2)'!$A:$BQ,9,0)</f>
        <v>44698</v>
      </c>
      <c r="N77" s="3" t="str">
        <f>VLOOKUP(A77,'Custo_Fopag (2)'!$A:$BQ,11,0)</f>
        <v>1.7.4.4 LOGISTICA</v>
      </c>
      <c r="O77" s="3" t="str">
        <f>VLOOKUP(A77,'Custo_Fopag (2)'!$A:$BQ,12,0)</f>
        <v>MOTORISTA CARRETEIRO MANTENEDOR PLENO II</v>
      </c>
      <c r="P77" s="126">
        <f>VLOOKUP(A77,'Custo_Fopag (2)'!$A:$BQ,13,0)</f>
        <v>2746.46</v>
      </c>
      <c r="Q77" s="127">
        <f>VLOOKUP(A77,'Custo_Fopag (2)'!$A:$BQ,16,0)</f>
        <v>2746.46</v>
      </c>
      <c r="R77" s="56">
        <f>VLOOKUP(A77,'Custo_Fopag (2)'!$A:$BQ,17,0)</f>
        <v>0</v>
      </c>
      <c r="S77" s="54">
        <f>VLOOKUP(A77,'Custo_Fopag (2)'!$A:$BP,18,0)</f>
        <v>0</v>
      </c>
      <c r="T77" s="54">
        <f>VLOOKUP(A77,'Custo_Fopag (2)'!$A:$BQ,20,0)</f>
        <v>549.29</v>
      </c>
      <c r="U77" s="54">
        <f>VLOOKUP(A77,'Custo_Fopag (2)'!$A:$BQ,21,0)</f>
        <v>0</v>
      </c>
      <c r="V77" s="54">
        <f>VLOOKUP(A77,'Custo_Fopag (2)'!$A:$BQ,22,0)</f>
        <v>0</v>
      </c>
      <c r="W77" s="54">
        <f>VLOOKUP(A77,'Custo_Fopag (2)'!$A:$BQ,23,0)</f>
        <v>0</v>
      </c>
      <c r="X77" s="54">
        <f>VLOOKUP(A77,'Custo_Fopag (2)'!$A:$BQ,24,0)</f>
        <v>0</v>
      </c>
      <c r="Y77" s="55">
        <f>VLOOKUP(A77,'Custo_Fopag (2)'!$A:$BQ,25,0)</f>
        <v>0</v>
      </c>
      <c r="Z77" s="54">
        <f>VLOOKUP(A77,'Custo_Fopag (2)'!$A:$BQ,26,0)</f>
        <v>0</v>
      </c>
      <c r="AA77" s="54">
        <f>VLOOKUP(A77,'Custo_Fopag (2)'!$A:$BQ,27,0)</f>
        <v>601.1</v>
      </c>
      <c r="AB77" s="54">
        <f>VLOOKUP(A77,'Custo_Fopag (2)'!$A:$BQ,28,0)</f>
        <v>115.6</v>
      </c>
      <c r="AC77" s="54">
        <f>VLOOKUP(A77,'Custo_Fopag (2)'!$A:$BQ,29,0)</f>
        <v>0</v>
      </c>
      <c r="AD77" s="54">
        <f>VLOOKUP(A77,'Custo_Fopag (2)'!$A:$BQ,30,0)</f>
        <v>0</v>
      </c>
      <c r="AE77" s="54">
        <f>VLOOKUP(A77,'Custo_Fopag (2)'!$A:$BQ,31,0)</f>
        <v>0</v>
      </c>
      <c r="AF77" s="54">
        <f>VLOOKUP(A77,'Custo_Fopag (2)'!$A:$BQ,32,0)</f>
        <v>0</v>
      </c>
      <c r="AG77" s="54">
        <f t="shared" si="24"/>
        <v>4012.45</v>
      </c>
      <c r="AH77" s="121">
        <f>VLOOKUP(A77,'Custo_Fopag (2)'!$A:$BQ,45,0)</f>
        <v>0</v>
      </c>
      <c r="AI77" s="54">
        <f>_xlfn.XLOOKUP(A77,Beneficios!A:A,Beneficios!B:B,0,0,1)</f>
        <v>521.87</v>
      </c>
      <c r="AJ77" s="54">
        <f>VLOOKUP(A77,'Custo_Fopag (2)'!$A:$BQ,47,0)</f>
        <v>0</v>
      </c>
      <c r="AK77" s="54">
        <v>0</v>
      </c>
      <c r="AL77" s="54">
        <f>VLOOKUP(A77,'Custo_Fopag (2)'!$A:$BQ,35,0)</f>
        <v>0</v>
      </c>
      <c r="AM77" s="54">
        <f>VLOOKUP(A77,'Custo_Fopag (2)'!$A:$BQ,36,0)</f>
        <v>385.2</v>
      </c>
      <c r="AN77" s="54">
        <f>VLOOKUP(A77,'Custo_Fopag (2)'!$A:$BQ,37,0)</f>
        <v>0</v>
      </c>
      <c r="AO77" s="54">
        <f>VLOOKUP(A77,'Custo_Fopag (2)'!$A:$BQ,39,0)</f>
        <v>0</v>
      </c>
      <c r="AP77" s="54">
        <f>VLOOKUP(A77,'Custo_Fopag (2)'!$A:$BQ,42,0)</f>
        <v>0</v>
      </c>
      <c r="AQ77" s="54">
        <f>VLOOKUP(A77,'Custo_Fopag (2)'!$A:$BQ,40,0)</f>
        <v>0</v>
      </c>
      <c r="AR77" s="54">
        <f>VLOOKUP(A77,'Custo_Fopag (2)'!$A:$BQ,41,0)</f>
        <v>533.04</v>
      </c>
      <c r="AS77" s="54">
        <f>VLOOKUP(A77,'Custo_Fopag (2)'!$A:$BQ,38,0)</f>
        <v>0</v>
      </c>
      <c r="AT77" s="54">
        <f>VLOOKUP(A77,'Custo_Fopag (2)'!$A:$BQ,43,0)</f>
        <v>0</v>
      </c>
      <c r="AU77" s="54">
        <f>VLOOKUP(A77,'Custo_Fopag (2)'!$A:$BQ,48,0)</f>
        <v>554</v>
      </c>
      <c r="AV77" s="54">
        <f>VLOOKUP(A77,'Custo_Fopag (2)'!$A:$BQ,49,0)</f>
        <v>0</v>
      </c>
      <c r="AW77" s="54">
        <f>VLOOKUP(A77,'Custo_Fopag (2)'!$A:$BQ,19,0)</f>
        <v>0</v>
      </c>
      <c r="AX77" s="54">
        <f>VLOOKUP(A77,'Custo_Fopag (2)'!$A:$BQ,50,0)</f>
        <v>0</v>
      </c>
      <c r="AY77" s="54">
        <v>96.2</v>
      </c>
      <c r="AZ77" s="117">
        <v>0</v>
      </c>
      <c r="BA77" s="54">
        <f>VLOOKUP(A77,'Custo_Fopag (2)'!$A:$BQ,54,0)</f>
        <v>0</v>
      </c>
      <c r="BB77" s="54">
        <f>VLOOKUP(A77,'Custo_Fopag (2)'!$A:$BQ,52,0)</f>
        <v>0</v>
      </c>
      <c r="BC77" s="122">
        <f t="shared" si="25"/>
        <v>2090.31</v>
      </c>
      <c r="BD77" s="54">
        <f t="shared" si="26"/>
        <v>6102.76</v>
      </c>
      <c r="BE77" s="57"/>
      <c r="BF77" s="54">
        <f t="shared" si="27"/>
        <v>6102.76</v>
      </c>
      <c r="BG77" s="54">
        <f t="shared" si="28"/>
        <v>334.37083333333334</v>
      </c>
      <c r="BH77" s="54">
        <f t="shared" si="29"/>
        <v>334.37083333333334</v>
      </c>
      <c r="BI77" s="54">
        <f t="shared" si="30"/>
        <v>111.45694444444445</v>
      </c>
      <c r="BJ77" s="54">
        <f t="shared" si="31"/>
        <v>780.19861111111118</v>
      </c>
      <c r="BK77" s="54">
        <f>VLOOKUP(A77,'Custo_Fopag (2)'!$A:$BQ,65,0)</f>
        <v>802.49</v>
      </c>
      <c r="BL77" s="54">
        <f>VLOOKUP(A77,'Custo_Fopag (2)'!$A:$BQP,66,0)</f>
        <v>120.37</v>
      </c>
      <c r="BM77" s="54">
        <f>VLOOKUP(A77,'Custo_Fopag (2)'!$A:$BQ,67,0)</f>
        <v>232.72</v>
      </c>
      <c r="BN77" s="54">
        <f>VLOOKUP(A77,'Custo_Fopag (2)'!$A:$BQ,64,0)</f>
        <v>320.99</v>
      </c>
      <c r="BO77" s="54">
        <f t="shared" si="32"/>
        <v>1476.57</v>
      </c>
      <c r="BP77" s="54">
        <f t="shared" si="33"/>
        <v>7579.33</v>
      </c>
      <c r="BQ77" s="54">
        <f t="shared" si="34"/>
        <v>8359.5286111111109</v>
      </c>
      <c r="BR77" s="109">
        <f>VLOOKUP(A77,'Custo_Fopag (2)'!$A:$BQ,60,0)</f>
        <v>0</v>
      </c>
      <c r="BS77" s="83" t="str">
        <f t="shared" si="35"/>
        <v>Ativo</v>
      </c>
    </row>
    <row r="78" spans="1:71" s="84" customFormat="1" x14ac:dyDescent="0.25">
      <c r="A78" s="59" t="s">
        <v>310</v>
      </c>
      <c r="B78" s="88">
        <v>46082</v>
      </c>
      <c r="C78" s="59" t="s">
        <v>5</v>
      </c>
      <c r="D78" s="59" t="str">
        <f>VLOOKUP(A78,'Custo_Fopag (2)'!A:$BQ,4,0)</f>
        <v>G3S FL 05 - PRES PRUD</v>
      </c>
      <c r="E78" s="59"/>
      <c r="F78" s="59"/>
      <c r="G78" s="59" t="str">
        <f>VLOOKUP(A78,'Custo_Fopag (2)'!$A:$BQ,5,0)</f>
        <v>20.947.332/0005-19</v>
      </c>
      <c r="H78" s="59" t="str">
        <f>VLOOKUP(A78,'Custo_Fopag (2)'!$A:$BQ,6,0)</f>
        <v>LOGISTICA</v>
      </c>
      <c r="I78" s="59" t="str">
        <f>VLOOKUP(A78,'Custo_Fopag (2)'!$A:$BQ,7,0)</f>
        <v>TRANSPORTE</v>
      </c>
      <c r="J78" s="59" t="str">
        <f>VLOOKUP(A78,'Custo_Fopag (2)'!$A:$BQ,8,0)</f>
        <v>BRACOFER</v>
      </c>
      <c r="K78" s="78">
        <f>VLOOKUP(A78,'Custo_Fopag (2)'!$A:$BQ,9,0)</f>
        <v>43234</v>
      </c>
      <c r="L78" s="52"/>
      <c r="M78" s="59"/>
      <c r="N78" s="3" t="str">
        <f>VLOOKUP(A78,'Custo_Fopag (2)'!$A:$BQ,11,0)</f>
        <v>1.3.1.4 LOGISTICA</v>
      </c>
      <c r="O78" s="3" t="str">
        <f>VLOOKUP(A78,'Custo_Fopag (2)'!$A:$BQ,12,0)</f>
        <v>MOTORISTA TRUCK MANTENEDOR SENIOR</v>
      </c>
      <c r="P78" s="126">
        <f>VLOOKUP(A78,'Custo_Fopag (2)'!$A:$BQ,13,0)</f>
        <v>2700</v>
      </c>
      <c r="Q78" s="127">
        <f>VLOOKUP(A78,'Custo_Fopag (2)'!$A:$BQ,16,0)</f>
        <v>2700</v>
      </c>
      <c r="R78" s="56">
        <f>VLOOKUP(A78,'Custo_Fopag (2)'!$A:$BQ,17,0)</f>
        <v>0</v>
      </c>
      <c r="S78" s="54">
        <f>VLOOKUP(A78,'Custo_Fopag (2)'!$A:$BP,18,0)</f>
        <v>0</v>
      </c>
      <c r="T78" s="54">
        <f>VLOOKUP(A78,'Custo_Fopag (2)'!$A:$BQ,20,0)</f>
        <v>540</v>
      </c>
      <c r="U78" s="54">
        <f>VLOOKUP(A78,'Custo_Fopag (2)'!$A:$BQ,21,0)</f>
        <v>0</v>
      </c>
      <c r="V78" s="54">
        <f>VLOOKUP(A78,'Custo_Fopag (2)'!$A:$BQ,22,0)</f>
        <v>0</v>
      </c>
      <c r="W78" s="54">
        <f>VLOOKUP(A78,'Custo_Fopag (2)'!$A:$BQ,23,0)</f>
        <v>0</v>
      </c>
      <c r="X78" s="54">
        <f>VLOOKUP(A78,'Custo_Fopag (2)'!$A:$BQ,24,0)</f>
        <v>0</v>
      </c>
      <c r="Y78" s="55">
        <f>VLOOKUP(A78,'Custo_Fopag (2)'!$A:$BQ,25,0)</f>
        <v>135</v>
      </c>
      <c r="Z78" s="54">
        <f>VLOOKUP(A78,'Custo_Fopag (2)'!$A:$BQ,26,0)</f>
        <v>0</v>
      </c>
      <c r="AA78" s="54">
        <f>VLOOKUP(A78,'Custo_Fopag (2)'!$A:$BQ,27,0)</f>
        <v>838.76</v>
      </c>
      <c r="AB78" s="54">
        <f>VLOOKUP(A78,'Custo_Fopag (2)'!$A:$BQ,28,0)</f>
        <v>161.30000000000001</v>
      </c>
      <c r="AC78" s="54">
        <f>VLOOKUP(A78,'Custo_Fopag (2)'!$A:$BQ,29,0)</f>
        <v>0</v>
      </c>
      <c r="AD78" s="54">
        <f>VLOOKUP(A78,'Custo_Fopag (2)'!$A:$BQ,30,0)</f>
        <v>0</v>
      </c>
      <c r="AE78" s="54">
        <f>VLOOKUP(A78,'Custo_Fopag (2)'!$A:$BQ,31,0)</f>
        <v>0</v>
      </c>
      <c r="AF78" s="54">
        <f>VLOOKUP(A78,'Custo_Fopag (2)'!$A:$BQ,32,0)</f>
        <v>0</v>
      </c>
      <c r="AG78" s="54">
        <f t="shared" si="24"/>
        <v>4375.0600000000004</v>
      </c>
      <c r="AH78" s="121">
        <f>VLOOKUP(A78,'Custo_Fopag (2)'!$A:$BQ,45,0)</f>
        <v>0</v>
      </c>
      <c r="AI78" s="54">
        <f>_xlfn.XLOOKUP(A78,Beneficios!A:A,Beneficios!B:B,0,0,1)</f>
        <v>512.87</v>
      </c>
      <c r="AJ78" s="54">
        <f>VLOOKUP(A78,'Custo_Fopag (2)'!$A:$BQ,47,0)</f>
        <v>0</v>
      </c>
      <c r="AK78" s="54">
        <v>0</v>
      </c>
      <c r="AL78" s="54">
        <f>VLOOKUP(A78,'Custo_Fopag (2)'!$A:$BQ,35,0)</f>
        <v>0</v>
      </c>
      <c r="AM78" s="54">
        <f>VLOOKUP(A78,'Custo_Fopag (2)'!$A:$BQ,36,0)</f>
        <v>0</v>
      </c>
      <c r="AN78" s="54">
        <f>VLOOKUP(A78,'Custo_Fopag (2)'!$A:$BQ,37,0)</f>
        <v>0</v>
      </c>
      <c r="AO78" s="54">
        <f>VLOOKUP(A78,'Custo_Fopag (2)'!$A:$BQ,39,0)</f>
        <v>0</v>
      </c>
      <c r="AP78" s="54">
        <f>VLOOKUP(A78,'Custo_Fopag (2)'!$A:$BQ,42,0)</f>
        <v>0</v>
      </c>
      <c r="AQ78" s="54">
        <f>VLOOKUP(A78,'Custo_Fopag (2)'!$A:$BQ,40,0)</f>
        <v>0</v>
      </c>
      <c r="AR78" s="54">
        <f>VLOOKUP(A78,'Custo_Fopag (2)'!$A:$BQ,41,0)</f>
        <v>0</v>
      </c>
      <c r="AS78" s="54">
        <f>VLOOKUP(A78,'Custo_Fopag (2)'!$A:$BQ,38,0)</f>
        <v>0</v>
      </c>
      <c r="AT78" s="54">
        <f>VLOOKUP(A78,'Custo_Fopag (2)'!$A:$BQ,43,0)</f>
        <v>0</v>
      </c>
      <c r="AU78" s="54">
        <f>VLOOKUP(A78,'Custo_Fopag (2)'!$A:$BQ,48,0)</f>
        <v>0</v>
      </c>
      <c r="AV78" s="54">
        <f>VLOOKUP(A78,'Custo_Fopag (2)'!$A:$BQ,49,0)</f>
        <v>0</v>
      </c>
      <c r="AW78" s="54">
        <f>VLOOKUP(A78,'Custo_Fopag (2)'!$A:$BQ,19,0)</f>
        <v>0</v>
      </c>
      <c r="AX78" s="54">
        <f>VLOOKUP(A78,'Custo_Fopag (2)'!$A:$BQ,50,0)</f>
        <v>0</v>
      </c>
      <c r="AY78" s="54">
        <f>VLOOKUP(A78,'Custo_Fopag (2)'!$A:$BQ,51,0)</f>
        <v>0</v>
      </c>
      <c r="AZ78" s="117">
        <v>0</v>
      </c>
      <c r="BA78" s="54">
        <f>VLOOKUP(A78,'Custo_Fopag (2)'!$A:$BQ,54,0)</f>
        <v>0</v>
      </c>
      <c r="BB78" s="54">
        <f>VLOOKUP(A78,'Custo_Fopag (2)'!$A:$BQ,52,0)</f>
        <v>0</v>
      </c>
      <c r="BC78" s="122">
        <f t="shared" si="25"/>
        <v>512.87</v>
      </c>
      <c r="BD78" s="54">
        <f t="shared" si="26"/>
        <v>4887.93</v>
      </c>
      <c r="BE78" s="57"/>
      <c r="BF78" s="54">
        <f t="shared" si="27"/>
        <v>4887.93</v>
      </c>
      <c r="BG78" s="54">
        <f t="shared" si="28"/>
        <v>364.58833333333337</v>
      </c>
      <c r="BH78" s="54">
        <f t="shared" si="29"/>
        <v>364.58833333333337</v>
      </c>
      <c r="BI78" s="54">
        <f t="shared" si="30"/>
        <v>121.52944444444445</v>
      </c>
      <c r="BJ78" s="54">
        <f t="shared" si="31"/>
        <v>850.70611111111123</v>
      </c>
      <c r="BK78" s="54">
        <f>VLOOKUP(A78,'Custo_Fopag (2)'!$A:$BQ,65,0)</f>
        <v>875.01</v>
      </c>
      <c r="BL78" s="54">
        <f>VLOOKUP(A78,'Custo_Fopag (2)'!$A:$BQP,66,0)</f>
        <v>65.62</v>
      </c>
      <c r="BM78" s="54">
        <f>VLOOKUP(A78,'Custo_Fopag (2)'!$A:$BQ,67,0)</f>
        <v>253.75</v>
      </c>
      <c r="BN78" s="54">
        <f>VLOOKUP(A78,'Custo_Fopag (2)'!$A:$BQ,64,0)</f>
        <v>350</v>
      </c>
      <c r="BO78" s="54">
        <f t="shared" si="32"/>
        <v>1544.38</v>
      </c>
      <c r="BP78" s="54">
        <f t="shared" si="33"/>
        <v>6432.31</v>
      </c>
      <c r="BQ78" s="54">
        <f t="shared" si="34"/>
        <v>7283.016111111112</v>
      </c>
      <c r="BR78" s="109">
        <f>VLOOKUP(A78,'Custo_Fopag (2)'!$A:$BQ,60,0)</f>
        <v>0</v>
      </c>
      <c r="BS78" s="83" t="str">
        <f t="shared" si="35"/>
        <v>Ativo</v>
      </c>
    </row>
    <row r="79" spans="1:71" x14ac:dyDescent="0.25">
      <c r="A79" s="59" t="s">
        <v>161</v>
      </c>
      <c r="B79" s="88">
        <v>46082</v>
      </c>
      <c r="C79" s="59" t="s">
        <v>5</v>
      </c>
      <c r="D79" s="59" t="str">
        <f>VLOOKUP(A79,'Custo_Fopag (2)'!A:$BQ,4,0)</f>
        <v>G S FL 05 - BARUERI</v>
      </c>
      <c r="E79" s="59"/>
      <c r="F79" s="59"/>
      <c r="G79" s="59" t="str">
        <f>VLOOKUP(A79,'Custo_Fopag (2)'!$A:$BQ,5,0)</f>
        <v>20.504.237/0005-40</v>
      </c>
      <c r="H79" s="59" t="str">
        <f>VLOOKUP(A79,'Custo_Fopag (2)'!$A:$BQ,6,0)</f>
        <v>OPERACIONAL</v>
      </c>
      <c r="I79" s="59" t="str">
        <f>VLOOKUP(A79,'Custo_Fopag (2)'!$A:$BQ,7,0)</f>
        <v>TUPY/JOINVILLE - SC</v>
      </c>
      <c r="J79" s="59" t="str">
        <f>VLOOKUP(A79,'Custo_Fopag (2)'!$A:$BQ,8,0)</f>
        <v>EKIPA LOCACOES E SERV G&amp;S</v>
      </c>
      <c r="K79" s="78">
        <f>VLOOKUP(A79,'Custo_Fopag (2)'!$A:$BQ,9,0)</f>
        <v>44167</v>
      </c>
      <c r="N79" s="3" t="str">
        <f>VLOOKUP(A79,'Custo_Fopag (2)'!$A:$BQ,11,0)</f>
        <v>1.7.8.1.1 TUPY - JOINVILLE/S</v>
      </c>
      <c r="O79" s="3" t="str">
        <f>VLOOKUP(A79,'Custo_Fopag (2)'!$A:$BQ,12,0)</f>
        <v>OPERADOR MANTENEDOR SENIOR</v>
      </c>
      <c r="P79" s="126">
        <f>VLOOKUP(A79,'Custo_Fopag (2)'!$A:$BQ,13,0)</f>
        <v>3158.66</v>
      </c>
      <c r="Q79" s="127">
        <f>VLOOKUP(A79,'Custo_Fopag (2)'!$A:$BQ,16,0)</f>
        <v>3158.66</v>
      </c>
      <c r="R79" s="56">
        <f>VLOOKUP(A79,'Custo_Fopag (2)'!$A:$BQ,17,0)</f>
        <v>0</v>
      </c>
      <c r="S79" s="54">
        <f>VLOOKUP(A79,'Custo_Fopag (2)'!$A:$BP,18,0)</f>
        <v>0</v>
      </c>
      <c r="T79" s="54">
        <f>VLOOKUP(A79,'Custo_Fopag (2)'!$A:$BQ,20,0)</f>
        <v>631.73</v>
      </c>
      <c r="U79" s="54">
        <f>VLOOKUP(A79,'Custo_Fopag (2)'!$A:$BQ,21,0)</f>
        <v>0</v>
      </c>
      <c r="V79" s="54">
        <f>VLOOKUP(A79,'Custo_Fopag (2)'!$A:$BQ,22,0)</f>
        <v>0</v>
      </c>
      <c r="W79" s="54">
        <f>VLOOKUP(A79,'Custo_Fopag (2)'!$A:$BQ,23,0)</f>
        <v>0</v>
      </c>
      <c r="X79" s="54">
        <f>VLOOKUP(A79,'Custo_Fopag (2)'!$A:$BQ,24,0)</f>
        <v>0</v>
      </c>
      <c r="Y79" s="55">
        <f>VLOOKUP(A79,'Custo_Fopag (2)'!$A:$BQ,25,0)</f>
        <v>0</v>
      </c>
      <c r="Z79" s="54">
        <f>VLOOKUP(A79,'Custo_Fopag (2)'!$A:$BQ,26,0)</f>
        <v>0</v>
      </c>
      <c r="AA79" s="54">
        <f>VLOOKUP(A79,'Custo_Fopag (2)'!$A:$BQ,27,0)</f>
        <v>279.11</v>
      </c>
      <c r="AB79" s="54">
        <f>VLOOKUP(A79,'Custo_Fopag (2)'!$A:$BQ,28,0)</f>
        <v>53.68</v>
      </c>
      <c r="AC79" s="54">
        <f>VLOOKUP(A79,'Custo_Fopag (2)'!$A:$BQ,29,0)</f>
        <v>0</v>
      </c>
      <c r="AD79" s="54">
        <f>VLOOKUP(A79,'Custo_Fopag (2)'!$A:$BQ,30,0)</f>
        <v>0</v>
      </c>
      <c r="AE79" s="54">
        <f>VLOOKUP(A79,'Custo_Fopag (2)'!$A:$BQ,31,0)</f>
        <v>0</v>
      </c>
      <c r="AF79" s="54">
        <f>VLOOKUP(A79,'Custo_Fopag (2)'!$A:$BQ,32,0)</f>
        <v>0</v>
      </c>
      <c r="AG79" s="54">
        <f t="shared" si="24"/>
        <v>4123.18</v>
      </c>
      <c r="AH79" s="121">
        <f>VLOOKUP(A79,'Custo_Fopag (2)'!$A:$BQ,45,0)</f>
        <v>0</v>
      </c>
      <c r="AI79" s="54">
        <f>_xlfn.XLOOKUP(A79,'Custo_Fopag (2)'!A:A,'Custo_Fopag (2)'!AT:AT,0,0,1)</f>
        <v>50</v>
      </c>
      <c r="AJ79" s="54">
        <f>VLOOKUP(A79,'Custo_Fopag (2)'!$A:$BQ,47,0)</f>
        <v>0</v>
      </c>
      <c r="AK79" s="54">
        <v>0</v>
      </c>
      <c r="AL79" s="54">
        <f>VLOOKUP(A79,'Custo_Fopag (2)'!$A:$BQ,35,0)</f>
        <v>750</v>
      </c>
      <c r="AM79" s="54">
        <f>VLOOKUP(A79,'Custo_Fopag (2)'!$A:$BQ,36,0)</f>
        <v>0</v>
      </c>
      <c r="AN79" s="54">
        <f>VLOOKUP(A79,'Custo_Fopag (2)'!$A:$BQ,37,0)</f>
        <v>0</v>
      </c>
      <c r="AO79" s="54">
        <f>VLOOKUP(A79,'Custo_Fopag (2)'!$A:$BQ,39,0)</f>
        <v>0</v>
      </c>
      <c r="AP79" s="54">
        <f>VLOOKUP(A79,'Custo_Fopag (2)'!$A:$BQ,42,0)</f>
        <v>645</v>
      </c>
      <c r="AQ79" s="54">
        <f>VLOOKUP(A79,'Custo_Fopag (2)'!$A:$BQ,40,0)</f>
        <v>0</v>
      </c>
      <c r="AR79" s="54">
        <f>VLOOKUP(A79,'Custo_Fopag (2)'!$A:$BQ,41,0)</f>
        <v>0</v>
      </c>
      <c r="AS79" s="54">
        <f>VLOOKUP(A79,'Custo_Fopag (2)'!$A:$BQ,38,0)</f>
        <v>0</v>
      </c>
      <c r="AT79" s="54">
        <f>VLOOKUP(A79,'Custo_Fopag (2)'!$A:$BQ,43,0)</f>
        <v>0</v>
      </c>
      <c r="AU79" s="54">
        <f>VLOOKUP(A79,'Custo_Fopag (2)'!$A:$BQ,48,0)</f>
        <v>0</v>
      </c>
      <c r="AV79" s="54">
        <f>VLOOKUP(A79,'Custo_Fopag (2)'!$A:$BQ,49,0)</f>
        <v>0</v>
      </c>
      <c r="AW79" s="54">
        <f>VLOOKUP(A79,'Custo_Fopag (2)'!$A:$BQ,19,0)</f>
        <v>0</v>
      </c>
      <c r="AX79" s="54">
        <f>VLOOKUP(A79,'Custo_Fopag (2)'!$A:$BQ,50,0)</f>
        <v>0</v>
      </c>
      <c r="AY79" s="54">
        <f>VLOOKUP(A79,'Custo_Fopag (2)'!$A:$BQ,51,0)</f>
        <v>0</v>
      </c>
      <c r="AZ79" s="117">
        <v>0</v>
      </c>
      <c r="BA79" s="54">
        <f>VLOOKUP(A79,'Custo_Fopag (2)'!$A:$BQ,54,0)</f>
        <v>0</v>
      </c>
      <c r="BB79" s="54">
        <f>VLOOKUP(A79,'Custo_Fopag (2)'!$A:$BQ,52,0)</f>
        <v>0</v>
      </c>
      <c r="BC79" s="122">
        <f t="shared" si="25"/>
        <v>1445</v>
      </c>
      <c r="BD79" s="54">
        <f t="shared" si="26"/>
        <v>5568.18</v>
      </c>
      <c r="BE79" s="57"/>
      <c r="BF79" s="54">
        <f t="shared" si="27"/>
        <v>5568.18</v>
      </c>
      <c r="BG79" s="54">
        <f t="shared" si="28"/>
        <v>343.59833333333336</v>
      </c>
      <c r="BH79" s="54">
        <f t="shared" si="29"/>
        <v>343.59833333333336</v>
      </c>
      <c r="BI79" s="54">
        <f t="shared" si="30"/>
        <v>114.53277777777778</v>
      </c>
      <c r="BJ79" s="54">
        <f t="shared" si="31"/>
        <v>801.72944444444454</v>
      </c>
      <c r="BK79" s="54">
        <f>VLOOKUP(A79,'Custo_Fopag (2)'!$A:$BQ,65,0)</f>
        <v>824.64</v>
      </c>
      <c r="BL79" s="54">
        <f>VLOOKUP(A79,'Custo_Fopag (2)'!$A:$BQP,66,0)</f>
        <v>61.84</v>
      </c>
      <c r="BM79" s="54">
        <f>VLOOKUP(A79,'Custo_Fopag (2)'!$A:$BQ,67,0)</f>
        <v>239.14</v>
      </c>
      <c r="BN79" s="54">
        <f>VLOOKUP(A79,'Custo_Fopag (2)'!$A:$BQ,64,0)</f>
        <v>329.85</v>
      </c>
      <c r="BO79" s="54">
        <f t="shared" si="32"/>
        <v>1455.4699999999998</v>
      </c>
      <c r="BP79" s="54">
        <f t="shared" si="33"/>
        <v>7023.65</v>
      </c>
      <c r="BQ79" s="54">
        <f t="shared" si="34"/>
        <v>7825.3794444444447</v>
      </c>
      <c r="BR79" s="109">
        <f>VLOOKUP(A79,'Custo_Fopag (2)'!$A:$BQ,60,0)</f>
        <v>0</v>
      </c>
      <c r="BS79" s="83" t="str">
        <f t="shared" si="35"/>
        <v>Ativo</v>
      </c>
    </row>
    <row r="80" spans="1:71" x14ac:dyDescent="0.25">
      <c r="A80" s="59" t="s">
        <v>316</v>
      </c>
      <c r="B80" s="88">
        <v>46082</v>
      </c>
      <c r="C80" s="59" t="s">
        <v>5</v>
      </c>
      <c r="D80" s="59" t="str">
        <f>VLOOKUP(A80,'Custo_Fopag (2)'!A:$BQ,4,0)</f>
        <v>G3S FL 05 - PRES PRUD</v>
      </c>
      <c r="E80" s="59"/>
      <c r="F80" s="59"/>
      <c r="G80" s="59" t="str">
        <f>VLOOKUP(A80,'Custo_Fopag (2)'!$A:$BQ,5,0)</f>
        <v>20.947.332/0005-19</v>
      </c>
      <c r="H80" s="59" t="str">
        <f>VLOOKUP(A80,'Custo_Fopag (2)'!$A:$BQ,6,0)</f>
        <v>COMERCIAL</v>
      </c>
      <c r="I80" s="59" t="str">
        <f>VLOOKUP(A80,'Custo_Fopag (2)'!$A:$BQ,7,0)</f>
        <v>VENDAS</v>
      </c>
      <c r="J80" s="59" t="str">
        <f>VLOOKUP(A80,'Custo_Fopag (2)'!$A:$BQ,8,0)</f>
        <v>BRACOFER</v>
      </c>
      <c r="K80" s="78">
        <f>VLOOKUP(A80,'Custo_Fopag (2)'!$A:$BQ,9,0)</f>
        <v>43761</v>
      </c>
      <c r="N80" s="3" t="str">
        <f>VLOOKUP(A80,'Custo_Fopag (2)'!$A:$BQ,11,0)</f>
        <v>1.3.1.2 COMERCIAL</v>
      </c>
      <c r="O80" s="3" t="str">
        <f>VLOOKUP(A80,'Custo_Fopag (2)'!$A:$BQ,12,0)</f>
        <v>VENDEDOR(A)</v>
      </c>
      <c r="P80" s="126">
        <f>VLOOKUP(A80,'Custo_Fopag (2)'!$A:$BQ,13,0)</f>
        <v>0</v>
      </c>
      <c r="Q80" s="127">
        <f>VLOOKUP(A80,'Custo_Fopag (2)'!$A:$BQ,16,0)</f>
        <v>0</v>
      </c>
      <c r="R80" s="56">
        <f>VLOOKUP(A80,'Custo_Fopag (2)'!$A:$BQ,17,0)</f>
        <v>0</v>
      </c>
      <c r="S80" s="54">
        <f>VLOOKUP(A80,'Custo_Fopag (2)'!$A:$BP,18,0)</f>
        <v>0</v>
      </c>
      <c r="T80" s="54">
        <f>VLOOKUP(A80,'Custo_Fopag (2)'!$A:$BQ,20,0)</f>
        <v>0</v>
      </c>
      <c r="U80" s="54">
        <f>VLOOKUP(A80,'Custo_Fopag (2)'!$A:$BQ,21,0)</f>
        <v>0</v>
      </c>
      <c r="V80" s="54">
        <f>VLOOKUP(A80,'Custo_Fopag (2)'!$A:$BQ,22,0)</f>
        <v>0</v>
      </c>
      <c r="W80" s="54">
        <f>VLOOKUP(A80,'Custo_Fopag (2)'!$A:$BQ,23,0)</f>
        <v>0</v>
      </c>
      <c r="X80" s="54">
        <f>VLOOKUP(A80,'Custo_Fopag (2)'!$A:$BQ,24,0)</f>
        <v>0</v>
      </c>
      <c r="Y80" s="55">
        <f>VLOOKUP(A80,'Custo_Fopag (2)'!$A:$BQ,25,0)</f>
        <v>0</v>
      </c>
      <c r="Z80" s="54">
        <f>VLOOKUP(A80,'Custo_Fopag (2)'!$A:$BQ,26,0)</f>
        <v>0</v>
      </c>
      <c r="AA80" s="54">
        <f>VLOOKUP(A80,'Custo_Fopag (2)'!$A:$BQ,27,0)</f>
        <v>0</v>
      </c>
      <c r="AB80" s="54">
        <f>VLOOKUP(A80,'Custo_Fopag (2)'!$A:$BQ,28,0)</f>
        <v>0</v>
      </c>
      <c r="AC80" s="54">
        <f>VLOOKUP(A80,'Custo_Fopag (2)'!$A:$BQ,29,0)</f>
        <v>5669.28</v>
      </c>
      <c r="AD80" s="54">
        <f>VLOOKUP(A80,'Custo_Fopag (2)'!$A:$BQ,30,0)</f>
        <v>1090.25</v>
      </c>
      <c r="AE80" s="54">
        <f>VLOOKUP(A80,'Custo_Fopag (2)'!$A:$BQ,31,0)</f>
        <v>0</v>
      </c>
      <c r="AF80" s="54">
        <f>VLOOKUP(A80,'Custo_Fopag (2)'!$A:$BQ,32,0)</f>
        <v>0</v>
      </c>
      <c r="AG80" s="54">
        <f t="shared" si="24"/>
        <v>6759.53</v>
      </c>
      <c r="AH80" s="121">
        <f>VLOOKUP(A80,'Custo_Fopag (2)'!$A:$BQ,45,0)</f>
        <v>0</v>
      </c>
      <c r="AI80" s="54">
        <f>_xlfn.XLOOKUP(A80,Beneficios!A:A,Beneficios!B:B,0,0,1)</f>
        <v>512.87</v>
      </c>
      <c r="AJ80" s="54">
        <f>VLOOKUP(A80,'Custo_Fopag (2)'!$A:$BQ,47,0)</f>
        <v>0</v>
      </c>
      <c r="AK80" s="54">
        <v>0</v>
      </c>
      <c r="AL80" s="54">
        <f>VLOOKUP(A80,'Custo_Fopag (2)'!$A:$BQ,35,0)</f>
        <v>0</v>
      </c>
      <c r="AM80" s="54">
        <f>VLOOKUP(A80,'Custo_Fopag (2)'!$A:$BQ,36,0)</f>
        <v>0</v>
      </c>
      <c r="AN80" s="54">
        <f>VLOOKUP(A80,'Custo_Fopag (2)'!$A:$BQ,37,0)</f>
        <v>0</v>
      </c>
      <c r="AO80" s="54">
        <f>VLOOKUP(A80,'Custo_Fopag (2)'!$A:$BQ,39,0)</f>
        <v>0</v>
      </c>
      <c r="AP80" s="54">
        <f>VLOOKUP(A80,'Custo_Fopag (2)'!$A:$BQ,42,0)</f>
        <v>0</v>
      </c>
      <c r="AQ80" s="54">
        <f>VLOOKUP(A80,'Custo_Fopag (2)'!$A:$BQ,40,0)</f>
        <v>0</v>
      </c>
      <c r="AR80" s="54">
        <f>VLOOKUP(A80,'Custo_Fopag (2)'!$A:$BQ,41,0)</f>
        <v>0</v>
      </c>
      <c r="AS80" s="54">
        <f>VLOOKUP(A80,'Custo_Fopag (2)'!$A:$BQ,38,0)</f>
        <v>0</v>
      </c>
      <c r="AT80" s="54">
        <f>VLOOKUP(A80,'Custo_Fopag (2)'!$A:$BQ,43,0)</f>
        <v>0</v>
      </c>
      <c r="AU80" s="54">
        <f>VLOOKUP(A80,'Custo_Fopag (2)'!$A:$BQ,48,0)</f>
        <v>0</v>
      </c>
      <c r="AV80" s="54">
        <f>VLOOKUP(A80,'Custo_Fopag (2)'!$A:$BQ,49,0)</f>
        <v>0</v>
      </c>
      <c r="AW80" s="54">
        <f>VLOOKUP(A80,'Custo_Fopag (2)'!$A:$BQ,19,0)</f>
        <v>0</v>
      </c>
      <c r="AX80" s="54">
        <f>VLOOKUP(A80,'Custo_Fopag (2)'!$A:$BQ,50,0)</f>
        <v>0</v>
      </c>
      <c r="AY80" s="54">
        <f>VLOOKUP(A80,'Custo_Fopag (2)'!$A:$BQ,51,0)</f>
        <v>0</v>
      </c>
      <c r="AZ80" s="117">
        <v>0</v>
      </c>
      <c r="BA80" s="54">
        <f>VLOOKUP(A80,'Custo_Fopag (2)'!$A:$BQ,54,0)</f>
        <v>0</v>
      </c>
      <c r="BB80" s="54">
        <f>VLOOKUP(A80,'Custo_Fopag (2)'!$A:$BQ,52,0)</f>
        <v>0</v>
      </c>
      <c r="BC80" s="122">
        <f t="shared" si="25"/>
        <v>512.87</v>
      </c>
      <c r="BD80" s="54">
        <f t="shared" si="26"/>
        <v>7272.4</v>
      </c>
      <c r="BE80" s="57"/>
      <c r="BF80" s="54">
        <f t="shared" si="27"/>
        <v>7272.4</v>
      </c>
      <c r="BG80" s="54">
        <f t="shared" si="28"/>
        <v>563.29416666666668</v>
      </c>
      <c r="BH80" s="54">
        <f t="shared" si="29"/>
        <v>563.29416666666668</v>
      </c>
      <c r="BI80" s="54">
        <f t="shared" si="30"/>
        <v>187.76472222222222</v>
      </c>
      <c r="BJ80" s="54">
        <f t="shared" si="31"/>
        <v>1314.3530555555556</v>
      </c>
      <c r="BK80" s="54">
        <f>VLOOKUP(A80,'Custo_Fopag (2)'!$A:$BQ,65,0)</f>
        <v>1351.91</v>
      </c>
      <c r="BL80" s="54">
        <f>VLOOKUP(A80,'Custo_Fopag (2)'!$A:$BQP,66,0)</f>
        <v>101.39</v>
      </c>
      <c r="BM80" s="54">
        <f>VLOOKUP(A80,'Custo_Fopag (2)'!$A:$BQ,67,0)</f>
        <v>392.05</v>
      </c>
      <c r="BN80" s="54">
        <f>VLOOKUP(A80,'Custo_Fopag (2)'!$A:$BQ,64,0)</f>
        <v>540.76</v>
      </c>
      <c r="BO80" s="54">
        <f t="shared" si="32"/>
        <v>2386.11</v>
      </c>
      <c r="BP80" s="54">
        <f t="shared" si="33"/>
        <v>9658.51</v>
      </c>
      <c r="BQ80" s="54">
        <f t="shared" si="34"/>
        <v>10972.863055555556</v>
      </c>
      <c r="BR80" s="109">
        <f>VLOOKUP(A80,'Custo_Fopag (2)'!$A:$BQ,60,0)</f>
        <v>0</v>
      </c>
      <c r="BS80" s="83" t="str">
        <f t="shared" si="35"/>
        <v>Ativo</v>
      </c>
    </row>
    <row r="81" spans="1:71" x14ac:dyDescent="0.25">
      <c r="A81" s="59" t="s">
        <v>162</v>
      </c>
      <c r="B81" s="88">
        <v>46082</v>
      </c>
      <c r="C81" s="59" t="s">
        <v>5</v>
      </c>
      <c r="D81" s="59" t="str">
        <f>VLOOKUP(A81,'Custo_Fopag (2)'!A:$BQ,4,0)</f>
        <v>G S FL 05 - BARUERI</v>
      </c>
      <c r="E81" s="59"/>
      <c r="F81" s="59"/>
      <c r="G81" s="59" t="str">
        <f>VLOOKUP(A81,'Custo_Fopag (2)'!$A:$BQ,5,0)</f>
        <v>20.504.237/0005-40</v>
      </c>
      <c r="H81" s="59" t="str">
        <f>VLOOKUP(A81,'Custo_Fopag (2)'!$A:$BQ,6,0)</f>
        <v>OPERACIONAL</v>
      </c>
      <c r="I81" s="59" t="str">
        <f>VLOOKUP(A81,'Custo_Fopag (2)'!$A:$BQ,7,0)</f>
        <v>ARCELOR/BARRA MANSA - RJ</v>
      </c>
      <c r="J81" s="59" t="str">
        <f>VLOOKUP(A81,'Custo_Fopag (2)'!$A:$BQ,8,0)</f>
        <v>EKIPA LOCACOES E SERV G&amp;S</v>
      </c>
      <c r="K81" s="78">
        <f>VLOOKUP(A81,'Custo_Fopag (2)'!$A:$BQ,9,0)</f>
        <v>45520</v>
      </c>
      <c r="N81" s="3" t="str">
        <f>VLOOKUP(A81,'Custo_Fopag (2)'!$A:$BQ,11,0)</f>
        <v>1.7.1.3.1 ARCELOR/BARRA MANS</v>
      </c>
      <c r="O81" s="3" t="str">
        <f>VLOOKUP(A81,'Custo_Fopag (2)'!$A:$BQ,12,0)</f>
        <v>OPERADOR MANTENEDOR PLENO</v>
      </c>
      <c r="P81" s="126">
        <f>VLOOKUP(A81,'Custo_Fopag (2)'!$A:$BQ,13,0)</f>
        <v>2816.11</v>
      </c>
      <c r="Q81" s="127">
        <f>VLOOKUP(A81,'Custo_Fopag (2)'!$A:$BQ,16,0)</f>
        <v>2816.11</v>
      </c>
      <c r="R81" s="56">
        <f>VLOOKUP(A81,'Custo_Fopag (2)'!$A:$BQ,17,0)</f>
        <v>0</v>
      </c>
      <c r="S81" s="54">
        <f>VLOOKUP(A81,'Custo_Fopag (2)'!$A:$BP,18,0)</f>
        <v>0</v>
      </c>
      <c r="T81" s="54">
        <f>VLOOKUP(A81,'Custo_Fopag (2)'!$A:$BQ,20,0)</f>
        <v>563.22</v>
      </c>
      <c r="U81" s="54">
        <f>VLOOKUP(A81,'Custo_Fopag (2)'!$A:$BQ,21,0)</f>
        <v>0</v>
      </c>
      <c r="V81" s="54">
        <f>VLOOKUP(A81,'Custo_Fopag (2)'!$A:$BQ,22,0)</f>
        <v>0</v>
      </c>
      <c r="W81" s="54">
        <f>VLOOKUP(A81,'Custo_Fopag (2)'!$A:$BQ,23,0)</f>
        <v>0</v>
      </c>
      <c r="X81" s="54">
        <f>VLOOKUP(A81,'Custo_Fopag (2)'!$A:$BQ,24,0)</f>
        <v>0</v>
      </c>
      <c r="Y81" s="55">
        <f>VLOOKUP(A81,'Custo_Fopag (2)'!$A:$BQ,25,0)</f>
        <v>0</v>
      </c>
      <c r="Z81" s="54">
        <f>VLOOKUP(A81,'Custo_Fopag (2)'!$A:$BQ,26,0)</f>
        <v>50.91</v>
      </c>
      <c r="AA81" s="54">
        <f>VLOOKUP(A81,'Custo_Fopag (2)'!$A:$BQ,27,0)</f>
        <v>0</v>
      </c>
      <c r="AB81" s="54">
        <f>VLOOKUP(A81,'Custo_Fopag (2)'!$A:$BQ,28,0)</f>
        <v>0</v>
      </c>
      <c r="AC81" s="54">
        <f>VLOOKUP(A81,'Custo_Fopag (2)'!$A:$BQ,29,0)</f>
        <v>0</v>
      </c>
      <c r="AD81" s="54">
        <f>VLOOKUP(A81,'Custo_Fopag (2)'!$A:$BQ,30,0)</f>
        <v>0</v>
      </c>
      <c r="AE81" s="54">
        <f>VLOOKUP(A81,'Custo_Fopag (2)'!$A:$BQ,31,0)</f>
        <v>0</v>
      </c>
      <c r="AF81" s="54">
        <f>VLOOKUP(A81,'Custo_Fopag (2)'!$A:$BQ,32,0)</f>
        <v>0</v>
      </c>
      <c r="AG81" s="54">
        <f t="shared" si="24"/>
        <v>3430.24</v>
      </c>
      <c r="AH81" s="121">
        <f>VLOOKUP(A81,'Custo_Fopag (2)'!$A:$BQ,45,0)</f>
        <v>0</v>
      </c>
      <c r="AI81" s="54">
        <f>_xlfn.XLOOKUP(A81,'Custo_Fopag (2)'!A:A,'Custo_Fopag (2)'!AT:AT,0,0,1)</f>
        <v>250</v>
      </c>
      <c r="AJ81" s="54">
        <f>VLOOKUP(A81,'Custo_Fopag (2)'!$A:$BQ,47,0)</f>
        <v>0</v>
      </c>
      <c r="AK81" s="54">
        <v>0</v>
      </c>
      <c r="AL81" s="54">
        <f>VLOOKUP(A81,'Custo_Fopag (2)'!$A:$BQ,35,0)</f>
        <v>0</v>
      </c>
      <c r="AM81" s="54">
        <f>VLOOKUP(A81,'Custo_Fopag (2)'!$A:$BQ,36,0)</f>
        <v>0</v>
      </c>
      <c r="AN81" s="54">
        <f>VLOOKUP(A81,'Custo_Fopag (2)'!$A:$BQ,37,0)</f>
        <v>0</v>
      </c>
      <c r="AO81" s="54">
        <f>VLOOKUP(A81,'Custo_Fopag (2)'!$A:$BQ,39,0)</f>
        <v>0</v>
      </c>
      <c r="AP81" s="54">
        <f>VLOOKUP(A81,'Custo_Fopag (2)'!$A:$BQ,42,0)</f>
        <v>0</v>
      </c>
      <c r="AQ81" s="54">
        <f>VLOOKUP(A81,'Custo_Fopag (2)'!$A:$BQ,40,0)</f>
        <v>893.2</v>
      </c>
      <c r="AR81" s="54">
        <f>VLOOKUP(A81,'Custo_Fopag (2)'!$A:$BQ,41,0)</f>
        <v>0</v>
      </c>
      <c r="AS81" s="54">
        <f>VLOOKUP(A81,'Custo_Fopag (2)'!$A:$BQ,38,0)</f>
        <v>0</v>
      </c>
      <c r="AT81" s="54">
        <f>VLOOKUP(A81,'Custo_Fopag (2)'!$A:$BQ,43,0)</f>
        <v>0</v>
      </c>
      <c r="AU81" s="54">
        <f>VLOOKUP(A81,'Custo_Fopag (2)'!$A:$BQ,48,0)</f>
        <v>0</v>
      </c>
      <c r="AV81" s="54">
        <f>VLOOKUP(A81,'Custo_Fopag (2)'!$A:$BQ,49,0)</f>
        <v>0</v>
      </c>
      <c r="AW81" s="54">
        <f>VLOOKUP(A81,'Custo_Fopag (2)'!$A:$BQ,19,0)</f>
        <v>0</v>
      </c>
      <c r="AX81" s="54">
        <f>VLOOKUP(A81,'Custo_Fopag (2)'!$A:$BQ,50,0)</f>
        <v>0</v>
      </c>
      <c r="AY81" s="54">
        <f>VLOOKUP(A81,'Custo_Fopag (2)'!$A:$BQ,51,0)</f>
        <v>0</v>
      </c>
      <c r="AZ81" s="117">
        <v>0</v>
      </c>
      <c r="BA81" s="54">
        <f>VLOOKUP(A81,'Custo_Fopag (2)'!$A:$BQ,54,0)</f>
        <v>0</v>
      </c>
      <c r="BB81" s="54">
        <f>VLOOKUP(A81,'Custo_Fopag (2)'!$A:$BQ,52,0)</f>
        <v>0</v>
      </c>
      <c r="BC81" s="122">
        <f t="shared" si="25"/>
        <v>1143.2</v>
      </c>
      <c r="BD81" s="54">
        <f t="shared" si="26"/>
        <v>4573.4399999999996</v>
      </c>
      <c r="BE81" s="57"/>
      <c r="BF81" s="54">
        <f t="shared" si="27"/>
        <v>4573.4399999999996</v>
      </c>
      <c r="BG81" s="54">
        <f t="shared" si="28"/>
        <v>285.8533333333333</v>
      </c>
      <c r="BH81" s="54">
        <f t="shared" si="29"/>
        <v>285.8533333333333</v>
      </c>
      <c r="BI81" s="54">
        <f t="shared" si="30"/>
        <v>95.284444444444432</v>
      </c>
      <c r="BJ81" s="54">
        <f t="shared" si="31"/>
        <v>666.99111111111097</v>
      </c>
      <c r="BK81" s="54">
        <f>VLOOKUP(A81,'Custo_Fopag (2)'!$A:$BQ,65,0)</f>
        <v>686.05</v>
      </c>
      <c r="BL81" s="54">
        <f>VLOOKUP(A81,'Custo_Fopag (2)'!$A:$BQP,66,0)</f>
        <v>51.45</v>
      </c>
      <c r="BM81" s="54">
        <f>VLOOKUP(A81,'Custo_Fopag (2)'!$A:$BQ,67,0)</f>
        <v>198.95</v>
      </c>
      <c r="BN81" s="54">
        <f>VLOOKUP(A81,'Custo_Fopag (2)'!$A:$BQ,64,0)</f>
        <v>274.41000000000003</v>
      </c>
      <c r="BO81" s="54">
        <f t="shared" si="32"/>
        <v>1210.8600000000001</v>
      </c>
      <c r="BP81" s="54">
        <f t="shared" si="33"/>
        <v>5784.2999999999993</v>
      </c>
      <c r="BQ81" s="54">
        <f t="shared" si="34"/>
        <v>6451.2911111111116</v>
      </c>
      <c r="BR81" s="109">
        <f>VLOOKUP(A81,'Custo_Fopag (2)'!$A:$BQ,60,0)</f>
        <v>0</v>
      </c>
      <c r="BS81" s="83" t="str">
        <f t="shared" si="35"/>
        <v>Ativo</v>
      </c>
    </row>
    <row r="82" spans="1:71" x14ac:dyDescent="0.25">
      <c r="A82" s="59" t="s">
        <v>287</v>
      </c>
      <c r="B82" s="88">
        <v>46082</v>
      </c>
      <c r="C82" s="59" t="s">
        <v>5</v>
      </c>
      <c r="D82" s="59" t="str">
        <f>VLOOKUP(A82,'Custo_Fopag (2)'!A:$BQ,4,0)</f>
        <v>G3S  FL 03 - DOURADOS</v>
      </c>
      <c r="E82" s="59"/>
      <c r="F82" s="59"/>
      <c r="G82" s="59" t="str">
        <f>VLOOKUP(A82,'Custo_Fopag (2)'!$A:$BQ,5,0)</f>
        <v>20.947.332/0003-57</v>
      </c>
      <c r="H82" s="59" t="str">
        <f>VLOOKUP(A82,'Custo_Fopag (2)'!$A:$BQ,6,0)</f>
        <v>OPERACIONAL</v>
      </c>
      <c r="I82" s="59" t="str">
        <f>VLOOKUP(A82,'Custo_Fopag (2)'!$A:$BQ,7,0)</f>
        <v>PATIO</v>
      </c>
      <c r="J82" s="59" t="str">
        <f>VLOOKUP(A82,'Custo_Fopag (2)'!$A:$BQ,8,0)</f>
        <v>SELETIVA DOURADOS</v>
      </c>
      <c r="K82" s="78">
        <f>VLOOKUP(A82,'Custo_Fopag (2)'!$A:$BQ,9,0)</f>
        <v>45733</v>
      </c>
      <c r="N82" s="3" t="str">
        <f>VLOOKUP(A82,'Custo_Fopag (2)'!$A:$BQ,11,0)</f>
        <v>1.2.2.3 OPERACIONAL</v>
      </c>
      <c r="O82" s="3" t="str">
        <f>VLOOKUP(A82,'Custo_Fopag (2)'!$A:$BQ,12,0)</f>
        <v>MACARIQUEIRO PLENO</v>
      </c>
      <c r="P82" s="126">
        <f>VLOOKUP(A82,'Custo_Fopag (2)'!$A:$BQ,13,0)</f>
        <v>2587.5</v>
      </c>
      <c r="Q82" s="127">
        <f>VLOOKUP(A82,'Custo_Fopag (2)'!$A:$BQ,16,0)</f>
        <v>2587.5</v>
      </c>
      <c r="R82" s="56">
        <f>VLOOKUP(A82,'Custo_Fopag (2)'!$A:$BQ,17,0)</f>
        <v>0</v>
      </c>
      <c r="S82" s="54">
        <f>VLOOKUP(A82,'Custo_Fopag (2)'!$A:$BP,18,0)</f>
        <v>0</v>
      </c>
      <c r="T82" s="54">
        <f>VLOOKUP(A82,'Custo_Fopag (2)'!$A:$BQ,20,0)</f>
        <v>0</v>
      </c>
      <c r="U82" s="54">
        <f>VLOOKUP(A82,'Custo_Fopag (2)'!$A:$BQ,21,0)</f>
        <v>0</v>
      </c>
      <c r="V82" s="54">
        <f>VLOOKUP(A82,'Custo_Fopag (2)'!$A:$BQ,22,0)</f>
        <v>0</v>
      </c>
      <c r="W82" s="54">
        <f>VLOOKUP(A82,'Custo_Fopag (2)'!$A:$BQ,23,0)</f>
        <v>0</v>
      </c>
      <c r="X82" s="54">
        <f>VLOOKUP(A82,'Custo_Fopag (2)'!$A:$BQ,24,0)</f>
        <v>0</v>
      </c>
      <c r="Y82" s="55">
        <f>VLOOKUP(A82,'Custo_Fopag (2)'!$A:$BQ,25,0)</f>
        <v>0</v>
      </c>
      <c r="Z82" s="54">
        <f>VLOOKUP(A82,'Custo_Fopag (2)'!$A:$BQ,26,0)</f>
        <v>2.0499999999999998</v>
      </c>
      <c r="AA82" s="54">
        <f>VLOOKUP(A82,'Custo_Fopag (2)'!$A:$BQ,27,0)</f>
        <v>0</v>
      </c>
      <c r="AB82" s="54">
        <f>VLOOKUP(A82,'Custo_Fopag (2)'!$A:$BQ,28,0)</f>
        <v>0</v>
      </c>
      <c r="AC82" s="54">
        <f>VLOOKUP(A82,'Custo_Fopag (2)'!$A:$BQ,29,0)</f>
        <v>0</v>
      </c>
      <c r="AD82" s="54">
        <f>VLOOKUP(A82,'Custo_Fopag (2)'!$A:$BQ,30,0)</f>
        <v>0</v>
      </c>
      <c r="AE82" s="54">
        <f>VLOOKUP(A82,'Custo_Fopag (2)'!$A:$BQ,31,0)</f>
        <v>0</v>
      </c>
      <c r="AF82" s="54">
        <f>VLOOKUP(A82,'Custo_Fopag (2)'!$A:$BQ,32,0)</f>
        <v>0</v>
      </c>
      <c r="AG82" s="54">
        <f t="shared" si="24"/>
        <v>2589.5500000000002</v>
      </c>
      <c r="AH82" s="121">
        <f>VLOOKUP(A82,'Custo_Fopag (2)'!$A:$BQ,45,0)</f>
        <v>0</v>
      </c>
      <c r="AI82" s="54">
        <f>_xlfn.XLOOKUP(A82,Beneficios!A:A,Beneficios!B:B,0,0,1)</f>
        <v>512.87</v>
      </c>
      <c r="AJ82" s="54">
        <f>VLOOKUP(A82,'Custo_Fopag (2)'!$A:$BQ,47,0)</f>
        <v>0</v>
      </c>
      <c r="AK82" s="54">
        <v>0</v>
      </c>
      <c r="AL82" s="54">
        <f>VLOOKUP(A82,'Custo_Fopag (2)'!$A:$BQ,35,0)</f>
        <v>0</v>
      </c>
      <c r="AM82" s="54">
        <f>VLOOKUP(A82,'Custo_Fopag (2)'!$A:$BQ,36,0)</f>
        <v>0</v>
      </c>
      <c r="AN82" s="54">
        <f>VLOOKUP(A82,'Custo_Fopag (2)'!$A:$BQ,37,0)</f>
        <v>0</v>
      </c>
      <c r="AO82" s="54">
        <f>VLOOKUP(A82,'Custo_Fopag (2)'!$A:$BQ,39,0)</f>
        <v>0</v>
      </c>
      <c r="AP82" s="54">
        <f>VLOOKUP(A82,'Custo_Fopag (2)'!$A:$BQ,42,0)</f>
        <v>0</v>
      </c>
      <c r="AQ82" s="54">
        <f>VLOOKUP(A82,'Custo_Fopag (2)'!$A:$BQ,40,0)</f>
        <v>0</v>
      </c>
      <c r="AR82" s="54">
        <f>VLOOKUP(A82,'Custo_Fopag (2)'!$A:$BQ,41,0)</f>
        <v>196.71</v>
      </c>
      <c r="AS82" s="54">
        <f>VLOOKUP(A82,'Custo_Fopag (2)'!$A:$BQ,38,0)</f>
        <v>0</v>
      </c>
      <c r="AT82" s="54">
        <f>VLOOKUP(A82,'Custo_Fopag (2)'!$A:$BQ,43,0)</f>
        <v>0</v>
      </c>
      <c r="AU82" s="54">
        <f>VLOOKUP(A82,'Custo_Fopag (2)'!$A:$BQ,48,0)</f>
        <v>0</v>
      </c>
      <c r="AV82" s="54">
        <f>VLOOKUP(A82,'Custo_Fopag (2)'!$A:$BQ,49,0)</f>
        <v>0</v>
      </c>
      <c r="AW82" s="54">
        <f>VLOOKUP(A82,'Custo_Fopag (2)'!$A:$BQ,19,0)</f>
        <v>0</v>
      </c>
      <c r="AX82" s="54">
        <f>VLOOKUP(A82,'Custo_Fopag (2)'!$A:$BQ,50,0)</f>
        <v>0</v>
      </c>
      <c r="AY82" s="54">
        <f>VLOOKUP(A82,'Custo_Fopag (2)'!$A:$BQ,51,0)</f>
        <v>0</v>
      </c>
      <c r="AZ82" s="117">
        <v>0</v>
      </c>
      <c r="BA82" s="54">
        <f>VLOOKUP(A82,'Custo_Fopag (2)'!$A:$BQ,54,0)</f>
        <v>0</v>
      </c>
      <c r="BB82" s="54">
        <f>VLOOKUP(A82,'Custo_Fopag (2)'!$A:$BQ,52,0)</f>
        <v>0</v>
      </c>
      <c r="BC82" s="122">
        <f t="shared" si="25"/>
        <v>709.58</v>
      </c>
      <c r="BD82" s="54">
        <f t="shared" si="26"/>
        <v>3299.13</v>
      </c>
      <c r="BE82" s="57"/>
      <c r="BF82" s="54">
        <f t="shared" si="27"/>
        <v>3299.13</v>
      </c>
      <c r="BG82" s="54">
        <f t="shared" si="28"/>
        <v>215.79583333333335</v>
      </c>
      <c r="BH82" s="54">
        <f t="shared" si="29"/>
        <v>215.79583333333335</v>
      </c>
      <c r="BI82" s="54">
        <f t="shared" si="30"/>
        <v>71.931944444444454</v>
      </c>
      <c r="BJ82" s="54">
        <f t="shared" si="31"/>
        <v>503.52361111111117</v>
      </c>
      <c r="BK82" s="54">
        <f>VLOOKUP(A82,'Custo_Fopag (2)'!$A:$BQ,65,0)</f>
        <v>517.91</v>
      </c>
      <c r="BL82" s="54">
        <f>VLOOKUP(A82,'Custo_Fopag (2)'!$A:$BQP,66,0)</f>
        <v>38.840000000000003</v>
      </c>
      <c r="BM82" s="54">
        <f>VLOOKUP(A82,'Custo_Fopag (2)'!$A:$BQ,67,0)</f>
        <v>150.19</v>
      </c>
      <c r="BN82" s="54">
        <f>VLOOKUP(A82,'Custo_Fopag (2)'!$A:$BQ,64,0)</f>
        <v>207.16</v>
      </c>
      <c r="BO82" s="54">
        <f t="shared" si="32"/>
        <v>914.1</v>
      </c>
      <c r="BP82" s="54">
        <f t="shared" si="33"/>
        <v>4213.2300000000005</v>
      </c>
      <c r="BQ82" s="54">
        <f t="shared" si="34"/>
        <v>4716.7536111111112</v>
      </c>
      <c r="BR82" s="109">
        <f>VLOOKUP(A82,'Custo_Fopag (2)'!$A:$BQ,60,0)</f>
        <v>0</v>
      </c>
      <c r="BS82" s="83" t="str">
        <f t="shared" si="35"/>
        <v>Ativo</v>
      </c>
    </row>
    <row r="83" spans="1:71" x14ac:dyDescent="0.25">
      <c r="A83" s="59" t="s">
        <v>133</v>
      </c>
      <c r="B83" s="88">
        <v>46082</v>
      </c>
      <c r="C83" s="59" t="s">
        <v>5</v>
      </c>
      <c r="D83" s="59" t="str">
        <f>VLOOKUP(A83,'Custo_Fopag (2)'!A:$BQ,4,0)</f>
        <v>G S FL 04 - MARINGA</v>
      </c>
      <c r="E83" s="59"/>
      <c r="F83" s="59"/>
      <c r="G83" s="59" t="str">
        <f>VLOOKUP(A83,'Custo_Fopag (2)'!$A:$BQ,5,0)</f>
        <v>20.504.237/0004-60</v>
      </c>
      <c r="H83" s="59" t="str">
        <f>VLOOKUP(A83,'Custo_Fopag (2)'!$A:$BQ,6,0)</f>
        <v>LOGISTICA</v>
      </c>
      <c r="I83" s="59" t="str">
        <f>VLOOKUP(A83,'Custo_Fopag (2)'!$A:$BQ,7,0)</f>
        <v>TRANSPORTE</v>
      </c>
      <c r="J83" s="59" t="str">
        <f>VLOOKUP(A83,'Custo_Fopag (2)'!$A:$BQ,8,0)</f>
        <v>SELETIVA MARINGA DISTRITO</v>
      </c>
      <c r="K83" s="78">
        <f>VLOOKUP(A83,'Custo_Fopag (2)'!$A:$BQ,9,0)</f>
        <v>45664</v>
      </c>
      <c r="L83" s="52">
        <f>VLOOKUP(A83,'Custo_Fopag (2)'!$A:$BQ,10,0)</f>
        <v>46111</v>
      </c>
      <c r="N83" s="3" t="str">
        <f>VLOOKUP(A83,'Custo_Fopag (2)'!$A:$BQ,11,0)</f>
        <v>1.7.7.4 LOGISTICA</v>
      </c>
      <c r="O83" s="3" t="str">
        <f>VLOOKUP(A83,'Custo_Fopag (2)'!$A:$BQ,12,0)</f>
        <v>MOTORISTA CARRETEIRO MANTENEDOR SENIOR I</v>
      </c>
      <c r="P83" s="126">
        <f>VLOOKUP(A83,'Custo_Fopag (2)'!$A:$BQ,13,0)</f>
        <v>3345</v>
      </c>
      <c r="Q83" s="127">
        <f>VLOOKUP(A83,'Custo_Fopag (2)'!$A:$BQ,16,0)</f>
        <v>0</v>
      </c>
      <c r="R83" s="56">
        <f>VLOOKUP(A83,'Custo_Fopag (2)'!$A:$BQ,17,0)</f>
        <v>0</v>
      </c>
      <c r="S83" s="54">
        <f>VLOOKUP(A83,'Custo_Fopag (2)'!$A:$BP,18,0)</f>
        <v>0</v>
      </c>
      <c r="T83" s="54">
        <f>VLOOKUP(A83,'Custo_Fopag (2)'!$A:$BQ,20,0)</f>
        <v>669</v>
      </c>
      <c r="U83" s="54">
        <f>VLOOKUP(A83,'Custo_Fopag (2)'!$A:$BQ,21,0)</f>
        <v>0</v>
      </c>
      <c r="V83" s="54">
        <f>VLOOKUP(A83,'Custo_Fopag (2)'!$A:$BQ,22,0)</f>
        <v>0</v>
      </c>
      <c r="W83" s="54">
        <f>VLOOKUP(A83,'Custo_Fopag (2)'!$A:$BQ,23,0)</f>
        <v>0</v>
      </c>
      <c r="X83" s="54">
        <f>VLOOKUP(A83,'Custo_Fopag (2)'!$A:$BQ,24,0)</f>
        <v>0</v>
      </c>
      <c r="Y83" s="55">
        <f>VLOOKUP(A83,'Custo_Fopag (2)'!$A:$BQ,25,0)</f>
        <v>0</v>
      </c>
      <c r="Z83" s="54">
        <f>VLOOKUP(A83,'Custo_Fopag (2)'!$A:$BQ,26,0)</f>
        <v>0</v>
      </c>
      <c r="AA83" s="54">
        <f>VLOOKUP(A83,'Custo_Fopag (2)'!$A:$BQ,27,0)</f>
        <v>1996.66</v>
      </c>
      <c r="AB83" s="54">
        <f>VLOOKUP(A83,'Custo_Fopag (2)'!$A:$BQ,28,0)</f>
        <v>399.33</v>
      </c>
      <c r="AC83" s="54">
        <f>VLOOKUP(A83,'Custo_Fopag (2)'!$A:$BQ,29,0)</f>
        <v>0</v>
      </c>
      <c r="AD83" s="54">
        <f>VLOOKUP(A83,'Custo_Fopag (2)'!$A:$BQ,30,0)</f>
        <v>0</v>
      </c>
      <c r="AE83" s="54">
        <f>VLOOKUP(A83,'Custo_Fopag (2)'!$A:$BQ,31,0)</f>
        <v>0</v>
      </c>
      <c r="AF83" s="54">
        <f>VLOOKUP(A83,'Custo_Fopag (2)'!$A:$BQ,32,0)</f>
        <v>0</v>
      </c>
      <c r="AG83" s="54">
        <f t="shared" si="24"/>
        <v>3064.99</v>
      </c>
      <c r="AH83" s="121">
        <f>VLOOKUP(A83,'Custo_Fopag (2)'!$A:$BQ,45,0)</f>
        <v>0</v>
      </c>
      <c r="AI83" s="54">
        <f>_xlfn.XLOOKUP(A83,'Custo_Fopag (2)'!A:A,'Custo_Fopag (2)'!AT:AT,0,0,1)</f>
        <v>500</v>
      </c>
      <c r="AJ83" s="54">
        <f>VLOOKUP(A83,'Custo_Fopag (2)'!$A:$BQ,47,0)</f>
        <v>0</v>
      </c>
      <c r="AK83" s="54">
        <v>0</v>
      </c>
      <c r="AL83" s="54">
        <f>VLOOKUP(A83,'Custo_Fopag (2)'!$A:$BQ,35,0)</f>
        <v>0</v>
      </c>
      <c r="AM83" s="54">
        <f>VLOOKUP(A83,'Custo_Fopag (2)'!$A:$BQ,36,0)</f>
        <v>914.98</v>
      </c>
      <c r="AN83" s="54">
        <f>VLOOKUP(A83,'Custo_Fopag (2)'!$A:$BQ,37,0)</f>
        <v>0</v>
      </c>
      <c r="AO83" s="54">
        <f>VLOOKUP(A83,'Custo_Fopag (2)'!$A:$BQ,39,0)</f>
        <v>0</v>
      </c>
      <c r="AP83" s="54">
        <f>VLOOKUP(A83,'Custo_Fopag (2)'!$A:$BQ,42,0)</f>
        <v>0</v>
      </c>
      <c r="AQ83" s="54">
        <f>VLOOKUP(A83,'Custo_Fopag (2)'!$A:$BQ,40,0)</f>
        <v>0</v>
      </c>
      <c r="AR83" s="54">
        <f>VLOOKUP(A83,'Custo_Fopag (2)'!$A:$BQ,41,0)</f>
        <v>252.45</v>
      </c>
      <c r="AS83" s="54">
        <f>VLOOKUP(A83,'Custo_Fopag (2)'!$A:$BQ,38,0)</f>
        <v>0</v>
      </c>
      <c r="AT83" s="54">
        <f>VLOOKUP(A83,'Custo_Fopag (2)'!$A:$BQ,43,0)</f>
        <v>0</v>
      </c>
      <c r="AU83" s="54">
        <f>VLOOKUP(A83,'Custo_Fopag (2)'!$A:$BQ,48,0)</f>
        <v>555.64</v>
      </c>
      <c r="AV83" s="54">
        <f>VLOOKUP(A83,'Custo_Fopag (2)'!$A:$BQ,49,0)</f>
        <v>0</v>
      </c>
      <c r="AW83" s="54">
        <f>VLOOKUP(A83,'Custo_Fopag (2)'!$A:$BQ,19,0)</f>
        <v>0</v>
      </c>
      <c r="AX83" s="54">
        <f>VLOOKUP(A83,'Custo_Fopag (2)'!$A:$BQ,50,0)</f>
        <v>0</v>
      </c>
      <c r="AY83" s="54">
        <f>VLOOKUP(A83,'Custo_Fopag (2)'!$A:$BQ,51,0)</f>
        <v>0</v>
      </c>
      <c r="AZ83" s="117">
        <v>0</v>
      </c>
      <c r="BA83" s="54">
        <f>VLOOKUP(A83,'Custo_Fopag (2)'!$A:$BQ,54,0)</f>
        <v>0</v>
      </c>
      <c r="BB83" s="54">
        <f>VLOOKUP(A83,'Custo_Fopag (2)'!$A:$BQ,52,0)</f>
        <v>0</v>
      </c>
      <c r="BC83" s="122">
        <f t="shared" si="25"/>
        <v>2223.0700000000002</v>
      </c>
      <c r="BD83" s="54">
        <f t="shared" si="26"/>
        <v>5288.0599999999995</v>
      </c>
      <c r="BE83" s="57"/>
      <c r="BF83" s="54">
        <f t="shared" si="27"/>
        <v>5288.0599999999995</v>
      </c>
      <c r="BG83" s="54">
        <f t="shared" si="28"/>
        <v>255.41583333333332</v>
      </c>
      <c r="BH83" s="54">
        <f t="shared" si="29"/>
        <v>255.41583333333332</v>
      </c>
      <c r="BI83" s="54">
        <f t="shared" si="30"/>
        <v>85.138611111111103</v>
      </c>
      <c r="BJ83" s="54">
        <f t="shared" si="31"/>
        <v>595.97027777777771</v>
      </c>
      <c r="BK83" s="54">
        <f>VLOOKUP(A83,'Custo_Fopag (2)'!$A:$BQ,65,0)</f>
        <v>613</v>
      </c>
      <c r="BL83" s="54">
        <f>VLOOKUP(A83,'Custo_Fopag (2)'!$A:$BQP,66,0)</f>
        <v>91.94</v>
      </c>
      <c r="BM83" s="54">
        <f>VLOOKUP(A83,'Custo_Fopag (2)'!$A:$BQ,67,0)</f>
        <v>177.76</v>
      </c>
      <c r="BN83" s="54">
        <f>VLOOKUP(A83,'Custo_Fopag (2)'!$A:$BQ,64,0)</f>
        <v>0</v>
      </c>
      <c r="BO83" s="54">
        <f t="shared" si="32"/>
        <v>882.7</v>
      </c>
      <c r="BP83" s="54">
        <f t="shared" si="33"/>
        <v>6170.7599999999993</v>
      </c>
      <c r="BQ83" s="54">
        <f t="shared" si="34"/>
        <v>6766.7302777777768</v>
      </c>
      <c r="BR83" s="109">
        <f>VLOOKUP(A83,'Custo_Fopag (2)'!$A:$BQ,60,0)</f>
        <v>21959.25</v>
      </c>
      <c r="BS83" s="83" t="str">
        <f t="shared" si="35"/>
        <v>Desligado</v>
      </c>
    </row>
    <row r="84" spans="1:71" s="59" customFormat="1" x14ac:dyDescent="0.25">
      <c r="A84" s="59" t="s">
        <v>165</v>
      </c>
      <c r="B84" s="88">
        <v>46082</v>
      </c>
      <c r="C84" s="59" t="s">
        <v>5</v>
      </c>
      <c r="D84" s="59" t="str">
        <f>VLOOKUP(A84,'Custo_Fopag (2)'!A:$BQ,4,0)</f>
        <v>G S FL 05 - BARUERI</v>
      </c>
      <c r="G84" s="59" t="str">
        <f>VLOOKUP(A84,'Custo_Fopag (2)'!$A:$BQ,5,0)</f>
        <v>20.504.237/0005-40</v>
      </c>
      <c r="H84" s="59" t="str">
        <f>VLOOKUP(A84,'Custo_Fopag (2)'!$A:$BQ,6,0)</f>
        <v>OPERACIONAL</v>
      </c>
      <c r="I84" s="59" t="str">
        <f>VLOOKUP(A84,'Custo_Fopag (2)'!$A:$BQ,7,0)</f>
        <v>ARCELOR/BARRA MANSA - RJ</v>
      </c>
      <c r="J84" s="59" t="str">
        <f>VLOOKUP(A84,'Custo_Fopag (2)'!$A:$BQ,8,0)</f>
        <v>EKIPA LOCACOES E SERV G&amp;S</v>
      </c>
      <c r="K84" s="78">
        <f>VLOOKUP(A84,'Custo_Fopag (2)'!$A:$BQ,9,0)</f>
        <v>45728</v>
      </c>
      <c r="L84" s="52"/>
      <c r="M84" s="3"/>
      <c r="N84" s="3" t="str">
        <f>VLOOKUP(A84,'Custo_Fopag (2)'!$A:$BQ,11,0)</f>
        <v>1.7.1.3.1 ARCELOR/BARRA MANS</v>
      </c>
      <c r="O84" s="3" t="str">
        <f>VLOOKUP(A84,'Custo_Fopag (2)'!$A:$BQ,12,0)</f>
        <v>OPERADOR MANTENEDOR PLENO</v>
      </c>
      <c r="P84" s="126">
        <f>VLOOKUP(A84,'Custo_Fopag (2)'!$A:$BQ,13,0)</f>
        <v>2816.11</v>
      </c>
      <c r="Q84" s="127">
        <f>VLOOKUP(A84,'Custo_Fopag (2)'!$A:$BQ,16,0)</f>
        <v>2816.11</v>
      </c>
      <c r="R84" s="56">
        <f>VLOOKUP(A84,'Custo_Fopag (2)'!$A:$BQ,17,0)</f>
        <v>0</v>
      </c>
      <c r="S84" s="54">
        <f>VLOOKUP(A84,'Custo_Fopag (2)'!$A:$BP,18,0)</f>
        <v>0</v>
      </c>
      <c r="T84" s="54">
        <f>VLOOKUP(A84,'Custo_Fopag (2)'!$A:$BQ,20,0)</f>
        <v>563.22</v>
      </c>
      <c r="U84" s="54">
        <f>VLOOKUP(A84,'Custo_Fopag (2)'!$A:$BQ,21,0)</f>
        <v>0</v>
      </c>
      <c r="V84" s="54">
        <f>VLOOKUP(A84,'Custo_Fopag (2)'!$A:$BQ,22,0)</f>
        <v>0</v>
      </c>
      <c r="W84" s="54">
        <f>VLOOKUP(A84,'Custo_Fopag (2)'!$A:$BQ,23,0)</f>
        <v>0</v>
      </c>
      <c r="X84" s="54">
        <f>VLOOKUP(A84,'Custo_Fopag (2)'!$A:$BQ,24,0)</f>
        <v>0</v>
      </c>
      <c r="Y84" s="55">
        <f>VLOOKUP(A84,'Custo_Fopag (2)'!$A:$BQ,25,0)</f>
        <v>0</v>
      </c>
      <c r="Z84" s="54">
        <f>VLOOKUP(A84,'Custo_Fopag (2)'!$A:$BQ,26,0)</f>
        <v>85.35</v>
      </c>
      <c r="AA84" s="54">
        <f>VLOOKUP(A84,'Custo_Fopag (2)'!$A:$BQ,27,0)</f>
        <v>195.85</v>
      </c>
      <c r="AB84" s="54">
        <f>VLOOKUP(A84,'Custo_Fopag (2)'!$A:$BQ,28,0)</f>
        <v>37.659999999999997</v>
      </c>
      <c r="AC84" s="54">
        <f>VLOOKUP(A84,'Custo_Fopag (2)'!$A:$BQ,29,0)</f>
        <v>0</v>
      </c>
      <c r="AD84" s="54">
        <f>VLOOKUP(A84,'Custo_Fopag (2)'!$A:$BQ,30,0)</f>
        <v>0</v>
      </c>
      <c r="AE84" s="54">
        <f>VLOOKUP(A84,'Custo_Fopag (2)'!$A:$BQ,31,0)</f>
        <v>0</v>
      </c>
      <c r="AF84" s="54">
        <f>VLOOKUP(A84,'Custo_Fopag (2)'!$A:$BQ,32,0)</f>
        <v>0</v>
      </c>
      <c r="AG84" s="54">
        <f t="shared" si="24"/>
        <v>3698.1899999999996</v>
      </c>
      <c r="AH84" s="121">
        <f>VLOOKUP(A84,'Custo_Fopag (2)'!$A:$BQ,45,0)</f>
        <v>0</v>
      </c>
      <c r="AI84" s="54">
        <f>_xlfn.XLOOKUP(A84,'Custo_Fopag (2)'!A:A,'Custo_Fopag (2)'!AT:AT,0,0,1)</f>
        <v>250</v>
      </c>
      <c r="AJ84" s="54">
        <f>VLOOKUP(A84,'Custo_Fopag (2)'!$A:$BQ,47,0)</f>
        <v>0</v>
      </c>
      <c r="AK84" s="54">
        <v>0</v>
      </c>
      <c r="AL84" s="54">
        <f>VLOOKUP(A84,'Custo_Fopag (2)'!$A:$BQ,35,0)</f>
        <v>0</v>
      </c>
      <c r="AM84" s="54">
        <f>VLOOKUP(A84,'Custo_Fopag (2)'!$A:$BQ,36,0)</f>
        <v>0</v>
      </c>
      <c r="AN84" s="54">
        <f>VLOOKUP(A84,'Custo_Fopag (2)'!$A:$BQ,37,0)</f>
        <v>0</v>
      </c>
      <c r="AO84" s="54">
        <f>VLOOKUP(A84,'Custo_Fopag (2)'!$A:$BQ,39,0)</f>
        <v>0</v>
      </c>
      <c r="AP84" s="54">
        <f>VLOOKUP(A84,'Custo_Fopag (2)'!$A:$BQ,42,0)</f>
        <v>0</v>
      </c>
      <c r="AQ84" s="54">
        <f>VLOOKUP(A84,'Custo_Fopag (2)'!$A:$BQ,40,0)</f>
        <v>750.6</v>
      </c>
      <c r="AR84" s="54">
        <f>VLOOKUP(A84,'Custo_Fopag (2)'!$A:$BQ,41,0)</f>
        <v>0</v>
      </c>
      <c r="AS84" s="54">
        <f>VLOOKUP(A84,'Custo_Fopag (2)'!$A:$BQ,38,0)</f>
        <v>0</v>
      </c>
      <c r="AT84" s="54">
        <f>VLOOKUP(A84,'Custo_Fopag (2)'!$A:$BQ,43,0)</f>
        <v>0</v>
      </c>
      <c r="AU84" s="54">
        <f>VLOOKUP(A84,'Custo_Fopag (2)'!$A:$BQ,48,0)</f>
        <v>0</v>
      </c>
      <c r="AV84" s="54">
        <f>VLOOKUP(A84,'Custo_Fopag (2)'!$A:$BQ,49,0)</f>
        <v>0</v>
      </c>
      <c r="AW84" s="54">
        <f>VLOOKUP(A84,'Custo_Fopag (2)'!$A:$BQ,19,0)</f>
        <v>0</v>
      </c>
      <c r="AX84" s="54">
        <f>VLOOKUP(A84,'Custo_Fopag (2)'!$A:$BQ,50,0)</f>
        <v>0</v>
      </c>
      <c r="AY84" s="54">
        <f>VLOOKUP(A84,'Custo_Fopag (2)'!$A:$BQ,51,0)</f>
        <v>0</v>
      </c>
      <c r="AZ84" s="117">
        <v>0</v>
      </c>
      <c r="BA84" s="54">
        <f>VLOOKUP(A84,'Custo_Fopag (2)'!$A:$BQ,54,0)</f>
        <v>0</v>
      </c>
      <c r="BB84" s="54">
        <f>VLOOKUP(A84,'Custo_Fopag (2)'!$A:$BQ,52,0)</f>
        <v>0</v>
      </c>
      <c r="BC84" s="122">
        <f t="shared" si="25"/>
        <v>1000.6</v>
      </c>
      <c r="BD84" s="54">
        <f t="shared" si="26"/>
        <v>4698.79</v>
      </c>
      <c r="BE84" s="57"/>
      <c r="BF84" s="54">
        <f t="shared" si="27"/>
        <v>4698.79</v>
      </c>
      <c r="BG84" s="54">
        <f t="shared" si="28"/>
        <v>308.18249999999995</v>
      </c>
      <c r="BH84" s="54">
        <f t="shared" si="29"/>
        <v>308.18249999999995</v>
      </c>
      <c r="BI84" s="54">
        <f t="shared" si="30"/>
        <v>102.72749999999998</v>
      </c>
      <c r="BJ84" s="54">
        <f t="shared" si="31"/>
        <v>719.09249999999986</v>
      </c>
      <c r="BK84" s="54">
        <f>VLOOKUP(A84,'Custo_Fopag (2)'!$A:$BQ,65,0)</f>
        <v>739.64</v>
      </c>
      <c r="BL84" s="54">
        <f>VLOOKUP(A84,'Custo_Fopag (2)'!$A:$BQP,66,0)</f>
        <v>55.47</v>
      </c>
      <c r="BM84" s="54">
        <f>VLOOKUP(A84,'Custo_Fopag (2)'!$A:$BQ,67,0)</f>
        <v>214.49</v>
      </c>
      <c r="BN84" s="54">
        <f>VLOOKUP(A84,'Custo_Fopag (2)'!$A:$BQ,64,0)</f>
        <v>295.85000000000002</v>
      </c>
      <c r="BO84" s="54">
        <f t="shared" si="32"/>
        <v>1305.45</v>
      </c>
      <c r="BP84" s="54">
        <f t="shared" si="33"/>
        <v>6004.24</v>
      </c>
      <c r="BQ84" s="54">
        <f t="shared" si="34"/>
        <v>6723.3324999999995</v>
      </c>
      <c r="BR84" s="109">
        <f>VLOOKUP(A84,'Custo_Fopag (2)'!$A:$BQ,60,0)</f>
        <v>0</v>
      </c>
      <c r="BS84" s="83" t="str">
        <f t="shared" si="35"/>
        <v>Ativo</v>
      </c>
    </row>
    <row r="85" spans="1:71" s="59" customFormat="1" x14ac:dyDescent="0.25">
      <c r="A85" s="81" t="s">
        <v>172</v>
      </c>
      <c r="B85" s="88">
        <v>46082</v>
      </c>
      <c r="C85" s="59" t="s">
        <v>5</v>
      </c>
      <c r="D85" s="59" t="str">
        <f>VLOOKUP(A85,'Custo_Fopag (2)'!A:$BQ,4,0)</f>
        <v>G S FL 05 - BARUERI</v>
      </c>
      <c r="G85" s="59" t="str">
        <f>VLOOKUP(A85,'Custo_Fopag (2)'!$A:$BQ,5,0)</f>
        <v>20.504.237/0005-40</v>
      </c>
      <c r="H85" s="59" t="str">
        <f>VLOOKUP(A85,'Custo_Fopag (2)'!$A:$BQ,6,0)</f>
        <v>OPERACIONAL</v>
      </c>
      <c r="I85" s="59" t="str">
        <f>VLOOKUP(A85,'Custo_Fopag (2)'!$A:$BQ,7,0)</f>
        <v>RESENDE - RJ</v>
      </c>
      <c r="J85" s="59" t="str">
        <f>VLOOKUP(A85,'Custo_Fopag (2)'!$A:$BQ,8,0)</f>
        <v>EKIPA LOCACOES E SERV G&amp;S</v>
      </c>
      <c r="K85" s="78">
        <f>VLOOKUP(A85,'Custo_Fopag (2)'!$A:$BQ,9,0)</f>
        <v>45966</v>
      </c>
      <c r="L85" s="52"/>
      <c r="M85" s="3"/>
      <c r="N85" s="3" t="str">
        <f>VLOOKUP(A85,'Custo_Fopag (2)'!$A:$BQ,11,0)</f>
        <v>1.7.1.2.1 ARCELOR/ RESENDE/R</v>
      </c>
      <c r="O85" s="3" t="str">
        <f>VLOOKUP(A85,'Custo_Fopag (2)'!$A:$BQ,12,0)</f>
        <v>OPERADOR MANTENEDOR SENIOR</v>
      </c>
      <c r="P85" s="126">
        <f>VLOOKUP(A85,'Custo_Fopag (2)'!$A:$BQ,13,0)</f>
        <v>3158.66</v>
      </c>
      <c r="Q85" s="127">
        <f>VLOOKUP(A85,'Custo_Fopag (2)'!$A:$BQ,16,0)</f>
        <v>3158.66</v>
      </c>
      <c r="R85" s="56">
        <f>VLOOKUP(A85,'Custo_Fopag (2)'!$A:$BQ,17,0)</f>
        <v>0</v>
      </c>
      <c r="S85" s="54">
        <f>VLOOKUP(A85,'Custo_Fopag (2)'!$A:$BP,18,0)</f>
        <v>0</v>
      </c>
      <c r="T85" s="54">
        <f>VLOOKUP(A85,'Custo_Fopag (2)'!$A:$BQ,20,0)</f>
        <v>631.73</v>
      </c>
      <c r="U85" s="54">
        <f>VLOOKUP(A85,'Custo_Fopag (2)'!$A:$BQ,21,0)</f>
        <v>0</v>
      </c>
      <c r="V85" s="54">
        <f>VLOOKUP(A85,'Custo_Fopag (2)'!$A:$BQ,22,0)</f>
        <v>0</v>
      </c>
      <c r="W85" s="54">
        <f>VLOOKUP(A85,'Custo_Fopag (2)'!$A:$BQ,23,0)</f>
        <v>0</v>
      </c>
      <c r="X85" s="54">
        <f>VLOOKUP(A85,'Custo_Fopag (2)'!$A:$BQ,24,0)</f>
        <v>0</v>
      </c>
      <c r="Y85" s="55">
        <f>VLOOKUP(A85,'Custo_Fopag (2)'!$A:$BQ,25,0)</f>
        <v>0</v>
      </c>
      <c r="Z85" s="54">
        <f>VLOOKUP(A85,'Custo_Fopag (2)'!$A:$BQ,26,0)</f>
        <v>64.03</v>
      </c>
      <c r="AA85" s="54">
        <f>VLOOKUP(A85,'Custo_Fopag (2)'!$A:$BQ,27,0)</f>
        <v>0</v>
      </c>
      <c r="AB85" s="54">
        <f>VLOOKUP(A85,'Custo_Fopag (2)'!$A:$BQ,28,0)</f>
        <v>0</v>
      </c>
      <c r="AC85" s="54">
        <f>VLOOKUP(A85,'Custo_Fopag (2)'!$A:$BQ,29,0)</f>
        <v>0</v>
      </c>
      <c r="AD85" s="54">
        <f>VLOOKUP(A85,'Custo_Fopag (2)'!$A:$BQ,30,0)</f>
        <v>0</v>
      </c>
      <c r="AE85" s="54">
        <f>VLOOKUP(A85,'Custo_Fopag (2)'!$A:$BQ,31,0)</f>
        <v>0</v>
      </c>
      <c r="AF85" s="54">
        <f>VLOOKUP(A85,'Custo_Fopag (2)'!$A:$BQ,32,0)</f>
        <v>0</v>
      </c>
      <c r="AG85" s="54">
        <f t="shared" si="24"/>
        <v>3854.42</v>
      </c>
      <c r="AH85" s="121">
        <f>VLOOKUP(A85,'Custo_Fopag (2)'!$A:$BQ,45,0)</f>
        <v>0</v>
      </c>
      <c r="AI85" s="54">
        <f>_xlfn.XLOOKUP(A85,Beneficios!A:A,Beneficios!B:B,0,0,1)</f>
        <v>512.87</v>
      </c>
      <c r="AJ85" s="54">
        <f>VLOOKUP(A85,'Custo_Fopag (2)'!$A:$BQ,47,0)</f>
        <v>0</v>
      </c>
      <c r="AK85" s="54">
        <v>0</v>
      </c>
      <c r="AL85" s="54">
        <f>VLOOKUP(A85,'Custo_Fopag (2)'!$A:$BQ,35,0)</f>
        <v>0</v>
      </c>
      <c r="AM85" s="54">
        <f>VLOOKUP(A85,'Custo_Fopag (2)'!$A:$BQ,36,0)</f>
        <v>0</v>
      </c>
      <c r="AN85" s="54">
        <f>VLOOKUP(A85,'Custo_Fopag (2)'!$A:$BQ,37,0)</f>
        <v>812.97</v>
      </c>
      <c r="AO85" s="54">
        <f>VLOOKUP(A85,'Custo_Fopag (2)'!$A:$BQ,39,0)</f>
        <v>0</v>
      </c>
      <c r="AP85" s="54">
        <f>VLOOKUP(A85,'Custo_Fopag (2)'!$A:$BQ,42,0)</f>
        <v>0</v>
      </c>
      <c r="AQ85" s="54">
        <f>VLOOKUP(A85,'Custo_Fopag (2)'!$A:$BQ,40,0)</f>
        <v>0</v>
      </c>
      <c r="AR85" s="54">
        <f>VLOOKUP(A85,'Custo_Fopag (2)'!$A:$BQ,41,0)</f>
        <v>0</v>
      </c>
      <c r="AS85" s="54">
        <f>VLOOKUP(A85,'Custo_Fopag (2)'!$A:$BQ,38,0)</f>
        <v>0</v>
      </c>
      <c r="AT85" s="54">
        <f>VLOOKUP(A85,'Custo_Fopag (2)'!$A:$BQ,43,0)</f>
        <v>0</v>
      </c>
      <c r="AU85" s="54">
        <f>VLOOKUP(A85,'Custo_Fopag (2)'!$A:$BQ,48,0)</f>
        <v>0</v>
      </c>
      <c r="AV85" s="54">
        <f>VLOOKUP(A85,'Custo_Fopag (2)'!$A:$BQ,49,0)</f>
        <v>0</v>
      </c>
      <c r="AW85" s="54">
        <f>VLOOKUP(A85,'Custo_Fopag (2)'!$A:$BQ,19,0)</f>
        <v>0</v>
      </c>
      <c r="AX85" s="54">
        <f>VLOOKUP(A85,'Custo_Fopag (2)'!$A:$BQ,50,0)</f>
        <v>0</v>
      </c>
      <c r="AY85" s="54">
        <f>VLOOKUP(A85,'Custo_Fopag (2)'!$A:$BQ,51,0)</f>
        <v>0</v>
      </c>
      <c r="AZ85" s="117">
        <v>0</v>
      </c>
      <c r="BA85" s="54">
        <f>VLOOKUP(A85,'Custo_Fopag (2)'!$A:$BQ,54,0)</f>
        <v>0</v>
      </c>
      <c r="BB85" s="54">
        <f>VLOOKUP(A85,'Custo_Fopag (2)'!$A:$BQ,52,0)</f>
        <v>0</v>
      </c>
      <c r="BC85" s="122">
        <f t="shared" si="25"/>
        <v>1325.8400000000001</v>
      </c>
      <c r="BD85" s="54">
        <f t="shared" si="26"/>
        <v>5180.26</v>
      </c>
      <c r="BE85" s="57"/>
      <c r="BF85" s="54">
        <f t="shared" si="27"/>
        <v>5180.26</v>
      </c>
      <c r="BG85" s="54">
        <f t="shared" si="28"/>
        <v>321.20166666666665</v>
      </c>
      <c r="BH85" s="54">
        <f t="shared" si="29"/>
        <v>321.20166666666665</v>
      </c>
      <c r="BI85" s="54">
        <f t="shared" si="30"/>
        <v>107.06722222222221</v>
      </c>
      <c r="BJ85" s="54">
        <f t="shared" si="31"/>
        <v>749.47055555555551</v>
      </c>
      <c r="BK85" s="54">
        <f>VLOOKUP(A85,'Custo_Fopag (2)'!$A:$BQ,65,0)</f>
        <v>770.88</v>
      </c>
      <c r="BL85" s="54">
        <f>VLOOKUP(A85,'Custo_Fopag (2)'!$A:$BQP,66,0)</f>
        <v>57.81</v>
      </c>
      <c r="BM85" s="54">
        <f>VLOOKUP(A85,'Custo_Fopag (2)'!$A:$BQ,67,0)</f>
        <v>223.55</v>
      </c>
      <c r="BN85" s="54">
        <f>VLOOKUP(A85,'Custo_Fopag (2)'!$A:$BQ,64,0)</f>
        <v>308.35000000000002</v>
      </c>
      <c r="BO85" s="54">
        <f t="shared" si="32"/>
        <v>1360.5900000000001</v>
      </c>
      <c r="BP85" s="54">
        <f t="shared" si="33"/>
        <v>6540.85</v>
      </c>
      <c r="BQ85" s="54">
        <f t="shared" si="34"/>
        <v>7290.320555555556</v>
      </c>
      <c r="BR85" s="109">
        <f>VLOOKUP(A85,'Custo_Fopag (2)'!$A:$BQ,60,0)</f>
        <v>0</v>
      </c>
      <c r="BS85" s="83" t="str">
        <f t="shared" si="35"/>
        <v>Ativo</v>
      </c>
    </row>
    <row r="86" spans="1:71" s="59" customFormat="1" x14ac:dyDescent="0.25">
      <c r="A86" s="59" t="s">
        <v>166</v>
      </c>
      <c r="B86" s="88">
        <v>46082</v>
      </c>
      <c r="C86" s="59" t="s">
        <v>5</v>
      </c>
      <c r="D86" s="59" t="str">
        <f>VLOOKUP(A86,'Custo_Fopag (2)'!A:$BQ,4,0)</f>
        <v>G S FL 05 - BARUERI</v>
      </c>
      <c r="G86" s="59" t="str">
        <f>VLOOKUP(A86,'Custo_Fopag (2)'!$A:$BQ,5,0)</f>
        <v>20.504.237/0005-40</v>
      </c>
      <c r="H86" s="59" t="str">
        <f>VLOOKUP(A86,'Custo_Fopag (2)'!$A:$BQ,6,0)</f>
        <v>LOGISTICA</v>
      </c>
      <c r="I86" s="59" t="str">
        <f>VLOOKUP(A86,'Custo_Fopag (2)'!$A:$BQ,7,0)</f>
        <v>TRANSPORTE</v>
      </c>
      <c r="J86" s="59" t="str">
        <f>VLOOKUP(A86,'Custo_Fopag (2)'!$A:$BQ,8,0)</f>
        <v>SELETIVA CORPORATIVO SUCATA</v>
      </c>
      <c r="K86" s="78">
        <f>VLOOKUP(A86,'Custo_Fopag (2)'!$A:$BQ,9,0)</f>
        <v>44238</v>
      </c>
      <c r="L86" s="52"/>
      <c r="M86" s="3"/>
      <c r="N86" s="3" t="str">
        <f>VLOOKUP(A86,'Custo_Fopag (2)'!$A:$BQ,11,0)</f>
        <v>1.7.3.3 OPERACIONAL</v>
      </c>
      <c r="O86" s="3" t="str">
        <f>VLOOKUP(A86,'Custo_Fopag (2)'!$A:$BQ,12,0)</f>
        <v>MOTORISTA CARRETEIRO MANTENEDOR SENIOR III</v>
      </c>
      <c r="P86" s="126">
        <f>VLOOKUP(A86,'Custo_Fopag (2)'!$A:$BQ,13,0)</f>
        <v>3287.33</v>
      </c>
      <c r="Q86" s="127">
        <f>VLOOKUP(A86,'Custo_Fopag (2)'!$A:$BQ,16,0)</f>
        <v>3287.33</v>
      </c>
      <c r="R86" s="56">
        <f>VLOOKUP(A86,'Custo_Fopag (2)'!$A:$BQ,17,0)</f>
        <v>0</v>
      </c>
      <c r="S86" s="54">
        <f>VLOOKUP(A86,'Custo_Fopag (2)'!$A:$BP,18,0)</f>
        <v>0</v>
      </c>
      <c r="T86" s="54">
        <f>VLOOKUP(A86,'Custo_Fopag (2)'!$A:$BQ,20,0)</f>
        <v>657.47</v>
      </c>
      <c r="U86" s="54">
        <f>VLOOKUP(A86,'Custo_Fopag (2)'!$A:$BQ,21,0)</f>
        <v>0</v>
      </c>
      <c r="V86" s="54">
        <f>VLOOKUP(A86,'Custo_Fopag (2)'!$A:$BQ,22,0)</f>
        <v>0</v>
      </c>
      <c r="W86" s="54">
        <f>VLOOKUP(A86,'Custo_Fopag (2)'!$A:$BQ,23,0)</f>
        <v>0</v>
      </c>
      <c r="X86" s="54">
        <f>VLOOKUP(A86,'Custo_Fopag (2)'!$A:$BQ,24,0)</f>
        <v>0</v>
      </c>
      <c r="Y86" s="55">
        <f>VLOOKUP(A86,'Custo_Fopag (2)'!$A:$BQ,25,0)</f>
        <v>0</v>
      </c>
      <c r="Z86" s="54">
        <f>VLOOKUP(A86,'Custo_Fopag (2)'!$A:$BQ,26,0)</f>
        <v>0</v>
      </c>
      <c r="AA86" s="54">
        <f>VLOOKUP(A86,'Custo_Fopag (2)'!$A:$BQ,27,0)</f>
        <v>313.79000000000002</v>
      </c>
      <c r="AB86" s="54">
        <f>VLOOKUP(A86,'Custo_Fopag (2)'!$A:$BQ,28,0)</f>
        <v>60.34</v>
      </c>
      <c r="AC86" s="54">
        <f>VLOOKUP(A86,'Custo_Fopag (2)'!$A:$BQ,29,0)</f>
        <v>0</v>
      </c>
      <c r="AD86" s="54">
        <f>VLOOKUP(A86,'Custo_Fopag (2)'!$A:$BQ,30,0)</f>
        <v>0</v>
      </c>
      <c r="AE86" s="54">
        <f>VLOOKUP(A86,'Custo_Fopag (2)'!$A:$BQ,31,0)</f>
        <v>0</v>
      </c>
      <c r="AF86" s="54">
        <f>VLOOKUP(A86,'Custo_Fopag (2)'!$A:$BQ,32,0)</f>
        <v>0</v>
      </c>
      <c r="AG86" s="54">
        <f t="shared" si="24"/>
        <v>4318.93</v>
      </c>
      <c r="AH86" s="121">
        <f>VLOOKUP(A86,'Custo_Fopag (2)'!$A:$BQ,45,0)</f>
        <v>0</v>
      </c>
      <c r="AI86" s="54">
        <f>_xlfn.XLOOKUP(A86,Beneficios!A:A,Beneficios!B:B,0,0,1)</f>
        <v>512.87</v>
      </c>
      <c r="AJ86" s="54">
        <f>VLOOKUP(A86,'Custo_Fopag (2)'!$A:$BQ,47,0)</f>
        <v>0</v>
      </c>
      <c r="AK86" s="54">
        <v>0</v>
      </c>
      <c r="AL86" s="54">
        <f>VLOOKUP(A86,'Custo_Fopag (2)'!$A:$BQ,35,0)</f>
        <v>0</v>
      </c>
      <c r="AM86" s="54">
        <f>VLOOKUP(A86,'Custo_Fopag (2)'!$A:$BQ,36,0)</f>
        <v>0</v>
      </c>
      <c r="AN86" s="54">
        <f>VLOOKUP(A86,'Custo_Fopag (2)'!$A:$BQ,37,0)</f>
        <v>1120</v>
      </c>
      <c r="AO86" s="54">
        <f>VLOOKUP(A86,'Custo_Fopag (2)'!$A:$BQ,39,0)</f>
        <v>0</v>
      </c>
      <c r="AP86" s="54">
        <f>VLOOKUP(A86,'Custo_Fopag (2)'!$A:$BQ,42,0)</f>
        <v>0</v>
      </c>
      <c r="AQ86" s="54">
        <f>VLOOKUP(A86,'Custo_Fopag (2)'!$A:$BQ,40,0)</f>
        <v>0</v>
      </c>
      <c r="AR86" s="54">
        <f>VLOOKUP(A86,'Custo_Fopag (2)'!$A:$BQ,41,0)</f>
        <v>0</v>
      </c>
      <c r="AS86" s="54">
        <f>VLOOKUP(A86,'Custo_Fopag (2)'!$A:$BQ,38,0)</f>
        <v>0</v>
      </c>
      <c r="AT86" s="54">
        <f>VLOOKUP(A86,'Custo_Fopag (2)'!$A:$BQ,43,0)</f>
        <v>0</v>
      </c>
      <c r="AU86" s="54">
        <f>VLOOKUP(A86,'Custo_Fopag (2)'!$A:$BQ,48,0)</f>
        <v>1502</v>
      </c>
      <c r="AV86" s="54">
        <f>VLOOKUP(A86,'Custo_Fopag (2)'!$A:$BQ,49,0)</f>
        <v>0</v>
      </c>
      <c r="AW86" s="54">
        <f>VLOOKUP(A86,'Custo_Fopag (2)'!$A:$BQ,19,0)</f>
        <v>0</v>
      </c>
      <c r="AX86" s="54">
        <f>VLOOKUP(A86,'Custo_Fopag (2)'!$A:$BQ,50,0)</f>
        <v>0</v>
      </c>
      <c r="AY86" s="54">
        <f>VLOOKUP(A86,'Custo_Fopag (2)'!$A:$BQ,51,0)</f>
        <v>0</v>
      </c>
      <c r="AZ86" s="117">
        <v>0</v>
      </c>
      <c r="BA86" s="54">
        <f>VLOOKUP(A86,'Custo_Fopag (2)'!$A:$BQ,54,0)</f>
        <v>0</v>
      </c>
      <c r="BB86" s="54">
        <f>VLOOKUP(A86,'Custo_Fopag (2)'!$A:$BQ,52,0)</f>
        <v>0</v>
      </c>
      <c r="BC86" s="122">
        <f t="shared" si="25"/>
        <v>3134.87</v>
      </c>
      <c r="BD86" s="54">
        <f t="shared" si="26"/>
        <v>7453.8</v>
      </c>
      <c r="BE86" s="57"/>
      <c r="BF86" s="54">
        <f t="shared" si="27"/>
        <v>7453.8</v>
      </c>
      <c r="BG86" s="54">
        <f t="shared" si="28"/>
        <v>359.91083333333336</v>
      </c>
      <c r="BH86" s="54">
        <f t="shared" si="29"/>
        <v>359.91083333333336</v>
      </c>
      <c r="BI86" s="54">
        <f t="shared" si="30"/>
        <v>119.97027777777778</v>
      </c>
      <c r="BJ86" s="54">
        <f t="shared" si="31"/>
        <v>839.79194444444454</v>
      </c>
      <c r="BK86" s="54">
        <f>VLOOKUP(A86,'Custo_Fopag (2)'!$A:$BQ,65,0)</f>
        <v>863.79</v>
      </c>
      <c r="BL86" s="54">
        <f>VLOOKUP(A86,'Custo_Fopag (2)'!$A:$BQP,66,0)</f>
        <v>64.78</v>
      </c>
      <c r="BM86" s="54">
        <f>VLOOKUP(A86,'Custo_Fopag (2)'!$A:$BQ,67,0)</f>
        <v>250.49</v>
      </c>
      <c r="BN86" s="54">
        <f>VLOOKUP(A86,'Custo_Fopag (2)'!$A:$BQ,64,0)</f>
        <v>345.51</v>
      </c>
      <c r="BO86" s="54">
        <f t="shared" si="32"/>
        <v>1524.57</v>
      </c>
      <c r="BP86" s="54">
        <f t="shared" si="33"/>
        <v>8978.3700000000008</v>
      </c>
      <c r="BQ86" s="54">
        <f t="shared" si="34"/>
        <v>9818.1619444444441</v>
      </c>
      <c r="BR86" s="109">
        <f>VLOOKUP(A86,'Custo_Fopag (2)'!$A:$BQ,60,0)</f>
        <v>0</v>
      </c>
      <c r="BS86" s="83" t="str">
        <f t="shared" si="35"/>
        <v>Ativo</v>
      </c>
    </row>
    <row r="87" spans="1:71" s="59" customFormat="1" x14ac:dyDescent="0.25">
      <c r="A87" s="59" t="s">
        <v>224</v>
      </c>
      <c r="B87" s="88">
        <v>46082</v>
      </c>
      <c r="C87" s="59" t="s">
        <v>5</v>
      </c>
      <c r="D87" s="59" t="str">
        <f>VLOOKUP(A87,'Custo_Fopag (2)'!A:$BQ,4,0)</f>
        <v>G3S FL 10 - PRES PRUD</v>
      </c>
      <c r="G87" s="59" t="str">
        <f>VLOOKUP(A87,'Custo_Fopag (2)'!$A:$BQ,5,0)</f>
        <v>20.947.332/0010-86</v>
      </c>
      <c r="H87" s="59" t="str">
        <f>VLOOKUP(A87,'Custo_Fopag (2)'!$A:$BQ,6,0)</f>
        <v>ADMINISTRATIVO</v>
      </c>
      <c r="I87" s="59" t="str">
        <f>VLOOKUP(A87,'Custo_Fopag (2)'!$A:$BQ,7,0)</f>
        <v>ATENDIMENTO</v>
      </c>
      <c r="J87" s="59" t="str">
        <f>VLOOKUP(A87,'Custo_Fopag (2)'!$A:$BQ,8,0)</f>
        <v>SELETIVA PRESIDENTE PRUDENTE</v>
      </c>
      <c r="K87" s="78">
        <f>VLOOKUP(A87,'Custo_Fopag (2)'!$A:$BQ,9,0)</f>
        <v>45301</v>
      </c>
      <c r="L87" s="52"/>
      <c r="M87" s="3"/>
      <c r="N87" s="3" t="str">
        <f>VLOOKUP(A87,'Custo_Fopag (2)'!$A:$BQ,11,0)</f>
        <v>1.2.5.1 ADMINISTRATIVO</v>
      </c>
      <c r="O87" s="3" t="str">
        <f>VLOOKUP(A87,'Custo_Fopag (2)'!$A:$BQ,12,0)</f>
        <v>AUX ADMINISTRATIVO JUNIOR</v>
      </c>
      <c r="P87" s="126">
        <f>VLOOKUP(A87,'Custo_Fopag (2)'!$A:$BQ,13,0)</f>
        <v>2465</v>
      </c>
      <c r="Q87" s="127">
        <f>VLOOKUP(A87,'Custo_Fopag (2)'!$A:$BQ,16,0)</f>
        <v>2465</v>
      </c>
      <c r="R87" s="56">
        <f>VLOOKUP(A87,'Custo_Fopag (2)'!$A:$BQ,17,0)</f>
        <v>0</v>
      </c>
      <c r="S87" s="54">
        <f>VLOOKUP(A87,'Custo_Fopag (2)'!$A:$BP,18,0)</f>
        <v>0</v>
      </c>
      <c r="T87" s="54">
        <f>VLOOKUP(A87,'Custo_Fopag (2)'!$A:$BQ,20,0)</f>
        <v>0</v>
      </c>
      <c r="U87" s="54">
        <f>VLOOKUP(A87,'Custo_Fopag (2)'!$A:$BQ,21,0)</f>
        <v>0</v>
      </c>
      <c r="V87" s="54">
        <f>VLOOKUP(A87,'Custo_Fopag (2)'!$A:$BQ,22,0)</f>
        <v>0</v>
      </c>
      <c r="W87" s="54">
        <f>VLOOKUP(A87,'Custo_Fopag (2)'!$A:$BQ,23,0)</f>
        <v>0</v>
      </c>
      <c r="X87" s="54">
        <f>VLOOKUP(A87,'Custo_Fopag (2)'!$A:$BQ,24,0)</f>
        <v>0</v>
      </c>
      <c r="Y87" s="55">
        <f>VLOOKUP(A87,'Custo_Fopag (2)'!$A:$BQ,25,0)</f>
        <v>0</v>
      </c>
      <c r="Z87" s="54">
        <f>VLOOKUP(A87,'Custo_Fopag (2)'!$A:$BQ,26,0)</f>
        <v>0</v>
      </c>
      <c r="AA87" s="54">
        <f>VLOOKUP(A87,'Custo_Fopag (2)'!$A:$BQ,27,0)</f>
        <v>0</v>
      </c>
      <c r="AB87" s="54">
        <f>VLOOKUP(A87,'Custo_Fopag (2)'!$A:$BQ,28,0)</f>
        <v>0</v>
      </c>
      <c r="AC87" s="54">
        <f>VLOOKUP(A87,'Custo_Fopag (2)'!$A:$BQ,29,0)</f>
        <v>0</v>
      </c>
      <c r="AD87" s="54">
        <f>VLOOKUP(A87,'Custo_Fopag (2)'!$A:$BQ,30,0)</f>
        <v>0</v>
      </c>
      <c r="AE87" s="54">
        <f>VLOOKUP(A87,'Custo_Fopag (2)'!$A:$BQ,31,0)</f>
        <v>0</v>
      </c>
      <c r="AF87" s="54">
        <f>VLOOKUP(A87,'Custo_Fopag (2)'!$A:$BQ,32,0)</f>
        <v>246.5</v>
      </c>
      <c r="AG87" s="54">
        <f t="shared" si="24"/>
        <v>2711.5</v>
      </c>
      <c r="AH87" s="121">
        <f>VLOOKUP(A87,'Custo_Fopag (2)'!$A:$BQ,45,0)</f>
        <v>0</v>
      </c>
      <c r="AI87" s="54">
        <f>_xlfn.XLOOKUP(A87,Beneficios!A:A,Beneficios!B:B,0,0,1)</f>
        <v>521.87</v>
      </c>
      <c r="AJ87" s="54">
        <f>VLOOKUP(A87,'Custo_Fopag (2)'!$A:$BQ,47,0)</f>
        <v>0</v>
      </c>
      <c r="AK87" s="54">
        <v>0</v>
      </c>
      <c r="AL87" s="54">
        <f>VLOOKUP(A87,'Custo_Fopag (2)'!$A:$BQ,35,0)</f>
        <v>0</v>
      </c>
      <c r="AM87" s="54">
        <f>VLOOKUP(A87,'Custo_Fopag (2)'!$A:$BQ,36,0)</f>
        <v>0</v>
      </c>
      <c r="AN87" s="54">
        <f>VLOOKUP(A87,'Custo_Fopag (2)'!$A:$BQ,37,0)</f>
        <v>0</v>
      </c>
      <c r="AO87" s="54">
        <f>VLOOKUP(A87,'Custo_Fopag (2)'!$A:$BQ,39,0)</f>
        <v>0</v>
      </c>
      <c r="AP87" s="54">
        <f>VLOOKUP(A87,'Custo_Fopag (2)'!$A:$BQ,42,0)</f>
        <v>0</v>
      </c>
      <c r="AQ87" s="54">
        <f>VLOOKUP(A87,'Custo_Fopag (2)'!$A:$BQ,40,0)</f>
        <v>0</v>
      </c>
      <c r="AR87" s="54">
        <f>VLOOKUP(A87,'Custo_Fopag (2)'!$A:$BQ,41,0)</f>
        <v>579.34</v>
      </c>
      <c r="AS87" s="54">
        <f>VLOOKUP(A87,'Custo_Fopag (2)'!$A:$BQ,38,0)</f>
        <v>0</v>
      </c>
      <c r="AT87" s="54">
        <f>VLOOKUP(A87,'Custo_Fopag (2)'!$A:$BQ,43,0)</f>
        <v>0</v>
      </c>
      <c r="AU87" s="54">
        <f>VLOOKUP(A87,'Custo_Fopag (2)'!$A:$BQ,48,0)</f>
        <v>0</v>
      </c>
      <c r="AV87" s="54">
        <f>VLOOKUP(A87,'Custo_Fopag (2)'!$A:$BQ,49,0)</f>
        <v>0</v>
      </c>
      <c r="AW87" s="54">
        <f>VLOOKUP(A87,'Custo_Fopag (2)'!$A:$BQ,19,0)</f>
        <v>0</v>
      </c>
      <c r="AX87" s="54">
        <f>VLOOKUP(A87,'Custo_Fopag (2)'!$A:$BQ,50,0)</f>
        <v>0</v>
      </c>
      <c r="AY87" s="54">
        <f>VLOOKUP(A87,'Custo_Fopag (2)'!$A:$BQ,51,0)</f>
        <v>0</v>
      </c>
      <c r="AZ87" s="117">
        <v>0</v>
      </c>
      <c r="BA87" s="54">
        <f>VLOOKUP(A87,'Custo_Fopag (2)'!$A:$BQ,54,0)</f>
        <v>0</v>
      </c>
      <c r="BB87" s="54">
        <f>VLOOKUP(A87,'Custo_Fopag (2)'!$A:$BQ,52,0)</f>
        <v>0</v>
      </c>
      <c r="BC87" s="122">
        <f t="shared" si="25"/>
        <v>1101.21</v>
      </c>
      <c r="BD87" s="54">
        <f t="shared" si="26"/>
        <v>3812.71</v>
      </c>
      <c r="BE87" s="57"/>
      <c r="BF87" s="54">
        <f t="shared" si="27"/>
        <v>3812.71</v>
      </c>
      <c r="BG87" s="54">
        <f t="shared" si="28"/>
        <v>225.95833333333334</v>
      </c>
      <c r="BH87" s="54">
        <f t="shared" si="29"/>
        <v>225.95833333333334</v>
      </c>
      <c r="BI87" s="54">
        <f t="shared" si="30"/>
        <v>75.319444444444443</v>
      </c>
      <c r="BJ87" s="54">
        <f t="shared" si="31"/>
        <v>527.23611111111109</v>
      </c>
      <c r="BK87" s="54">
        <f>VLOOKUP(A87,'Custo_Fopag (2)'!$A:$BQ,65,0)</f>
        <v>542.29999999999995</v>
      </c>
      <c r="BL87" s="54">
        <f>VLOOKUP(A87,'Custo_Fopag (2)'!$A:$BQP,66,0)</f>
        <v>81.34</v>
      </c>
      <c r="BM87" s="54">
        <f>VLOOKUP(A87,'Custo_Fopag (2)'!$A:$BQ,67,0)</f>
        <v>157.26</v>
      </c>
      <c r="BN87" s="54">
        <f>VLOOKUP(A87,'Custo_Fopag (2)'!$A:$BQ,64,0)</f>
        <v>216.92</v>
      </c>
      <c r="BO87" s="54">
        <f t="shared" si="32"/>
        <v>997.81999999999994</v>
      </c>
      <c r="BP87" s="54">
        <f t="shared" si="33"/>
        <v>4810.53</v>
      </c>
      <c r="BQ87" s="54">
        <f t="shared" si="34"/>
        <v>5337.7661111111111</v>
      </c>
      <c r="BR87" s="109">
        <f>VLOOKUP(A87,'Custo_Fopag (2)'!$A:$BQ,60,0)</f>
        <v>0</v>
      </c>
      <c r="BS87" s="83" t="str">
        <f t="shared" si="35"/>
        <v>Ativo</v>
      </c>
    </row>
    <row r="88" spans="1:71" s="59" customFormat="1" x14ac:dyDescent="0.25">
      <c r="A88" s="106" t="s">
        <v>113</v>
      </c>
      <c r="B88" s="88">
        <v>46082</v>
      </c>
      <c r="C88" s="59" t="s">
        <v>5</v>
      </c>
      <c r="D88" s="59" t="str">
        <f>VLOOKUP(A88,'Custo_Fopag (2)'!A:$BQ,4,0)</f>
        <v>G S MATRIZ - PRES PRUD</v>
      </c>
      <c r="G88" s="59" t="str">
        <f>VLOOKUP(A88,'Custo_Fopag (2)'!$A:$BQ,5,0)</f>
        <v>20.504.237/0001-17</v>
      </c>
      <c r="H88" s="59" t="str">
        <f>VLOOKUP(A88,'Custo_Fopag (2)'!$A:$BQ,6,0)</f>
        <v>INTRA-LOGISTICA</v>
      </c>
      <c r="I88" s="59" t="str">
        <f>VLOOKUP(A88,'Custo_Fopag (2)'!$A:$BQ,7,0)</f>
        <v>ADMINISTRATIVO</v>
      </c>
      <c r="J88" s="59" t="str">
        <f>VLOOKUP(A88,'Custo_Fopag (2)'!$A:$BQ,8,0)</f>
        <v>EKIPA LOCACOES E SERV G&amp;S</v>
      </c>
      <c r="K88" s="78">
        <f>VLOOKUP(A88,'Custo_Fopag (2)'!$A:$BQ,9,0)</f>
        <v>45931</v>
      </c>
      <c r="L88" s="52"/>
      <c r="M88" s="3"/>
      <c r="N88" s="3" t="str">
        <f>VLOOKUP(A88,'Custo_Fopag (2)'!$A:$BQ,11,0)</f>
        <v>1.7.1.1  APOIO</v>
      </c>
      <c r="O88" s="3" t="str">
        <f>VLOOKUP(A88,'Custo_Fopag (2)'!$A:$BQ,12,0)</f>
        <v>ANALISTA ADMINISTRATIVO OPERACIONAL JUNIOR</v>
      </c>
      <c r="P88" s="126">
        <f>VLOOKUP(A88,'Custo_Fopag (2)'!$A:$BQ,13,0)</f>
        <v>2500</v>
      </c>
      <c r="Q88" s="127">
        <f>VLOOKUP(A88,'Custo_Fopag (2)'!$A:$BQ,16,0)</f>
        <v>2500</v>
      </c>
      <c r="R88" s="54">
        <f>VLOOKUP(A88,'Custo_Fopag (2)'!$A:$BQ,17,0)</f>
        <v>0</v>
      </c>
      <c r="S88" s="54">
        <f>VLOOKUP(A88,'Custo_Fopag (2)'!$A:$BP,18,0)</f>
        <v>0</v>
      </c>
      <c r="T88" s="54">
        <f>VLOOKUP(A88,'Custo_Fopag (2)'!$A:$BQ,20,0)</f>
        <v>0</v>
      </c>
      <c r="U88" s="54">
        <f>VLOOKUP(A88,'Custo_Fopag (2)'!$A:$BQ,21,0)</f>
        <v>0</v>
      </c>
      <c r="V88" s="54">
        <f>VLOOKUP(A88,'Custo_Fopag (2)'!$A:$BQ,22,0)</f>
        <v>0</v>
      </c>
      <c r="W88" s="54">
        <f>VLOOKUP(A88,'Custo_Fopag (2)'!$A:$BQ,23,0)</f>
        <v>0</v>
      </c>
      <c r="X88" s="54">
        <f>VLOOKUP(A88,'Custo_Fopag (2)'!$A:$BQ,24,0)</f>
        <v>0</v>
      </c>
      <c r="Y88" s="55">
        <f>VLOOKUP(A88,'Custo_Fopag (2)'!$A:$BQ,25,0)</f>
        <v>0</v>
      </c>
      <c r="Z88" s="54">
        <f>VLOOKUP(A88,'Custo_Fopag (2)'!$A:$BQ,26,0)</f>
        <v>0</v>
      </c>
      <c r="AA88" s="54">
        <f>VLOOKUP(A88,'Custo_Fopag (2)'!$A:$BQ,27,0)</f>
        <v>0</v>
      </c>
      <c r="AB88" s="54">
        <f>VLOOKUP(A88,'Custo_Fopag (2)'!$A:$BQ,28,0)</f>
        <v>0</v>
      </c>
      <c r="AC88" s="54">
        <f>VLOOKUP(A88,'Custo_Fopag (2)'!$A:$BQ,29,0)</f>
        <v>0</v>
      </c>
      <c r="AD88" s="54">
        <f>VLOOKUP(A88,'Custo_Fopag (2)'!$A:$BQ,30,0)</f>
        <v>0</v>
      </c>
      <c r="AE88" s="54">
        <f>VLOOKUP(A88,'Custo_Fopag (2)'!$A:$BQ,31,0)</f>
        <v>0</v>
      </c>
      <c r="AF88" s="54">
        <f>VLOOKUP(A88,'Custo_Fopag (2)'!$A:$BQ,32,0)</f>
        <v>0</v>
      </c>
      <c r="AG88" s="54">
        <f t="shared" si="24"/>
        <v>2500</v>
      </c>
      <c r="AH88" s="121">
        <f>VLOOKUP(A88,'Custo_Fopag (2)'!$A:$BQ,45,0)</f>
        <v>0</v>
      </c>
      <c r="AI88" s="54">
        <f>_xlfn.XLOOKUP(A88,Beneficios!A:A,Beneficios!B:B,0,0,1)</f>
        <v>521.87</v>
      </c>
      <c r="AJ88" s="54">
        <f>VLOOKUP(A88,'Custo_Fopag (2)'!$A:$BQ,47,0)</f>
        <v>0</v>
      </c>
      <c r="AK88" s="54">
        <v>0</v>
      </c>
      <c r="AL88" s="54">
        <f>VLOOKUP(A88,'Custo_Fopag (2)'!$A:$BQ,35,0)</f>
        <v>0</v>
      </c>
      <c r="AM88" s="54">
        <f>VLOOKUP(A88,'Custo_Fopag (2)'!$A:$BQ,36,0)</f>
        <v>0</v>
      </c>
      <c r="AN88" s="54">
        <f>VLOOKUP(A88,'Custo_Fopag (2)'!$A:$BQ,37,0)</f>
        <v>0</v>
      </c>
      <c r="AO88" s="54">
        <f>VLOOKUP(A88,'Custo_Fopag (2)'!$A:$BQ,39,0)</f>
        <v>0</v>
      </c>
      <c r="AP88" s="54">
        <f>VLOOKUP(A88,'Custo_Fopag (2)'!$A:$BQ,42,0)</f>
        <v>0</v>
      </c>
      <c r="AQ88" s="54">
        <f>VLOOKUP(A88,'Custo_Fopag (2)'!$A:$BQ,40,0)</f>
        <v>0</v>
      </c>
      <c r="AR88" s="54">
        <f>VLOOKUP(A88,'Custo_Fopag (2)'!$A:$BQ,41,0)</f>
        <v>0</v>
      </c>
      <c r="AS88" s="54">
        <f>VLOOKUP(A88,'Custo_Fopag (2)'!$A:$BQ,38,0)</f>
        <v>0</v>
      </c>
      <c r="AT88" s="54">
        <f>VLOOKUP(A88,'Custo_Fopag (2)'!$A:$BQ,43,0)</f>
        <v>0</v>
      </c>
      <c r="AU88" s="54">
        <f>VLOOKUP(A88,'Custo_Fopag (2)'!$A:$BQ,48,0)</f>
        <v>0</v>
      </c>
      <c r="AV88" s="54">
        <f>VLOOKUP(A88,'Custo_Fopag (2)'!$A:$BQ,49,0)</f>
        <v>0</v>
      </c>
      <c r="AW88" s="54">
        <f>VLOOKUP(A88,'Custo_Fopag (2)'!$A:$BQ,19,0)</f>
        <v>0</v>
      </c>
      <c r="AX88" s="54">
        <f>VLOOKUP(A88,'Custo_Fopag (2)'!$A:$BQ,50,0)</f>
        <v>0</v>
      </c>
      <c r="AY88" s="54">
        <f>VLOOKUP(A88,'Custo_Fopag (2)'!$A:$BQ,51,0)</f>
        <v>0</v>
      </c>
      <c r="AZ88" s="54">
        <v>0</v>
      </c>
      <c r="BA88" s="54">
        <f>VLOOKUP(A88,'Custo_Fopag (2)'!$A:$BQ,54,0)</f>
        <v>0</v>
      </c>
      <c r="BB88" s="54">
        <f>VLOOKUP(A88,'Custo_Fopag (2)'!$A:$BQ,52,0)</f>
        <v>0</v>
      </c>
      <c r="BC88" s="122">
        <f t="shared" si="25"/>
        <v>521.87</v>
      </c>
      <c r="BD88" s="54">
        <f t="shared" si="26"/>
        <v>3021.87</v>
      </c>
      <c r="BE88" s="57"/>
      <c r="BF88" s="54">
        <f t="shared" si="27"/>
        <v>3021.87</v>
      </c>
      <c r="BG88" s="54">
        <f t="shared" si="28"/>
        <v>208.33333333333334</v>
      </c>
      <c r="BH88" s="54">
        <f t="shared" si="29"/>
        <v>208.33333333333334</v>
      </c>
      <c r="BI88" s="54">
        <f t="shared" si="30"/>
        <v>69.444444444444443</v>
      </c>
      <c r="BJ88" s="54">
        <f t="shared" si="31"/>
        <v>486.11111111111114</v>
      </c>
      <c r="BK88" s="54">
        <f>VLOOKUP(A88,'Custo_Fopag (2)'!$A:$BQ,65,0)</f>
        <v>500</v>
      </c>
      <c r="BL88" s="54">
        <f>VLOOKUP(A88,'Custo_Fopag (2)'!$A:$BQP,66,0)</f>
        <v>37.5</v>
      </c>
      <c r="BM88" s="54">
        <f>VLOOKUP(A88,'Custo_Fopag (2)'!$A:$BQ,67,0)</f>
        <v>145</v>
      </c>
      <c r="BN88" s="54">
        <f>VLOOKUP(A88,'Custo_Fopag (2)'!$A:$BQ,64,0)</f>
        <v>200</v>
      </c>
      <c r="BO88" s="54">
        <f t="shared" si="32"/>
        <v>882.5</v>
      </c>
      <c r="BP88" s="54">
        <f t="shared" si="33"/>
        <v>3904.37</v>
      </c>
      <c r="BQ88" s="54">
        <f t="shared" si="34"/>
        <v>4390.4811111111112</v>
      </c>
      <c r="BR88" s="109">
        <f>VLOOKUP(A88,'Custo_Fopag (2)'!$A:$BQ,60,0)</f>
        <v>0</v>
      </c>
      <c r="BS88" s="83" t="str">
        <f t="shared" si="35"/>
        <v>Ativo</v>
      </c>
    </row>
    <row r="89" spans="1:71" s="59" customFormat="1" x14ac:dyDescent="0.25">
      <c r="A89" s="59" t="s">
        <v>328</v>
      </c>
      <c r="B89" s="88">
        <v>46082</v>
      </c>
      <c r="C89" s="59" t="s">
        <v>5</v>
      </c>
      <c r="D89" s="59" t="str">
        <f>VLOOKUP(A89,'Custo_Fopag (2)'!A:$BQ,4,0)</f>
        <v>G3S FL 05 - PRES PRUD</v>
      </c>
      <c r="G89" s="59" t="str">
        <f>VLOOKUP(A89,'Custo_Fopag (2)'!$A:$BQ,5,0)</f>
        <v>20.947.332/0005-19</v>
      </c>
      <c r="H89" s="59" t="str">
        <f>VLOOKUP(A89,'Custo_Fopag (2)'!$A:$BQ,6,0)</f>
        <v>OPERACIONAL</v>
      </c>
      <c r="I89" s="59" t="str">
        <f>VLOOKUP(A89,'Custo_Fopag (2)'!$A:$BQ,7,0)</f>
        <v>CORTE E DOBRA</v>
      </c>
      <c r="J89" s="59" t="str">
        <f>VLOOKUP(A89,'Custo_Fopag (2)'!$A:$BQ,8,0)</f>
        <v>BRACOFER</v>
      </c>
      <c r="K89" s="78">
        <f>VLOOKUP(A89,'Custo_Fopag (2)'!$A:$BQ,9,0)</f>
        <v>41786</v>
      </c>
      <c r="L89" s="52"/>
      <c r="M89" s="3"/>
      <c r="N89" s="3" t="str">
        <f>VLOOKUP(A89,'Custo_Fopag (2)'!$A:$BQ,11,0)</f>
        <v>1.3.1.5 CORTE E DOBRA</v>
      </c>
      <c r="O89" s="3" t="str">
        <f>VLOOKUP(A89,'Custo_Fopag (2)'!$A:$BQ,12,0)</f>
        <v>GERENTE DE PATIO JUNIOR</v>
      </c>
      <c r="P89" s="126">
        <f>VLOOKUP(A89,'Custo_Fopag (2)'!$A:$BQ,13,0)</f>
        <v>3056.81</v>
      </c>
      <c r="Q89" s="127">
        <f>VLOOKUP(A89,'Custo_Fopag (2)'!$A:$BQ,16,0)</f>
        <v>3056.81</v>
      </c>
      <c r="R89" s="56">
        <f>VLOOKUP(A89,'Custo_Fopag (2)'!$A:$BQ,17,0)</f>
        <v>0</v>
      </c>
      <c r="S89" s="54">
        <f>VLOOKUP(A89,'Custo_Fopag (2)'!$A:$BP,18,0)</f>
        <v>0</v>
      </c>
      <c r="T89" s="54">
        <f>VLOOKUP(A89,'Custo_Fopag (2)'!$A:$BQ,20,0)</f>
        <v>611.36</v>
      </c>
      <c r="U89" s="54">
        <f>VLOOKUP(A89,'Custo_Fopag (2)'!$A:$BQ,21,0)</f>
        <v>0</v>
      </c>
      <c r="V89" s="54">
        <f>VLOOKUP(A89,'Custo_Fopag (2)'!$A:$BQ,22,0)</f>
        <v>0</v>
      </c>
      <c r="W89" s="54">
        <f>VLOOKUP(A89,'Custo_Fopag (2)'!$A:$BQ,23,0)</f>
        <v>0</v>
      </c>
      <c r="X89" s="54">
        <f>VLOOKUP(A89,'Custo_Fopag (2)'!$A:$BQ,24,0)</f>
        <v>0</v>
      </c>
      <c r="Y89" s="55">
        <f>VLOOKUP(A89,'Custo_Fopag (2)'!$A:$BQ,25,0)</f>
        <v>0</v>
      </c>
      <c r="Z89" s="54">
        <f>VLOOKUP(A89,'Custo_Fopag (2)'!$A:$BQ,26,0)</f>
        <v>0</v>
      </c>
      <c r="AA89" s="54">
        <f>VLOOKUP(A89,'Custo_Fopag (2)'!$A:$BQ,27,0)</f>
        <v>534.89</v>
      </c>
      <c r="AB89" s="54">
        <f>VLOOKUP(A89,'Custo_Fopag (2)'!$A:$BQ,28,0)</f>
        <v>102.86</v>
      </c>
      <c r="AC89" s="54">
        <f>VLOOKUP(A89,'Custo_Fopag (2)'!$A:$BQ,29,0)</f>
        <v>0</v>
      </c>
      <c r="AD89" s="54">
        <f>VLOOKUP(A89,'Custo_Fopag (2)'!$A:$BQ,30,0)</f>
        <v>0</v>
      </c>
      <c r="AE89" s="54">
        <f>VLOOKUP(A89,'Custo_Fopag (2)'!$A:$BQ,31,0)</f>
        <v>0</v>
      </c>
      <c r="AF89" s="54">
        <f>VLOOKUP(A89,'Custo_Fopag (2)'!$A:$BQ,32,0)</f>
        <v>0</v>
      </c>
      <c r="AG89" s="54">
        <f t="shared" si="24"/>
        <v>4305.92</v>
      </c>
      <c r="AH89" s="121">
        <f>VLOOKUP(A89,'Custo_Fopag (2)'!$A:$BQ,45,0)</f>
        <v>0</v>
      </c>
      <c r="AI89" s="54">
        <f>_xlfn.XLOOKUP(A89,Beneficios!A:A,Beneficios!B:B,0,0,1)</f>
        <v>521.87</v>
      </c>
      <c r="AJ89" s="54">
        <f>VLOOKUP(A89,'Custo_Fopag (2)'!$A:$BQ,47,0)</f>
        <v>0</v>
      </c>
      <c r="AK89" s="54">
        <v>0</v>
      </c>
      <c r="AL89" s="54">
        <f>VLOOKUP(A89,'Custo_Fopag (2)'!$A:$BQ,35,0)</f>
        <v>0</v>
      </c>
      <c r="AM89" s="54">
        <f>VLOOKUP(A89,'Custo_Fopag (2)'!$A:$BQ,36,0)</f>
        <v>0</v>
      </c>
      <c r="AN89" s="54">
        <f>VLOOKUP(A89,'Custo_Fopag (2)'!$A:$BQ,37,0)</f>
        <v>0</v>
      </c>
      <c r="AO89" s="54">
        <f>VLOOKUP(A89,'Custo_Fopag (2)'!$A:$BQ,39,0)</f>
        <v>0</v>
      </c>
      <c r="AP89" s="54">
        <f>VLOOKUP(A89,'Custo_Fopag (2)'!$A:$BQ,42,0)</f>
        <v>0</v>
      </c>
      <c r="AQ89" s="54">
        <f>VLOOKUP(A89,'Custo_Fopag (2)'!$A:$BQ,40,0)</f>
        <v>0</v>
      </c>
      <c r="AR89" s="54">
        <f>VLOOKUP(A89,'Custo_Fopag (2)'!$A:$BQ,41,0)</f>
        <v>0</v>
      </c>
      <c r="AS89" s="54">
        <f>VLOOKUP(A89,'Custo_Fopag (2)'!$A:$BQ,38,0)</f>
        <v>0</v>
      </c>
      <c r="AT89" s="54">
        <f>VLOOKUP(A89,'Custo_Fopag (2)'!$A:$BQ,43,0)</f>
        <v>0</v>
      </c>
      <c r="AU89" s="54">
        <f>VLOOKUP(A89,'Custo_Fopag (2)'!$A:$BQ,48,0)</f>
        <v>0</v>
      </c>
      <c r="AV89" s="54">
        <f>VLOOKUP(A89,'Custo_Fopag (2)'!$A:$BQ,49,0)</f>
        <v>0</v>
      </c>
      <c r="AW89" s="54">
        <f>VLOOKUP(A89,'Custo_Fopag (2)'!$A:$BQ,19,0)</f>
        <v>0</v>
      </c>
      <c r="AX89" s="54">
        <f>VLOOKUP(A89,'Custo_Fopag (2)'!$A:$BQ,50,0)</f>
        <v>0</v>
      </c>
      <c r="AY89" s="54">
        <f>VLOOKUP(A89,'Custo_Fopag (2)'!$A:$BQ,51,0)</f>
        <v>0</v>
      </c>
      <c r="AZ89" s="117">
        <v>0</v>
      </c>
      <c r="BA89" s="54">
        <f>VLOOKUP(A89,'Custo_Fopag (2)'!$A:$BQ,54,0)</f>
        <v>0</v>
      </c>
      <c r="BB89" s="54">
        <f>VLOOKUP(A89,'Custo_Fopag (2)'!$A:$BQ,52,0)</f>
        <v>0</v>
      </c>
      <c r="BC89" s="122">
        <f t="shared" si="25"/>
        <v>521.87</v>
      </c>
      <c r="BD89" s="54">
        <f t="shared" si="26"/>
        <v>4827.79</v>
      </c>
      <c r="BE89" s="57"/>
      <c r="BF89" s="54">
        <f t="shared" si="27"/>
        <v>4827.79</v>
      </c>
      <c r="BG89" s="54">
        <f t="shared" si="28"/>
        <v>358.82666666666665</v>
      </c>
      <c r="BH89" s="54">
        <f t="shared" si="29"/>
        <v>358.82666666666665</v>
      </c>
      <c r="BI89" s="54">
        <f t="shared" si="30"/>
        <v>119.60888888888888</v>
      </c>
      <c r="BJ89" s="54">
        <f t="shared" si="31"/>
        <v>837.26222222222214</v>
      </c>
      <c r="BK89" s="54">
        <f>VLOOKUP(A89,'Custo_Fopag (2)'!$A:$BQ,65,0)</f>
        <v>861.18</v>
      </c>
      <c r="BL89" s="54">
        <f>VLOOKUP(A89,'Custo_Fopag (2)'!$A:$BQP,66,0)</f>
        <v>64.58</v>
      </c>
      <c r="BM89" s="54">
        <f>VLOOKUP(A89,'Custo_Fopag (2)'!$A:$BQ,67,0)</f>
        <v>249.74</v>
      </c>
      <c r="BN89" s="54">
        <f>VLOOKUP(A89,'Custo_Fopag (2)'!$A:$BQ,64,0)</f>
        <v>344.47</v>
      </c>
      <c r="BO89" s="54">
        <f t="shared" si="32"/>
        <v>1519.97</v>
      </c>
      <c r="BP89" s="54">
        <f t="shared" si="33"/>
        <v>6347.76</v>
      </c>
      <c r="BQ89" s="54">
        <f t="shared" si="34"/>
        <v>7185.0222222222228</v>
      </c>
      <c r="BR89" s="109">
        <f>VLOOKUP(A89,'Custo_Fopag (2)'!$A:$BQ,60,0)</f>
        <v>0</v>
      </c>
      <c r="BS89" s="83" t="str">
        <f t="shared" si="35"/>
        <v>Ativo</v>
      </c>
    </row>
    <row r="90" spans="1:71" s="59" customFormat="1" x14ac:dyDescent="0.25">
      <c r="A90" s="59" t="s">
        <v>191</v>
      </c>
      <c r="B90" s="88">
        <v>46082</v>
      </c>
      <c r="C90" s="59" t="s">
        <v>5</v>
      </c>
      <c r="D90" s="59" t="str">
        <f>VLOOKUP(A90,'Custo_Fopag (2)'!A:$BQ,4,0)</f>
        <v>G S FL 07 - LONDRINA</v>
      </c>
      <c r="G90" s="59" t="str">
        <f>VLOOKUP(A90,'Custo_Fopag (2)'!$A:$BQ,5,0)</f>
        <v>20.504.237/0007-02</v>
      </c>
      <c r="H90" s="59" t="str">
        <f>VLOOKUP(A90,'Custo_Fopag (2)'!$A:$BQ,6,0)</f>
        <v>OPERACIONAL</v>
      </c>
      <c r="I90" s="59" t="str">
        <f>VLOOKUP(A90,'Custo_Fopag (2)'!$A:$BQ,7,0)</f>
        <v>PATIO</v>
      </c>
      <c r="J90" s="59" t="str">
        <f>VLOOKUP(A90,'Custo_Fopag (2)'!$A:$BQ,8,0)</f>
        <v>SELETIVA LONDRINA</v>
      </c>
      <c r="K90" s="78">
        <f>VLOOKUP(A90,'Custo_Fopag (2)'!$A:$BQ,9,0)</f>
        <v>45594</v>
      </c>
      <c r="L90" s="52"/>
      <c r="M90" s="3"/>
      <c r="N90" s="3" t="str">
        <f>VLOOKUP(A90,'Custo_Fopag (2)'!$A:$BQ,11,0)</f>
        <v>1.2.3.3 OPERACIONAL</v>
      </c>
      <c r="O90" s="3" t="str">
        <f>VLOOKUP(A90,'Custo_Fopag (2)'!$A:$BQ,12,0)</f>
        <v>OPERADOR MANTENEDOR JR</v>
      </c>
      <c r="P90" s="126">
        <f>VLOOKUP(A90,'Custo_Fopag (2)'!$A:$BQ,13,0)</f>
        <v>2610</v>
      </c>
      <c r="Q90" s="127">
        <f>VLOOKUP(A90,'Custo_Fopag (2)'!$A:$BQ,16,0)</f>
        <v>2610</v>
      </c>
      <c r="R90" s="56">
        <f>VLOOKUP(A90,'Custo_Fopag (2)'!$A:$BQ,17,0)</f>
        <v>0</v>
      </c>
      <c r="S90" s="54">
        <f>VLOOKUP(A90,'Custo_Fopag (2)'!$A:$BP,18,0)</f>
        <v>0</v>
      </c>
      <c r="T90" s="54">
        <f>VLOOKUP(A90,'Custo_Fopag (2)'!$A:$BQ,20,0)</f>
        <v>522</v>
      </c>
      <c r="U90" s="54">
        <f>VLOOKUP(A90,'Custo_Fopag (2)'!$A:$BQ,21,0)</f>
        <v>0</v>
      </c>
      <c r="V90" s="54">
        <f>VLOOKUP(A90,'Custo_Fopag (2)'!$A:$BQ,22,0)</f>
        <v>0</v>
      </c>
      <c r="W90" s="54">
        <f>VLOOKUP(A90,'Custo_Fopag (2)'!$A:$BQ,23,0)</f>
        <v>0</v>
      </c>
      <c r="X90" s="54">
        <f>VLOOKUP(A90,'Custo_Fopag (2)'!$A:$BQ,24,0)</f>
        <v>0</v>
      </c>
      <c r="Y90" s="55">
        <f>VLOOKUP(A90,'Custo_Fopag (2)'!$A:$BQ,25,0)</f>
        <v>0</v>
      </c>
      <c r="Z90" s="54">
        <f>VLOOKUP(A90,'Custo_Fopag (2)'!$A:$BQ,26,0)</f>
        <v>0</v>
      </c>
      <c r="AA90" s="54">
        <f>VLOOKUP(A90,'Custo_Fopag (2)'!$A:$BQ,27,0)</f>
        <v>614.16</v>
      </c>
      <c r="AB90" s="54">
        <f>VLOOKUP(A90,'Custo_Fopag (2)'!$A:$BQ,28,0)</f>
        <v>118.11</v>
      </c>
      <c r="AC90" s="54">
        <f>VLOOKUP(A90,'Custo_Fopag (2)'!$A:$BQ,29,0)</f>
        <v>0</v>
      </c>
      <c r="AD90" s="54">
        <f>VLOOKUP(A90,'Custo_Fopag (2)'!$A:$BQ,30,0)</f>
        <v>0</v>
      </c>
      <c r="AE90" s="54">
        <f>VLOOKUP(A90,'Custo_Fopag (2)'!$A:$BQ,31,0)</f>
        <v>0</v>
      </c>
      <c r="AF90" s="54">
        <f>VLOOKUP(A90,'Custo_Fopag (2)'!$A:$BQ,32,0)</f>
        <v>0</v>
      </c>
      <c r="AG90" s="54">
        <f t="shared" si="24"/>
        <v>3864.27</v>
      </c>
      <c r="AH90" s="121">
        <f>VLOOKUP(A90,'Custo_Fopag (2)'!$A:$BQ,45,0)</f>
        <v>0</v>
      </c>
      <c r="AI90" s="54">
        <f>_xlfn.XLOOKUP(A90,Beneficios!A:A,Beneficios!B:B,0,0,1)</f>
        <v>512.87</v>
      </c>
      <c r="AJ90" s="54">
        <f>VLOOKUP(A90,'Custo_Fopag (2)'!$A:$BQ,47,0)</f>
        <v>0</v>
      </c>
      <c r="AK90" s="54">
        <v>0</v>
      </c>
      <c r="AL90" s="54">
        <f>VLOOKUP(A90,'Custo_Fopag (2)'!$A:$BQ,35,0)</f>
        <v>0</v>
      </c>
      <c r="AM90" s="54">
        <f>VLOOKUP(A90,'Custo_Fopag (2)'!$A:$BQ,36,0)</f>
        <v>0</v>
      </c>
      <c r="AN90" s="54">
        <f>VLOOKUP(A90,'Custo_Fopag (2)'!$A:$BQ,37,0)</f>
        <v>0</v>
      </c>
      <c r="AO90" s="54">
        <f>VLOOKUP(A90,'Custo_Fopag (2)'!$A:$BQ,39,0)</f>
        <v>0</v>
      </c>
      <c r="AP90" s="54">
        <f>VLOOKUP(A90,'Custo_Fopag (2)'!$A:$BQ,42,0)</f>
        <v>0</v>
      </c>
      <c r="AQ90" s="54">
        <f>VLOOKUP(A90,'Custo_Fopag (2)'!$A:$BQ,40,0)</f>
        <v>0</v>
      </c>
      <c r="AR90" s="54">
        <f>VLOOKUP(A90,'Custo_Fopag (2)'!$A:$BQ,41,0)</f>
        <v>529.48</v>
      </c>
      <c r="AS90" s="54">
        <f>VLOOKUP(A90,'Custo_Fopag (2)'!$A:$BQ,38,0)</f>
        <v>0</v>
      </c>
      <c r="AT90" s="54">
        <f>VLOOKUP(A90,'Custo_Fopag (2)'!$A:$BQ,43,0)</f>
        <v>0</v>
      </c>
      <c r="AU90" s="54">
        <f>VLOOKUP(A90,'Custo_Fopag (2)'!$A:$BQ,48,0)</f>
        <v>0</v>
      </c>
      <c r="AV90" s="54">
        <f>VLOOKUP(A90,'Custo_Fopag (2)'!$A:$BQ,49,0)</f>
        <v>0</v>
      </c>
      <c r="AW90" s="54">
        <f>VLOOKUP(A90,'Custo_Fopag (2)'!$A:$BQ,19,0)</f>
        <v>0</v>
      </c>
      <c r="AX90" s="54">
        <f>VLOOKUP(A90,'Custo_Fopag (2)'!$A:$BQ,50,0)</f>
        <v>0</v>
      </c>
      <c r="AY90" s="54">
        <f>VLOOKUP(A90,'Custo_Fopag (2)'!$A:$BQ,51,0)</f>
        <v>0</v>
      </c>
      <c r="AZ90" s="117">
        <v>0</v>
      </c>
      <c r="BA90" s="54">
        <f>VLOOKUP(A90,'Custo_Fopag (2)'!$A:$BQ,54,0)</f>
        <v>0</v>
      </c>
      <c r="BB90" s="54">
        <f>VLOOKUP(A90,'Custo_Fopag (2)'!$A:$BQ,52,0)</f>
        <v>0</v>
      </c>
      <c r="BC90" s="122">
        <f t="shared" si="25"/>
        <v>1042.3499999999999</v>
      </c>
      <c r="BD90" s="54">
        <f t="shared" si="26"/>
        <v>4906.62</v>
      </c>
      <c r="BE90" s="57"/>
      <c r="BF90" s="54">
        <f t="shared" si="27"/>
        <v>4906.62</v>
      </c>
      <c r="BG90" s="54">
        <f t="shared" si="28"/>
        <v>322.02249999999998</v>
      </c>
      <c r="BH90" s="54">
        <f t="shared" si="29"/>
        <v>322.02249999999998</v>
      </c>
      <c r="BI90" s="54">
        <f t="shared" si="30"/>
        <v>107.34083333333332</v>
      </c>
      <c r="BJ90" s="54">
        <f t="shared" si="31"/>
        <v>751.38583333333327</v>
      </c>
      <c r="BK90" s="54">
        <f>VLOOKUP(A90,'Custo_Fopag (2)'!$A:$BQ,65,0)</f>
        <v>772.85</v>
      </c>
      <c r="BL90" s="54">
        <f>VLOOKUP(A90,'Custo_Fopag (2)'!$A:$BQP,66,0)</f>
        <v>115.92</v>
      </c>
      <c r="BM90" s="54">
        <f>VLOOKUP(A90,'Custo_Fopag (2)'!$A:$BQ,67,0)</f>
        <v>224.12</v>
      </c>
      <c r="BN90" s="54">
        <f>VLOOKUP(A90,'Custo_Fopag (2)'!$A:$BQ,64,0)</f>
        <v>309.14</v>
      </c>
      <c r="BO90" s="54">
        <f t="shared" si="32"/>
        <v>1422.0299999999997</v>
      </c>
      <c r="BP90" s="54">
        <f t="shared" si="33"/>
        <v>6328.65</v>
      </c>
      <c r="BQ90" s="54">
        <f t="shared" si="34"/>
        <v>7080.0358333333324</v>
      </c>
      <c r="BR90" s="109">
        <f>VLOOKUP(A90,'Custo_Fopag (2)'!$A:$BQ,60,0)</f>
        <v>0</v>
      </c>
      <c r="BS90" s="83" t="str">
        <f t="shared" si="35"/>
        <v>Ativo</v>
      </c>
    </row>
    <row r="91" spans="1:71" s="59" customFormat="1" x14ac:dyDescent="0.25">
      <c r="A91" s="59" t="s">
        <v>354</v>
      </c>
      <c r="B91" s="88">
        <v>46082</v>
      </c>
      <c r="C91" s="59" t="s">
        <v>5</v>
      </c>
      <c r="D91" s="59" t="str">
        <f>VLOOKUP(A91,'Custo_Fopag (2)'!A:$BQ,4,0)</f>
        <v>G3S FL 06 - MARINGA</v>
      </c>
      <c r="G91" s="59" t="str">
        <f>VLOOKUP(A91,'Custo_Fopag (2)'!$A:$BQ,5,0)</f>
        <v>20.947.332/0006-08</v>
      </c>
      <c r="H91" s="59" t="str">
        <f>VLOOKUP(A91,'Custo_Fopag (2)'!$A:$BQ,6,0)</f>
        <v>OPERACIONAL</v>
      </c>
      <c r="I91" s="59" t="str">
        <f>VLOOKUP(A91,'Custo_Fopag (2)'!$A:$BQ,7,0)</f>
        <v>PATIO</v>
      </c>
      <c r="J91" s="59" t="str">
        <f>VLOOKUP(A91,'Custo_Fopag (2)'!$A:$BQ,8,0)</f>
        <v>SELETIVA MARINGA DISTRITO</v>
      </c>
      <c r="K91" s="78">
        <f>VLOOKUP(A91,'Custo_Fopag (2)'!$A:$BQ,9,0)</f>
        <v>44067</v>
      </c>
      <c r="L91" s="52"/>
      <c r="M91" s="3"/>
      <c r="N91" s="3" t="str">
        <f>VLOOKUP(A91,'Custo_Fopag (2)'!$A:$BQ,11,0)</f>
        <v>1.2.4.3 OPERACIONAL</v>
      </c>
      <c r="O91" s="3" t="str">
        <f>VLOOKUP(A91,'Custo_Fopag (2)'!$A:$BQ,12,0)</f>
        <v>GERENTE DE PATIO SENIOR</v>
      </c>
      <c r="P91" s="126">
        <f>VLOOKUP(A91,'Custo_Fopag (2)'!$A:$BQ,13,0)</f>
        <v>3679.83</v>
      </c>
      <c r="Q91" s="127">
        <f>VLOOKUP(A91,'Custo_Fopag (2)'!$A:$BQ,16,0)</f>
        <v>3679.83</v>
      </c>
      <c r="R91" s="56">
        <f>VLOOKUP(A91,'Custo_Fopag (2)'!$A:$BQ,17,0)</f>
        <v>0</v>
      </c>
      <c r="S91" s="54">
        <f>VLOOKUP(A91,'Custo_Fopag (2)'!$A:$BP,18,0)</f>
        <v>0</v>
      </c>
      <c r="T91" s="54">
        <f>VLOOKUP(A91,'Custo_Fopag (2)'!$A:$BQ,20,0)</f>
        <v>735.97</v>
      </c>
      <c r="U91" s="54">
        <f>VLOOKUP(A91,'Custo_Fopag (2)'!$A:$BQ,21,0)</f>
        <v>0</v>
      </c>
      <c r="V91" s="54">
        <f>VLOOKUP(A91,'Custo_Fopag (2)'!$A:$BQ,22,0)</f>
        <v>1103.95</v>
      </c>
      <c r="W91" s="54">
        <f>VLOOKUP(A91,'Custo_Fopag (2)'!$A:$BQ,23,0)</f>
        <v>0</v>
      </c>
      <c r="X91" s="54">
        <f>VLOOKUP(A91,'Custo_Fopag (2)'!$A:$BQ,24,0)</f>
        <v>0</v>
      </c>
      <c r="Y91" s="55">
        <f>VLOOKUP(A91,'Custo_Fopag (2)'!$A:$BQ,25,0)</f>
        <v>0</v>
      </c>
      <c r="Z91" s="54">
        <f>VLOOKUP(A91,'Custo_Fopag (2)'!$A:$BQ,26,0)</f>
        <v>0</v>
      </c>
      <c r="AA91" s="54">
        <f>VLOOKUP(A91,'Custo_Fopag (2)'!$A:$BQ,27,0)</f>
        <v>198.02</v>
      </c>
      <c r="AB91" s="54">
        <f>VLOOKUP(A91,'Custo_Fopag (2)'!$A:$BQ,28,0)</f>
        <v>38.08</v>
      </c>
      <c r="AC91" s="54">
        <f>VLOOKUP(A91,'Custo_Fopag (2)'!$A:$BQ,29,0)</f>
        <v>0</v>
      </c>
      <c r="AD91" s="54">
        <f>VLOOKUP(A91,'Custo_Fopag (2)'!$A:$BQ,30,0)</f>
        <v>0</v>
      </c>
      <c r="AE91" s="54">
        <f>VLOOKUP(A91,'Custo_Fopag (2)'!$A:$BQ,31,0)</f>
        <v>0</v>
      </c>
      <c r="AF91" s="54">
        <f>VLOOKUP(A91,'Custo_Fopag (2)'!$A:$BQ,32,0)</f>
        <v>0</v>
      </c>
      <c r="AG91" s="54">
        <f t="shared" si="24"/>
        <v>5755.85</v>
      </c>
      <c r="AH91" s="121">
        <f>VLOOKUP(A91,'Custo_Fopag (2)'!$A:$BQ,45,0)</f>
        <v>0</v>
      </c>
      <c r="AI91" s="54">
        <f>_xlfn.XLOOKUP(A91,Beneficios!A:A,Beneficios!B:B,0,0,1)</f>
        <v>512.87</v>
      </c>
      <c r="AJ91" s="54">
        <f>VLOOKUP(A91,'Custo_Fopag (2)'!$A:$BQ,47,0)</f>
        <v>0</v>
      </c>
      <c r="AK91" s="54">
        <v>0</v>
      </c>
      <c r="AL91" s="54">
        <f>VLOOKUP(A91,'Custo_Fopag (2)'!$A:$BQ,35,0)</f>
        <v>0</v>
      </c>
      <c r="AM91" s="54">
        <f>VLOOKUP(A91,'Custo_Fopag (2)'!$A:$BQ,36,0)</f>
        <v>0</v>
      </c>
      <c r="AN91" s="54">
        <f>VLOOKUP(A91,'Custo_Fopag (2)'!$A:$BQ,37,0)</f>
        <v>0</v>
      </c>
      <c r="AO91" s="54">
        <f>VLOOKUP(A91,'Custo_Fopag (2)'!$A:$BQ,39,0)</f>
        <v>0</v>
      </c>
      <c r="AP91" s="54">
        <f>VLOOKUP(A91,'Custo_Fopag (2)'!$A:$BQ,42,0)</f>
        <v>0</v>
      </c>
      <c r="AQ91" s="54">
        <f>VLOOKUP(A91,'Custo_Fopag (2)'!$A:$BQ,40,0)</f>
        <v>0</v>
      </c>
      <c r="AR91" s="54">
        <f>VLOOKUP(A91,'Custo_Fopag (2)'!$A:$BQ,41,0)</f>
        <v>781.93</v>
      </c>
      <c r="AS91" s="54">
        <f>VLOOKUP(A91,'Custo_Fopag (2)'!$A:$BQ,38,0)</f>
        <v>0</v>
      </c>
      <c r="AT91" s="54">
        <f>VLOOKUP(A91,'Custo_Fopag (2)'!$A:$BQ,43,0)</f>
        <v>0</v>
      </c>
      <c r="AU91" s="54">
        <f>VLOOKUP(A91,'Custo_Fopag (2)'!$A:$BQ,48,0)</f>
        <v>0</v>
      </c>
      <c r="AV91" s="54">
        <f>VLOOKUP(A91,'Custo_Fopag (2)'!$A:$BQ,49,0)</f>
        <v>0</v>
      </c>
      <c r="AW91" s="54">
        <f>VLOOKUP(A91,'Custo_Fopag (2)'!$A:$BQ,19,0)</f>
        <v>0</v>
      </c>
      <c r="AX91" s="54">
        <f>VLOOKUP(A91,'Custo_Fopag (2)'!$A:$BQ,50,0)</f>
        <v>0</v>
      </c>
      <c r="AY91" s="54">
        <f>VLOOKUP(A91,'Custo_Fopag (2)'!$A:$BQ,51,0)</f>
        <v>0</v>
      </c>
      <c r="AZ91" s="117">
        <v>0</v>
      </c>
      <c r="BA91" s="54">
        <f>VLOOKUP(A91,'Custo_Fopag (2)'!$A:$BQ,54,0)</f>
        <v>0</v>
      </c>
      <c r="BB91" s="54">
        <f>VLOOKUP(A91,'Custo_Fopag (2)'!$A:$BQ,52,0)</f>
        <v>0</v>
      </c>
      <c r="BC91" s="122">
        <f t="shared" si="25"/>
        <v>1294.8</v>
      </c>
      <c r="BD91" s="54">
        <f t="shared" si="26"/>
        <v>7050.6500000000005</v>
      </c>
      <c r="BE91" s="57"/>
      <c r="BF91" s="54">
        <f t="shared" si="27"/>
        <v>7050.6500000000005</v>
      </c>
      <c r="BG91" s="54">
        <f t="shared" si="28"/>
        <v>479.6541666666667</v>
      </c>
      <c r="BH91" s="54">
        <f t="shared" si="29"/>
        <v>479.6541666666667</v>
      </c>
      <c r="BI91" s="54">
        <f t="shared" si="30"/>
        <v>159.88472222222222</v>
      </c>
      <c r="BJ91" s="54">
        <f t="shared" si="31"/>
        <v>1119.1930555555557</v>
      </c>
      <c r="BK91" s="54">
        <f>VLOOKUP(A91,'Custo_Fopag (2)'!$A:$BQ,65,0)</f>
        <v>1151.17</v>
      </c>
      <c r="BL91" s="54">
        <f>VLOOKUP(A91,'Custo_Fopag (2)'!$A:$BQP,66,0)</f>
        <v>86.33</v>
      </c>
      <c r="BM91" s="54">
        <f>VLOOKUP(A91,'Custo_Fopag (2)'!$A:$BQ,67,0)</f>
        <v>333.83</v>
      </c>
      <c r="BN91" s="54">
        <f>VLOOKUP(A91,'Custo_Fopag (2)'!$A:$BQ,64,0)</f>
        <v>460.46</v>
      </c>
      <c r="BO91" s="54">
        <f t="shared" si="32"/>
        <v>2031.79</v>
      </c>
      <c r="BP91" s="54">
        <f t="shared" si="33"/>
        <v>9082.44</v>
      </c>
      <c r="BQ91" s="54">
        <f t="shared" si="34"/>
        <v>10201.633055555556</v>
      </c>
      <c r="BR91" s="109">
        <f>VLOOKUP(A91,'Custo_Fopag (2)'!$A:$BQ,60,0)</f>
        <v>0</v>
      </c>
      <c r="BS91" s="83" t="str">
        <f t="shared" si="35"/>
        <v>Ativo</v>
      </c>
    </row>
    <row r="92" spans="1:71" s="59" customFormat="1" x14ac:dyDescent="0.25">
      <c r="A92" s="59" t="s">
        <v>281</v>
      </c>
      <c r="B92" s="88">
        <v>46082</v>
      </c>
      <c r="C92" s="59" t="s">
        <v>5</v>
      </c>
      <c r="D92" s="59" t="str">
        <f>VLOOKUP(A92,'Custo_Fopag (2)'!A:$BQ,4,0)</f>
        <v>G3S  FL 03 - DOURADOS</v>
      </c>
      <c r="G92" s="59" t="str">
        <f>VLOOKUP(A92,'Custo_Fopag (2)'!$A:$BQ,5,0)</f>
        <v>20.947.332/0003-57</v>
      </c>
      <c r="H92" s="59" t="str">
        <f>VLOOKUP(A92,'Custo_Fopag (2)'!$A:$BQ,6,0)</f>
        <v>OPERACIONAL</v>
      </c>
      <c r="I92" s="59" t="str">
        <f>VLOOKUP(A92,'Custo_Fopag (2)'!$A:$BQ,7,0)</f>
        <v>PATIO</v>
      </c>
      <c r="J92" s="59" t="str">
        <f>VLOOKUP(A92,'Custo_Fopag (2)'!$A:$BQ,8,0)</f>
        <v>SELETIVA DOURADOS</v>
      </c>
      <c r="K92" s="78">
        <f>VLOOKUP(A92,'Custo_Fopag (2)'!$A:$BQ,9,0)</f>
        <v>44700</v>
      </c>
      <c r="L92" s="52"/>
      <c r="M92" s="3"/>
      <c r="N92" s="3" t="str">
        <f>VLOOKUP(A92,'Custo_Fopag (2)'!$A:$BQ,11,0)</f>
        <v>1.2.2.3 OPERACIONAL</v>
      </c>
      <c r="O92" s="3" t="str">
        <f>VLOOKUP(A92,'Custo_Fopag (2)'!$A:$BQ,12,0)</f>
        <v>GERENTE DE PATIO SENIOR</v>
      </c>
      <c r="P92" s="126">
        <f>VLOOKUP(A92,'Custo_Fopag (2)'!$A:$BQ,13,0)</f>
        <v>3679.83</v>
      </c>
      <c r="Q92" s="127">
        <f>VLOOKUP(A92,'Custo_Fopag (2)'!$A:$BQ,16,0)</f>
        <v>1226.6099999999999</v>
      </c>
      <c r="R92" s="56">
        <f>VLOOKUP(A92,'Custo_Fopag (2)'!$A:$BQ,17,0)</f>
        <v>0</v>
      </c>
      <c r="S92" s="54">
        <f>VLOOKUP(A92,'Custo_Fopag (2)'!$A:$BP,18,0)</f>
        <v>6114.99</v>
      </c>
      <c r="T92" s="54">
        <f>VLOOKUP(A92,'Custo_Fopag (2)'!$A:$BQ,20,0)</f>
        <v>245.32</v>
      </c>
      <c r="U92" s="54">
        <f>VLOOKUP(A92,'Custo_Fopag (2)'!$A:$BQ,21,0)</f>
        <v>0</v>
      </c>
      <c r="V92" s="54">
        <f>VLOOKUP(A92,'Custo_Fopag (2)'!$A:$BQ,22,0)</f>
        <v>367.98</v>
      </c>
      <c r="W92" s="54">
        <f>VLOOKUP(A92,'Custo_Fopag (2)'!$A:$BQ,23,0)</f>
        <v>0</v>
      </c>
      <c r="X92" s="54">
        <f>VLOOKUP(A92,'Custo_Fopag (2)'!$A:$BQ,24,0)</f>
        <v>0</v>
      </c>
      <c r="Y92" s="55">
        <f>VLOOKUP(A92,'Custo_Fopag (2)'!$A:$BQ,25,0)</f>
        <v>0</v>
      </c>
      <c r="Z92" s="54">
        <f>VLOOKUP(A92,'Custo_Fopag (2)'!$A:$BQ,26,0)</f>
        <v>4.5</v>
      </c>
      <c r="AA92" s="54">
        <f>VLOOKUP(A92,'Custo_Fopag (2)'!$A:$BQ,27,0)</f>
        <v>1625.4</v>
      </c>
      <c r="AB92" s="54">
        <f>VLOOKUP(A92,'Custo_Fopag (2)'!$A:$BQ,28,0)</f>
        <v>361.2</v>
      </c>
      <c r="AC92" s="54">
        <f>VLOOKUP(A92,'Custo_Fopag (2)'!$A:$BQ,29,0)</f>
        <v>0</v>
      </c>
      <c r="AD92" s="54">
        <f>VLOOKUP(A92,'Custo_Fopag (2)'!$A:$BQ,30,0)</f>
        <v>0</v>
      </c>
      <c r="AE92" s="54">
        <f>VLOOKUP(A92,'Custo_Fopag (2)'!$A:$BQ,31,0)</f>
        <v>0</v>
      </c>
      <c r="AF92" s="54">
        <f>VLOOKUP(A92,'Custo_Fopag (2)'!$A:$BQ,32,0)</f>
        <v>0</v>
      </c>
      <c r="AG92" s="54">
        <f t="shared" si="24"/>
        <v>9946</v>
      </c>
      <c r="AH92" s="121">
        <f>VLOOKUP(A92,'Custo_Fopag (2)'!$A:$BQ,45,0)</f>
        <v>0</v>
      </c>
      <c r="AI92" s="54">
        <f>_xlfn.XLOOKUP(A92,Beneficios!A:A,Beneficios!B:B,0,0,1)</f>
        <v>512.87</v>
      </c>
      <c r="AJ92" s="54">
        <f>VLOOKUP(A92,'Custo_Fopag (2)'!$A:$BQ,47,0)</f>
        <v>0</v>
      </c>
      <c r="AK92" s="54">
        <v>0</v>
      </c>
      <c r="AL92" s="54">
        <f>VLOOKUP(A92,'Custo_Fopag (2)'!$A:$BQ,35,0)</f>
        <v>0</v>
      </c>
      <c r="AM92" s="54">
        <f>VLOOKUP(A92,'Custo_Fopag (2)'!$A:$BQ,36,0)</f>
        <v>0</v>
      </c>
      <c r="AN92" s="54">
        <f>VLOOKUP(A92,'Custo_Fopag (2)'!$A:$BQ,37,0)</f>
        <v>0</v>
      </c>
      <c r="AO92" s="54">
        <f>VLOOKUP(A92,'Custo_Fopag (2)'!$A:$BQ,39,0)</f>
        <v>0</v>
      </c>
      <c r="AP92" s="54">
        <f>VLOOKUP(A92,'Custo_Fopag (2)'!$A:$BQ,42,0)</f>
        <v>0</v>
      </c>
      <c r="AQ92" s="54">
        <f>VLOOKUP(A92,'Custo_Fopag (2)'!$A:$BQ,40,0)</f>
        <v>0</v>
      </c>
      <c r="AR92" s="54">
        <f>VLOOKUP(A92,'Custo_Fopag (2)'!$A:$BQ,41,0)</f>
        <v>196.71</v>
      </c>
      <c r="AS92" s="54">
        <f>VLOOKUP(A92,'Custo_Fopag (2)'!$A:$BQ,38,0)</f>
        <v>0</v>
      </c>
      <c r="AT92" s="54">
        <f>VLOOKUP(A92,'Custo_Fopag (2)'!$A:$BQ,43,0)</f>
        <v>0</v>
      </c>
      <c r="AU92" s="54">
        <f>VLOOKUP(A92,'Custo_Fopag (2)'!$A:$BQ,48,0)</f>
        <v>237.5</v>
      </c>
      <c r="AV92" s="54">
        <f>VLOOKUP(A92,'Custo_Fopag (2)'!$A:$BQ,49,0)</f>
        <v>0</v>
      </c>
      <c r="AW92" s="54">
        <f>VLOOKUP(A92,'Custo_Fopag (2)'!$A:$BQ,19,0)</f>
        <v>3057.49</v>
      </c>
      <c r="AX92" s="54">
        <f>VLOOKUP(A92,'Custo_Fopag (2)'!$A:$BQ,50,0)</f>
        <v>0</v>
      </c>
      <c r="AY92" s="54">
        <f>VLOOKUP(A92,'Custo_Fopag (2)'!$A:$BQ,51,0)</f>
        <v>0</v>
      </c>
      <c r="AZ92" s="117">
        <v>0</v>
      </c>
      <c r="BA92" s="54">
        <f>VLOOKUP(A92,'Custo_Fopag (2)'!$A:$BQ,54,0)</f>
        <v>0</v>
      </c>
      <c r="BB92" s="54">
        <f>VLOOKUP(A92,'Custo_Fopag (2)'!$A:$BQ,52,0)</f>
        <v>3679.83</v>
      </c>
      <c r="BC92" s="122">
        <f t="shared" si="25"/>
        <v>7684.4</v>
      </c>
      <c r="BD92" s="54">
        <f t="shared" si="26"/>
        <v>17630.400000000001</v>
      </c>
      <c r="BE92" s="57"/>
      <c r="BF92" s="54">
        <f t="shared" si="27"/>
        <v>17630.400000000001</v>
      </c>
      <c r="BG92" s="54">
        <f t="shared" si="28"/>
        <v>828.83333333333337</v>
      </c>
      <c r="BH92" s="54">
        <f t="shared" si="29"/>
        <v>828.83333333333337</v>
      </c>
      <c r="BI92" s="54">
        <f t="shared" si="30"/>
        <v>276.27777777777777</v>
      </c>
      <c r="BJ92" s="54">
        <f t="shared" si="31"/>
        <v>1933.9444444444446</v>
      </c>
      <c r="BK92" s="54">
        <f>VLOOKUP(A92,'Custo_Fopag (2)'!$A:$BQ,65,0)</f>
        <v>2600.6999999999998</v>
      </c>
      <c r="BL92" s="54">
        <f>VLOOKUP(A92,'Custo_Fopag (2)'!$A:$BQP,66,0)</f>
        <v>195.05</v>
      </c>
      <c r="BM92" s="54">
        <f>VLOOKUP(A92,'Custo_Fopag (2)'!$A:$BQ,67,0)</f>
        <v>754.2</v>
      </c>
      <c r="BN92" s="54">
        <f>VLOOKUP(A92,'Custo_Fopag (2)'!$A:$BQ,64,0)</f>
        <v>795.68</v>
      </c>
      <c r="BO92" s="54">
        <f t="shared" si="32"/>
        <v>4345.63</v>
      </c>
      <c r="BP92" s="54">
        <f t="shared" si="33"/>
        <v>21976.030000000002</v>
      </c>
      <c r="BQ92" s="54">
        <f t="shared" si="34"/>
        <v>23909.974444444448</v>
      </c>
      <c r="BR92" s="109">
        <f>VLOOKUP(A92,'Custo_Fopag (2)'!$A:$BQ,60,0)</f>
        <v>0</v>
      </c>
      <c r="BS92" s="83" t="str">
        <f t="shared" si="35"/>
        <v>Ativo</v>
      </c>
    </row>
    <row r="93" spans="1:71" s="59" customFormat="1" x14ac:dyDescent="0.25">
      <c r="A93" s="59" t="s">
        <v>169</v>
      </c>
      <c r="B93" s="88">
        <v>46082</v>
      </c>
      <c r="C93" s="59" t="s">
        <v>5</v>
      </c>
      <c r="D93" s="59" t="str">
        <f>VLOOKUP(A93,'Custo_Fopag (2)'!A:$BQ,4,0)</f>
        <v>G S FL 05 - BARUERI</v>
      </c>
      <c r="G93" s="59" t="str">
        <f>VLOOKUP(A93,'Custo_Fopag (2)'!$A:$BQ,5,0)</f>
        <v>20.504.237/0005-40</v>
      </c>
      <c r="H93" s="59" t="str">
        <f>VLOOKUP(A93,'Custo_Fopag (2)'!$A:$BQ,6,0)</f>
        <v>LOGISTICA</v>
      </c>
      <c r="I93" s="59" t="str">
        <f>VLOOKUP(A93,'Custo_Fopag (2)'!$A:$BQ,7,0)</f>
        <v>PRENSA MOVEL</v>
      </c>
      <c r="J93" s="59" t="str">
        <f>VLOOKUP(A93,'Custo_Fopag (2)'!$A:$BQ,8,0)</f>
        <v>SELETIVA CORPORATIVO SUCATA</v>
      </c>
      <c r="K93" s="78">
        <f>VLOOKUP(A93,'Custo_Fopag (2)'!$A:$BQ,9,0)</f>
        <v>43858</v>
      </c>
      <c r="L93" s="52"/>
      <c r="M93" s="3"/>
      <c r="N93" s="3" t="str">
        <f>VLOOKUP(A93,'Custo_Fopag (2)'!$A:$BQ,11,0)</f>
        <v>1.7.3.3 OPERACIONAL</v>
      </c>
      <c r="O93" s="3" t="str">
        <f>VLOOKUP(A93,'Custo_Fopag (2)'!$A:$BQ,12,0)</f>
        <v>MOTORISTA CARRETEIRO MANTENEDOR SENIOR II</v>
      </c>
      <c r="P93" s="126">
        <f>VLOOKUP(A93,'Custo_Fopag (2)'!$A:$BQ,13,0)</f>
        <v>3091.39</v>
      </c>
      <c r="Q93" s="127">
        <f>VLOOKUP(A93,'Custo_Fopag (2)'!$A:$BQ,16,0)</f>
        <v>3091.39</v>
      </c>
      <c r="R93" s="56">
        <f>VLOOKUP(A93,'Custo_Fopag (2)'!$A:$BQ,17,0)</f>
        <v>0</v>
      </c>
      <c r="S93" s="54">
        <f>VLOOKUP(A93,'Custo_Fopag (2)'!$A:$BP,18,0)</f>
        <v>0</v>
      </c>
      <c r="T93" s="54">
        <f>VLOOKUP(A93,'Custo_Fopag (2)'!$A:$BQ,20,0)</f>
        <v>618.28</v>
      </c>
      <c r="U93" s="54">
        <f>VLOOKUP(A93,'Custo_Fopag (2)'!$A:$BQ,21,0)</f>
        <v>0</v>
      </c>
      <c r="V93" s="54">
        <f>VLOOKUP(A93,'Custo_Fopag (2)'!$A:$BQ,22,0)</f>
        <v>0</v>
      </c>
      <c r="W93" s="54">
        <f>VLOOKUP(A93,'Custo_Fopag (2)'!$A:$BQ,23,0)</f>
        <v>0</v>
      </c>
      <c r="X93" s="54">
        <f>VLOOKUP(A93,'Custo_Fopag (2)'!$A:$BQ,24,0)</f>
        <v>0</v>
      </c>
      <c r="Y93" s="55">
        <f>VLOOKUP(A93,'Custo_Fopag (2)'!$A:$BQ,25,0)</f>
        <v>0</v>
      </c>
      <c r="Z93" s="54">
        <f>VLOOKUP(A93,'Custo_Fopag (2)'!$A:$BQ,26,0)</f>
        <v>0</v>
      </c>
      <c r="AA93" s="54">
        <f>VLOOKUP(A93,'Custo_Fopag (2)'!$A:$BQ,27,0)</f>
        <v>646.94000000000005</v>
      </c>
      <c r="AB93" s="54">
        <f>VLOOKUP(A93,'Custo_Fopag (2)'!$A:$BQ,28,0)</f>
        <v>124.41</v>
      </c>
      <c r="AC93" s="54">
        <f>VLOOKUP(A93,'Custo_Fopag (2)'!$A:$BQ,29,0)</f>
        <v>0</v>
      </c>
      <c r="AD93" s="54">
        <f>VLOOKUP(A93,'Custo_Fopag (2)'!$A:$BQ,30,0)</f>
        <v>0</v>
      </c>
      <c r="AE93" s="54">
        <f>VLOOKUP(A93,'Custo_Fopag (2)'!$A:$BQ,31,0)</f>
        <v>0</v>
      </c>
      <c r="AF93" s="54">
        <f>VLOOKUP(A93,'Custo_Fopag (2)'!$A:$BQ,32,0)</f>
        <v>0</v>
      </c>
      <c r="AG93" s="54">
        <f t="shared" si="24"/>
        <v>4481.0200000000004</v>
      </c>
      <c r="AH93" s="121">
        <f>VLOOKUP(A93,'Custo_Fopag (2)'!$A:$BQ,45,0)</f>
        <v>0</v>
      </c>
      <c r="AI93" s="54">
        <f>_xlfn.XLOOKUP(A93,Beneficios!A:A,Beneficios!B:B,0,0,1)</f>
        <v>512.87</v>
      </c>
      <c r="AJ93" s="54">
        <f>VLOOKUP(A93,'Custo_Fopag (2)'!$A:$BQ,47,0)</f>
        <v>0</v>
      </c>
      <c r="AK93" s="54">
        <v>0</v>
      </c>
      <c r="AL93" s="54">
        <f>VLOOKUP(A93,'Custo_Fopag (2)'!$A:$BQ,35,0)</f>
        <v>2205</v>
      </c>
      <c r="AM93" s="54">
        <f>VLOOKUP(A93,'Custo_Fopag (2)'!$A:$BQ,36,0)</f>
        <v>0</v>
      </c>
      <c r="AN93" s="54">
        <f>VLOOKUP(A93,'Custo_Fopag (2)'!$A:$BQ,37,0)</f>
        <v>0</v>
      </c>
      <c r="AO93" s="54">
        <f>VLOOKUP(A93,'Custo_Fopag (2)'!$A:$BQ,39,0)</f>
        <v>0</v>
      </c>
      <c r="AP93" s="54">
        <f>VLOOKUP(A93,'Custo_Fopag (2)'!$A:$BQ,42,0)</f>
        <v>250</v>
      </c>
      <c r="AQ93" s="54">
        <f>VLOOKUP(A93,'Custo_Fopag (2)'!$A:$BQ,40,0)</f>
        <v>0</v>
      </c>
      <c r="AR93" s="54">
        <f>VLOOKUP(A93,'Custo_Fopag (2)'!$A:$BQ,41,0)</f>
        <v>0</v>
      </c>
      <c r="AS93" s="54">
        <f>VLOOKUP(A93,'Custo_Fopag (2)'!$A:$BQ,38,0)</f>
        <v>0</v>
      </c>
      <c r="AT93" s="54">
        <f>VLOOKUP(A93,'Custo_Fopag (2)'!$A:$BQ,43,0)</f>
        <v>0</v>
      </c>
      <c r="AU93" s="54">
        <f>VLOOKUP(A93,'Custo_Fopag (2)'!$A:$BQ,48,0)</f>
        <v>2730</v>
      </c>
      <c r="AV93" s="54">
        <f>VLOOKUP(A93,'Custo_Fopag (2)'!$A:$BQ,49,0)</f>
        <v>0</v>
      </c>
      <c r="AW93" s="54">
        <f>VLOOKUP(A93,'Custo_Fopag (2)'!$A:$BQ,19,0)</f>
        <v>0</v>
      </c>
      <c r="AX93" s="54">
        <f>VLOOKUP(A93,'Custo_Fopag (2)'!$A:$BQ,50,0)</f>
        <v>0</v>
      </c>
      <c r="AY93" s="54">
        <f>VLOOKUP(A93,'Custo_Fopag (2)'!$A:$BQ,51,0)</f>
        <v>0</v>
      </c>
      <c r="AZ93" s="117">
        <v>0</v>
      </c>
      <c r="BA93" s="54">
        <f>VLOOKUP(A93,'Custo_Fopag (2)'!$A:$BQ,54,0)</f>
        <v>0</v>
      </c>
      <c r="BB93" s="54">
        <f>VLOOKUP(A93,'Custo_Fopag (2)'!$A:$BQ,52,0)</f>
        <v>0</v>
      </c>
      <c r="BC93" s="122">
        <f t="shared" si="25"/>
        <v>5697.87</v>
      </c>
      <c r="BD93" s="54">
        <f t="shared" si="26"/>
        <v>10178.89</v>
      </c>
      <c r="BE93" s="57"/>
      <c r="BF93" s="54">
        <f t="shared" si="27"/>
        <v>10178.89</v>
      </c>
      <c r="BG93" s="54">
        <f t="shared" si="28"/>
        <v>373.41833333333335</v>
      </c>
      <c r="BH93" s="54">
        <f t="shared" si="29"/>
        <v>373.41833333333335</v>
      </c>
      <c r="BI93" s="54">
        <f t="shared" si="30"/>
        <v>124.47277777777778</v>
      </c>
      <c r="BJ93" s="54">
        <f t="shared" si="31"/>
        <v>871.30944444444447</v>
      </c>
      <c r="BK93" s="54">
        <f>VLOOKUP(A93,'Custo_Fopag (2)'!$A:$BQ,65,0)</f>
        <v>896.2</v>
      </c>
      <c r="BL93" s="54">
        <f>VLOOKUP(A93,'Custo_Fopag (2)'!$A:$BQP,66,0)</f>
        <v>67.209999999999994</v>
      </c>
      <c r="BM93" s="54">
        <f>VLOOKUP(A93,'Custo_Fopag (2)'!$A:$BQ,67,0)</f>
        <v>259.89</v>
      </c>
      <c r="BN93" s="54">
        <f>VLOOKUP(A93,'Custo_Fopag (2)'!$A:$BQ,64,0)</f>
        <v>358.48</v>
      </c>
      <c r="BO93" s="54">
        <f t="shared" si="32"/>
        <v>1581.7800000000002</v>
      </c>
      <c r="BP93" s="54">
        <f t="shared" si="33"/>
        <v>11760.67</v>
      </c>
      <c r="BQ93" s="54">
        <f t="shared" si="34"/>
        <v>12631.979444444445</v>
      </c>
      <c r="BR93" s="109">
        <f>VLOOKUP(A93,'Custo_Fopag (2)'!$A:$BQ,60,0)</f>
        <v>0</v>
      </c>
      <c r="BS93" s="83" t="str">
        <f t="shared" si="35"/>
        <v>Ativo</v>
      </c>
    </row>
    <row r="94" spans="1:71" s="59" customFormat="1" x14ac:dyDescent="0.25">
      <c r="A94" s="59" t="s">
        <v>168</v>
      </c>
      <c r="B94" s="88">
        <v>46082</v>
      </c>
      <c r="C94" s="59" t="s">
        <v>5</v>
      </c>
      <c r="D94" s="59" t="str">
        <f>VLOOKUP(A94,'Custo_Fopag (2)'!A:$BQ,4,0)</f>
        <v>G S FL 05 - BARUERI</v>
      </c>
      <c r="G94" s="59" t="str">
        <f>VLOOKUP(A94,'Custo_Fopag (2)'!$A:$BQ,5,0)</f>
        <v>20.504.237/0005-40</v>
      </c>
      <c r="H94" s="59" t="str">
        <f>VLOOKUP(A94,'Custo_Fopag (2)'!$A:$BQ,6,0)</f>
        <v>OPERACIONAL</v>
      </c>
      <c r="I94" s="59" t="str">
        <f>VLOOKUP(A94,'Custo_Fopag (2)'!$A:$BQ,7,0)</f>
        <v>ARCELOR/BARRA MANSA - RJ</v>
      </c>
      <c r="J94" s="59" t="str">
        <f>VLOOKUP(A94,'Custo_Fopag (2)'!$A:$BQ,8,0)</f>
        <v>EKIPA LOCACOES E SERV G&amp;S</v>
      </c>
      <c r="K94" s="78">
        <f>VLOOKUP(A94,'Custo_Fopag (2)'!$A:$BQ,9,0)</f>
        <v>44876</v>
      </c>
      <c r="L94" s="52"/>
      <c r="M94" s="3"/>
      <c r="N94" s="3" t="str">
        <f>VLOOKUP(A94,'Custo_Fopag (2)'!$A:$BQ,11,0)</f>
        <v>1.7.1.3.1 ARCELOR/BARRA MANS</v>
      </c>
      <c r="O94" s="3" t="str">
        <f>VLOOKUP(A94,'Custo_Fopag (2)'!$A:$BQ,12,0)</f>
        <v>OPERADOR MANTENEDOR SENIOR</v>
      </c>
      <c r="P94" s="126">
        <f>VLOOKUP(A94,'Custo_Fopag (2)'!$A:$BQ,13,0)</f>
        <v>3158.66</v>
      </c>
      <c r="Q94" s="127">
        <f>VLOOKUP(A94,'Custo_Fopag (2)'!$A:$BQ,16,0)</f>
        <v>3158.66</v>
      </c>
      <c r="R94" s="56">
        <f>VLOOKUP(A94,'Custo_Fopag (2)'!$A:$BQ,17,0)</f>
        <v>0</v>
      </c>
      <c r="S94" s="54">
        <f>VLOOKUP(A94,'Custo_Fopag (2)'!$A:$BP,18,0)</f>
        <v>0</v>
      </c>
      <c r="T94" s="54">
        <f>VLOOKUP(A94,'Custo_Fopag (2)'!$A:$BQ,20,0)</f>
        <v>631.73</v>
      </c>
      <c r="U94" s="54">
        <f>VLOOKUP(A94,'Custo_Fopag (2)'!$A:$BQ,21,0)</f>
        <v>0</v>
      </c>
      <c r="V94" s="54">
        <f>VLOOKUP(A94,'Custo_Fopag (2)'!$A:$BQ,22,0)</f>
        <v>0</v>
      </c>
      <c r="W94" s="54">
        <f>VLOOKUP(A94,'Custo_Fopag (2)'!$A:$BQ,23,0)</f>
        <v>0</v>
      </c>
      <c r="X94" s="54">
        <f>VLOOKUP(A94,'Custo_Fopag (2)'!$A:$BQ,24,0)</f>
        <v>0</v>
      </c>
      <c r="Y94" s="55">
        <f>VLOOKUP(A94,'Custo_Fopag (2)'!$A:$BQ,25,0)</f>
        <v>0</v>
      </c>
      <c r="Z94" s="54">
        <f>VLOOKUP(A94,'Custo_Fopag (2)'!$A:$BQ,26,0)</f>
        <v>43.61</v>
      </c>
      <c r="AA94" s="54">
        <f>VLOOKUP(A94,'Custo_Fopag (2)'!$A:$BQ,27,0)</f>
        <v>0</v>
      </c>
      <c r="AB94" s="54">
        <f>VLOOKUP(A94,'Custo_Fopag (2)'!$A:$BQ,28,0)</f>
        <v>0</v>
      </c>
      <c r="AC94" s="54">
        <f>VLOOKUP(A94,'Custo_Fopag (2)'!$A:$BQ,29,0)</f>
        <v>0</v>
      </c>
      <c r="AD94" s="54">
        <f>VLOOKUP(A94,'Custo_Fopag (2)'!$A:$BQ,30,0)</f>
        <v>0</v>
      </c>
      <c r="AE94" s="54">
        <f>VLOOKUP(A94,'Custo_Fopag (2)'!$A:$BQ,31,0)</f>
        <v>0</v>
      </c>
      <c r="AF94" s="54">
        <f>VLOOKUP(A94,'Custo_Fopag (2)'!$A:$BQ,32,0)</f>
        <v>0</v>
      </c>
      <c r="AG94" s="54">
        <f t="shared" si="24"/>
        <v>3834</v>
      </c>
      <c r="AH94" s="121">
        <f>VLOOKUP(A94,'Custo_Fopag (2)'!$A:$BQ,45,0)</f>
        <v>0</v>
      </c>
      <c r="AI94" s="54">
        <f>_xlfn.XLOOKUP(A94,'Custo_Fopag (2)'!A:A,'Custo_Fopag (2)'!AT:AT,0,0,1)</f>
        <v>250</v>
      </c>
      <c r="AJ94" s="54">
        <f>VLOOKUP(A94,'Custo_Fopag (2)'!$A:$BQ,47,0)</f>
        <v>0</v>
      </c>
      <c r="AK94" s="54">
        <v>0</v>
      </c>
      <c r="AL94" s="54">
        <f>VLOOKUP(A94,'Custo_Fopag (2)'!$A:$BQ,35,0)</f>
        <v>0</v>
      </c>
      <c r="AM94" s="54">
        <f>VLOOKUP(A94,'Custo_Fopag (2)'!$A:$BQ,36,0)</f>
        <v>0</v>
      </c>
      <c r="AN94" s="54">
        <f>VLOOKUP(A94,'Custo_Fopag (2)'!$A:$BQ,37,0)</f>
        <v>0</v>
      </c>
      <c r="AO94" s="54">
        <f>VLOOKUP(A94,'Custo_Fopag (2)'!$A:$BQ,39,0)</f>
        <v>0</v>
      </c>
      <c r="AP94" s="54">
        <f>VLOOKUP(A94,'Custo_Fopag (2)'!$A:$BQ,42,0)</f>
        <v>0</v>
      </c>
      <c r="AQ94" s="54">
        <f>VLOOKUP(A94,'Custo_Fopag (2)'!$A:$BQ,40,0)</f>
        <v>742.5</v>
      </c>
      <c r="AR94" s="54">
        <f>VLOOKUP(A94,'Custo_Fopag (2)'!$A:$BQ,41,0)</f>
        <v>0</v>
      </c>
      <c r="AS94" s="54">
        <f>VLOOKUP(A94,'Custo_Fopag (2)'!$A:$BQ,38,0)</f>
        <v>0</v>
      </c>
      <c r="AT94" s="54">
        <f>VLOOKUP(A94,'Custo_Fopag (2)'!$A:$BQ,43,0)</f>
        <v>0</v>
      </c>
      <c r="AU94" s="54">
        <f>VLOOKUP(A94,'Custo_Fopag (2)'!$A:$BQ,48,0)</f>
        <v>0</v>
      </c>
      <c r="AV94" s="54">
        <f>VLOOKUP(A94,'Custo_Fopag (2)'!$A:$BQ,49,0)</f>
        <v>0</v>
      </c>
      <c r="AW94" s="54">
        <f>VLOOKUP(A94,'Custo_Fopag (2)'!$A:$BQ,19,0)</f>
        <v>0</v>
      </c>
      <c r="AX94" s="54">
        <f>VLOOKUP(A94,'Custo_Fopag (2)'!$A:$BQ,50,0)</f>
        <v>0</v>
      </c>
      <c r="AY94" s="54">
        <f>VLOOKUP(A94,'Custo_Fopag (2)'!$A:$BQ,51,0)</f>
        <v>0</v>
      </c>
      <c r="AZ94" s="117">
        <v>0</v>
      </c>
      <c r="BA94" s="54">
        <f>VLOOKUP(A94,'Custo_Fopag (2)'!$A:$BQ,54,0)</f>
        <v>0</v>
      </c>
      <c r="BB94" s="54">
        <f>VLOOKUP(A94,'Custo_Fopag (2)'!$A:$BQ,52,0)</f>
        <v>0</v>
      </c>
      <c r="BC94" s="122">
        <f t="shared" si="25"/>
        <v>992.5</v>
      </c>
      <c r="BD94" s="54">
        <f t="shared" si="26"/>
        <v>4826.5</v>
      </c>
      <c r="BE94" s="57"/>
      <c r="BF94" s="54">
        <f t="shared" si="27"/>
        <v>4826.5</v>
      </c>
      <c r="BG94" s="54">
        <f t="shared" si="28"/>
        <v>319.5</v>
      </c>
      <c r="BH94" s="54">
        <f t="shared" si="29"/>
        <v>319.5</v>
      </c>
      <c r="BI94" s="54">
        <f t="shared" si="30"/>
        <v>106.5</v>
      </c>
      <c r="BJ94" s="54">
        <f t="shared" si="31"/>
        <v>745.5</v>
      </c>
      <c r="BK94" s="54">
        <f>VLOOKUP(A94,'Custo_Fopag (2)'!$A:$BQ,65,0)</f>
        <v>766.8</v>
      </c>
      <c r="BL94" s="54">
        <f>VLOOKUP(A94,'Custo_Fopag (2)'!$A:$BQP,66,0)</f>
        <v>57.51</v>
      </c>
      <c r="BM94" s="54">
        <f>VLOOKUP(A94,'Custo_Fopag (2)'!$A:$BQ,67,0)</f>
        <v>222.37</v>
      </c>
      <c r="BN94" s="54">
        <f>VLOOKUP(A94,'Custo_Fopag (2)'!$A:$BQ,64,0)</f>
        <v>306.72000000000003</v>
      </c>
      <c r="BO94" s="54">
        <f t="shared" si="32"/>
        <v>1353.3999999999999</v>
      </c>
      <c r="BP94" s="54">
        <f t="shared" si="33"/>
        <v>6179.9</v>
      </c>
      <c r="BQ94" s="54">
        <f t="shared" si="34"/>
        <v>6925.4</v>
      </c>
      <c r="BR94" s="109">
        <f>VLOOKUP(A94,'Custo_Fopag (2)'!$A:$BQ,60,0)</f>
        <v>0</v>
      </c>
      <c r="BS94" s="83" t="str">
        <f t="shared" si="35"/>
        <v>Ativo</v>
      </c>
    </row>
    <row r="95" spans="1:71" s="59" customFormat="1" x14ac:dyDescent="0.25">
      <c r="A95" s="59" t="s">
        <v>227</v>
      </c>
      <c r="B95" s="88">
        <v>46082</v>
      </c>
      <c r="C95" s="59" t="s">
        <v>5</v>
      </c>
      <c r="D95" s="59" t="str">
        <f>VLOOKUP(A95,'Custo_Fopag (2)'!A:$BQ,4,0)</f>
        <v>G3S FL 10 - PRES PRUD</v>
      </c>
      <c r="G95" s="59" t="str">
        <f>VLOOKUP(A95,'Custo_Fopag (2)'!$A:$BQ,5,0)</f>
        <v>20.947.332/0010-86</v>
      </c>
      <c r="H95" s="59" t="str">
        <f>VLOOKUP(A95,'Custo_Fopag (2)'!$A:$BQ,6,0)</f>
        <v>ADMINISTRATIVO</v>
      </c>
      <c r="I95" s="59" t="str">
        <f>VLOOKUP(A95,'Custo_Fopag (2)'!$A:$BQ,7,0)</f>
        <v>FINANCEIRO</v>
      </c>
      <c r="J95" s="59" t="str">
        <f>VLOOKUP(A95,'Custo_Fopag (2)'!$A:$BQ,8,0)</f>
        <v>PILARES</v>
      </c>
      <c r="K95" s="78">
        <f>VLOOKUP(A95,'Custo_Fopag (2)'!$A:$BQ,9,0)</f>
        <v>45562</v>
      </c>
      <c r="L95" s="52"/>
      <c r="M95" s="3"/>
      <c r="N95" s="3" t="str">
        <f>VLOOKUP(A95,'Custo_Fopag (2)'!$A:$BQ,11,0)</f>
        <v>1.1.3 FINANCEIRO</v>
      </c>
      <c r="O95" s="3" t="str">
        <f>VLOOKUP(A95,'Custo_Fopag (2)'!$A:$BQ,12,0)</f>
        <v>ANALISTA FINANCEIRO JUNIOR</v>
      </c>
      <c r="P95" s="126">
        <f>VLOOKUP(A95,'Custo_Fopag (2)'!$A:$BQ,13,0)</f>
        <v>2656.25</v>
      </c>
      <c r="Q95" s="127">
        <f>VLOOKUP(A95,'Custo_Fopag (2)'!$A:$BQ,16,0)</f>
        <v>2656.25</v>
      </c>
      <c r="R95" s="56">
        <f>VLOOKUP(A95,'Custo_Fopag (2)'!$A:$BQ,17,0)</f>
        <v>0</v>
      </c>
      <c r="S95" s="54">
        <f>VLOOKUP(A95,'Custo_Fopag (2)'!$A:$BP,18,0)</f>
        <v>0</v>
      </c>
      <c r="T95" s="54">
        <f>VLOOKUP(A95,'Custo_Fopag (2)'!$A:$BQ,20,0)</f>
        <v>0</v>
      </c>
      <c r="U95" s="54">
        <f>VLOOKUP(A95,'Custo_Fopag (2)'!$A:$BQ,21,0)</f>
        <v>0</v>
      </c>
      <c r="V95" s="54">
        <f>VLOOKUP(A95,'Custo_Fopag (2)'!$A:$BQ,22,0)</f>
        <v>0</v>
      </c>
      <c r="W95" s="54">
        <f>VLOOKUP(A95,'Custo_Fopag (2)'!$A:$BQ,23,0)</f>
        <v>0</v>
      </c>
      <c r="X95" s="54">
        <f>VLOOKUP(A95,'Custo_Fopag (2)'!$A:$BQ,24,0)</f>
        <v>0</v>
      </c>
      <c r="Y95" s="55">
        <f>VLOOKUP(A95,'Custo_Fopag (2)'!$A:$BQ,25,0)</f>
        <v>0</v>
      </c>
      <c r="Z95" s="54">
        <f>VLOOKUP(A95,'Custo_Fopag (2)'!$A:$BQ,26,0)</f>
        <v>0</v>
      </c>
      <c r="AA95" s="54">
        <f>VLOOKUP(A95,'Custo_Fopag (2)'!$A:$BQ,27,0)</f>
        <v>0</v>
      </c>
      <c r="AB95" s="54">
        <f>VLOOKUP(A95,'Custo_Fopag (2)'!$A:$BQ,28,0)</f>
        <v>0</v>
      </c>
      <c r="AC95" s="54">
        <f>VLOOKUP(A95,'Custo_Fopag (2)'!$A:$BQ,29,0)</f>
        <v>0</v>
      </c>
      <c r="AD95" s="54">
        <f>VLOOKUP(A95,'Custo_Fopag (2)'!$A:$BQ,30,0)</f>
        <v>0</v>
      </c>
      <c r="AE95" s="54">
        <f>VLOOKUP(A95,'Custo_Fopag (2)'!$A:$BQ,31,0)</f>
        <v>0</v>
      </c>
      <c r="AF95" s="54">
        <f>VLOOKUP(A95,'Custo_Fopag (2)'!$A:$BQ,32,0)</f>
        <v>0</v>
      </c>
      <c r="AG95" s="54">
        <f t="shared" si="24"/>
        <v>2656.25</v>
      </c>
      <c r="AH95" s="121">
        <f>VLOOKUP(A95,'Custo_Fopag (2)'!$A:$BQ,45,0)</f>
        <v>0</v>
      </c>
      <c r="AI95" s="54">
        <f>_xlfn.XLOOKUP(A95,Beneficios!A:A,Beneficios!B:B,0,0,1)</f>
        <v>521.87</v>
      </c>
      <c r="AJ95" s="54">
        <f>VLOOKUP(A95,'Custo_Fopag (2)'!$A:$BQ,47,0)</f>
        <v>0</v>
      </c>
      <c r="AK95" s="54">
        <v>0</v>
      </c>
      <c r="AL95" s="54">
        <f>VLOOKUP(A95,'Custo_Fopag (2)'!$A:$BQ,35,0)</f>
        <v>0</v>
      </c>
      <c r="AM95" s="54">
        <f>VLOOKUP(A95,'Custo_Fopag (2)'!$A:$BQ,36,0)</f>
        <v>0</v>
      </c>
      <c r="AN95" s="54">
        <f>VLOOKUP(A95,'Custo_Fopag (2)'!$A:$BQ,37,0)</f>
        <v>0</v>
      </c>
      <c r="AO95" s="54">
        <f>VLOOKUP(A95,'Custo_Fopag (2)'!$A:$BQ,39,0)</f>
        <v>0</v>
      </c>
      <c r="AP95" s="54">
        <f>VLOOKUP(A95,'Custo_Fopag (2)'!$A:$BQ,42,0)</f>
        <v>0</v>
      </c>
      <c r="AQ95" s="54">
        <f>VLOOKUP(A95,'Custo_Fopag (2)'!$A:$BQ,40,0)</f>
        <v>0</v>
      </c>
      <c r="AR95" s="54">
        <f>VLOOKUP(A95,'Custo_Fopag (2)'!$A:$BQ,41,0)</f>
        <v>0</v>
      </c>
      <c r="AS95" s="54">
        <f>VLOOKUP(A95,'Custo_Fopag (2)'!$A:$BQ,38,0)</f>
        <v>0</v>
      </c>
      <c r="AT95" s="54">
        <f>VLOOKUP(A95,'Custo_Fopag (2)'!$A:$BQ,43,0)</f>
        <v>0</v>
      </c>
      <c r="AU95" s="54">
        <f>VLOOKUP(A95,'Custo_Fopag (2)'!$A:$BQ,48,0)</f>
        <v>0</v>
      </c>
      <c r="AV95" s="54">
        <f>VLOOKUP(A95,'Custo_Fopag (2)'!$A:$BQ,49,0)</f>
        <v>0</v>
      </c>
      <c r="AW95" s="54">
        <f>VLOOKUP(A95,'Custo_Fopag (2)'!$A:$BQ,19,0)</f>
        <v>0</v>
      </c>
      <c r="AX95" s="54">
        <f>VLOOKUP(A95,'Custo_Fopag (2)'!$A:$BQ,50,0)</f>
        <v>0</v>
      </c>
      <c r="AY95" s="54">
        <f>VLOOKUP(A95,'Custo_Fopag (2)'!$A:$BQ,51,0)</f>
        <v>0</v>
      </c>
      <c r="AZ95" s="117">
        <v>0</v>
      </c>
      <c r="BA95" s="54">
        <f>VLOOKUP(A95,'Custo_Fopag (2)'!$A:$BQ,54,0)</f>
        <v>0</v>
      </c>
      <c r="BB95" s="54">
        <f>VLOOKUP(A95,'Custo_Fopag (2)'!$A:$BQ,52,0)</f>
        <v>0</v>
      </c>
      <c r="BC95" s="122">
        <f t="shared" si="25"/>
        <v>521.87</v>
      </c>
      <c r="BD95" s="54">
        <f t="shared" si="26"/>
        <v>3178.12</v>
      </c>
      <c r="BE95" s="57"/>
      <c r="BF95" s="54">
        <f t="shared" si="27"/>
        <v>3178.12</v>
      </c>
      <c r="BG95" s="54">
        <f t="shared" si="28"/>
        <v>221.35416666666666</v>
      </c>
      <c r="BH95" s="54">
        <f t="shared" si="29"/>
        <v>221.35416666666666</v>
      </c>
      <c r="BI95" s="54">
        <f t="shared" si="30"/>
        <v>73.784722222222214</v>
      </c>
      <c r="BJ95" s="54">
        <f t="shared" si="31"/>
        <v>516.49305555555554</v>
      </c>
      <c r="BK95" s="54">
        <f>VLOOKUP(A95,'Custo_Fopag (2)'!$A:$BQ,65,0)</f>
        <v>531.25</v>
      </c>
      <c r="BL95" s="54">
        <f>VLOOKUP(A95,'Custo_Fopag (2)'!$A:$BQP,66,0)</f>
        <v>79.680000000000007</v>
      </c>
      <c r="BM95" s="54">
        <f>VLOOKUP(A95,'Custo_Fopag (2)'!$A:$BQ,67,0)</f>
        <v>154.06</v>
      </c>
      <c r="BN95" s="54">
        <f>VLOOKUP(A95,'Custo_Fopag (2)'!$A:$BQ,64,0)</f>
        <v>212.5</v>
      </c>
      <c r="BO95" s="54">
        <f t="shared" si="32"/>
        <v>977.49</v>
      </c>
      <c r="BP95" s="54">
        <f t="shared" si="33"/>
        <v>4155.6099999999997</v>
      </c>
      <c r="BQ95" s="54">
        <f t="shared" si="34"/>
        <v>4672.1030555555553</v>
      </c>
      <c r="BR95" s="109">
        <f>VLOOKUP(A95,'Custo_Fopag (2)'!$A:$BQ,60,0)</f>
        <v>0</v>
      </c>
      <c r="BS95" s="83" t="str">
        <f t="shared" si="35"/>
        <v>Ativo</v>
      </c>
    </row>
    <row r="96" spans="1:71" s="59" customFormat="1" x14ac:dyDescent="0.25">
      <c r="A96" s="59" t="s">
        <v>136</v>
      </c>
      <c r="B96" s="88">
        <v>46082</v>
      </c>
      <c r="C96" s="59" t="s">
        <v>5</v>
      </c>
      <c r="D96" s="59" t="str">
        <f>VLOOKUP(A96,'Custo_Fopag (2)'!A:$BQ,4,0)</f>
        <v>G S FL 04 - MARINGA</v>
      </c>
      <c r="G96" s="59" t="str">
        <f>VLOOKUP(A96,'Custo_Fopag (2)'!$A:$BQ,5,0)</f>
        <v>20.504.237/0004-60</v>
      </c>
      <c r="H96" s="59" t="str">
        <f>VLOOKUP(A96,'Custo_Fopag (2)'!$A:$BQ,6,0)</f>
        <v>LOGISTICA</v>
      </c>
      <c r="I96" s="59" t="str">
        <f>VLOOKUP(A96,'Custo_Fopag (2)'!$A:$BQ,7,0)</f>
        <v>TRANSPORTE</v>
      </c>
      <c r="J96" s="59" t="str">
        <f>VLOOKUP(A96,'Custo_Fopag (2)'!$A:$BQ,8,0)</f>
        <v>SELETIVA MARINGA DISTRITO</v>
      </c>
      <c r="K96" s="78">
        <f>VLOOKUP(A96,'Custo_Fopag (2)'!$A:$BQ,9,0)</f>
        <v>45117</v>
      </c>
      <c r="L96" s="52"/>
      <c r="M96" s="3"/>
      <c r="N96" s="3" t="str">
        <f>VLOOKUP(A96,'Custo_Fopag (2)'!$A:$BQ,11,0)</f>
        <v>1.7.7.4 LOGISTICA</v>
      </c>
      <c r="O96" s="3" t="str">
        <f>VLOOKUP(A96,'Custo_Fopag (2)'!$A:$BQ,12,0)</f>
        <v>MOTORISTA CARRETEIRO MANTENEDOR SENIOR I</v>
      </c>
      <c r="P96" s="126">
        <f>VLOOKUP(A96,'Custo_Fopag (2)'!$A:$BQ,13,0)</f>
        <v>3345</v>
      </c>
      <c r="Q96" s="127">
        <f>VLOOKUP(A96,'Custo_Fopag (2)'!$A:$BQ,16,0)</f>
        <v>3345</v>
      </c>
      <c r="R96" s="56">
        <f>VLOOKUP(A96,'Custo_Fopag (2)'!$A:$BQ,17,0)</f>
        <v>0</v>
      </c>
      <c r="S96" s="54">
        <f>VLOOKUP(A96,'Custo_Fopag (2)'!$A:$BP,18,0)</f>
        <v>0</v>
      </c>
      <c r="T96" s="54">
        <f>VLOOKUP(A96,'Custo_Fopag (2)'!$A:$BQ,20,0)</f>
        <v>669</v>
      </c>
      <c r="U96" s="54">
        <f>VLOOKUP(A96,'Custo_Fopag (2)'!$A:$BQ,21,0)</f>
        <v>0</v>
      </c>
      <c r="V96" s="54">
        <f>VLOOKUP(A96,'Custo_Fopag (2)'!$A:$BQ,22,0)</f>
        <v>0</v>
      </c>
      <c r="W96" s="54">
        <f>VLOOKUP(A96,'Custo_Fopag (2)'!$A:$BQ,23,0)</f>
        <v>0</v>
      </c>
      <c r="X96" s="54">
        <f>VLOOKUP(A96,'Custo_Fopag (2)'!$A:$BQ,24,0)</f>
        <v>0</v>
      </c>
      <c r="Y96" s="55">
        <f>VLOOKUP(A96,'Custo_Fopag (2)'!$A:$BQ,25,0)</f>
        <v>0</v>
      </c>
      <c r="Z96" s="54">
        <f>VLOOKUP(A96,'Custo_Fopag (2)'!$A:$BQ,26,0)</f>
        <v>2.97</v>
      </c>
      <c r="AA96" s="54">
        <f>VLOOKUP(A96,'Custo_Fopag (2)'!$A:$BQ,27,0)</f>
        <v>1235.55</v>
      </c>
      <c r="AB96" s="54">
        <f>VLOOKUP(A96,'Custo_Fopag (2)'!$A:$BQ,28,0)</f>
        <v>237.61</v>
      </c>
      <c r="AC96" s="54">
        <f>VLOOKUP(A96,'Custo_Fopag (2)'!$A:$BQ,29,0)</f>
        <v>0</v>
      </c>
      <c r="AD96" s="54">
        <f>VLOOKUP(A96,'Custo_Fopag (2)'!$A:$BQ,30,0)</f>
        <v>0</v>
      </c>
      <c r="AE96" s="54">
        <f>VLOOKUP(A96,'Custo_Fopag (2)'!$A:$BQ,31,0)</f>
        <v>0</v>
      </c>
      <c r="AF96" s="54">
        <f>VLOOKUP(A96,'Custo_Fopag (2)'!$A:$BQ,32,0)</f>
        <v>0</v>
      </c>
      <c r="AG96" s="54">
        <f t="shared" si="24"/>
        <v>5490.1299999999992</v>
      </c>
      <c r="AH96" s="121">
        <f>VLOOKUP(A96,'Custo_Fopag (2)'!$A:$BQ,45,0)</f>
        <v>0</v>
      </c>
      <c r="AI96" s="54">
        <f>_xlfn.XLOOKUP(A96,Beneficios!A:A,Beneficios!B:B,0,0,1)</f>
        <v>512.87</v>
      </c>
      <c r="AJ96" s="54">
        <f>VLOOKUP(A96,'Custo_Fopag (2)'!$A:$BQ,47,0)</f>
        <v>0</v>
      </c>
      <c r="AK96" s="54">
        <v>0</v>
      </c>
      <c r="AL96" s="54">
        <f>VLOOKUP(A96,'Custo_Fopag (2)'!$A:$BQ,35,0)</f>
        <v>0</v>
      </c>
      <c r="AM96" s="54">
        <f>VLOOKUP(A96,'Custo_Fopag (2)'!$A:$BQ,36,0)</f>
        <v>686.3</v>
      </c>
      <c r="AN96" s="54">
        <f>VLOOKUP(A96,'Custo_Fopag (2)'!$A:$BQ,37,0)</f>
        <v>0</v>
      </c>
      <c r="AO96" s="54">
        <f>VLOOKUP(A96,'Custo_Fopag (2)'!$A:$BQ,39,0)</f>
        <v>0</v>
      </c>
      <c r="AP96" s="54">
        <f>VLOOKUP(A96,'Custo_Fopag (2)'!$A:$BQ,42,0)</f>
        <v>0</v>
      </c>
      <c r="AQ96" s="54">
        <f>VLOOKUP(A96,'Custo_Fopag (2)'!$A:$BQ,40,0)</f>
        <v>0</v>
      </c>
      <c r="AR96" s="54">
        <f>VLOOKUP(A96,'Custo_Fopag (2)'!$A:$BQ,41,0)</f>
        <v>252.45</v>
      </c>
      <c r="AS96" s="54">
        <f>VLOOKUP(A96,'Custo_Fopag (2)'!$A:$BQ,38,0)</f>
        <v>0</v>
      </c>
      <c r="AT96" s="54">
        <f>VLOOKUP(A96,'Custo_Fopag (2)'!$A:$BQ,43,0)</f>
        <v>0</v>
      </c>
      <c r="AU96" s="54">
        <f>VLOOKUP(A96,'Custo_Fopag (2)'!$A:$BQ,48,0)</f>
        <v>776.61</v>
      </c>
      <c r="AV96" s="54">
        <f>VLOOKUP(A96,'Custo_Fopag (2)'!$A:$BQ,49,0)</f>
        <v>0</v>
      </c>
      <c r="AW96" s="54">
        <f>VLOOKUP(A96,'Custo_Fopag (2)'!$A:$BQ,19,0)</f>
        <v>0</v>
      </c>
      <c r="AX96" s="54">
        <f>VLOOKUP(A96,'Custo_Fopag (2)'!$A:$BQ,50,0)</f>
        <v>0</v>
      </c>
      <c r="AY96" s="54">
        <f>VLOOKUP(A96,'Custo_Fopag (2)'!$A:$BQ,51,0)</f>
        <v>0</v>
      </c>
      <c r="AZ96" s="117">
        <v>0</v>
      </c>
      <c r="BA96" s="54">
        <f>VLOOKUP(A96,'Custo_Fopag (2)'!$A:$BQ,54,0)</f>
        <v>0</v>
      </c>
      <c r="BB96" s="54">
        <f>VLOOKUP(A96,'Custo_Fopag (2)'!$A:$BQ,52,0)</f>
        <v>0</v>
      </c>
      <c r="BC96" s="122">
        <f t="shared" si="25"/>
        <v>2228.23</v>
      </c>
      <c r="BD96" s="54">
        <f t="shared" si="26"/>
        <v>7718.3599999999988</v>
      </c>
      <c r="BE96" s="57"/>
      <c r="BF96" s="54">
        <f t="shared" si="27"/>
        <v>7718.3599999999988</v>
      </c>
      <c r="BG96" s="54">
        <f t="shared" si="28"/>
        <v>457.51083333333327</v>
      </c>
      <c r="BH96" s="54">
        <f t="shared" si="29"/>
        <v>457.51083333333327</v>
      </c>
      <c r="BI96" s="54">
        <f t="shared" si="30"/>
        <v>152.5036111111111</v>
      </c>
      <c r="BJ96" s="54">
        <f t="shared" si="31"/>
        <v>1067.5252777777775</v>
      </c>
      <c r="BK96" s="54">
        <f>VLOOKUP(A96,'Custo_Fopag (2)'!$A:$BQ,65,0)</f>
        <v>1098.03</v>
      </c>
      <c r="BL96" s="54">
        <f>VLOOKUP(A96,'Custo_Fopag (2)'!$A:$BQP,66,0)</f>
        <v>164.7</v>
      </c>
      <c r="BM96" s="54">
        <f>VLOOKUP(A96,'Custo_Fopag (2)'!$A:$BQ,67,0)</f>
        <v>318.42</v>
      </c>
      <c r="BN96" s="54">
        <f>VLOOKUP(A96,'Custo_Fopag (2)'!$A:$BQ,64,0)</f>
        <v>439.21</v>
      </c>
      <c r="BO96" s="54">
        <f t="shared" si="32"/>
        <v>2020.3600000000001</v>
      </c>
      <c r="BP96" s="54">
        <f t="shared" si="33"/>
        <v>9738.7199999999993</v>
      </c>
      <c r="BQ96" s="54">
        <f t="shared" si="34"/>
        <v>10806.245277777776</v>
      </c>
      <c r="BR96" s="109">
        <f>VLOOKUP(A96,'Custo_Fopag (2)'!$A:$BQ,60,0)</f>
        <v>0</v>
      </c>
      <c r="BS96" s="83" t="str">
        <f t="shared" si="35"/>
        <v>Ativo</v>
      </c>
    </row>
    <row r="97" spans="1:71" s="59" customFormat="1" x14ac:dyDescent="0.25">
      <c r="A97" s="3" t="s">
        <v>256</v>
      </c>
      <c r="B97" s="88">
        <v>46082</v>
      </c>
      <c r="C97" s="3" t="s">
        <v>6</v>
      </c>
      <c r="D97" s="59" t="str">
        <f>VLOOKUP(A97,'Custo_Fopag (2)'!A:$BQ,4,0)</f>
        <v>G3S FL 10 - PRES PRUD</v>
      </c>
      <c r="G97" s="59" t="str">
        <f>VLOOKUP(A97,'Custo_Fopag (2)'!$A:$BQ,5,0)</f>
        <v>20.947.332/0010-86</v>
      </c>
      <c r="H97" s="59" t="str">
        <f>VLOOKUP(A97,'Custo_Fopag (2)'!$A:$BQ,6,0)</f>
        <v>GESTÃO DE GENTE</v>
      </c>
      <c r="I97" s="59" t="str">
        <f>VLOOKUP(A97,'Custo_Fopag (2)'!$A:$BQ,7,0)</f>
        <v>DEPTO PESSOAL</v>
      </c>
      <c r="J97" s="59" t="str">
        <f>VLOOKUP(A97,'Custo_Fopag (2)'!$A:$BQ,8,0)</f>
        <v>PILARES</v>
      </c>
      <c r="K97" s="78">
        <f>VLOOKUP(A97,'Custo_Fopag (2)'!$A:$BQ,9,0)</f>
        <v>46071</v>
      </c>
      <c r="L97" s="52"/>
      <c r="M97" s="3"/>
      <c r="N97" s="3" t="str">
        <f>VLOOKUP(A97,'Custo_Fopag (2)'!$A:$BQ,11,0)</f>
        <v>1.1.10 PESSOAS</v>
      </c>
      <c r="O97" s="3" t="str">
        <f>VLOOKUP(A97,'Custo_Fopag (2)'!$A:$BQ,12,0)</f>
        <v>AUXILIAR ADMINISTRATIVO - ESTAGIARIO(A)</v>
      </c>
      <c r="P97" s="126">
        <f>VLOOKUP(A97,'Custo_Fopag (2)'!$A:$BQ,13,0)</f>
        <v>1000</v>
      </c>
      <c r="Q97" s="127">
        <f>VLOOKUP(A97,'Custo_Fopag (2)'!$A:$BQ,16,0)</f>
        <v>0</v>
      </c>
      <c r="R97" s="56">
        <f>VLOOKUP(A97,'Custo_Fopag (2)'!$A:$BQ,17,0)</f>
        <v>0</v>
      </c>
      <c r="S97" s="54">
        <f>VLOOKUP(A97,'Custo_Fopag (2)'!$A:$BP,18,0)</f>
        <v>0</v>
      </c>
      <c r="T97" s="54">
        <f>VLOOKUP(A97,'Custo_Fopag (2)'!$A:$BQ,20,0)</f>
        <v>0</v>
      </c>
      <c r="U97" s="54">
        <f>VLOOKUP(A97,'Custo_Fopag (2)'!$A:$BQ,21,0)</f>
        <v>0</v>
      </c>
      <c r="V97" s="54">
        <f>VLOOKUP(A97,'Custo_Fopag (2)'!$A:$BQ,22,0)</f>
        <v>0</v>
      </c>
      <c r="W97" s="54">
        <f>VLOOKUP(A97,'Custo_Fopag (2)'!$A:$BQ,23,0)</f>
        <v>0</v>
      </c>
      <c r="X97" s="54">
        <f>VLOOKUP(A97,'Custo_Fopag (2)'!$A:$BQ,24,0)</f>
        <v>0</v>
      </c>
      <c r="Y97" s="55">
        <f>VLOOKUP(A97,'Custo_Fopag (2)'!$A:$BQ,25,0)</f>
        <v>0</v>
      </c>
      <c r="Z97" s="54">
        <f>VLOOKUP(A97,'Custo_Fopag (2)'!$A:$BQ,26,0)</f>
        <v>0</v>
      </c>
      <c r="AA97" s="54">
        <f>VLOOKUP(A97,'Custo_Fopag (2)'!$A:$BQ,27,0)</f>
        <v>0</v>
      </c>
      <c r="AB97" s="54">
        <f>VLOOKUP(A97,'Custo_Fopag (2)'!$A:$BQ,28,0)</f>
        <v>0</v>
      </c>
      <c r="AC97" s="54">
        <f>VLOOKUP(A97,'Custo_Fopag (2)'!$A:$BQ,29,0)</f>
        <v>0</v>
      </c>
      <c r="AD97" s="54">
        <f>VLOOKUP(A97,'Custo_Fopag (2)'!$A:$BQ,30,0)</f>
        <v>0</v>
      </c>
      <c r="AE97" s="54">
        <f>VLOOKUP(A97,'Custo_Fopag (2)'!$A:$BQ,31,0)</f>
        <v>0</v>
      </c>
      <c r="AF97" s="54">
        <f>VLOOKUP(A97,'Custo_Fopag (2)'!$A:$BQ,32,0)</f>
        <v>0</v>
      </c>
      <c r="AG97" s="54">
        <f t="shared" si="24"/>
        <v>0</v>
      </c>
      <c r="AH97" s="121">
        <f>VLOOKUP(A97,'Custo_Fopag (2)'!$A:$BQ,45,0)</f>
        <v>1000</v>
      </c>
      <c r="AI97" s="54">
        <f>_xlfn.XLOOKUP(A97,Beneficios!A:A,Beneficios!B:B,0,0,1)</f>
        <v>521.87</v>
      </c>
      <c r="AJ97" s="54">
        <f>VLOOKUP(A97,'Custo_Fopag (2)'!$A:$BQ,47,0)</f>
        <v>0</v>
      </c>
      <c r="AK97" s="54">
        <v>0</v>
      </c>
      <c r="AL97" s="54">
        <f>VLOOKUP(A97,'Custo_Fopag (2)'!$A:$BQ,35,0)</f>
        <v>0</v>
      </c>
      <c r="AM97" s="54">
        <f>VLOOKUP(A97,'Custo_Fopag (2)'!$A:$BQ,36,0)</f>
        <v>0</v>
      </c>
      <c r="AN97" s="54">
        <f>VLOOKUP(A97,'Custo_Fopag (2)'!$A:$BQ,37,0)</f>
        <v>0</v>
      </c>
      <c r="AO97" s="54">
        <f>VLOOKUP(A97,'Custo_Fopag (2)'!$A:$BQ,39,0)</f>
        <v>0</v>
      </c>
      <c r="AP97" s="54">
        <f>VLOOKUP(A97,'Custo_Fopag (2)'!$A:$BQ,42,0)</f>
        <v>0</v>
      </c>
      <c r="AQ97" s="54">
        <f>VLOOKUP(A97,'Custo_Fopag (2)'!$A:$BQ,40,0)</f>
        <v>0</v>
      </c>
      <c r="AR97" s="54">
        <f>VLOOKUP(A97,'Custo_Fopag (2)'!$A:$BQ,41,0)</f>
        <v>0</v>
      </c>
      <c r="AS97" s="54">
        <f>VLOOKUP(A97,'Custo_Fopag (2)'!$A:$BQ,38,0)</f>
        <v>0</v>
      </c>
      <c r="AT97" s="54">
        <f>VLOOKUP(A97,'Custo_Fopag (2)'!$A:$BQ,43,0)</f>
        <v>0</v>
      </c>
      <c r="AU97" s="54">
        <f>VLOOKUP(A97,'Custo_Fopag (2)'!$A:$BQ,48,0)</f>
        <v>0</v>
      </c>
      <c r="AV97" s="54">
        <f>VLOOKUP(A97,'Custo_Fopag (2)'!$A:$BQ,49,0)</f>
        <v>0</v>
      </c>
      <c r="AW97" s="54">
        <f>VLOOKUP(A97,'Custo_Fopag (2)'!$A:$BQ,19,0)</f>
        <v>0</v>
      </c>
      <c r="AX97" s="54">
        <f>VLOOKUP(A97,'Custo_Fopag (2)'!$A:$BQ,50,0)</f>
        <v>0</v>
      </c>
      <c r="AY97" s="54">
        <f>VLOOKUP(A97,'Custo_Fopag (2)'!$A:$BQ,51,0)</f>
        <v>0</v>
      </c>
      <c r="AZ97" s="117">
        <v>0</v>
      </c>
      <c r="BA97" s="54">
        <f>VLOOKUP(A97,'Custo_Fopag (2)'!$A:$BQ,54,0)</f>
        <v>0</v>
      </c>
      <c r="BB97" s="54">
        <f>VLOOKUP(A97,'Custo_Fopag (2)'!$A:$BQ,52,0)</f>
        <v>0</v>
      </c>
      <c r="BC97" s="122">
        <f t="shared" si="25"/>
        <v>1521.87</v>
      </c>
      <c r="BD97" s="54">
        <f t="shared" si="26"/>
        <v>1521.87</v>
      </c>
      <c r="BE97" s="57"/>
      <c r="BF97" s="54">
        <f t="shared" si="27"/>
        <v>1521.87</v>
      </c>
      <c r="BG97" s="54">
        <f t="shared" si="28"/>
        <v>0</v>
      </c>
      <c r="BH97" s="54">
        <f t="shared" si="29"/>
        <v>0</v>
      </c>
      <c r="BI97" s="54">
        <f t="shared" si="30"/>
        <v>0</v>
      </c>
      <c r="BJ97" s="54">
        <f t="shared" si="31"/>
        <v>0</v>
      </c>
      <c r="BK97" s="54">
        <f>VLOOKUP(A97,'Custo_Fopag (2)'!$A:$BQ,65,0)</f>
        <v>0</v>
      </c>
      <c r="BL97" s="54">
        <f>VLOOKUP(A97,'Custo_Fopag (2)'!$A:$BQP,66,0)</f>
        <v>0</v>
      </c>
      <c r="BM97" s="54">
        <f>VLOOKUP(A97,'Custo_Fopag (2)'!$A:$BQ,67,0)</f>
        <v>0</v>
      </c>
      <c r="BN97" s="54">
        <f>VLOOKUP(A97,'Custo_Fopag (2)'!$A:$BQ,64,0)</f>
        <v>0</v>
      </c>
      <c r="BO97" s="54">
        <f t="shared" si="32"/>
        <v>0</v>
      </c>
      <c r="BP97" s="54">
        <f t="shared" si="33"/>
        <v>1521.87</v>
      </c>
      <c r="BQ97" s="54">
        <f t="shared" si="34"/>
        <v>1521.87</v>
      </c>
      <c r="BR97" s="109">
        <f>VLOOKUP(A97,'Custo_Fopag (2)'!$A:$BQ,60,0)</f>
        <v>0</v>
      </c>
      <c r="BS97" s="83" t="str">
        <f t="shared" si="35"/>
        <v>Ativo</v>
      </c>
    </row>
    <row r="98" spans="1:71" s="59" customFormat="1" x14ac:dyDescent="0.25">
      <c r="A98" s="106" t="s">
        <v>254</v>
      </c>
      <c r="B98" s="88">
        <v>46082</v>
      </c>
      <c r="C98" s="59" t="s">
        <v>6</v>
      </c>
      <c r="D98" s="59" t="str">
        <f>VLOOKUP(A98,'Custo_Fopag (2)'!A:$BQ,4,0)</f>
        <v>G3S FL 10 - PRES PRUD</v>
      </c>
      <c r="G98" s="59" t="str">
        <f>VLOOKUP(A98,'Custo_Fopag (2)'!$A:$BQ,5,0)</f>
        <v>20.947.332/0010-86</v>
      </c>
      <c r="H98" s="59" t="str">
        <f>VLOOKUP(A98,'Custo_Fopag (2)'!$A:$BQ,6,0)</f>
        <v>COMERCIAL</v>
      </c>
      <c r="I98" s="59" t="str">
        <f>VLOOKUP(A98,'Custo_Fopag (2)'!$A:$BQ,7,0)</f>
        <v>COMERCIAL</v>
      </c>
      <c r="J98" s="59" t="str">
        <f>VLOOKUP(A98,'Custo_Fopag (2)'!$A:$BQ,8,0)</f>
        <v>SELETIVA CORPORATIVO SUCATA</v>
      </c>
      <c r="K98" s="78">
        <f>VLOOKUP(A98,'Custo_Fopag (2)'!$A:$BQ,9,0)</f>
        <v>45950</v>
      </c>
      <c r="L98" s="52"/>
      <c r="M98" s="3"/>
      <c r="N98" s="3" t="str">
        <f>VLOOKUP(A98,'Custo_Fopag (2)'!$A:$BQ,11,0)</f>
        <v>1.2.1.1 APOIO</v>
      </c>
      <c r="O98" s="3" t="str">
        <f>VLOOKUP(A98,'Custo_Fopag (2)'!$A:$BQ,12,0)</f>
        <v>AUXILIAR COMERCIAL - ESTAGIARIO</v>
      </c>
      <c r="P98" s="126">
        <f>VLOOKUP(A98,'Custo_Fopag (2)'!$A:$BQ,13,0)</f>
        <v>1000</v>
      </c>
      <c r="Q98" s="127">
        <f>VLOOKUP(A98,'Custo_Fopag (2)'!$A:$BQ,16,0)</f>
        <v>0</v>
      </c>
      <c r="R98" s="56">
        <f>VLOOKUP(A98,'Custo_Fopag (2)'!$A:$BQ,17,0)</f>
        <v>0</v>
      </c>
      <c r="S98" s="54">
        <f>VLOOKUP(A98,'Custo_Fopag (2)'!$A:$BP,18,0)</f>
        <v>0</v>
      </c>
      <c r="T98" s="54">
        <f>VLOOKUP(A98,'Custo_Fopag (2)'!$A:$BQ,20,0)</f>
        <v>0</v>
      </c>
      <c r="U98" s="54">
        <f>VLOOKUP(A98,'Custo_Fopag (2)'!$A:$BQ,21,0)</f>
        <v>0</v>
      </c>
      <c r="V98" s="54">
        <f>VLOOKUP(A98,'Custo_Fopag (2)'!$A:$BQ,22,0)</f>
        <v>0</v>
      </c>
      <c r="W98" s="54">
        <f>VLOOKUP(A98,'Custo_Fopag (2)'!$A:$BQ,23,0)</f>
        <v>0</v>
      </c>
      <c r="X98" s="54">
        <f>VLOOKUP(A98,'Custo_Fopag (2)'!$A:$BQ,24,0)</f>
        <v>0</v>
      </c>
      <c r="Y98" s="55">
        <f>VLOOKUP(A98,'Custo_Fopag (2)'!$A:$BQ,25,0)</f>
        <v>0</v>
      </c>
      <c r="Z98" s="54">
        <f>VLOOKUP(A98,'Custo_Fopag (2)'!$A:$BQ,26,0)</f>
        <v>0</v>
      </c>
      <c r="AA98" s="54">
        <f>VLOOKUP(A98,'Custo_Fopag (2)'!$A:$BQ,27,0)</f>
        <v>0</v>
      </c>
      <c r="AB98" s="54">
        <f>VLOOKUP(A98,'Custo_Fopag (2)'!$A:$BQ,28,0)</f>
        <v>0</v>
      </c>
      <c r="AC98" s="54">
        <f>VLOOKUP(A98,'Custo_Fopag (2)'!$A:$BQ,29,0)</f>
        <v>0</v>
      </c>
      <c r="AD98" s="54">
        <f>VLOOKUP(A98,'Custo_Fopag (2)'!$A:$BQ,30,0)</f>
        <v>0</v>
      </c>
      <c r="AE98" s="54">
        <f>VLOOKUP(A98,'Custo_Fopag (2)'!$A:$BQ,31,0)</f>
        <v>0</v>
      </c>
      <c r="AF98" s="54">
        <f>VLOOKUP(A98,'Custo_Fopag (2)'!$A:$BQ,32,0)</f>
        <v>0</v>
      </c>
      <c r="AG98" s="54">
        <f t="shared" ref="AG98:AG107" si="36">SUM(Q98:AF98)</f>
        <v>0</v>
      </c>
      <c r="AH98" s="121">
        <f>VLOOKUP(A98,'Custo_Fopag (2)'!$A:$BQ,45,0)</f>
        <v>1000</v>
      </c>
      <c r="AI98" s="54">
        <f>_xlfn.XLOOKUP(A98,Beneficios!A:A,Beneficios!B:B,0,0,1)</f>
        <v>512.87</v>
      </c>
      <c r="AJ98" s="54">
        <f>VLOOKUP(A98,'Custo_Fopag (2)'!$A:$BQ,47,0)</f>
        <v>0</v>
      </c>
      <c r="AK98" s="54">
        <v>0</v>
      </c>
      <c r="AL98" s="54">
        <f>VLOOKUP(A98,'Custo_Fopag (2)'!$A:$BQ,35,0)</f>
        <v>0</v>
      </c>
      <c r="AM98" s="54">
        <f>VLOOKUP(A98,'Custo_Fopag (2)'!$A:$BQ,36,0)</f>
        <v>0</v>
      </c>
      <c r="AN98" s="54">
        <f>VLOOKUP(A98,'Custo_Fopag (2)'!$A:$BQ,37,0)</f>
        <v>0</v>
      </c>
      <c r="AO98" s="54">
        <f>VLOOKUP(A98,'Custo_Fopag (2)'!$A:$BQ,39,0)</f>
        <v>0</v>
      </c>
      <c r="AP98" s="54">
        <f>VLOOKUP(A98,'Custo_Fopag (2)'!$A:$BQ,42,0)</f>
        <v>0</v>
      </c>
      <c r="AQ98" s="54">
        <f>VLOOKUP(A98,'Custo_Fopag (2)'!$A:$BQ,40,0)</f>
        <v>0</v>
      </c>
      <c r="AR98" s="54">
        <f>VLOOKUP(A98,'Custo_Fopag (2)'!$A:$BQ,41,0)</f>
        <v>0</v>
      </c>
      <c r="AS98" s="54">
        <f>VLOOKUP(A98,'Custo_Fopag (2)'!$A:$BQ,38,0)</f>
        <v>0</v>
      </c>
      <c r="AT98" s="54">
        <f>VLOOKUP(A98,'Custo_Fopag (2)'!$A:$BQ,43,0)</f>
        <v>0</v>
      </c>
      <c r="AU98" s="54">
        <f>VLOOKUP(A98,'Custo_Fopag (2)'!$A:$BQ,48,0)</f>
        <v>0</v>
      </c>
      <c r="AV98" s="54">
        <f>VLOOKUP(A98,'Custo_Fopag (2)'!$A:$BQ,49,0)</f>
        <v>0</v>
      </c>
      <c r="AW98" s="54">
        <f>VLOOKUP(A98,'Custo_Fopag (2)'!$A:$BQ,19,0)</f>
        <v>0</v>
      </c>
      <c r="AX98" s="54">
        <f>VLOOKUP(A98,'Custo_Fopag (2)'!$A:$BQ,50,0)</f>
        <v>0</v>
      </c>
      <c r="AY98" s="54">
        <f>VLOOKUP(A98,'Custo_Fopag (2)'!$A:$BQ,51,0)</f>
        <v>0</v>
      </c>
      <c r="AZ98" s="117">
        <v>0</v>
      </c>
      <c r="BA98" s="54">
        <f>VLOOKUP(A98,'Custo_Fopag (2)'!$A:$BQ,54,0)</f>
        <v>0</v>
      </c>
      <c r="BB98" s="54">
        <f>VLOOKUP(A98,'Custo_Fopag (2)'!$A:$BQ,52,0)</f>
        <v>0</v>
      </c>
      <c r="BC98" s="122">
        <f t="shared" ref="BC98:BC107" si="37">SUM(AH98:BB98)</f>
        <v>1512.87</v>
      </c>
      <c r="BD98" s="54">
        <f t="shared" ref="BD98:BD107" si="38">BC98+AG98</f>
        <v>1512.87</v>
      </c>
      <c r="BE98" s="57"/>
      <c r="BF98" s="54">
        <f t="shared" ref="BF98:BF107" si="39">BD98+BE98</f>
        <v>1512.87</v>
      </c>
      <c r="BG98" s="54">
        <f t="shared" ref="BG98:BG107" si="40">AG98/12</f>
        <v>0</v>
      </c>
      <c r="BH98" s="54">
        <f t="shared" ref="BH98:BH107" si="41">BG98</f>
        <v>0</v>
      </c>
      <c r="BI98" s="54">
        <f t="shared" ref="BI98:BI100" si="42">BH98/3</f>
        <v>0</v>
      </c>
      <c r="BJ98" s="54">
        <f t="shared" ref="BJ98:BJ100" si="43">SUM(BG98:BI98)</f>
        <v>0</v>
      </c>
      <c r="BK98" s="54">
        <f>VLOOKUP(A98,'Custo_Fopag (2)'!$A:$BQ,65,0)</f>
        <v>0</v>
      </c>
      <c r="BL98" s="54">
        <f>VLOOKUP(A98,'Custo_Fopag (2)'!$A:$BQP,66,0)</f>
        <v>0</v>
      </c>
      <c r="BM98" s="54">
        <f>VLOOKUP(A98,'Custo_Fopag (2)'!$A:$BQ,67,0)</f>
        <v>0</v>
      </c>
      <c r="BN98" s="54">
        <f>VLOOKUP(A98,'Custo_Fopag (2)'!$A:$BQ,64,0)</f>
        <v>0</v>
      </c>
      <c r="BO98" s="54">
        <f t="shared" ref="BO98:BO107" si="44">SUM(BK98:BN98)</f>
        <v>0</v>
      </c>
      <c r="BP98" s="54">
        <f t="shared" ref="BP98:BP107" si="45">BF98+BO98</f>
        <v>1512.87</v>
      </c>
      <c r="BQ98" s="54">
        <f t="shared" ref="BQ98:BQ107" si="46">BF98+BJ98+BO98</f>
        <v>1512.87</v>
      </c>
      <c r="BR98" s="109">
        <f>VLOOKUP(A98,'Custo_Fopag (2)'!$A:$BQ,60,0)</f>
        <v>0</v>
      </c>
      <c r="BS98" s="83" t="str">
        <f t="shared" ref="BS98:BS107" si="47">IF(ISBLANK(L98),"Ativo","Desligado")</f>
        <v>Ativo</v>
      </c>
    </row>
    <row r="99" spans="1:71" s="59" customFormat="1" x14ac:dyDescent="0.25">
      <c r="A99" s="3" t="s">
        <v>353</v>
      </c>
      <c r="B99" s="88">
        <v>46082</v>
      </c>
      <c r="C99" s="3" t="s">
        <v>6</v>
      </c>
      <c r="D99" s="59" t="str">
        <f>VLOOKUP(A99,'Custo_Fopag (2)'!A:$BQ,4,0)</f>
        <v>G3S FL 05 - PRES PRUD</v>
      </c>
      <c r="G99" s="59" t="str">
        <f>VLOOKUP(A99,'Custo_Fopag (2)'!$A:$BQ,5,0)</f>
        <v>20.947.332/0005-19</v>
      </c>
      <c r="H99" s="59" t="str">
        <f>VLOOKUP(A99,'Custo_Fopag (2)'!$A:$BQ,6,0)</f>
        <v>ADMINISTRATIVO</v>
      </c>
      <c r="I99" s="59" t="str">
        <f>VLOOKUP(A99,'Custo_Fopag (2)'!$A:$BQ,7,0)</f>
        <v>COMERCIAL</v>
      </c>
      <c r="J99" s="59" t="str">
        <f>VLOOKUP(A99,'Custo_Fopag (2)'!$A:$BQ,8,0)</f>
        <v>BRACOFER</v>
      </c>
      <c r="K99" s="78">
        <f>VLOOKUP(A99,'Custo_Fopag (2)'!$A:$BQ,9,0)</f>
        <v>46071</v>
      </c>
      <c r="L99" s="52"/>
      <c r="M99" s="3"/>
      <c r="N99" s="3" t="str">
        <f>VLOOKUP(A99,'Custo_Fopag (2)'!$A:$BQ,11,0)</f>
        <v>1.3.1.1 ADMINISTRATIVO</v>
      </c>
      <c r="O99" s="3" t="str">
        <f>VLOOKUP(A99,'Custo_Fopag (2)'!$A:$BQ,12,0)</f>
        <v>AUXILIAR FINANCEIRO - ESTAGIARIO</v>
      </c>
      <c r="P99" s="126">
        <f>VLOOKUP(A99,'Custo_Fopag (2)'!$A:$BQ,13,0)</f>
        <v>1000</v>
      </c>
      <c r="Q99" s="127">
        <f>VLOOKUP(A99,'Custo_Fopag (2)'!$A:$BQ,16,0)</f>
        <v>0</v>
      </c>
      <c r="R99" s="56">
        <f>VLOOKUP(A99,'Custo_Fopag (2)'!$A:$BQ,17,0)</f>
        <v>0</v>
      </c>
      <c r="S99" s="54">
        <f>VLOOKUP(A99,'Custo_Fopag (2)'!$A:$BP,18,0)</f>
        <v>0</v>
      </c>
      <c r="T99" s="54">
        <f>VLOOKUP(A99,'Custo_Fopag (2)'!$A:$BQ,20,0)</f>
        <v>0</v>
      </c>
      <c r="U99" s="54">
        <f>VLOOKUP(A99,'Custo_Fopag (2)'!$A:$BQ,21,0)</f>
        <v>0</v>
      </c>
      <c r="V99" s="54">
        <f>VLOOKUP(A99,'Custo_Fopag (2)'!$A:$BQ,22,0)</f>
        <v>0</v>
      </c>
      <c r="W99" s="54">
        <f>VLOOKUP(A99,'Custo_Fopag (2)'!$A:$BQ,23,0)</f>
        <v>0</v>
      </c>
      <c r="X99" s="54">
        <f>VLOOKUP(A99,'Custo_Fopag (2)'!$A:$BQ,24,0)</f>
        <v>0</v>
      </c>
      <c r="Y99" s="55">
        <f>VLOOKUP(A99,'Custo_Fopag (2)'!$A:$BQ,25,0)</f>
        <v>0</v>
      </c>
      <c r="Z99" s="54">
        <f>VLOOKUP(A99,'Custo_Fopag (2)'!$A:$BQ,26,0)</f>
        <v>0</v>
      </c>
      <c r="AA99" s="54">
        <f>VLOOKUP(A99,'Custo_Fopag (2)'!$A:$BQ,27,0)</f>
        <v>0</v>
      </c>
      <c r="AB99" s="54">
        <f>VLOOKUP(A99,'Custo_Fopag (2)'!$A:$BQ,28,0)</f>
        <v>0</v>
      </c>
      <c r="AC99" s="54">
        <f>VLOOKUP(A99,'Custo_Fopag (2)'!$A:$BQ,29,0)</f>
        <v>0</v>
      </c>
      <c r="AD99" s="54">
        <f>VLOOKUP(A99,'Custo_Fopag (2)'!$A:$BQ,30,0)</f>
        <v>0</v>
      </c>
      <c r="AE99" s="54">
        <f>VLOOKUP(A99,'Custo_Fopag (2)'!$A:$BQ,31,0)</f>
        <v>0</v>
      </c>
      <c r="AF99" s="54">
        <f>VLOOKUP(A99,'Custo_Fopag (2)'!$A:$BQ,32,0)</f>
        <v>0</v>
      </c>
      <c r="AG99" s="54">
        <f t="shared" si="36"/>
        <v>0</v>
      </c>
      <c r="AH99" s="121">
        <f>VLOOKUP(A99,'Custo_Fopag (2)'!$A:$BQ,45,0)</f>
        <v>1000</v>
      </c>
      <c r="AI99" s="54">
        <f>_xlfn.XLOOKUP(A99,Beneficios!A:A,Beneficios!B:B,0,0,1)</f>
        <v>521.87</v>
      </c>
      <c r="AJ99" s="54">
        <f>VLOOKUP(A99,'Custo_Fopag (2)'!$A:$BQ,47,0)</f>
        <v>0</v>
      </c>
      <c r="AK99" s="54">
        <v>0</v>
      </c>
      <c r="AL99" s="54">
        <f>VLOOKUP(A99,'Custo_Fopag (2)'!$A:$BQ,35,0)</f>
        <v>0</v>
      </c>
      <c r="AM99" s="54">
        <f>VLOOKUP(A99,'Custo_Fopag (2)'!$A:$BQ,36,0)</f>
        <v>0</v>
      </c>
      <c r="AN99" s="54">
        <f>VLOOKUP(A99,'Custo_Fopag (2)'!$A:$BQ,37,0)</f>
        <v>0</v>
      </c>
      <c r="AO99" s="54">
        <f>VLOOKUP(A99,'Custo_Fopag (2)'!$A:$BQ,39,0)</f>
        <v>0</v>
      </c>
      <c r="AP99" s="54">
        <f>VLOOKUP(A99,'Custo_Fopag (2)'!$A:$BQ,42,0)</f>
        <v>0</v>
      </c>
      <c r="AQ99" s="54">
        <f>VLOOKUP(A99,'Custo_Fopag (2)'!$A:$BQ,40,0)</f>
        <v>0</v>
      </c>
      <c r="AR99" s="54">
        <f>VLOOKUP(A99,'Custo_Fopag (2)'!$A:$BQ,41,0)</f>
        <v>0</v>
      </c>
      <c r="AS99" s="54">
        <f>VLOOKUP(A99,'Custo_Fopag (2)'!$A:$BQ,38,0)</f>
        <v>0</v>
      </c>
      <c r="AT99" s="54">
        <f>VLOOKUP(A99,'Custo_Fopag (2)'!$A:$BQ,43,0)</f>
        <v>0</v>
      </c>
      <c r="AU99" s="54">
        <f>VLOOKUP(A99,'Custo_Fopag (2)'!$A:$BQ,48,0)</f>
        <v>0</v>
      </c>
      <c r="AV99" s="54">
        <f>VLOOKUP(A99,'Custo_Fopag (2)'!$A:$BQ,49,0)</f>
        <v>0</v>
      </c>
      <c r="AW99" s="54">
        <f>VLOOKUP(A99,'Custo_Fopag (2)'!$A:$BQ,19,0)</f>
        <v>0</v>
      </c>
      <c r="AX99" s="54">
        <f>VLOOKUP(A99,'Custo_Fopag (2)'!$A:$BQ,50,0)</f>
        <v>0</v>
      </c>
      <c r="AY99" s="54">
        <f>VLOOKUP(A99,'Custo_Fopag (2)'!$A:$BQ,51,0)</f>
        <v>0</v>
      </c>
      <c r="AZ99" s="117">
        <v>0</v>
      </c>
      <c r="BA99" s="54">
        <f>VLOOKUP(A99,'Custo_Fopag (2)'!$A:$BQ,54,0)</f>
        <v>0</v>
      </c>
      <c r="BB99" s="54">
        <f>VLOOKUP(A99,'Custo_Fopag (2)'!$A:$BQ,52,0)</f>
        <v>0</v>
      </c>
      <c r="BC99" s="122">
        <f t="shared" si="37"/>
        <v>1521.87</v>
      </c>
      <c r="BD99" s="54">
        <f t="shared" si="38"/>
        <v>1521.87</v>
      </c>
      <c r="BE99" s="57"/>
      <c r="BF99" s="54">
        <f t="shared" si="39"/>
        <v>1521.87</v>
      </c>
      <c r="BG99" s="54">
        <f t="shared" si="40"/>
        <v>0</v>
      </c>
      <c r="BH99" s="54">
        <f t="shared" si="41"/>
        <v>0</v>
      </c>
      <c r="BI99" s="54">
        <f t="shared" si="42"/>
        <v>0</v>
      </c>
      <c r="BJ99" s="54">
        <f t="shared" si="43"/>
        <v>0</v>
      </c>
      <c r="BK99" s="54">
        <f>VLOOKUP(A99,'Custo_Fopag (2)'!$A:$BQ,65,0)</f>
        <v>0</v>
      </c>
      <c r="BL99" s="54">
        <f>VLOOKUP(A99,'Custo_Fopag (2)'!$A:$BQP,66,0)</f>
        <v>0</v>
      </c>
      <c r="BM99" s="54">
        <f>VLOOKUP(A99,'Custo_Fopag (2)'!$A:$BQ,67,0)</f>
        <v>0</v>
      </c>
      <c r="BN99" s="54">
        <f>VLOOKUP(A99,'Custo_Fopag (2)'!$A:$BQ,64,0)</f>
        <v>0</v>
      </c>
      <c r="BO99" s="54">
        <f t="shared" si="44"/>
        <v>0</v>
      </c>
      <c r="BP99" s="54">
        <f t="shared" si="45"/>
        <v>1521.87</v>
      </c>
      <c r="BQ99" s="54">
        <f t="shared" si="46"/>
        <v>1521.87</v>
      </c>
      <c r="BR99" s="109">
        <f>VLOOKUP(A99,'Custo_Fopag (2)'!$A:$BQ,60,0)</f>
        <v>0</v>
      </c>
      <c r="BS99" s="83" t="str">
        <f t="shared" si="47"/>
        <v>Ativo</v>
      </c>
    </row>
    <row r="100" spans="1:71" s="59" customFormat="1" x14ac:dyDescent="0.25">
      <c r="A100" s="3" t="s">
        <v>255</v>
      </c>
      <c r="B100" s="88">
        <v>46082</v>
      </c>
      <c r="C100" s="3" t="s">
        <v>6</v>
      </c>
      <c r="D100" s="59" t="str">
        <f>VLOOKUP(A100,'Custo_Fopag (2)'!A:$BQ,4,0)</f>
        <v>G3S FL 10 - PRES PRUD</v>
      </c>
      <c r="G100" s="59" t="str">
        <f>VLOOKUP(A100,'Custo_Fopag (2)'!$A:$BQ,5,0)</f>
        <v>20.947.332/0010-86</v>
      </c>
      <c r="H100" s="59" t="str">
        <f>VLOOKUP(A100,'Custo_Fopag (2)'!$A:$BQ,6,0)</f>
        <v>COMERCIAL</v>
      </c>
      <c r="I100" s="59" t="str">
        <f>VLOOKUP(A100,'Custo_Fopag (2)'!$A:$BQ,7,0)</f>
        <v>COMERCIAL</v>
      </c>
      <c r="J100" s="59" t="str">
        <f>VLOOKUP(A100,'Custo_Fopag (2)'!$A:$BQ,8,0)</f>
        <v>SELETIVA CORPORATIVO SUCATA</v>
      </c>
      <c r="K100" s="78">
        <f>VLOOKUP(A100,'Custo_Fopag (2)'!$A:$BQ,9,0)</f>
        <v>46055</v>
      </c>
      <c r="L100" s="52"/>
      <c r="M100" s="3"/>
      <c r="N100" s="3" t="str">
        <f>VLOOKUP(A100,'Custo_Fopag (2)'!$A:$BQ,11,0)</f>
        <v>1.2.1.1 APOIO</v>
      </c>
      <c r="O100" s="3" t="str">
        <f>VLOOKUP(A100,'Custo_Fopag (2)'!$A:$BQ,12,0)</f>
        <v>AUXILIAR COMERCIAL - ESTAGIARIO</v>
      </c>
      <c r="P100" s="126">
        <f>VLOOKUP(A100,'Custo_Fopag (2)'!$A:$BQ,13,0)</f>
        <v>1000</v>
      </c>
      <c r="Q100" s="127">
        <f>VLOOKUP(A100,'Custo_Fopag (2)'!$A:$BQ,16,0)</f>
        <v>0</v>
      </c>
      <c r="R100" s="56">
        <f>VLOOKUP(A100,'Custo_Fopag (2)'!$A:$BQ,17,0)</f>
        <v>0</v>
      </c>
      <c r="S100" s="54">
        <f>VLOOKUP(A100,'Custo_Fopag (2)'!$A:$BP,18,0)</f>
        <v>0</v>
      </c>
      <c r="T100" s="54">
        <f>VLOOKUP(A100,'Custo_Fopag (2)'!$A:$BQ,20,0)</f>
        <v>0</v>
      </c>
      <c r="U100" s="54">
        <f>VLOOKUP(A100,'Custo_Fopag (2)'!$A:$BQ,21,0)</f>
        <v>0</v>
      </c>
      <c r="V100" s="54">
        <f>VLOOKUP(A100,'Custo_Fopag (2)'!$A:$BQ,22,0)</f>
        <v>0</v>
      </c>
      <c r="W100" s="54">
        <f>VLOOKUP(A100,'Custo_Fopag (2)'!$A:$BQ,23,0)</f>
        <v>0</v>
      </c>
      <c r="X100" s="54">
        <f>VLOOKUP(A100,'Custo_Fopag (2)'!$A:$BQ,24,0)</f>
        <v>0</v>
      </c>
      <c r="Y100" s="55">
        <f>VLOOKUP(A100,'Custo_Fopag (2)'!$A:$BQ,25,0)</f>
        <v>0</v>
      </c>
      <c r="Z100" s="54">
        <f>VLOOKUP(A100,'Custo_Fopag (2)'!$A:$BQ,26,0)</f>
        <v>0</v>
      </c>
      <c r="AA100" s="54">
        <f>VLOOKUP(A100,'Custo_Fopag (2)'!$A:$BQ,27,0)</f>
        <v>0</v>
      </c>
      <c r="AB100" s="54">
        <f>VLOOKUP(A100,'Custo_Fopag (2)'!$A:$BQ,28,0)</f>
        <v>0</v>
      </c>
      <c r="AC100" s="54">
        <f>VLOOKUP(A100,'Custo_Fopag (2)'!$A:$BQ,29,0)</f>
        <v>0</v>
      </c>
      <c r="AD100" s="54">
        <f>VLOOKUP(A100,'Custo_Fopag (2)'!$A:$BQ,30,0)</f>
        <v>0</v>
      </c>
      <c r="AE100" s="54">
        <f>VLOOKUP(A100,'Custo_Fopag (2)'!$A:$BQ,31,0)</f>
        <v>0</v>
      </c>
      <c r="AF100" s="54">
        <f>VLOOKUP(A100,'Custo_Fopag (2)'!$A:$BQ,32,0)</f>
        <v>0</v>
      </c>
      <c r="AG100" s="54">
        <f t="shared" si="36"/>
        <v>0</v>
      </c>
      <c r="AH100" s="121">
        <f>VLOOKUP(A100,'Custo_Fopag (2)'!$A:$BQ,45,0)</f>
        <v>1500</v>
      </c>
      <c r="AI100" s="54">
        <f>_xlfn.XLOOKUP(A100,Beneficios!A:A,Beneficios!B:B,0,0,1)</f>
        <v>21.88</v>
      </c>
      <c r="AJ100" s="54">
        <f>VLOOKUP(A100,'Custo_Fopag (2)'!$A:$BQ,47,0)</f>
        <v>0</v>
      </c>
      <c r="AK100" s="54">
        <v>0</v>
      </c>
      <c r="AL100" s="54">
        <f>VLOOKUP(A100,'Custo_Fopag (2)'!$A:$BQ,35,0)</f>
        <v>0</v>
      </c>
      <c r="AM100" s="54">
        <f>VLOOKUP(A100,'Custo_Fopag (2)'!$A:$BQ,36,0)</f>
        <v>0</v>
      </c>
      <c r="AN100" s="54">
        <f>VLOOKUP(A100,'Custo_Fopag (2)'!$A:$BQ,37,0)</f>
        <v>0</v>
      </c>
      <c r="AO100" s="54">
        <f>VLOOKUP(A100,'Custo_Fopag (2)'!$A:$BQ,39,0)</f>
        <v>0</v>
      </c>
      <c r="AP100" s="54">
        <f>VLOOKUP(A100,'Custo_Fopag (2)'!$A:$BQ,42,0)</f>
        <v>0</v>
      </c>
      <c r="AQ100" s="54">
        <f>VLOOKUP(A100,'Custo_Fopag (2)'!$A:$BQ,40,0)</f>
        <v>0</v>
      </c>
      <c r="AR100" s="54">
        <f>VLOOKUP(A100,'Custo_Fopag (2)'!$A:$BQ,41,0)</f>
        <v>0</v>
      </c>
      <c r="AS100" s="54">
        <f>VLOOKUP(A100,'Custo_Fopag (2)'!$A:$BQ,38,0)</f>
        <v>0</v>
      </c>
      <c r="AT100" s="54">
        <f>VLOOKUP(A100,'Custo_Fopag (2)'!$A:$BQ,43,0)</f>
        <v>0</v>
      </c>
      <c r="AU100" s="54">
        <f>VLOOKUP(A100,'Custo_Fopag (2)'!$A:$BQ,48,0)</f>
        <v>0</v>
      </c>
      <c r="AV100" s="54">
        <f>VLOOKUP(A100,'Custo_Fopag (2)'!$A:$BQ,49,0)</f>
        <v>0</v>
      </c>
      <c r="AW100" s="54">
        <f>VLOOKUP(A100,'Custo_Fopag (2)'!$A:$BQ,19,0)</f>
        <v>0</v>
      </c>
      <c r="AX100" s="54">
        <f>VLOOKUP(A100,'Custo_Fopag (2)'!$A:$BQ,50,0)</f>
        <v>0</v>
      </c>
      <c r="AY100" s="54">
        <f>VLOOKUP(A100,'Custo_Fopag (2)'!$A:$BQ,51,0)</f>
        <v>0</v>
      </c>
      <c r="AZ100" s="117">
        <v>0</v>
      </c>
      <c r="BA100" s="54">
        <f>VLOOKUP(A100,'Custo_Fopag (2)'!$A:$BQ,54,0)</f>
        <v>0</v>
      </c>
      <c r="BB100" s="54">
        <f>VLOOKUP(A100,'Custo_Fopag (2)'!$A:$BQ,52,0)</f>
        <v>0</v>
      </c>
      <c r="BC100" s="122">
        <f t="shared" si="37"/>
        <v>1521.88</v>
      </c>
      <c r="BD100" s="54">
        <f t="shared" si="38"/>
        <v>1521.88</v>
      </c>
      <c r="BE100" s="57"/>
      <c r="BF100" s="54">
        <f t="shared" si="39"/>
        <v>1521.88</v>
      </c>
      <c r="BG100" s="54">
        <f t="shared" si="40"/>
        <v>0</v>
      </c>
      <c r="BH100" s="54">
        <f t="shared" si="41"/>
        <v>0</v>
      </c>
      <c r="BI100" s="54">
        <f t="shared" si="42"/>
        <v>0</v>
      </c>
      <c r="BJ100" s="54">
        <f t="shared" si="43"/>
        <v>0</v>
      </c>
      <c r="BK100" s="54">
        <f>VLOOKUP(A100,'Custo_Fopag (2)'!$A:$BQ,65,0)</f>
        <v>0</v>
      </c>
      <c r="BL100" s="54">
        <f>VLOOKUP(A100,'Custo_Fopag (2)'!$A:$BQP,66,0)</f>
        <v>0</v>
      </c>
      <c r="BM100" s="54">
        <f>VLOOKUP(A100,'Custo_Fopag (2)'!$A:$BQ,67,0)</f>
        <v>0</v>
      </c>
      <c r="BN100" s="54">
        <f>VLOOKUP(A100,'Custo_Fopag (2)'!$A:$BQ,64,0)</f>
        <v>0</v>
      </c>
      <c r="BO100" s="54">
        <f t="shared" si="44"/>
        <v>0</v>
      </c>
      <c r="BP100" s="54">
        <f t="shared" si="45"/>
        <v>1521.88</v>
      </c>
      <c r="BQ100" s="54">
        <f t="shared" si="46"/>
        <v>1521.88</v>
      </c>
      <c r="BR100" s="109">
        <f>VLOOKUP(A100,'Custo_Fopag (2)'!$A:$BQ,60,0)</f>
        <v>0</v>
      </c>
      <c r="BS100" s="83" t="str">
        <f t="shared" si="47"/>
        <v>Ativo</v>
      </c>
    </row>
    <row r="101" spans="1:71" s="59" customFormat="1" x14ac:dyDescent="0.25">
      <c r="A101" s="59" t="s">
        <v>243</v>
      </c>
      <c r="B101" s="88">
        <v>46082</v>
      </c>
      <c r="C101" s="59" t="s">
        <v>6</v>
      </c>
      <c r="D101" s="59" t="str">
        <f>VLOOKUP(A101,'Custo_Fopag (2)'!A:$BQ,4,0)</f>
        <v>G3S FL 10 - PRES PRUD</v>
      </c>
      <c r="G101" s="59" t="str">
        <f>VLOOKUP(A101,'Custo_Fopag (2)'!$A:$BQ,5,0)</f>
        <v>20.947.332/0010-86</v>
      </c>
      <c r="H101" s="59" t="str">
        <f>VLOOKUP(A101,'Custo_Fopag (2)'!$A:$BQ,6,0)</f>
        <v>ADMINISTRATIVO</v>
      </c>
      <c r="I101" s="59" t="str">
        <f>VLOOKUP(A101,'Custo_Fopag (2)'!$A:$BQ,7,0)</f>
        <v>SUPRIMENTOS</v>
      </c>
      <c r="J101" s="59" t="str">
        <f>VLOOKUP(A101,'Custo_Fopag (2)'!$A:$BQ,8,0)</f>
        <v>PILARES</v>
      </c>
      <c r="K101" s="78">
        <f>VLOOKUP(A101,'Custo_Fopag (2)'!$A:$BQ,9,0)</f>
        <v>45810</v>
      </c>
      <c r="L101" s="52"/>
      <c r="M101" s="60"/>
      <c r="N101" s="3" t="str">
        <f>VLOOKUP(A101,'Custo_Fopag (2)'!$A:$BQ,11,0)</f>
        <v>1.1.14 SUPRIMENTOS</v>
      </c>
      <c r="O101" s="3" t="str">
        <f>VLOOKUP(A101,'Custo_Fopag (2)'!$A:$BQ,12,0)</f>
        <v>AUXILIAR ADMINISTRATIVO - ESTAGIARIO(A)</v>
      </c>
      <c r="P101" s="126">
        <f>VLOOKUP(A101,'Custo_Fopag (2)'!$A:$BQ,13,0)</f>
        <v>1000</v>
      </c>
      <c r="Q101" s="127">
        <f>VLOOKUP(A101,'Custo_Fopag (2)'!$A:$BQ,16,0)</f>
        <v>0</v>
      </c>
      <c r="R101" s="56">
        <f>VLOOKUP(A101,'Custo_Fopag (2)'!$A:$BQ,17,0)</f>
        <v>0</v>
      </c>
      <c r="S101" s="54">
        <f>VLOOKUP(A101,'Custo_Fopag (2)'!$A:$BP,18,0)</f>
        <v>0</v>
      </c>
      <c r="T101" s="54">
        <f>VLOOKUP(A101,'Custo_Fopag (2)'!$A:$BQ,20,0)</f>
        <v>0</v>
      </c>
      <c r="U101" s="54">
        <f>VLOOKUP(A101,'Custo_Fopag (2)'!$A:$BQ,21,0)</f>
        <v>0</v>
      </c>
      <c r="V101" s="54">
        <f>VLOOKUP(A101,'Custo_Fopag (2)'!$A:$BQ,22,0)</f>
        <v>0</v>
      </c>
      <c r="W101" s="54">
        <f>VLOOKUP(A101,'Custo_Fopag (2)'!$A:$BQ,23,0)</f>
        <v>0</v>
      </c>
      <c r="X101" s="54">
        <f>VLOOKUP(A101,'Custo_Fopag (2)'!$A:$BQ,24,0)</f>
        <v>0</v>
      </c>
      <c r="Y101" s="55">
        <f>VLOOKUP(A101,'Custo_Fopag (2)'!$A:$BQ,25,0)</f>
        <v>0</v>
      </c>
      <c r="Z101" s="54">
        <f>VLOOKUP(A101,'Custo_Fopag (2)'!$A:$BQ,26,0)</f>
        <v>0</v>
      </c>
      <c r="AA101" s="54">
        <f>VLOOKUP(A101,'Custo_Fopag (2)'!$A:$BQ,27,0)</f>
        <v>0</v>
      </c>
      <c r="AB101" s="54">
        <f>VLOOKUP(A101,'Custo_Fopag (2)'!$A:$BQ,28,0)</f>
        <v>0</v>
      </c>
      <c r="AC101" s="54">
        <f>VLOOKUP(A101,'Custo_Fopag (2)'!$A:$BQ,29,0)</f>
        <v>0</v>
      </c>
      <c r="AD101" s="54">
        <f>VLOOKUP(A101,'Custo_Fopag (2)'!$A:$BQ,30,0)</f>
        <v>0</v>
      </c>
      <c r="AE101" s="54">
        <f>VLOOKUP(A101,'Custo_Fopag (2)'!$A:$BQ,31,0)</f>
        <v>0</v>
      </c>
      <c r="AF101" s="54">
        <f>VLOOKUP(A101,'Custo_Fopag (2)'!$A:$BQ,32,0)</f>
        <v>0</v>
      </c>
      <c r="AG101" s="54">
        <f t="shared" si="36"/>
        <v>0</v>
      </c>
      <c r="AH101" s="121">
        <f>VLOOKUP(A101,'Custo_Fopag (2)'!$A:$BQ,45,0)</f>
        <v>1000</v>
      </c>
      <c r="AI101" s="54">
        <f>_xlfn.XLOOKUP(A101,Beneficios!A:A,Beneficios!B:B,0,0,1)</f>
        <v>521.87</v>
      </c>
      <c r="AJ101" s="54">
        <f>VLOOKUP(A101,'Custo_Fopag (2)'!$A:$BQ,47,0)</f>
        <v>0</v>
      </c>
      <c r="AK101" s="54">
        <v>0</v>
      </c>
      <c r="AL101" s="54">
        <f>VLOOKUP(A101,'Custo_Fopag (2)'!$A:$BQ,35,0)</f>
        <v>0</v>
      </c>
      <c r="AM101" s="54">
        <f>VLOOKUP(A101,'Custo_Fopag (2)'!$A:$BQ,36,0)</f>
        <v>0</v>
      </c>
      <c r="AN101" s="54">
        <f>VLOOKUP(A101,'Custo_Fopag (2)'!$A:$BQ,37,0)</f>
        <v>0</v>
      </c>
      <c r="AO101" s="54">
        <f>VLOOKUP(A101,'Custo_Fopag (2)'!$A:$BQ,39,0)</f>
        <v>0</v>
      </c>
      <c r="AP101" s="54">
        <f>VLOOKUP(A101,'Custo_Fopag (2)'!$A:$BQ,42,0)</f>
        <v>0</v>
      </c>
      <c r="AQ101" s="54">
        <f>VLOOKUP(A101,'Custo_Fopag (2)'!$A:$BQ,40,0)</f>
        <v>0</v>
      </c>
      <c r="AR101" s="54">
        <f>VLOOKUP(A101,'Custo_Fopag (2)'!$A:$BQ,41,0)</f>
        <v>0</v>
      </c>
      <c r="AS101" s="54">
        <f>VLOOKUP(A101,'Custo_Fopag (2)'!$A:$BQ,38,0)</f>
        <v>0</v>
      </c>
      <c r="AT101" s="54">
        <f>VLOOKUP(A101,'Custo_Fopag (2)'!$A:$BQ,43,0)</f>
        <v>0</v>
      </c>
      <c r="AU101" s="54">
        <f>VLOOKUP(A101,'Custo_Fopag (2)'!$A:$BQ,48,0)</f>
        <v>0</v>
      </c>
      <c r="AV101" s="54">
        <f>VLOOKUP(A101,'Custo_Fopag (2)'!$A:$BQ,49,0)</f>
        <v>0</v>
      </c>
      <c r="AW101" s="54">
        <f>VLOOKUP(A101,'Custo_Fopag (2)'!$A:$BQ,19,0)</f>
        <v>0</v>
      </c>
      <c r="AX101" s="54">
        <f>VLOOKUP(A101,'Custo_Fopag (2)'!$A:$BQ,50,0)</f>
        <v>0</v>
      </c>
      <c r="AY101" s="54">
        <f>VLOOKUP(A101,'Custo_Fopag (2)'!$A:$BQ,51,0)</f>
        <v>0</v>
      </c>
      <c r="AZ101" s="117">
        <v>0</v>
      </c>
      <c r="BA101" s="54">
        <f>VLOOKUP(A101,'Custo_Fopag (2)'!$A:$BQ,54,0)</f>
        <v>0</v>
      </c>
      <c r="BB101" s="54">
        <f>VLOOKUP(A101,'Custo_Fopag (2)'!$A:$BQ,52,0)</f>
        <v>0</v>
      </c>
      <c r="BC101" s="122">
        <f t="shared" si="37"/>
        <v>1521.87</v>
      </c>
      <c r="BD101" s="54">
        <f t="shared" si="38"/>
        <v>1521.87</v>
      </c>
      <c r="BE101" s="57"/>
      <c r="BF101" s="54">
        <f t="shared" si="39"/>
        <v>1521.87</v>
      </c>
      <c r="BG101" s="54">
        <f t="shared" si="40"/>
        <v>0</v>
      </c>
      <c r="BH101" s="54">
        <f t="shared" si="41"/>
        <v>0</v>
      </c>
      <c r="BI101" s="61">
        <v>0</v>
      </c>
      <c r="BJ101" s="61">
        <v>0</v>
      </c>
      <c r="BK101" s="54">
        <f>VLOOKUP(A101,'Custo_Fopag (2)'!$A:$BQ,65,0)</f>
        <v>0</v>
      </c>
      <c r="BL101" s="54">
        <f>VLOOKUP(A101,'Custo_Fopag (2)'!$A:$BQP,66,0)</f>
        <v>0</v>
      </c>
      <c r="BM101" s="54">
        <f>VLOOKUP(A101,'Custo_Fopag (2)'!$A:$BQ,67,0)</f>
        <v>0</v>
      </c>
      <c r="BN101" s="54">
        <f>VLOOKUP(A101,'Custo_Fopag (2)'!$A:$BQ,64,0)</f>
        <v>0</v>
      </c>
      <c r="BO101" s="54">
        <f t="shared" si="44"/>
        <v>0</v>
      </c>
      <c r="BP101" s="54">
        <f t="shared" si="45"/>
        <v>1521.87</v>
      </c>
      <c r="BQ101" s="54">
        <f t="shared" si="46"/>
        <v>1521.87</v>
      </c>
      <c r="BR101" s="109">
        <f>VLOOKUP(A101,'Custo_Fopag (2)'!$A:$BQ,60,0)</f>
        <v>0</v>
      </c>
      <c r="BS101" s="83" t="str">
        <f t="shared" si="47"/>
        <v>Ativo</v>
      </c>
    </row>
    <row r="102" spans="1:71" x14ac:dyDescent="0.25">
      <c r="A102" s="59" t="s">
        <v>352</v>
      </c>
      <c r="B102" s="88">
        <v>46082</v>
      </c>
      <c r="C102" s="59" t="s">
        <v>6</v>
      </c>
      <c r="D102" s="59" t="str">
        <f>VLOOKUP(A102,'Custo_Fopag (2)'!A:$BQ,4,0)</f>
        <v>G3S FL 05 - PRES PRUD</v>
      </c>
      <c r="E102" s="59"/>
      <c r="F102" s="59"/>
      <c r="G102" s="59" t="str">
        <f>VLOOKUP(A102,'Custo_Fopag (2)'!$A:$BQ,5,0)</f>
        <v>20.947.332/0005-19</v>
      </c>
      <c r="H102" s="59" t="str">
        <f>VLOOKUP(A102,'Custo_Fopag (2)'!$A:$BQ,6,0)</f>
        <v>COMERCIAL</v>
      </c>
      <c r="I102" s="59" t="str">
        <f>VLOOKUP(A102,'Custo_Fopag (2)'!$A:$BQ,7,0)</f>
        <v>COMERCIAL</v>
      </c>
      <c r="J102" s="59" t="s">
        <v>313</v>
      </c>
      <c r="K102" s="78">
        <f>VLOOKUP(A102,'Custo_Fopag (2)'!$A:$BQ,9,0)</f>
        <v>45663</v>
      </c>
      <c r="M102" s="60"/>
      <c r="N102" s="3" t="s">
        <v>318</v>
      </c>
      <c r="O102" s="3" t="str">
        <f>VLOOKUP(A102,'Custo_Fopag (2)'!$A:$BQ,12,0)</f>
        <v>AUXILIAR COMERCIAL - ESTAGIARIO</v>
      </c>
      <c r="P102" s="126">
        <f>VLOOKUP(A102,'Custo_Fopag (2)'!$A:$BQ,13,0)</f>
        <v>1000</v>
      </c>
      <c r="Q102" s="127">
        <f>VLOOKUP(A102,'Custo_Fopag (2)'!$A:$BQ,16,0)</f>
        <v>0</v>
      </c>
      <c r="R102" s="56">
        <f>VLOOKUP(A102,'Custo_Fopag (2)'!$A:$BQ,17,0)</f>
        <v>0</v>
      </c>
      <c r="S102" s="54">
        <f>VLOOKUP(A102,'Custo_Fopag (2)'!$A:$BP,18,0)</f>
        <v>0</v>
      </c>
      <c r="T102" s="54">
        <f>VLOOKUP(A102,'Custo_Fopag (2)'!$A:$BQ,20,0)</f>
        <v>0</v>
      </c>
      <c r="U102" s="54">
        <f>VLOOKUP(A102,'Custo_Fopag (2)'!$A:$BQ,21,0)</f>
        <v>0</v>
      </c>
      <c r="V102" s="54">
        <f>VLOOKUP(A102,'Custo_Fopag (2)'!$A:$BQ,22,0)</f>
        <v>0</v>
      </c>
      <c r="W102" s="54">
        <f>VLOOKUP(A102,'Custo_Fopag (2)'!$A:$BQ,23,0)</f>
        <v>0</v>
      </c>
      <c r="X102" s="54">
        <f>VLOOKUP(A102,'Custo_Fopag (2)'!$A:$BQ,24,0)</f>
        <v>0</v>
      </c>
      <c r="Y102" s="55">
        <f>VLOOKUP(A102,'Custo_Fopag (2)'!$A:$BQ,25,0)</f>
        <v>0</v>
      </c>
      <c r="Z102" s="54">
        <f>VLOOKUP(A102,'Custo_Fopag (2)'!$A:$BQ,26,0)</f>
        <v>0</v>
      </c>
      <c r="AA102" s="54">
        <f>VLOOKUP(A102,'Custo_Fopag (2)'!$A:$BQ,27,0)</f>
        <v>0</v>
      </c>
      <c r="AB102" s="54">
        <f>VLOOKUP(A102,'Custo_Fopag (2)'!$A:$BQ,28,0)</f>
        <v>0</v>
      </c>
      <c r="AC102" s="54">
        <f>VLOOKUP(A102,'Custo_Fopag (2)'!$A:$BQ,29,0)</f>
        <v>0</v>
      </c>
      <c r="AD102" s="54">
        <f>VLOOKUP(A102,'Custo_Fopag (2)'!$A:$BQ,30,0)</f>
        <v>0</v>
      </c>
      <c r="AE102" s="54">
        <f>VLOOKUP(A102,'Custo_Fopag (2)'!$A:$BQ,31,0)</f>
        <v>0</v>
      </c>
      <c r="AF102" s="54">
        <f>VLOOKUP(A102,'Custo_Fopag (2)'!$A:$BQ,32,0)</f>
        <v>0</v>
      </c>
      <c r="AG102" s="54">
        <f t="shared" si="36"/>
        <v>0</v>
      </c>
      <c r="AH102" s="121">
        <f>VLOOKUP(A102,'Custo_Fopag (2)'!$A:$BQ,45,0)</f>
        <v>1000</v>
      </c>
      <c r="AI102" s="54">
        <f>_xlfn.XLOOKUP(A102,Beneficios!A:A,Beneficios!B:B,0,0,1)</f>
        <v>521.87</v>
      </c>
      <c r="AJ102" s="54">
        <f>VLOOKUP(A102,'Custo_Fopag (2)'!$A:$BQ,47,0)</f>
        <v>0</v>
      </c>
      <c r="AK102" s="54">
        <v>0</v>
      </c>
      <c r="AL102" s="54">
        <f>VLOOKUP(A102,'Custo_Fopag (2)'!$A:$BQ,35,0)</f>
        <v>0</v>
      </c>
      <c r="AM102" s="54">
        <f>VLOOKUP(A102,'Custo_Fopag (2)'!$A:$BQ,36,0)</f>
        <v>0</v>
      </c>
      <c r="AN102" s="54">
        <f>VLOOKUP(A102,'Custo_Fopag (2)'!$A:$BQ,37,0)</f>
        <v>0</v>
      </c>
      <c r="AO102" s="54">
        <f>VLOOKUP(A102,'Custo_Fopag (2)'!$A:$BQ,39,0)</f>
        <v>0</v>
      </c>
      <c r="AP102" s="54">
        <f>VLOOKUP(A102,'Custo_Fopag (2)'!$A:$BQ,42,0)</f>
        <v>0</v>
      </c>
      <c r="AQ102" s="54">
        <f>VLOOKUP(A102,'Custo_Fopag (2)'!$A:$BQ,40,0)</f>
        <v>0</v>
      </c>
      <c r="AR102" s="54">
        <f>VLOOKUP(A102,'Custo_Fopag (2)'!$A:$BQ,41,0)</f>
        <v>0</v>
      </c>
      <c r="AS102" s="54">
        <f>VLOOKUP(A102,'Custo_Fopag (2)'!$A:$BQ,38,0)</f>
        <v>0</v>
      </c>
      <c r="AT102" s="54">
        <f>VLOOKUP(A102,'Custo_Fopag (2)'!$A:$BQ,43,0)</f>
        <v>0</v>
      </c>
      <c r="AU102" s="54">
        <f>VLOOKUP(A102,'Custo_Fopag (2)'!$A:$BQ,48,0)</f>
        <v>0</v>
      </c>
      <c r="AV102" s="54">
        <f>VLOOKUP(A102,'Custo_Fopag (2)'!$A:$BQ,49,0)</f>
        <v>0</v>
      </c>
      <c r="AW102" s="54">
        <f>VLOOKUP(A102,'Custo_Fopag (2)'!$A:$BQ,19,0)</f>
        <v>0</v>
      </c>
      <c r="AX102" s="54">
        <f>VLOOKUP(A102,'Custo_Fopag (2)'!$A:$BQ,50,0)</f>
        <v>0</v>
      </c>
      <c r="AY102" s="54">
        <f>VLOOKUP(A102,'Custo_Fopag (2)'!$A:$BQ,51,0)</f>
        <v>0</v>
      </c>
      <c r="AZ102" s="117">
        <v>0</v>
      </c>
      <c r="BA102" s="54">
        <f>VLOOKUP(A102,'Custo_Fopag (2)'!$A:$BQ,54,0)</f>
        <v>0</v>
      </c>
      <c r="BB102" s="54">
        <f>VLOOKUP(A102,'Custo_Fopag (2)'!$A:$BQ,52,0)</f>
        <v>0</v>
      </c>
      <c r="BC102" s="122">
        <f t="shared" si="37"/>
        <v>1521.87</v>
      </c>
      <c r="BD102" s="54">
        <f t="shared" si="38"/>
        <v>1521.87</v>
      </c>
      <c r="BE102" s="57"/>
      <c r="BF102" s="54">
        <f t="shared" si="39"/>
        <v>1521.87</v>
      </c>
      <c r="BG102" s="54">
        <f t="shared" si="40"/>
        <v>0</v>
      </c>
      <c r="BH102" s="54">
        <f t="shared" si="41"/>
        <v>0</v>
      </c>
      <c r="BI102" s="61">
        <v>0</v>
      </c>
      <c r="BJ102" s="61">
        <v>0</v>
      </c>
      <c r="BK102" s="54">
        <f>VLOOKUP(A102,'Custo_Fopag (2)'!$A:$BQ,65,0)</f>
        <v>0</v>
      </c>
      <c r="BL102" s="54">
        <f>VLOOKUP(A102,'Custo_Fopag (2)'!$A:$BQP,66,0)</f>
        <v>0</v>
      </c>
      <c r="BM102" s="54">
        <f>VLOOKUP(A102,'Custo_Fopag (2)'!$A:$BQ,67,0)</f>
        <v>0</v>
      </c>
      <c r="BN102" s="54">
        <f>VLOOKUP(A102,'Custo_Fopag (2)'!$A:$BQ,64,0)</f>
        <v>0</v>
      </c>
      <c r="BO102" s="54">
        <f t="shared" si="44"/>
        <v>0</v>
      </c>
      <c r="BP102" s="54">
        <f t="shared" si="45"/>
        <v>1521.87</v>
      </c>
      <c r="BQ102" s="54">
        <f t="shared" si="46"/>
        <v>1521.87</v>
      </c>
      <c r="BR102" s="109">
        <f>VLOOKUP(A102,'Custo_Fopag (2)'!$A:$BQ,60,0)</f>
        <v>0</v>
      </c>
      <c r="BS102" s="83" t="str">
        <f t="shared" si="47"/>
        <v>Ativo</v>
      </c>
    </row>
    <row r="103" spans="1:71" x14ac:dyDescent="0.25">
      <c r="A103" s="81" t="s">
        <v>251</v>
      </c>
      <c r="B103" s="88">
        <v>46082</v>
      </c>
      <c r="C103" s="59" t="s">
        <v>6</v>
      </c>
      <c r="D103" s="59" t="str">
        <f>VLOOKUP(A103,'Custo_Fopag (2)'!A:$BQ,4,0)</f>
        <v>G3S FL 10 - PRES PRUD</v>
      </c>
      <c r="E103" s="59"/>
      <c r="F103" s="59"/>
      <c r="G103" s="59" t="str">
        <f>VLOOKUP(A103,'Custo_Fopag (2)'!$A:$BQ,5,0)</f>
        <v>20.947.332/0010-86</v>
      </c>
      <c r="H103" s="59" t="str">
        <f>VLOOKUP(A103,'Custo_Fopag (2)'!$A:$BQ,6,0)</f>
        <v>ADMINISTRATIVO</v>
      </c>
      <c r="I103" s="59" t="str">
        <f>VLOOKUP(A103,'Custo_Fopag (2)'!$A:$BQ,7,0)</f>
        <v>ADMINISTRATIVO</v>
      </c>
      <c r="J103" s="59" t="str">
        <f>VLOOKUP(A103,'Custo_Fopag (2)'!$A:$BQ,8,0)</f>
        <v>RENDER LOCACOES</v>
      </c>
      <c r="K103" s="78">
        <f>VLOOKUP(A103,'Custo_Fopag (2)'!$A:$BQ,9,0)</f>
        <v>45973</v>
      </c>
      <c r="N103" s="3" t="str">
        <f>VLOOKUP(A103,'Custo_Fopag (2)'!$A:$BQ,11,0)</f>
        <v>1.8.1 ADMINISTRATIVO</v>
      </c>
      <c r="O103" s="3" t="str">
        <f>VLOOKUP(A103,'Custo_Fopag (2)'!$A:$BQ,12,0)</f>
        <v>AUXILIAR ADMINISTRATIVO - ESTAGIARIO(A)</v>
      </c>
      <c r="P103" s="126">
        <f>VLOOKUP(A103,'Custo_Fopag (2)'!$A:$BQ,13,0)</f>
        <v>1000</v>
      </c>
      <c r="Q103" s="127">
        <f>VLOOKUP(A103,'Custo_Fopag (2)'!$A:$BQ,16,0)</f>
        <v>0</v>
      </c>
      <c r="R103" s="56">
        <f>VLOOKUP(A103,'Custo_Fopag (2)'!$A:$BQ,17,0)</f>
        <v>0</v>
      </c>
      <c r="S103" s="54">
        <f>VLOOKUP(A103,'Custo_Fopag (2)'!$A:$BP,18,0)</f>
        <v>0</v>
      </c>
      <c r="T103" s="54">
        <f>VLOOKUP(A103,'Custo_Fopag (2)'!$A:$BQ,20,0)</f>
        <v>0</v>
      </c>
      <c r="U103" s="54">
        <f>VLOOKUP(A103,'Custo_Fopag (2)'!$A:$BQ,21,0)</f>
        <v>0</v>
      </c>
      <c r="V103" s="54">
        <f>VLOOKUP(A103,'Custo_Fopag (2)'!$A:$BQ,22,0)</f>
        <v>0</v>
      </c>
      <c r="W103" s="54">
        <f>VLOOKUP(A103,'Custo_Fopag (2)'!$A:$BQ,23,0)</f>
        <v>0</v>
      </c>
      <c r="X103" s="54">
        <f>VLOOKUP(A103,'Custo_Fopag (2)'!$A:$BQ,24,0)</f>
        <v>0</v>
      </c>
      <c r="Y103" s="55">
        <f>VLOOKUP(A103,'Custo_Fopag (2)'!$A:$BQ,25,0)</f>
        <v>0</v>
      </c>
      <c r="Z103" s="54">
        <f>VLOOKUP(A103,'Custo_Fopag (2)'!$A:$BQ,26,0)</f>
        <v>0</v>
      </c>
      <c r="AA103" s="54">
        <f>VLOOKUP(A103,'Custo_Fopag (2)'!$A:$BQ,27,0)</f>
        <v>0</v>
      </c>
      <c r="AB103" s="54">
        <f>VLOOKUP(A103,'Custo_Fopag (2)'!$A:$BQ,28,0)</f>
        <v>0</v>
      </c>
      <c r="AC103" s="54">
        <f>VLOOKUP(A103,'Custo_Fopag (2)'!$A:$BQ,29,0)</f>
        <v>0</v>
      </c>
      <c r="AD103" s="54">
        <f>VLOOKUP(A103,'Custo_Fopag (2)'!$A:$BQ,30,0)</f>
        <v>0</v>
      </c>
      <c r="AE103" s="54">
        <f>VLOOKUP(A103,'Custo_Fopag (2)'!$A:$BQ,31,0)</f>
        <v>0</v>
      </c>
      <c r="AF103" s="54">
        <f>VLOOKUP(A103,'Custo_Fopag (2)'!$A:$BQ,32,0)</f>
        <v>0</v>
      </c>
      <c r="AG103" s="54">
        <f t="shared" si="36"/>
        <v>0</v>
      </c>
      <c r="AH103" s="121">
        <f>VLOOKUP(A103,'Custo_Fopag (2)'!$A:$BQ,45,0)</f>
        <v>1000</v>
      </c>
      <c r="AI103" s="54">
        <f>_xlfn.XLOOKUP(A103,Beneficios!A:A,Beneficios!B:B,0,0,1)</f>
        <v>521.87</v>
      </c>
      <c r="AJ103" s="54">
        <f>VLOOKUP(A103,'Custo_Fopag (2)'!$A:$BQ,47,0)</f>
        <v>0</v>
      </c>
      <c r="AK103" s="54">
        <v>0</v>
      </c>
      <c r="AL103" s="54">
        <f>VLOOKUP(A103,'Custo_Fopag (2)'!$A:$BQ,35,0)</f>
        <v>0</v>
      </c>
      <c r="AM103" s="54">
        <f>VLOOKUP(A103,'Custo_Fopag (2)'!$A:$BQ,36,0)</f>
        <v>0</v>
      </c>
      <c r="AN103" s="54">
        <f>VLOOKUP(A103,'Custo_Fopag (2)'!$A:$BQ,37,0)</f>
        <v>0</v>
      </c>
      <c r="AO103" s="54">
        <f>VLOOKUP(A103,'Custo_Fopag (2)'!$A:$BQ,39,0)</f>
        <v>0</v>
      </c>
      <c r="AP103" s="54">
        <f>VLOOKUP(A103,'Custo_Fopag (2)'!$A:$BQ,42,0)</f>
        <v>0</v>
      </c>
      <c r="AQ103" s="54">
        <f>VLOOKUP(A103,'Custo_Fopag (2)'!$A:$BQ,40,0)</f>
        <v>0</v>
      </c>
      <c r="AR103" s="54">
        <f>VLOOKUP(A103,'Custo_Fopag (2)'!$A:$BQ,41,0)</f>
        <v>0</v>
      </c>
      <c r="AS103" s="54">
        <f>VLOOKUP(A103,'Custo_Fopag (2)'!$A:$BQ,38,0)</f>
        <v>0</v>
      </c>
      <c r="AT103" s="54">
        <f>VLOOKUP(A103,'Custo_Fopag (2)'!$A:$BQ,43,0)</f>
        <v>0</v>
      </c>
      <c r="AU103" s="54">
        <f>VLOOKUP(A103,'Custo_Fopag (2)'!$A:$BQ,48,0)</f>
        <v>0</v>
      </c>
      <c r="AV103" s="54">
        <f>VLOOKUP(A103,'Custo_Fopag (2)'!$A:$BQ,49,0)</f>
        <v>0</v>
      </c>
      <c r="AW103" s="54">
        <f>VLOOKUP(A103,'Custo_Fopag (2)'!$A:$BQ,19,0)</f>
        <v>0</v>
      </c>
      <c r="AX103" s="54">
        <f>VLOOKUP(A103,'Custo_Fopag (2)'!$A:$BQ,50,0)</f>
        <v>0</v>
      </c>
      <c r="AY103" s="54">
        <f>VLOOKUP(A103,'Custo_Fopag (2)'!$A:$BQ,51,0)</f>
        <v>0</v>
      </c>
      <c r="AZ103" s="117">
        <v>0</v>
      </c>
      <c r="BA103" s="54">
        <f>VLOOKUP(A103,'Custo_Fopag (2)'!$A:$BQ,54,0)</f>
        <v>0</v>
      </c>
      <c r="BB103" s="54">
        <f>VLOOKUP(A103,'Custo_Fopag (2)'!$A:$BQ,52,0)</f>
        <v>0</v>
      </c>
      <c r="BC103" s="122">
        <f t="shared" si="37"/>
        <v>1521.87</v>
      </c>
      <c r="BD103" s="54">
        <f t="shared" si="38"/>
        <v>1521.87</v>
      </c>
      <c r="BE103" s="57"/>
      <c r="BF103" s="54">
        <f t="shared" si="39"/>
        <v>1521.87</v>
      </c>
      <c r="BG103" s="54">
        <f t="shared" si="40"/>
        <v>0</v>
      </c>
      <c r="BH103" s="54">
        <f t="shared" si="41"/>
        <v>0</v>
      </c>
      <c r="BI103" s="54">
        <f>BH103/3</f>
        <v>0</v>
      </c>
      <c r="BJ103" s="54">
        <f>SUM(BG103:BI103)</f>
        <v>0</v>
      </c>
      <c r="BK103" s="54">
        <f>VLOOKUP(A103,'Custo_Fopag (2)'!$A:$BQ,65,0)</f>
        <v>0</v>
      </c>
      <c r="BL103" s="54">
        <f>VLOOKUP(A103,'Custo_Fopag (2)'!$A:$BQP,66,0)</f>
        <v>0</v>
      </c>
      <c r="BM103" s="54">
        <f>VLOOKUP(A103,'Custo_Fopag (2)'!$A:$BQ,67,0)</f>
        <v>0</v>
      </c>
      <c r="BN103" s="54">
        <f>VLOOKUP(A103,'Custo_Fopag (2)'!$A:$BQ,64,0)</f>
        <v>0</v>
      </c>
      <c r="BO103" s="54">
        <f t="shared" si="44"/>
        <v>0</v>
      </c>
      <c r="BP103" s="54">
        <f t="shared" si="45"/>
        <v>1521.87</v>
      </c>
      <c r="BQ103" s="54">
        <f t="shared" si="46"/>
        <v>1521.87</v>
      </c>
      <c r="BR103" s="109">
        <f>VLOOKUP(A103,'Custo_Fopag (2)'!$A:$BQ,60,0)</f>
        <v>0</v>
      </c>
      <c r="BS103" s="83" t="str">
        <f t="shared" si="47"/>
        <v>Ativo</v>
      </c>
    </row>
    <row r="104" spans="1:71" x14ac:dyDescent="0.25">
      <c r="A104" s="106" t="s">
        <v>249</v>
      </c>
      <c r="B104" s="88">
        <v>46082</v>
      </c>
      <c r="C104" s="59" t="s">
        <v>6</v>
      </c>
      <c r="D104" s="59" t="str">
        <f>VLOOKUP(A104,'Custo_Fopag (2)'!A:$BQ,4,0)</f>
        <v>G3S FL 10 - PRES PRUD</v>
      </c>
      <c r="E104" s="59"/>
      <c r="F104" s="59"/>
      <c r="G104" s="59" t="str">
        <f>VLOOKUP(A104,'Custo_Fopag (2)'!$A:$BQ,5,0)</f>
        <v>20.947.332/0010-86</v>
      </c>
      <c r="H104" s="59" t="str">
        <f>VLOOKUP(A104,'Custo_Fopag (2)'!$A:$BQ,6,0)</f>
        <v>ADMINISTRATIVO</v>
      </c>
      <c r="I104" s="59" t="str">
        <f>VLOOKUP(A104,'Custo_Fopag (2)'!$A:$BQ,7,0)</f>
        <v>FINANCEIRO</v>
      </c>
      <c r="J104" s="59" t="str">
        <f>VLOOKUP(A104,'Custo_Fopag (2)'!$A:$BQ,8,0)</f>
        <v>PILARES</v>
      </c>
      <c r="K104" s="78">
        <f>VLOOKUP(A104,'Custo_Fopag (2)'!$A:$BQ,9,0)</f>
        <v>45958</v>
      </c>
      <c r="N104" s="3" t="str">
        <f>VLOOKUP(A104,'Custo_Fopag (2)'!$A:$BQ,11,0)</f>
        <v>1.1.3 FINANCEIRO</v>
      </c>
      <c r="O104" s="3" t="str">
        <f>VLOOKUP(A104,'Custo_Fopag (2)'!$A:$BQ,12,0)</f>
        <v>AUXILIAR FINANCEIRO - ESTAGIARIO</v>
      </c>
      <c r="P104" s="126">
        <f>VLOOKUP(A104,'Custo_Fopag (2)'!$A:$BQ,13,0)</f>
        <v>1000</v>
      </c>
      <c r="Q104" s="127">
        <f>VLOOKUP(A104,'Custo_Fopag (2)'!$A:$BQ,16,0)</f>
        <v>0</v>
      </c>
      <c r="R104" s="56">
        <f>VLOOKUP(A104,'Custo_Fopag (2)'!$A:$BQ,17,0)</f>
        <v>0</v>
      </c>
      <c r="S104" s="54">
        <f>VLOOKUP(A104,'Custo_Fopag (2)'!$A:$BP,18,0)</f>
        <v>0</v>
      </c>
      <c r="T104" s="54">
        <f>VLOOKUP(A104,'Custo_Fopag (2)'!$A:$BQ,20,0)</f>
        <v>0</v>
      </c>
      <c r="U104" s="54">
        <f>VLOOKUP(A104,'Custo_Fopag (2)'!$A:$BQ,21,0)</f>
        <v>0</v>
      </c>
      <c r="V104" s="54">
        <f>VLOOKUP(A104,'Custo_Fopag (2)'!$A:$BQ,22,0)</f>
        <v>0</v>
      </c>
      <c r="W104" s="54">
        <f>VLOOKUP(A104,'Custo_Fopag (2)'!$A:$BQ,23,0)</f>
        <v>0</v>
      </c>
      <c r="X104" s="54">
        <f>VLOOKUP(A104,'Custo_Fopag (2)'!$A:$BQ,24,0)</f>
        <v>0</v>
      </c>
      <c r="Y104" s="55">
        <f>VLOOKUP(A104,'Custo_Fopag (2)'!$A:$BQ,25,0)</f>
        <v>0</v>
      </c>
      <c r="Z104" s="54">
        <f>VLOOKUP(A104,'Custo_Fopag (2)'!$A:$BQ,26,0)</f>
        <v>0</v>
      </c>
      <c r="AA104" s="54">
        <f>VLOOKUP(A104,'Custo_Fopag (2)'!$A:$BQ,27,0)</f>
        <v>0</v>
      </c>
      <c r="AB104" s="54">
        <f>VLOOKUP(A104,'Custo_Fopag (2)'!$A:$BQ,28,0)</f>
        <v>0</v>
      </c>
      <c r="AC104" s="54">
        <f>VLOOKUP(A104,'Custo_Fopag (2)'!$A:$BQ,29,0)</f>
        <v>0</v>
      </c>
      <c r="AD104" s="54">
        <f>VLOOKUP(A104,'Custo_Fopag (2)'!$A:$BQ,30,0)</f>
        <v>0</v>
      </c>
      <c r="AE104" s="54">
        <f>VLOOKUP(A104,'Custo_Fopag (2)'!$A:$BQ,31,0)</f>
        <v>0</v>
      </c>
      <c r="AF104" s="54">
        <f>VLOOKUP(A104,'Custo_Fopag (2)'!$A:$BQ,32,0)</f>
        <v>0</v>
      </c>
      <c r="AG104" s="54">
        <f t="shared" si="36"/>
        <v>0</v>
      </c>
      <c r="AH104" s="121">
        <f>VLOOKUP(A104,'Custo_Fopag (2)'!$A:$BQ,45,0)</f>
        <v>1000</v>
      </c>
      <c r="AI104" s="54">
        <f>_xlfn.XLOOKUP(A104,Beneficios!A:A,Beneficios!B:B,0,0,1)</f>
        <v>521.87</v>
      </c>
      <c r="AJ104" s="54">
        <f>VLOOKUP(A104,'Custo_Fopag (2)'!$A:$BQ,47,0)</f>
        <v>0</v>
      </c>
      <c r="AK104" s="54">
        <v>0</v>
      </c>
      <c r="AL104" s="54">
        <f>VLOOKUP(A104,'Custo_Fopag (2)'!$A:$BQ,35,0)</f>
        <v>0</v>
      </c>
      <c r="AM104" s="54">
        <f>VLOOKUP(A104,'Custo_Fopag (2)'!$A:$BQ,36,0)</f>
        <v>0</v>
      </c>
      <c r="AN104" s="54">
        <f>VLOOKUP(A104,'Custo_Fopag (2)'!$A:$BQ,37,0)</f>
        <v>0</v>
      </c>
      <c r="AO104" s="54">
        <f>VLOOKUP(A104,'Custo_Fopag (2)'!$A:$BQ,39,0)</f>
        <v>0</v>
      </c>
      <c r="AP104" s="54">
        <f>VLOOKUP(A104,'Custo_Fopag (2)'!$A:$BQ,42,0)</f>
        <v>0</v>
      </c>
      <c r="AQ104" s="54">
        <f>VLOOKUP(A104,'Custo_Fopag (2)'!$A:$BQ,40,0)</f>
        <v>0</v>
      </c>
      <c r="AR104" s="54">
        <f>VLOOKUP(A104,'Custo_Fopag (2)'!$A:$BQ,41,0)</f>
        <v>0</v>
      </c>
      <c r="AS104" s="54">
        <f>VLOOKUP(A104,'Custo_Fopag (2)'!$A:$BQ,38,0)</f>
        <v>0</v>
      </c>
      <c r="AT104" s="54">
        <f>VLOOKUP(A104,'Custo_Fopag (2)'!$A:$BQ,43,0)</f>
        <v>0</v>
      </c>
      <c r="AU104" s="54">
        <f>VLOOKUP(A104,'Custo_Fopag (2)'!$A:$BQ,48,0)</f>
        <v>0</v>
      </c>
      <c r="AV104" s="54">
        <f>VLOOKUP(A104,'Custo_Fopag (2)'!$A:$BQ,49,0)</f>
        <v>0</v>
      </c>
      <c r="AW104" s="54">
        <f>VLOOKUP(A104,'Custo_Fopag (2)'!$A:$BQ,19,0)</f>
        <v>0</v>
      </c>
      <c r="AX104" s="54">
        <f>VLOOKUP(A104,'Custo_Fopag (2)'!$A:$BQ,50,0)</f>
        <v>0</v>
      </c>
      <c r="AY104" s="54">
        <f>VLOOKUP(A104,'Custo_Fopag (2)'!$A:$BQ,51,0)</f>
        <v>0</v>
      </c>
      <c r="AZ104" s="117">
        <v>0</v>
      </c>
      <c r="BA104" s="54">
        <f>VLOOKUP(A104,'Custo_Fopag (2)'!$A:$BQ,54,0)</f>
        <v>0</v>
      </c>
      <c r="BB104" s="54">
        <f>VLOOKUP(A104,'Custo_Fopag (2)'!$A:$BQ,52,0)</f>
        <v>0</v>
      </c>
      <c r="BC104" s="122">
        <f t="shared" si="37"/>
        <v>1521.87</v>
      </c>
      <c r="BD104" s="54">
        <f t="shared" si="38"/>
        <v>1521.87</v>
      </c>
      <c r="BE104" s="57"/>
      <c r="BF104" s="54">
        <f t="shared" si="39"/>
        <v>1521.87</v>
      </c>
      <c r="BG104" s="54">
        <f t="shared" si="40"/>
        <v>0</v>
      </c>
      <c r="BH104" s="54">
        <f t="shared" si="41"/>
        <v>0</v>
      </c>
      <c r="BI104" s="54">
        <f>BH104/3</f>
        <v>0</v>
      </c>
      <c r="BJ104" s="54">
        <f>SUM(BG104:BI104)</f>
        <v>0</v>
      </c>
      <c r="BK104" s="54">
        <f>VLOOKUP(A104,'Custo_Fopag (2)'!$A:$BQ,65,0)</f>
        <v>0</v>
      </c>
      <c r="BL104" s="54">
        <f>VLOOKUP(A104,'Custo_Fopag (2)'!$A:$BQP,66,0)</f>
        <v>0</v>
      </c>
      <c r="BM104" s="54">
        <f>VLOOKUP(A104,'Custo_Fopag (2)'!$A:$BQ,67,0)</f>
        <v>0</v>
      </c>
      <c r="BN104" s="54">
        <f>VLOOKUP(A104,'Custo_Fopag (2)'!$A:$BQ,64,0)</f>
        <v>0</v>
      </c>
      <c r="BO104" s="54">
        <f t="shared" si="44"/>
        <v>0</v>
      </c>
      <c r="BP104" s="54">
        <f t="shared" si="45"/>
        <v>1521.87</v>
      </c>
      <c r="BQ104" s="54">
        <f t="shared" si="46"/>
        <v>1521.87</v>
      </c>
      <c r="BR104" s="109">
        <f>VLOOKUP(A104,'Custo_Fopag (2)'!$A:$BQ,60,0)</f>
        <v>0</v>
      </c>
      <c r="BS104" s="83" t="str">
        <f t="shared" si="47"/>
        <v>Ativo</v>
      </c>
    </row>
    <row r="105" spans="1:71" x14ac:dyDescent="0.25">
      <c r="A105" s="106" t="s">
        <v>248</v>
      </c>
      <c r="B105" s="88">
        <v>46082</v>
      </c>
      <c r="C105" s="59" t="s">
        <v>6</v>
      </c>
      <c r="D105" s="59" t="str">
        <f>VLOOKUP(A105,'Custo_Fopag (2)'!A:$BQ,4,0)</f>
        <v>G3S FL 10 - PRES PRUD</v>
      </c>
      <c r="E105" s="59"/>
      <c r="F105" s="59"/>
      <c r="G105" s="59" t="str">
        <f>VLOOKUP(A105,'Custo_Fopag (2)'!$A:$BQ,5,0)</f>
        <v>20.947.332/0010-86</v>
      </c>
      <c r="H105" s="59" t="str">
        <f>VLOOKUP(A105,'Custo_Fopag (2)'!$A:$BQ,6,0)</f>
        <v>ADMINISTRATIVO</v>
      </c>
      <c r="I105" s="59" t="str">
        <f>VLOOKUP(A105,'Custo_Fopag (2)'!$A:$BQ,7,0)</f>
        <v>SUPRIMENTOS</v>
      </c>
      <c r="J105" s="59" t="str">
        <f>VLOOKUP(A105,'Custo_Fopag (2)'!$A:$BQ,8,0)</f>
        <v>PILARES</v>
      </c>
      <c r="K105" s="78">
        <f>VLOOKUP(A105,'Custo_Fopag (2)'!$A:$BQ,9,0)</f>
        <v>45929</v>
      </c>
      <c r="N105" s="3" t="str">
        <f>VLOOKUP(A105,'Custo_Fopag (2)'!$A:$BQ,11,0)</f>
        <v>1.1.14 SUPRIMENTOS</v>
      </c>
      <c r="O105" s="3" t="str">
        <f>VLOOKUP(A105,'Custo_Fopag (2)'!$A:$BQ,12,0)</f>
        <v>AUXILIAR ADMINISTRATIVO - ESTAGIARIO(A)</v>
      </c>
      <c r="P105" s="126">
        <f>VLOOKUP(A105,'Custo_Fopag (2)'!$A:$BQ,13,0)</f>
        <v>1000</v>
      </c>
      <c r="Q105" s="127">
        <f>VLOOKUP(A105,'Custo_Fopag (2)'!$A:$BQ,16,0)</f>
        <v>0</v>
      </c>
      <c r="R105" s="56">
        <f>VLOOKUP(A105,'Custo_Fopag (2)'!$A:$BQ,17,0)</f>
        <v>0</v>
      </c>
      <c r="S105" s="54">
        <f>VLOOKUP(A105,'Custo_Fopag (2)'!$A:$BP,18,0)</f>
        <v>0</v>
      </c>
      <c r="T105" s="54">
        <f>VLOOKUP(A105,'Custo_Fopag (2)'!$A:$BQ,20,0)</f>
        <v>0</v>
      </c>
      <c r="U105" s="54">
        <f>VLOOKUP(A105,'Custo_Fopag (2)'!$A:$BQ,21,0)</f>
        <v>0</v>
      </c>
      <c r="V105" s="54">
        <f>VLOOKUP(A105,'Custo_Fopag (2)'!$A:$BQ,22,0)</f>
        <v>0</v>
      </c>
      <c r="W105" s="54">
        <f>VLOOKUP(A105,'Custo_Fopag (2)'!$A:$BQ,23,0)</f>
        <v>0</v>
      </c>
      <c r="X105" s="54">
        <f>VLOOKUP(A105,'Custo_Fopag (2)'!$A:$BQ,24,0)</f>
        <v>0</v>
      </c>
      <c r="Y105" s="55">
        <f>VLOOKUP(A105,'Custo_Fopag (2)'!$A:$BQ,25,0)</f>
        <v>0</v>
      </c>
      <c r="Z105" s="54">
        <f>VLOOKUP(A105,'Custo_Fopag (2)'!$A:$BQ,26,0)</f>
        <v>0</v>
      </c>
      <c r="AA105" s="54">
        <f>VLOOKUP(A105,'Custo_Fopag (2)'!$A:$BQ,27,0)</f>
        <v>0</v>
      </c>
      <c r="AB105" s="54">
        <f>VLOOKUP(A105,'Custo_Fopag (2)'!$A:$BQ,28,0)</f>
        <v>0</v>
      </c>
      <c r="AC105" s="54">
        <f>VLOOKUP(A105,'Custo_Fopag (2)'!$A:$BQ,29,0)</f>
        <v>0</v>
      </c>
      <c r="AD105" s="54">
        <f>VLOOKUP(A105,'Custo_Fopag (2)'!$A:$BQ,30,0)</f>
        <v>0</v>
      </c>
      <c r="AE105" s="54">
        <f>VLOOKUP(A105,'Custo_Fopag (2)'!$A:$BQ,31,0)</f>
        <v>0</v>
      </c>
      <c r="AF105" s="54">
        <f>VLOOKUP(A105,'Custo_Fopag (2)'!$A:$BQ,32,0)</f>
        <v>0</v>
      </c>
      <c r="AG105" s="54">
        <f t="shared" si="36"/>
        <v>0</v>
      </c>
      <c r="AH105" s="121">
        <f>VLOOKUP(A105,'Custo_Fopag (2)'!$A:$BQ,45,0)</f>
        <v>1000</v>
      </c>
      <c r="AI105" s="54">
        <f>_xlfn.XLOOKUP(A105,Beneficios!A:A,Beneficios!B:B,0,0,1)</f>
        <v>521.87</v>
      </c>
      <c r="AJ105" s="54">
        <f>VLOOKUP(A105,'Custo_Fopag (2)'!$A:$BQ,47,0)</f>
        <v>0</v>
      </c>
      <c r="AK105" s="54">
        <v>0</v>
      </c>
      <c r="AL105" s="54">
        <f>VLOOKUP(A105,'Custo_Fopag (2)'!$A:$BQ,35,0)</f>
        <v>0</v>
      </c>
      <c r="AM105" s="54">
        <f>VLOOKUP(A105,'Custo_Fopag (2)'!$A:$BQ,36,0)</f>
        <v>0</v>
      </c>
      <c r="AN105" s="54">
        <f>VLOOKUP(A105,'Custo_Fopag (2)'!$A:$BQ,37,0)</f>
        <v>0</v>
      </c>
      <c r="AO105" s="54">
        <f>VLOOKUP(A105,'Custo_Fopag (2)'!$A:$BQ,39,0)</f>
        <v>0</v>
      </c>
      <c r="AP105" s="54">
        <f>VLOOKUP(A105,'Custo_Fopag (2)'!$A:$BQ,42,0)</f>
        <v>0</v>
      </c>
      <c r="AQ105" s="54">
        <f>VLOOKUP(A105,'Custo_Fopag (2)'!$A:$BQ,40,0)</f>
        <v>0</v>
      </c>
      <c r="AR105" s="54">
        <f>VLOOKUP(A105,'Custo_Fopag (2)'!$A:$BQ,41,0)</f>
        <v>0</v>
      </c>
      <c r="AS105" s="54">
        <f>VLOOKUP(A105,'Custo_Fopag (2)'!$A:$BQ,38,0)</f>
        <v>0</v>
      </c>
      <c r="AT105" s="54">
        <f>VLOOKUP(A105,'Custo_Fopag (2)'!$A:$BQ,43,0)</f>
        <v>0</v>
      </c>
      <c r="AU105" s="54">
        <f>VLOOKUP(A105,'Custo_Fopag (2)'!$A:$BQ,48,0)</f>
        <v>0</v>
      </c>
      <c r="AV105" s="54">
        <f>VLOOKUP(A105,'Custo_Fopag (2)'!$A:$BQ,49,0)</f>
        <v>0</v>
      </c>
      <c r="AW105" s="54">
        <f>VLOOKUP(A105,'Custo_Fopag (2)'!$A:$BQ,19,0)</f>
        <v>0</v>
      </c>
      <c r="AX105" s="54">
        <f>VLOOKUP(A105,'Custo_Fopag (2)'!$A:$BQ,50,0)</f>
        <v>0</v>
      </c>
      <c r="AY105" s="54">
        <f>VLOOKUP(A105,'Custo_Fopag (2)'!$A:$BQ,51,0)</f>
        <v>0</v>
      </c>
      <c r="AZ105" s="117">
        <v>0</v>
      </c>
      <c r="BA105" s="54">
        <f>VLOOKUP(A105,'Custo_Fopag (2)'!$A:$BQ,54,0)</f>
        <v>0</v>
      </c>
      <c r="BB105" s="54">
        <f>VLOOKUP(A105,'Custo_Fopag (2)'!$A:$BQ,52,0)</f>
        <v>0</v>
      </c>
      <c r="BC105" s="122">
        <f t="shared" si="37"/>
        <v>1521.87</v>
      </c>
      <c r="BD105" s="54">
        <f t="shared" si="38"/>
        <v>1521.87</v>
      </c>
      <c r="BE105" s="57"/>
      <c r="BF105" s="54">
        <f t="shared" si="39"/>
        <v>1521.87</v>
      </c>
      <c r="BG105" s="54">
        <f t="shared" si="40"/>
        <v>0</v>
      </c>
      <c r="BH105" s="54">
        <f t="shared" si="41"/>
        <v>0</v>
      </c>
      <c r="BI105" s="54">
        <f>BH105/3</f>
        <v>0</v>
      </c>
      <c r="BJ105" s="54">
        <f>SUM(BG105:BI105)</f>
        <v>0</v>
      </c>
      <c r="BK105" s="54">
        <f>VLOOKUP(A105,'Custo_Fopag (2)'!$A:$BQ,65,0)</f>
        <v>0</v>
      </c>
      <c r="BL105" s="54">
        <f>VLOOKUP(A105,'Custo_Fopag (2)'!$A:$BQP,66,0)</f>
        <v>0</v>
      </c>
      <c r="BM105" s="54">
        <f>VLOOKUP(A105,'Custo_Fopag (2)'!$A:$BQ,67,0)</f>
        <v>0</v>
      </c>
      <c r="BN105" s="54">
        <f>VLOOKUP(A105,'Custo_Fopag (2)'!$A:$BQ,64,0)</f>
        <v>0</v>
      </c>
      <c r="BO105" s="54">
        <f t="shared" si="44"/>
        <v>0</v>
      </c>
      <c r="BP105" s="54">
        <f t="shared" si="45"/>
        <v>1521.87</v>
      </c>
      <c r="BQ105" s="54">
        <f t="shared" si="46"/>
        <v>1521.87</v>
      </c>
      <c r="BR105" s="109">
        <f>VLOOKUP(A105,'Custo_Fopag (2)'!$A:$BQ,60,0)</f>
        <v>0</v>
      </c>
      <c r="BS105" s="83" t="str">
        <f t="shared" si="47"/>
        <v>Ativo</v>
      </c>
    </row>
    <row r="106" spans="1:71" x14ac:dyDescent="0.25">
      <c r="A106" s="59" t="s">
        <v>246</v>
      </c>
      <c r="B106" s="88">
        <v>46082</v>
      </c>
      <c r="C106" s="59" t="s">
        <v>6</v>
      </c>
      <c r="D106" s="59" t="str">
        <f>VLOOKUP(A106,'Custo_Fopag (2)'!A:$BQ,4,0)</f>
        <v>G3S FL 10 - PRES PRUD</v>
      </c>
      <c r="E106" s="59"/>
      <c r="F106" s="59"/>
      <c r="G106" s="59" t="str">
        <f>VLOOKUP(A106,'Custo_Fopag (2)'!$A:$BQ,5,0)</f>
        <v>20.947.332/0010-86</v>
      </c>
      <c r="H106" s="59" t="str">
        <f>VLOOKUP(A106,'Custo_Fopag (2)'!$A:$BQ,6,0)</f>
        <v>COMERCIAL</v>
      </c>
      <c r="I106" s="59" t="str">
        <f>VLOOKUP(A106,'Custo_Fopag (2)'!$A:$BQ,7,0)</f>
        <v>COMERCIAL</v>
      </c>
      <c r="J106" s="59" t="str">
        <f>VLOOKUP(A106,'Custo_Fopag (2)'!$A:$BQ,8,0)</f>
        <v>SELETIVA CORPORATIVO SUCATA</v>
      </c>
      <c r="K106" s="78">
        <f>VLOOKUP(A106,'Custo_Fopag (2)'!$A:$BQ,9,0)</f>
        <v>45824</v>
      </c>
      <c r="M106" s="60"/>
      <c r="N106" s="3" t="str">
        <f>VLOOKUP(A106,'Custo_Fopag (2)'!$A:$BQ,11,0)</f>
        <v>1.2.1.1 APOIO</v>
      </c>
      <c r="O106" s="3" t="str">
        <f>VLOOKUP(A106,'Custo_Fopag (2)'!$A:$BQ,12,0)</f>
        <v>AUXILIAR COMERCIAL - ESTAGIARIO</v>
      </c>
      <c r="P106" s="126">
        <f>VLOOKUP(A106,'Custo_Fopag (2)'!$A:$BQ,13,0)</f>
        <v>1000</v>
      </c>
      <c r="Q106" s="127">
        <f>VLOOKUP(A106,'Custo_Fopag (2)'!$A:$BQ,16,0)</f>
        <v>0</v>
      </c>
      <c r="R106" s="56">
        <f>VLOOKUP(A106,'Custo_Fopag (2)'!$A:$BQ,17,0)</f>
        <v>0</v>
      </c>
      <c r="S106" s="54">
        <f>VLOOKUP(A106,'Custo_Fopag (2)'!$A:$BP,18,0)</f>
        <v>0</v>
      </c>
      <c r="T106" s="54">
        <f>VLOOKUP(A106,'Custo_Fopag (2)'!$A:$BQ,20,0)</f>
        <v>0</v>
      </c>
      <c r="U106" s="54">
        <f>VLOOKUP(A106,'Custo_Fopag (2)'!$A:$BQ,21,0)</f>
        <v>0</v>
      </c>
      <c r="V106" s="54">
        <f>VLOOKUP(A106,'Custo_Fopag (2)'!$A:$BQ,22,0)</f>
        <v>0</v>
      </c>
      <c r="W106" s="54">
        <f>VLOOKUP(A106,'Custo_Fopag (2)'!$A:$BQ,23,0)</f>
        <v>0</v>
      </c>
      <c r="X106" s="54">
        <f>VLOOKUP(A106,'Custo_Fopag (2)'!$A:$BQ,24,0)</f>
        <v>0</v>
      </c>
      <c r="Y106" s="55">
        <f>VLOOKUP(A106,'Custo_Fopag (2)'!$A:$BQ,25,0)</f>
        <v>0</v>
      </c>
      <c r="Z106" s="54">
        <f>VLOOKUP(A106,'Custo_Fopag (2)'!$A:$BQ,26,0)</f>
        <v>0</v>
      </c>
      <c r="AA106" s="54">
        <f>VLOOKUP(A106,'Custo_Fopag (2)'!$A:$BQ,27,0)</f>
        <v>0</v>
      </c>
      <c r="AB106" s="54">
        <f>VLOOKUP(A106,'Custo_Fopag (2)'!$A:$BQ,28,0)</f>
        <v>0</v>
      </c>
      <c r="AC106" s="54">
        <f>VLOOKUP(A106,'Custo_Fopag (2)'!$A:$BQ,29,0)</f>
        <v>0</v>
      </c>
      <c r="AD106" s="54">
        <f>VLOOKUP(A106,'Custo_Fopag (2)'!$A:$BQ,30,0)</f>
        <v>0</v>
      </c>
      <c r="AE106" s="54">
        <f>VLOOKUP(A106,'Custo_Fopag (2)'!$A:$BQ,31,0)</f>
        <v>0</v>
      </c>
      <c r="AF106" s="54">
        <f>VLOOKUP(A106,'Custo_Fopag (2)'!$A:$BQ,32,0)</f>
        <v>0</v>
      </c>
      <c r="AG106" s="54">
        <f t="shared" si="36"/>
        <v>0</v>
      </c>
      <c r="AH106" s="121">
        <f>VLOOKUP(A106,'Custo_Fopag (2)'!$A:$BQ,45,0)</f>
        <v>1000</v>
      </c>
      <c r="AI106" s="54">
        <f>_xlfn.XLOOKUP(A106,Beneficios!A:A,Beneficios!B:B,0,0,1)</f>
        <v>521.87</v>
      </c>
      <c r="AJ106" s="54">
        <f>VLOOKUP(A106,'Custo_Fopag (2)'!$A:$BQ,47,0)</f>
        <v>0</v>
      </c>
      <c r="AK106" s="54">
        <v>0</v>
      </c>
      <c r="AL106" s="54">
        <f>VLOOKUP(A106,'Custo_Fopag (2)'!$A:$BQ,35,0)</f>
        <v>0</v>
      </c>
      <c r="AM106" s="54">
        <f>VLOOKUP(A106,'Custo_Fopag (2)'!$A:$BQ,36,0)</f>
        <v>0</v>
      </c>
      <c r="AN106" s="54">
        <f>VLOOKUP(A106,'Custo_Fopag (2)'!$A:$BQ,37,0)</f>
        <v>0</v>
      </c>
      <c r="AO106" s="54">
        <f>VLOOKUP(A106,'Custo_Fopag (2)'!$A:$BQ,39,0)</f>
        <v>0</v>
      </c>
      <c r="AP106" s="54">
        <f>VLOOKUP(A106,'Custo_Fopag (2)'!$A:$BQ,42,0)</f>
        <v>0</v>
      </c>
      <c r="AQ106" s="54">
        <f>VLOOKUP(A106,'Custo_Fopag (2)'!$A:$BQ,40,0)</f>
        <v>0</v>
      </c>
      <c r="AR106" s="54">
        <f>VLOOKUP(A106,'Custo_Fopag (2)'!$A:$BQ,41,0)</f>
        <v>0</v>
      </c>
      <c r="AS106" s="54">
        <f>VLOOKUP(A106,'Custo_Fopag (2)'!$A:$BQ,38,0)</f>
        <v>0</v>
      </c>
      <c r="AT106" s="54">
        <f>VLOOKUP(A106,'Custo_Fopag (2)'!$A:$BQ,43,0)</f>
        <v>0</v>
      </c>
      <c r="AU106" s="54">
        <f>VLOOKUP(A106,'Custo_Fopag (2)'!$A:$BQ,48,0)</f>
        <v>0</v>
      </c>
      <c r="AV106" s="54">
        <f>VLOOKUP(A106,'Custo_Fopag (2)'!$A:$BQ,49,0)</f>
        <v>0</v>
      </c>
      <c r="AW106" s="54">
        <f>VLOOKUP(A106,'Custo_Fopag (2)'!$A:$BQ,19,0)</f>
        <v>0</v>
      </c>
      <c r="AX106" s="54">
        <f>VLOOKUP(A106,'Custo_Fopag (2)'!$A:$BQ,50,0)</f>
        <v>0</v>
      </c>
      <c r="AY106" s="54">
        <f>VLOOKUP(A106,'Custo_Fopag (2)'!$A:$BQ,51,0)</f>
        <v>0</v>
      </c>
      <c r="AZ106" s="117">
        <v>0</v>
      </c>
      <c r="BA106" s="54">
        <f>VLOOKUP(A106,'Custo_Fopag (2)'!$A:$BQ,54,0)</f>
        <v>0</v>
      </c>
      <c r="BB106" s="54">
        <f>VLOOKUP(A106,'Custo_Fopag (2)'!$A:$BQ,52,0)</f>
        <v>0</v>
      </c>
      <c r="BC106" s="122">
        <f t="shared" si="37"/>
        <v>1521.87</v>
      </c>
      <c r="BD106" s="54">
        <f t="shared" si="38"/>
        <v>1521.87</v>
      </c>
      <c r="BE106" s="57"/>
      <c r="BF106" s="54">
        <f t="shared" si="39"/>
        <v>1521.87</v>
      </c>
      <c r="BG106" s="54">
        <f t="shared" si="40"/>
        <v>0</v>
      </c>
      <c r="BH106" s="54">
        <f t="shared" si="41"/>
        <v>0</v>
      </c>
      <c r="BI106" s="61">
        <v>0</v>
      </c>
      <c r="BJ106" s="61">
        <v>0</v>
      </c>
      <c r="BK106" s="54">
        <f>VLOOKUP(A106,'Custo_Fopag (2)'!$A:$BQ,65,0)</f>
        <v>0</v>
      </c>
      <c r="BL106" s="54">
        <f>VLOOKUP(A106,'Custo_Fopag (2)'!$A:$BQP,66,0)</f>
        <v>0</v>
      </c>
      <c r="BM106" s="54">
        <f>VLOOKUP(A106,'Custo_Fopag (2)'!$A:$BQ,67,0)</f>
        <v>0</v>
      </c>
      <c r="BN106" s="54">
        <f>VLOOKUP(A106,'Custo_Fopag (2)'!$A:$BQ,64,0)</f>
        <v>0</v>
      </c>
      <c r="BO106" s="54">
        <f t="shared" si="44"/>
        <v>0</v>
      </c>
      <c r="BP106" s="54">
        <f t="shared" si="45"/>
        <v>1521.87</v>
      </c>
      <c r="BQ106" s="54">
        <f t="shared" si="46"/>
        <v>1521.87</v>
      </c>
      <c r="BR106" s="109">
        <f>VLOOKUP(A106,'Custo_Fopag (2)'!$A:$BQ,60,0)</f>
        <v>0</v>
      </c>
      <c r="BS106" s="83" t="str">
        <f t="shared" si="47"/>
        <v>Ativo</v>
      </c>
    </row>
    <row r="107" spans="1:71" x14ac:dyDescent="0.25">
      <c r="A107" s="59" t="s">
        <v>239</v>
      </c>
      <c r="B107" s="88">
        <v>46082</v>
      </c>
      <c r="C107" s="59" t="s">
        <v>6</v>
      </c>
      <c r="D107" s="59" t="str">
        <f>VLOOKUP(A107,'Custo_Fopag (2)'!A:$BQ,4,0)</f>
        <v>G3S FL 10 - PRES PRUD</v>
      </c>
      <c r="E107" s="59"/>
      <c r="F107" s="59"/>
      <c r="G107" s="59" t="str">
        <f>VLOOKUP(A107,'Custo_Fopag (2)'!$A:$BQ,5,0)</f>
        <v>20.947.332/0010-86</v>
      </c>
      <c r="H107" s="59" t="str">
        <f>VLOOKUP(A107,'Custo_Fopag (2)'!$A:$BQ,6,0)</f>
        <v>ADMINISTRATIVO</v>
      </c>
      <c r="I107" s="59" t="str">
        <f>VLOOKUP(A107,'Custo_Fopag (2)'!$A:$BQ,7,0)</f>
        <v>QUALIDADE</v>
      </c>
      <c r="J107" s="59" t="str">
        <f>VLOOKUP(A107,'Custo_Fopag (2)'!$A:$BQ,8,0)</f>
        <v>PILARES</v>
      </c>
      <c r="K107" s="78">
        <f>VLOOKUP(A107,'Custo_Fopag (2)'!$A:$BQ,9,0)</f>
        <v>45790</v>
      </c>
      <c r="L107" s="52">
        <f>VLOOKUP(A107,'Custo_Fopag (2)'!$A:$BQ,10,0)</f>
        <v>46101</v>
      </c>
      <c r="M107" s="60" t="s">
        <v>422</v>
      </c>
      <c r="N107" s="3" t="str">
        <f>VLOOKUP(A107,'Custo_Fopag (2)'!$A:$BQ,11,0)</f>
        <v>1.1.5 QUALIDADE</v>
      </c>
      <c r="O107" s="3" t="str">
        <f>VLOOKUP(A107,'Custo_Fopag (2)'!$A:$BQ,12,0)</f>
        <v>AUXILIAR ADMINISTRATIVO - ESTAGIARIO(A)</v>
      </c>
      <c r="P107" s="126">
        <f>VLOOKUP(A107,'Custo_Fopag (2)'!$A:$BQ,13,0)</f>
        <v>1000</v>
      </c>
      <c r="Q107" s="127">
        <f>VLOOKUP(A107,'Custo_Fopag (2)'!$A:$BQ,16,0)</f>
        <v>0</v>
      </c>
      <c r="R107" s="56">
        <f>VLOOKUP(A107,'Custo_Fopag (2)'!$A:$BQ,17,0)</f>
        <v>0</v>
      </c>
      <c r="S107" s="54">
        <f>VLOOKUP(A107,'Custo_Fopag (2)'!$A:$BP,18,0)</f>
        <v>0</v>
      </c>
      <c r="T107" s="54">
        <f>VLOOKUP(A107,'Custo_Fopag (2)'!$A:$BQ,20,0)</f>
        <v>0</v>
      </c>
      <c r="U107" s="54">
        <f>VLOOKUP(A107,'Custo_Fopag (2)'!$A:$BQ,21,0)</f>
        <v>0</v>
      </c>
      <c r="V107" s="54">
        <f>VLOOKUP(A107,'Custo_Fopag (2)'!$A:$BQ,22,0)</f>
        <v>0</v>
      </c>
      <c r="W107" s="54">
        <f>VLOOKUP(A107,'Custo_Fopag (2)'!$A:$BQ,23,0)</f>
        <v>0</v>
      </c>
      <c r="X107" s="54">
        <f>VLOOKUP(A107,'Custo_Fopag (2)'!$A:$BQ,24,0)</f>
        <v>0</v>
      </c>
      <c r="Y107" s="55">
        <f>VLOOKUP(A107,'Custo_Fopag (2)'!$A:$BQ,25,0)</f>
        <v>0</v>
      </c>
      <c r="Z107" s="54">
        <f>VLOOKUP(A107,'Custo_Fopag (2)'!$A:$BQ,26,0)</f>
        <v>0</v>
      </c>
      <c r="AA107" s="54">
        <f>VLOOKUP(A107,'Custo_Fopag (2)'!$A:$BQ,27,0)</f>
        <v>0</v>
      </c>
      <c r="AB107" s="54">
        <f>VLOOKUP(A107,'Custo_Fopag (2)'!$A:$BQ,28,0)</f>
        <v>0</v>
      </c>
      <c r="AC107" s="54">
        <f>VLOOKUP(A107,'Custo_Fopag (2)'!$A:$BQ,29,0)</f>
        <v>0</v>
      </c>
      <c r="AD107" s="54">
        <f>VLOOKUP(A107,'Custo_Fopag (2)'!$A:$BQ,30,0)</f>
        <v>0</v>
      </c>
      <c r="AE107" s="54">
        <f>VLOOKUP(A107,'Custo_Fopag (2)'!$A:$BQ,31,0)</f>
        <v>0</v>
      </c>
      <c r="AF107" s="54">
        <f>VLOOKUP(A107,'Custo_Fopag (2)'!$A:$BQ,32,0)</f>
        <v>0</v>
      </c>
      <c r="AG107" s="54">
        <f t="shared" si="36"/>
        <v>0</v>
      </c>
      <c r="AH107" s="121">
        <f>VLOOKUP(A107,'Custo_Fopag (2)'!$A:$BQ,45,0)</f>
        <v>666.67</v>
      </c>
      <c r="AI107" s="54">
        <f>_xlfn.XLOOKUP(A107,Beneficios!A:A,Beneficios!B:B,0,0,1)</f>
        <v>521.87</v>
      </c>
      <c r="AJ107" s="54">
        <f>VLOOKUP(A107,'Custo_Fopag (2)'!$A:$BQ,47,0)</f>
        <v>0</v>
      </c>
      <c r="AK107" s="54">
        <v>0</v>
      </c>
      <c r="AL107" s="54">
        <f>VLOOKUP(A107,'Custo_Fopag (2)'!$A:$BQ,35,0)</f>
        <v>0</v>
      </c>
      <c r="AM107" s="54">
        <f>VLOOKUP(A107,'Custo_Fopag (2)'!$A:$BQ,36,0)</f>
        <v>0</v>
      </c>
      <c r="AN107" s="54">
        <f>VLOOKUP(A107,'Custo_Fopag (2)'!$A:$BQ,37,0)</f>
        <v>0</v>
      </c>
      <c r="AO107" s="54">
        <f>VLOOKUP(A107,'Custo_Fopag (2)'!$A:$BQ,39,0)</f>
        <v>0</v>
      </c>
      <c r="AP107" s="54">
        <f>VLOOKUP(A107,'Custo_Fopag (2)'!$A:$BQ,42,0)</f>
        <v>0</v>
      </c>
      <c r="AQ107" s="54">
        <f>VLOOKUP(A107,'Custo_Fopag (2)'!$A:$BQ,40,0)</f>
        <v>0</v>
      </c>
      <c r="AR107" s="54">
        <f>VLOOKUP(A107,'Custo_Fopag (2)'!$A:$BQ,41,0)</f>
        <v>0</v>
      </c>
      <c r="AS107" s="54">
        <f>VLOOKUP(A107,'Custo_Fopag (2)'!$A:$BQ,38,0)</f>
        <v>0</v>
      </c>
      <c r="AT107" s="54">
        <f>VLOOKUP(A107,'Custo_Fopag (2)'!$A:$BQ,43,0)</f>
        <v>0</v>
      </c>
      <c r="AU107" s="54">
        <f>VLOOKUP(A107,'Custo_Fopag (2)'!$A:$BQ,48,0)</f>
        <v>0</v>
      </c>
      <c r="AV107" s="54">
        <f>VLOOKUP(A107,'Custo_Fopag (2)'!$A:$BQ,49,0)</f>
        <v>0</v>
      </c>
      <c r="AW107" s="54">
        <f>VLOOKUP(A107,'Custo_Fopag (2)'!$A:$BQ,19,0)</f>
        <v>0</v>
      </c>
      <c r="AX107" s="54">
        <f>VLOOKUP(A107,'Custo_Fopag (2)'!$A:$BQ,50,0)</f>
        <v>0</v>
      </c>
      <c r="AY107" s="54">
        <f>VLOOKUP(A107,'Custo_Fopag (2)'!$A:$BQ,51,0)</f>
        <v>0</v>
      </c>
      <c r="AZ107" s="117">
        <v>0</v>
      </c>
      <c r="BA107" s="54">
        <f>VLOOKUP(A107,'Custo_Fopag (2)'!$A:$BQ,54,0)</f>
        <v>0</v>
      </c>
      <c r="BB107" s="54">
        <f>VLOOKUP(A107,'Custo_Fopag (2)'!$A:$BQ,52,0)</f>
        <v>0</v>
      </c>
      <c r="BC107" s="122">
        <f t="shared" si="37"/>
        <v>1188.54</v>
      </c>
      <c r="BD107" s="54">
        <f t="shared" si="38"/>
        <v>1188.54</v>
      </c>
      <c r="BE107" s="57"/>
      <c r="BF107" s="54">
        <f t="shared" si="39"/>
        <v>1188.54</v>
      </c>
      <c r="BG107" s="54">
        <f t="shared" si="40"/>
        <v>0</v>
      </c>
      <c r="BH107" s="54">
        <f t="shared" si="41"/>
        <v>0</v>
      </c>
      <c r="BI107" s="61">
        <v>0</v>
      </c>
      <c r="BJ107" s="61">
        <v>0</v>
      </c>
      <c r="BK107" s="54">
        <f>VLOOKUP(A107,'Custo_Fopag (2)'!$A:$BQ,65,0)</f>
        <v>0</v>
      </c>
      <c r="BL107" s="54">
        <f>VLOOKUP(A107,'Custo_Fopag (2)'!$A:$BQP,66,0)</f>
        <v>0</v>
      </c>
      <c r="BM107" s="54">
        <f>VLOOKUP(A107,'Custo_Fopag (2)'!$A:$BQ,67,0)</f>
        <v>0</v>
      </c>
      <c r="BN107" s="54">
        <f>VLOOKUP(A107,'Custo_Fopag (2)'!$A:$BQ,64,0)</f>
        <v>0</v>
      </c>
      <c r="BO107" s="54">
        <f t="shared" si="44"/>
        <v>0</v>
      </c>
      <c r="BP107" s="54">
        <f t="shared" si="45"/>
        <v>1188.54</v>
      </c>
      <c r="BQ107" s="54">
        <f t="shared" si="46"/>
        <v>1188.54</v>
      </c>
      <c r="BR107" s="109">
        <f>VLOOKUP(A107,'Custo_Fopag (2)'!$A:$BQ,60,0)</f>
        <v>900</v>
      </c>
      <c r="BS107" s="83" t="str">
        <f t="shared" si="47"/>
        <v>Desligado</v>
      </c>
    </row>
    <row r="108" spans="1:71" x14ac:dyDescent="0.25">
      <c r="A108" s="59" t="s">
        <v>122</v>
      </c>
      <c r="B108" s="88">
        <v>46082</v>
      </c>
      <c r="C108" s="59" t="s">
        <v>6</v>
      </c>
      <c r="D108" s="59" t="str">
        <f>VLOOKUP(A108,'Custo_Fopag (2)'!A:$BQ,4,0)</f>
        <v>G S MATRIZ - PRES PRUD</v>
      </c>
      <c r="E108" s="59"/>
      <c r="F108" s="59"/>
      <c r="G108" s="59" t="str">
        <f>VLOOKUP(A108,'Custo_Fopag (2)'!$A:$BQ,5,0)</f>
        <v>20.504.237/0001-17</v>
      </c>
      <c r="H108" s="59" t="str">
        <f>VLOOKUP(A108,'Custo_Fopag (2)'!$A:$BQ,6,0)</f>
        <v>INTRA-LOGISTICA</v>
      </c>
      <c r="I108" s="59" t="str">
        <f>VLOOKUP(A108,'Custo_Fopag (2)'!$A:$BQ,7,0)</f>
        <v>ADMINISTRATIVO</v>
      </c>
      <c r="J108" s="59" t="str">
        <f>VLOOKUP(A108,'Custo_Fopag (2)'!$A:$BQ,8,0)</f>
        <v>EKIPA LOCACOES E SERV G&amp;S</v>
      </c>
      <c r="K108" s="78">
        <f>VLOOKUP(A108,'Custo_Fopag (2)'!$A:$BQ,9,0)</f>
        <v>46083</v>
      </c>
      <c r="M108" s="60" t="s">
        <v>422</v>
      </c>
      <c r="N108" s="3" t="str">
        <f>VLOOKUP(A108,'Custo_Fopag (2)'!$A:$BQ,11,0)</f>
        <v>1.7.2.1  ADMINISTRATIVO</v>
      </c>
      <c r="O108" s="3" t="str">
        <f>VLOOKUP(A108,'Custo_Fopag (2)'!$A:$BQ,12,0)</f>
        <v>AUXILIAR DE MARKETING - ESTAGIARIO</v>
      </c>
      <c r="P108" s="126">
        <f>VLOOKUP(A108,'Custo_Fopag (2)'!$A:$BQ,13,0)</f>
        <v>1000</v>
      </c>
      <c r="Q108" s="127">
        <f>VLOOKUP(A108,'Custo_Fopag (2)'!$A:$BQ,16,0)</f>
        <v>0</v>
      </c>
      <c r="R108" s="56">
        <f>VLOOKUP(A108,'Custo_Fopag (2)'!$A:$BQ,17,0)</f>
        <v>0</v>
      </c>
      <c r="S108" s="54">
        <f>VLOOKUP(A108,'Custo_Fopag (2)'!$A:$BP,18,0)</f>
        <v>0</v>
      </c>
      <c r="T108" s="54">
        <f>VLOOKUP(A108,'Custo_Fopag (2)'!$A:$BQ,20,0)</f>
        <v>0</v>
      </c>
      <c r="U108" s="54">
        <f>VLOOKUP(A108,'Custo_Fopag (2)'!$A:$BQ,21,0)</f>
        <v>0</v>
      </c>
      <c r="V108" s="54">
        <f>VLOOKUP(A108,'Custo_Fopag (2)'!$A:$BQ,22,0)</f>
        <v>0</v>
      </c>
      <c r="W108" s="54">
        <f>VLOOKUP(A108,'Custo_Fopag (2)'!$A:$BQ,23,0)</f>
        <v>0</v>
      </c>
      <c r="X108" s="54">
        <f>VLOOKUP(A108,'Custo_Fopag (2)'!$A:$BQ,24,0)</f>
        <v>0</v>
      </c>
      <c r="Y108" s="55">
        <f>VLOOKUP(A108,'Custo_Fopag (2)'!$A:$BQ,25,0)</f>
        <v>0</v>
      </c>
      <c r="Z108" s="54">
        <f>VLOOKUP(A108,'Custo_Fopag (2)'!$A:$BQ,26,0)</f>
        <v>0</v>
      </c>
      <c r="AA108" s="54">
        <f>VLOOKUP(A108,'Custo_Fopag (2)'!$A:$BQ,27,0)</f>
        <v>0</v>
      </c>
      <c r="AB108" s="54">
        <f>VLOOKUP(A108,'Custo_Fopag (2)'!$A:$BQ,28,0)</f>
        <v>0</v>
      </c>
      <c r="AC108" s="54">
        <f>VLOOKUP(A108,'Custo_Fopag (2)'!$A:$BQ,29,0)</f>
        <v>0</v>
      </c>
      <c r="AD108" s="54">
        <f>VLOOKUP(A108,'Custo_Fopag (2)'!$A:$BQ,30,0)</f>
        <v>0</v>
      </c>
      <c r="AE108" s="54">
        <f>VLOOKUP(A108,'Custo_Fopag (2)'!$A:$BQ,31,0)</f>
        <v>0</v>
      </c>
      <c r="AF108" s="54">
        <f>VLOOKUP(A108,'Custo_Fopag (2)'!$A:$BQ,32,0)</f>
        <v>0</v>
      </c>
      <c r="AG108" s="54">
        <f t="shared" ref="AG108:AG116" si="48">SUM(Q108:AF108)</f>
        <v>0</v>
      </c>
      <c r="AH108" s="121">
        <f>VLOOKUP(A108,'Custo_Fopag (2)'!$A:$BQ,45,0)</f>
        <v>1500</v>
      </c>
      <c r="AI108" s="54">
        <f>_xlfn.XLOOKUP(A108,Beneficios!A:A,Beneficios!B:B,0,0,1)</f>
        <v>0</v>
      </c>
      <c r="AJ108" s="54">
        <f>VLOOKUP(A108,'Custo_Fopag (2)'!$A:$BQ,47,0)</f>
        <v>0</v>
      </c>
      <c r="AK108" s="54">
        <v>0</v>
      </c>
      <c r="AL108" s="54">
        <f>VLOOKUP(A108,'Custo_Fopag (2)'!$A:$BQ,35,0)</f>
        <v>0</v>
      </c>
      <c r="AM108" s="54">
        <f>VLOOKUP(A108,'Custo_Fopag (2)'!$A:$BQ,36,0)</f>
        <v>0</v>
      </c>
      <c r="AN108" s="54">
        <f>VLOOKUP(A108,'Custo_Fopag (2)'!$A:$BQ,37,0)</f>
        <v>0</v>
      </c>
      <c r="AO108" s="54">
        <f>VLOOKUP(A108,'Custo_Fopag (2)'!$A:$BQ,39,0)</f>
        <v>0</v>
      </c>
      <c r="AP108" s="54">
        <f>VLOOKUP(A108,'Custo_Fopag (2)'!$A:$BQ,42,0)</f>
        <v>0</v>
      </c>
      <c r="AQ108" s="54">
        <f>VLOOKUP(A108,'Custo_Fopag (2)'!$A:$BQ,40,0)</f>
        <v>0</v>
      </c>
      <c r="AR108" s="54">
        <f>VLOOKUP(A108,'Custo_Fopag (2)'!$A:$BQ,41,0)</f>
        <v>0</v>
      </c>
      <c r="AS108" s="54">
        <f>VLOOKUP(A108,'Custo_Fopag (2)'!$A:$BQ,38,0)</f>
        <v>0</v>
      </c>
      <c r="AT108" s="54">
        <f>VLOOKUP(A108,'Custo_Fopag (2)'!$A:$BQ,43,0)</f>
        <v>0</v>
      </c>
      <c r="AU108" s="54">
        <f>VLOOKUP(A108,'Custo_Fopag (2)'!$A:$BQ,48,0)</f>
        <v>0</v>
      </c>
      <c r="AV108" s="54">
        <f>VLOOKUP(A108,'Custo_Fopag (2)'!$A:$BQ,49,0)</f>
        <v>0</v>
      </c>
      <c r="AW108" s="54">
        <f>VLOOKUP(A108,'Custo_Fopag (2)'!$A:$BQ,19,0)</f>
        <v>0</v>
      </c>
      <c r="AX108" s="54">
        <f>VLOOKUP(A108,'Custo_Fopag (2)'!$A:$BQ,50,0)</f>
        <v>0</v>
      </c>
      <c r="AY108" s="54">
        <f>VLOOKUP(A108,'Custo_Fopag (2)'!$A:$BQ,51,0)</f>
        <v>0</v>
      </c>
      <c r="AZ108" s="117">
        <v>0</v>
      </c>
      <c r="BA108" s="54">
        <f>VLOOKUP(A108,'Custo_Fopag (2)'!$A:$BQ,54,0)</f>
        <v>0</v>
      </c>
      <c r="BB108" s="54">
        <f>VLOOKUP(A108,'Custo_Fopag (2)'!$A:$BQ,52,0)</f>
        <v>0</v>
      </c>
      <c r="BC108" s="122">
        <f t="shared" ref="BC108:BC116" si="49">SUM(AH108:BB108)</f>
        <v>1500</v>
      </c>
      <c r="BD108" s="54">
        <f t="shared" ref="BD108:BD116" si="50">BC108+AG108</f>
        <v>1500</v>
      </c>
      <c r="BE108" s="57"/>
      <c r="BF108" s="54">
        <f t="shared" ref="BF108:BF116" si="51">BD108+BE108</f>
        <v>1500</v>
      </c>
      <c r="BG108" s="54">
        <f t="shared" ref="BG108:BG116" si="52">AG108/12</f>
        <v>0</v>
      </c>
      <c r="BH108" s="54">
        <f t="shared" ref="BH108:BH116" si="53">BG108</f>
        <v>0</v>
      </c>
      <c r="BI108" s="61">
        <v>0</v>
      </c>
      <c r="BJ108" s="61">
        <v>0</v>
      </c>
      <c r="BK108" s="54">
        <f>VLOOKUP(A108,'Custo_Fopag (2)'!$A:$BQ,65,0)</f>
        <v>0</v>
      </c>
      <c r="BL108" s="54">
        <f>VLOOKUP(A108,'Custo_Fopag (2)'!$A:$BQP,66,0)</f>
        <v>0</v>
      </c>
      <c r="BM108" s="54">
        <f>VLOOKUP(A108,'Custo_Fopag (2)'!$A:$BQ,67,0)</f>
        <v>0</v>
      </c>
      <c r="BN108" s="54">
        <f>VLOOKUP(A108,'Custo_Fopag (2)'!$A:$BQ,64,0)</f>
        <v>0</v>
      </c>
      <c r="BO108" s="54">
        <f t="shared" ref="BO108:BO116" si="54">SUM(BK108:BN108)</f>
        <v>0</v>
      </c>
      <c r="BP108" s="54">
        <f t="shared" ref="BP108:BP116" si="55">BF108+BO108</f>
        <v>1500</v>
      </c>
      <c r="BQ108" s="54">
        <f t="shared" ref="BQ108:BQ116" si="56">BF108+BJ108+BO108</f>
        <v>1500</v>
      </c>
      <c r="BR108" s="109">
        <f>VLOOKUP(A108,'Custo_Fopag (2)'!$A:$BQ,60,0)</f>
        <v>0</v>
      </c>
      <c r="BS108" s="83" t="str">
        <f t="shared" ref="BS108:BS116" si="57">IF(ISBLANK(L108),"Ativo","Desligado")</f>
        <v>Ativo</v>
      </c>
    </row>
    <row r="109" spans="1:71" x14ac:dyDescent="0.25">
      <c r="A109" s="59" t="s">
        <v>126</v>
      </c>
      <c r="B109" s="88">
        <v>46082</v>
      </c>
      <c r="C109" s="59" t="s">
        <v>6</v>
      </c>
      <c r="D109" s="59" t="str">
        <f>VLOOKUP(A109,'Custo_Fopag (2)'!A:$BQ,4,0)</f>
        <v>G S MATRIZ - PRES PRUD</v>
      </c>
      <c r="E109" s="59"/>
      <c r="F109" s="59"/>
      <c r="G109" s="59" t="str">
        <f>VLOOKUP(A109,'Custo_Fopag (2)'!$A:$BQ,5,0)</f>
        <v>20.504.237/0001-17</v>
      </c>
      <c r="H109" s="59" t="str">
        <f>VLOOKUP(A109,'Custo_Fopag (2)'!$A:$BQ,6,0)</f>
        <v>INTRA-LOGISTICA</v>
      </c>
      <c r="I109" s="59" t="str">
        <f>VLOOKUP(A109,'Custo_Fopag (2)'!$A:$BQ,7,0)</f>
        <v>ADMINISTRATIVO</v>
      </c>
      <c r="J109" s="59" t="str">
        <f>VLOOKUP(A109,'Custo_Fopag (2)'!$A:$BQ,8,0)</f>
        <v>EKIPA LOCACOES E SERV G&amp;S</v>
      </c>
      <c r="K109" s="78">
        <f>VLOOKUP(A109,'Custo_Fopag (2)'!$A:$BQ,9,0)</f>
        <v>46083</v>
      </c>
      <c r="M109" s="60" t="s">
        <v>422</v>
      </c>
      <c r="N109" s="3" t="str">
        <f>VLOOKUP(A109,'Custo_Fopag (2)'!$A:$BQ,11,0)</f>
        <v>1.7.2.1  ADMINISTRATIVO</v>
      </c>
      <c r="O109" s="3" t="str">
        <f>VLOOKUP(A109,'Custo_Fopag (2)'!$A:$BQ,12,0)</f>
        <v>AUXILIAR DE ENGENHARIA - ESTAGIARIO</v>
      </c>
      <c r="P109" s="126">
        <f>VLOOKUP(A109,'Custo_Fopag (2)'!$A:$BQ,13,0)</f>
        <v>1000</v>
      </c>
      <c r="Q109" s="127">
        <f>VLOOKUP(A109,'Custo_Fopag (2)'!$A:$BQ,16,0)</f>
        <v>0</v>
      </c>
      <c r="R109" s="56">
        <f>VLOOKUP(A109,'Custo_Fopag (2)'!$A:$BQ,17,0)</f>
        <v>0</v>
      </c>
      <c r="S109" s="54">
        <f>VLOOKUP(A109,'Custo_Fopag (2)'!$A:$BP,18,0)</f>
        <v>0</v>
      </c>
      <c r="T109" s="54">
        <f>VLOOKUP(A109,'Custo_Fopag (2)'!$A:$BQ,20,0)</f>
        <v>0</v>
      </c>
      <c r="U109" s="54">
        <f>VLOOKUP(A109,'Custo_Fopag (2)'!$A:$BQ,21,0)</f>
        <v>0</v>
      </c>
      <c r="V109" s="54">
        <f>VLOOKUP(A109,'Custo_Fopag (2)'!$A:$BQ,22,0)</f>
        <v>0</v>
      </c>
      <c r="W109" s="54">
        <f>VLOOKUP(A109,'Custo_Fopag (2)'!$A:$BQ,23,0)</f>
        <v>0</v>
      </c>
      <c r="X109" s="54">
        <f>VLOOKUP(A109,'Custo_Fopag (2)'!$A:$BQ,24,0)</f>
        <v>0</v>
      </c>
      <c r="Y109" s="55">
        <f>VLOOKUP(A109,'Custo_Fopag (2)'!$A:$BQ,25,0)</f>
        <v>0</v>
      </c>
      <c r="Z109" s="54">
        <f>VLOOKUP(A109,'Custo_Fopag (2)'!$A:$BQ,26,0)</f>
        <v>0</v>
      </c>
      <c r="AA109" s="54">
        <f>VLOOKUP(A109,'Custo_Fopag (2)'!$A:$BQ,27,0)</f>
        <v>0</v>
      </c>
      <c r="AB109" s="54">
        <f>VLOOKUP(A109,'Custo_Fopag (2)'!$A:$BQ,28,0)</f>
        <v>0</v>
      </c>
      <c r="AC109" s="54">
        <f>VLOOKUP(A109,'Custo_Fopag (2)'!$A:$BQ,29,0)</f>
        <v>0</v>
      </c>
      <c r="AD109" s="54">
        <f>VLOOKUP(A109,'Custo_Fopag (2)'!$A:$BQ,30,0)</f>
        <v>0</v>
      </c>
      <c r="AE109" s="54">
        <f>VLOOKUP(A109,'Custo_Fopag (2)'!$A:$BQ,31,0)</f>
        <v>0</v>
      </c>
      <c r="AF109" s="54">
        <f>VLOOKUP(A109,'Custo_Fopag (2)'!$A:$BQ,32,0)</f>
        <v>0</v>
      </c>
      <c r="AG109" s="54">
        <f t="shared" si="48"/>
        <v>0</v>
      </c>
      <c r="AH109" s="121">
        <f>VLOOKUP(A109,'Custo_Fopag (2)'!$A:$BQ,45,0)</f>
        <v>1500</v>
      </c>
      <c r="AI109" s="54">
        <f>_xlfn.XLOOKUP(A109,Beneficios!A:A,Beneficios!B:B,0,0,1)</f>
        <v>0</v>
      </c>
      <c r="AJ109" s="54">
        <f>VLOOKUP(A109,'Custo_Fopag (2)'!$A:$BQ,47,0)</f>
        <v>0</v>
      </c>
      <c r="AK109" s="54">
        <v>0</v>
      </c>
      <c r="AL109" s="54">
        <f>VLOOKUP(A109,'Custo_Fopag (2)'!$A:$BQ,35,0)</f>
        <v>0</v>
      </c>
      <c r="AM109" s="54">
        <f>VLOOKUP(A109,'Custo_Fopag (2)'!$A:$BQ,36,0)</f>
        <v>0</v>
      </c>
      <c r="AN109" s="54">
        <f>VLOOKUP(A109,'Custo_Fopag (2)'!$A:$BQ,37,0)</f>
        <v>0</v>
      </c>
      <c r="AO109" s="54">
        <f>VLOOKUP(A109,'Custo_Fopag (2)'!$A:$BQ,39,0)</f>
        <v>0</v>
      </c>
      <c r="AP109" s="54">
        <f>VLOOKUP(A109,'Custo_Fopag (2)'!$A:$BQ,42,0)</f>
        <v>0</v>
      </c>
      <c r="AQ109" s="54">
        <f>VLOOKUP(A109,'Custo_Fopag (2)'!$A:$BQ,40,0)</f>
        <v>0</v>
      </c>
      <c r="AR109" s="54">
        <f>VLOOKUP(A109,'Custo_Fopag (2)'!$A:$BQ,41,0)</f>
        <v>0</v>
      </c>
      <c r="AS109" s="54">
        <f>VLOOKUP(A109,'Custo_Fopag (2)'!$A:$BQ,38,0)</f>
        <v>0</v>
      </c>
      <c r="AT109" s="54">
        <f>VLOOKUP(A109,'Custo_Fopag (2)'!$A:$BQ,43,0)</f>
        <v>0</v>
      </c>
      <c r="AU109" s="54">
        <f>VLOOKUP(A109,'Custo_Fopag (2)'!$A:$BQ,48,0)</f>
        <v>0</v>
      </c>
      <c r="AV109" s="54">
        <f>VLOOKUP(A109,'Custo_Fopag (2)'!$A:$BQ,49,0)</f>
        <v>0</v>
      </c>
      <c r="AW109" s="54">
        <f>VLOOKUP(A109,'Custo_Fopag (2)'!$A:$BQ,19,0)</f>
        <v>0</v>
      </c>
      <c r="AX109" s="54">
        <f>VLOOKUP(A109,'Custo_Fopag (2)'!$A:$BQ,50,0)</f>
        <v>0</v>
      </c>
      <c r="AY109" s="54">
        <f>VLOOKUP(A109,'Custo_Fopag (2)'!$A:$BQ,51,0)</f>
        <v>0</v>
      </c>
      <c r="AZ109" s="117">
        <v>0</v>
      </c>
      <c r="BA109" s="54">
        <f>VLOOKUP(A109,'Custo_Fopag (2)'!$A:$BQ,54,0)</f>
        <v>0</v>
      </c>
      <c r="BB109" s="54">
        <f>VLOOKUP(A109,'Custo_Fopag (2)'!$A:$BQ,52,0)</f>
        <v>0</v>
      </c>
      <c r="BC109" s="122">
        <f t="shared" si="49"/>
        <v>1500</v>
      </c>
      <c r="BD109" s="54">
        <f t="shared" si="50"/>
        <v>1500</v>
      </c>
      <c r="BE109" s="57"/>
      <c r="BF109" s="54">
        <f t="shared" si="51"/>
        <v>1500</v>
      </c>
      <c r="BG109" s="54">
        <f t="shared" si="52"/>
        <v>0</v>
      </c>
      <c r="BH109" s="54">
        <f t="shared" si="53"/>
        <v>0</v>
      </c>
      <c r="BI109" s="61">
        <v>0</v>
      </c>
      <c r="BJ109" s="61">
        <v>0</v>
      </c>
      <c r="BK109" s="54">
        <f>VLOOKUP(A109,'Custo_Fopag (2)'!$A:$BQ,65,0)</f>
        <v>0</v>
      </c>
      <c r="BL109" s="54">
        <f>VLOOKUP(A109,'Custo_Fopag (2)'!$A:$BQP,66,0)</f>
        <v>0</v>
      </c>
      <c r="BM109" s="54">
        <f>VLOOKUP(A109,'Custo_Fopag (2)'!$A:$BQ,67,0)</f>
        <v>0</v>
      </c>
      <c r="BN109" s="54">
        <f>VLOOKUP(A109,'Custo_Fopag (2)'!$A:$BQ,64,0)</f>
        <v>0</v>
      </c>
      <c r="BO109" s="54">
        <f t="shared" si="54"/>
        <v>0</v>
      </c>
      <c r="BP109" s="54">
        <f t="shared" si="55"/>
        <v>1500</v>
      </c>
      <c r="BQ109" s="54">
        <f t="shared" si="56"/>
        <v>1500</v>
      </c>
      <c r="BR109" s="109">
        <f>VLOOKUP(A109,'Custo_Fopag (2)'!$A:$BQ,60,0)</f>
        <v>0</v>
      </c>
      <c r="BS109" s="83" t="str">
        <f t="shared" si="57"/>
        <v>Ativo</v>
      </c>
    </row>
    <row r="110" spans="1:71" x14ac:dyDescent="0.25">
      <c r="A110" s="59" t="s">
        <v>173</v>
      </c>
      <c r="B110" s="88">
        <v>46082</v>
      </c>
      <c r="C110" s="59" t="s">
        <v>5</v>
      </c>
      <c r="D110" s="59" t="str">
        <f>VLOOKUP(A110,'Custo_Fopag (2)'!A:$BQ,4,0)</f>
        <v>G S FL 05 - BARUERI</v>
      </c>
      <c r="E110" s="59"/>
      <c r="F110" s="59"/>
      <c r="G110" s="59" t="str">
        <f>VLOOKUP(A110,'Custo_Fopag (2)'!$A:$BQ,5,0)</f>
        <v>20.504.237/0005-40</v>
      </c>
      <c r="H110" s="59" t="str">
        <f>VLOOKUP(A110,'Custo_Fopag (2)'!$A:$BQ,6,0)</f>
        <v>OPERACIONAL</v>
      </c>
      <c r="I110" s="59" t="str">
        <f>VLOOKUP(A110,'Custo_Fopag (2)'!$A:$BQ,7,0)</f>
        <v>ARCELOR/BARRA MANSA - RJ</v>
      </c>
      <c r="J110" s="59" t="str">
        <f>VLOOKUP(A110,'Custo_Fopag (2)'!$A:$BQ,8,0)</f>
        <v>EKIPA LOCACOES E SERV G&amp;S</v>
      </c>
      <c r="K110" s="78">
        <f>VLOOKUP(A110,'Custo_Fopag (2)'!$A:$BQ,9,0)</f>
        <v>46097</v>
      </c>
      <c r="M110" s="60" t="s">
        <v>422</v>
      </c>
      <c r="N110" s="3" t="str">
        <f>VLOOKUP(A110,'Custo_Fopag (2)'!$A:$BQ,11,0)</f>
        <v>1.7.1.3 ARCELOR - BARRA MANS</v>
      </c>
      <c r="O110" s="3" t="str">
        <f>VLOOKUP(A110,'Custo_Fopag (2)'!$A:$BQ,12,0)</f>
        <v>OPERADOR MANTENEDOR SENIOR</v>
      </c>
      <c r="P110" s="126">
        <f>VLOOKUP(A110,'Custo_Fopag (2)'!$A:$BQ,13,0)</f>
        <v>3158.66</v>
      </c>
      <c r="Q110" s="127">
        <f>VLOOKUP(A110,'Custo_Fopag (2)'!$A:$BQ,16,0)</f>
        <v>1684.62</v>
      </c>
      <c r="R110" s="56">
        <f>VLOOKUP(A110,'Custo_Fopag (2)'!$A:$BQ,17,0)</f>
        <v>0</v>
      </c>
      <c r="S110" s="54">
        <f>VLOOKUP(A110,'Custo_Fopag (2)'!$A:$BP,18,0)</f>
        <v>0</v>
      </c>
      <c r="T110" s="54">
        <f>VLOOKUP(A110,'Custo_Fopag (2)'!$A:$BQ,20,0)</f>
        <v>336.92</v>
      </c>
      <c r="U110" s="54">
        <f>VLOOKUP(A110,'Custo_Fopag (2)'!$A:$BQ,21,0)</f>
        <v>0</v>
      </c>
      <c r="V110" s="54">
        <f>VLOOKUP(A110,'Custo_Fopag (2)'!$A:$BQ,22,0)</f>
        <v>0</v>
      </c>
      <c r="W110" s="54">
        <f>VLOOKUP(A110,'Custo_Fopag (2)'!$A:$BQ,23,0)</f>
        <v>0</v>
      </c>
      <c r="X110" s="54">
        <f>VLOOKUP(A110,'Custo_Fopag (2)'!$A:$BQ,24,0)</f>
        <v>0</v>
      </c>
      <c r="Y110" s="55">
        <f>VLOOKUP(A110,'Custo_Fopag (2)'!$A:$BQ,25,0)</f>
        <v>0</v>
      </c>
      <c r="Z110" s="54">
        <f>VLOOKUP(A110,'Custo_Fopag (2)'!$A:$BQ,26,0)</f>
        <v>0</v>
      </c>
      <c r="AA110" s="54">
        <f>VLOOKUP(A110,'Custo_Fopag (2)'!$A:$BQ,27,0)</f>
        <v>0</v>
      </c>
      <c r="AB110" s="54">
        <f>VLOOKUP(A110,'Custo_Fopag (2)'!$A:$BQ,28,0)</f>
        <v>0</v>
      </c>
      <c r="AC110" s="54">
        <f>VLOOKUP(A110,'Custo_Fopag (2)'!$A:$BQ,29,0)</f>
        <v>0</v>
      </c>
      <c r="AD110" s="54">
        <f>VLOOKUP(A110,'Custo_Fopag (2)'!$A:$BQ,30,0)</f>
        <v>0</v>
      </c>
      <c r="AE110" s="54">
        <f>VLOOKUP(A110,'Custo_Fopag (2)'!$A:$BQ,31,0)</f>
        <v>0</v>
      </c>
      <c r="AF110" s="54">
        <f>VLOOKUP(A110,'Custo_Fopag (2)'!$A:$BQ,32,0)</f>
        <v>0</v>
      </c>
      <c r="AG110" s="54">
        <f t="shared" si="48"/>
        <v>2021.54</v>
      </c>
      <c r="AH110" s="121">
        <f>VLOOKUP(A110,'Custo_Fopag (2)'!$A:$BQ,45,0)</f>
        <v>0</v>
      </c>
      <c r="AI110" s="54">
        <f>_xlfn.XLOOKUP(A110,'Custo_Fopag (2)'!A:A,'Custo_Fopag (2)'!AT:AT,0,0,1)</f>
        <v>379.03</v>
      </c>
      <c r="AJ110" s="54">
        <f>VLOOKUP(A110,'Custo_Fopag (2)'!$A:$BQ,47,0)</f>
        <v>0</v>
      </c>
      <c r="AK110" s="54">
        <v>3</v>
      </c>
      <c r="AL110" s="54">
        <f>VLOOKUP(A110,'Custo_Fopag (2)'!$A:$BQ,35,0)</f>
        <v>0</v>
      </c>
      <c r="AM110" s="54">
        <f>VLOOKUP(A110,'Custo_Fopag (2)'!$A:$BQ,36,0)</f>
        <v>0</v>
      </c>
      <c r="AN110" s="54">
        <f>VLOOKUP(A110,'Custo_Fopag (2)'!$A:$BQ,37,0)</f>
        <v>0</v>
      </c>
      <c r="AO110" s="54">
        <f>VLOOKUP(A110,'Custo_Fopag (2)'!$A:$BQ,39,0)</f>
        <v>0</v>
      </c>
      <c r="AP110" s="54">
        <f>VLOOKUP(A110,'Custo_Fopag (2)'!$A:$BQ,42,0)</f>
        <v>0</v>
      </c>
      <c r="AQ110" s="54">
        <f>VLOOKUP(A110,'Custo_Fopag (2)'!$A:$BQ,40,0)</f>
        <v>0</v>
      </c>
      <c r="AR110" s="54">
        <f>VLOOKUP(A110,'Custo_Fopag (2)'!$A:$BQ,41,0)</f>
        <v>0</v>
      </c>
      <c r="AS110" s="54">
        <f>VLOOKUP(A110,'Custo_Fopag (2)'!$A:$BQ,38,0)</f>
        <v>0</v>
      </c>
      <c r="AT110" s="54">
        <f>VLOOKUP(A110,'Custo_Fopag (2)'!$A:$BQ,43,0)</f>
        <v>0</v>
      </c>
      <c r="AU110" s="54">
        <f>VLOOKUP(A110,'Custo_Fopag (2)'!$A:$BQ,48,0)</f>
        <v>188</v>
      </c>
      <c r="AV110" s="54">
        <f>VLOOKUP(A110,'Custo_Fopag (2)'!$A:$BQ,49,0)</f>
        <v>0</v>
      </c>
      <c r="AW110" s="54">
        <f>VLOOKUP(A110,'Custo_Fopag (2)'!$A:$BQ,19,0)</f>
        <v>0</v>
      </c>
      <c r="AX110" s="54">
        <f>VLOOKUP(A110,'Custo_Fopag (2)'!$A:$BQ,50,0)</f>
        <v>0</v>
      </c>
      <c r="AY110" s="54">
        <f>VLOOKUP(A110,'Custo_Fopag (2)'!$A:$BQ,51,0)</f>
        <v>0</v>
      </c>
      <c r="AZ110" s="117">
        <v>3</v>
      </c>
      <c r="BA110" s="54">
        <f>VLOOKUP(A110,'Custo_Fopag (2)'!$A:$BQ,54,0)</f>
        <v>0</v>
      </c>
      <c r="BB110" s="54">
        <f>VLOOKUP(A110,'Custo_Fopag (2)'!$A:$BQ,52,0)</f>
        <v>0</v>
      </c>
      <c r="BC110" s="122">
        <f t="shared" si="49"/>
        <v>573.03</v>
      </c>
      <c r="BD110" s="54">
        <f t="shared" si="50"/>
        <v>2594.5699999999997</v>
      </c>
      <c r="BE110" s="57"/>
      <c r="BF110" s="54">
        <f t="shared" si="51"/>
        <v>2594.5699999999997</v>
      </c>
      <c r="BG110" s="54">
        <f t="shared" si="52"/>
        <v>168.46166666666667</v>
      </c>
      <c r="BH110" s="54">
        <f t="shared" si="53"/>
        <v>168.46166666666667</v>
      </c>
      <c r="BI110" s="61">
        <v>0</v>
      </c>
      <c r="BJ110" s="61">
        <v>0</v>
      </c>
      <c r="BK110" s="54">
        <f>VLOOKUP(A110,'Custo_Fopag (2)'!$A:$BQ,65,0)</f>
        <v>404.31</v>
      </c>
      <c r="BL110" s="54">
        <f>VLOOKUP(A110,'Custo_Fopag (2)'!$A:$BQP,66,0)</f>
        <v>30.32</v>
      </c>
      <c r="BM110" s="54">
        <f>VLOOKUP(A110,'Custo_Fopag (2)'!$A:$BQ,67,0)</f>
        <v>117.24</v>
      </c>
      <c r="BN110" s="54">
        <f>VLOOKUP(A110,'Custo_Fopag (2)'!$A:$BQ,64,0)</f>
        <v>161.72</v>
      </c>
      <c r="BO110" s="54">
        <f t="shared" si="54"/>
        <v>713.59</v>
      </c>
      <c r="BP110" s="54">
        <f t="shared" si="55"/>
        <v>3308.16</v>
      </c>
      <c r="BQ110" s="54">
        <f t="shared" si="56"/>
        <v>3308.16</v>
      </c>
      <c r="BR110" s="109">
        <f>VLOOKUP(A110,'Custo_Fopag (2)'!$A:$BQ,60,0)</f>
        <v>0</v>
      </c>
      <c r="BS110" s="83" t="str">
        <f t="shared" si="57"/>
        <v>Ativo</v>
      </c>
    </row>
    <row r="111" spans="1:71" x14ac:dyDescent="0.25">
      <c r="A111" s="59" t="s">
        <v>185</v>
      </c>
      <c r="B111" s="88">
        <v>46082</v>
      </c>
      <c r="C111" s="59" t="s">
        <v>5</v>
      </c>
      <c r="D111" s="59" t="str">
        <f>VLOOKUP(A111,'Custo_Fopag (2)'!A:$BQ,4,0)</f>
        <v>G S FL 06 - CAMPO GRANDE</v>
      </c>
      <c r="E111" s="59"/>
      <c r="F111" s="59"/>
      <c r="G111" s="59" t="str">
        <f>VLOOKUP(A111,'Custo_Fopag (2)'!$A:$BQ,5,0)</f>
        <v>20.504.237/0006-21</v>
      </c>
      <c r="H111" s="59" t="str">
        <f>VLOOKUP(A111,'Custo_Fopag (2)'!$A:$BQ,6,0)</f>
        <v>OPERACIONAL</v>
      </c>
      <c r="I111" s="59" t="str">
        <f>VLOOKUP(A111,'Custo_Fopag (2)'!$A:$BQ,7,0)</f>
        <v>PATIO</v>
      </c>
      <c r="J111" s="59" t="str">
        <f>VLOOKUP(A111,'Custo_Fopag (2)'!$A:$BQ,8,0)</f>
        <v>SELETIVA C GRANDE</v>
      </c>
      <c r="K111" s="78">
        <f>VLOOKUP(A111,'Custo_Fopag (2)'!$A:$BQ,9,0)</f>
        <v>46083</v>
      </c>
      <c r="M111" s="60" t="s">
        <v>422</v>
      </c>
      <c r="N111" s="3" t="str">
        <f>VLOOKUP(A111,'Custo_Fopag (2)'!$A:$BQ,11,0)</f>
        <v>1.2.7.3 OPERACIONAL</v>
      </c>
      <c r="O111" s="3" t="str">
        <f>VLOOKUP(A111,'Custo_Fopag (2)'!$A:$BQ,12,0)</f>
        <v>OPERADOR MANTENEDOR SENIOR</v>
      </c>
      <c r="P111" s="126">
        <f>VLOOKUP(A111,'Custo_Fopag (2)'!$A:$BQ,13,0)</f>
        <v>3158.66</v>
      </c>
      <c r="Q111" s="127">
        <f>VLOOKUP(A111,'Custo_Fopag (2)'!$A:$BQ,16,0)</f>
        <v>3158.66</v>
      </c>
      <c r="R111" s="56">
        <f>VLOOKUP(A111,'Custo_Fopag (2)'!$A:$BQ,17,0)</f>
        <v>0</v>
      </c>
      <c r="S111" s="54">
        <f>VLOOKUP(A111,'Custo_Fopag (2)'!$A:$BP,18,0)</f>
        <v>0</v>
      </c>
      <c r="T111" s="54">
        <f>VLOOKUP(A111,'Custo_Fopag (2)'!$A:$BQ,20,0)</f>
        <v>611.35</v>
      </c>
      <c r="U111" s="54">
        <f>VLOOKUP(A111,'Custo_Fopag (2)'!$A:$BQ,21,0)</f>
        <v>0</v>
      </c>
      <c r="V111" s="54">
        <f>VLOOKUP(A111,'Custo_Fopag (2)'!$A:$BQ,22,0)</f>
        <v>0</v>
      </c>
      <c r="W111" s="54">
        <f>VLOOKUP(A111,'Custo_Fopag (2)'!$A:$BQ,23,0)</f>
        <v>0</v>
      </c>
      <c r="X111" s="54">
        <f>VLOOKUP(A111,'Custo_Fopag (2)'!$A:$BQ,24,0)</f>
        <v>0</v>
      </c>
      <c r="Y111" s="55">
        <f>VLOOKUP(A111,'Custo_Fopag (2)'!$A:$BQ,25,0)</f>
        <v>0</v>
      </c>
      <c r="Z111" s="54">
        <f>VLOOKUP(A111,'Custo_Fopag (2)'!$A:$BQ,26,0)</f>
        <v>0</v>
      </c>
      <c r="AA111" s="54">
        <f>VLOOKUP(A111,'Custo_Fopag (2)'!$A:$BQ,27,0)</f>
        <v>73.88</v>
      </c>
      <c r="AB111" s="54">
        <f>VLOOKUP(A111,'Custo_Fopag (2)'!$A:$BQ,28,0)</f>
        <v>11.37</v>
      </c>
      <c r="AC111" s="54">
        <f>VLOOKUP(A111,'Custo_Fopag (2)'!$A:$BQ,29,0)</f>
        <v>0</v>
      </c>
      <c r="AD111" s="54">
        <f>VLOOKUP(A111,'Custo_Fopag (2)'!$A:$BQ,30,0)</f>
        <v>0</v>
      </c>
      <c r="AE111" s="54">
        <f>VLOOKUP(A111,'Custo_Fopag (2)'!$A:$BQ,31,0)</f>
        <v>0</v>
      </c>
      <c r="AF111" s="54">
        <f>VLOOKUP(A111,'Custo_Fopag (2)'!$A:$BQ,32,0)</f>
        <v>0</v>
      </c>
      <c r="AG111" s="54">
        <f t="shared" si="48"/>
        <v>3855.2599999999998</v>
      </c>
      <c r="AH111" s="121">
        <f>VLOOKUP(A111,'Custo_Fopag (2)'!$A:$BQ,45,0)</f>
        <v>0</v>
      </c>
      <c r="AI111" s="54">
        <f>_xlfn.XLOOKUP(A111,'Custo_Fopag (2)'!A:A,'Custo_Fopag (2)'!AT:AT,0,0,1)</f>
        <v>500</v>
      </c>
      <c r="AJ111" s="54">
        <f>VLOOKUP(A111,'Custo_Fopag (2)'!$A:$BQ,47,0)</f>
        <v>0</v>
      </c>
      <c r="AK111" s="54">
        <v>4</v>
      </c>
      <c r="AL111" s="54">
        <f>VLOOKUP(A111,'Custo_Fopag (2)'!$A:$BQ,35,0)</f>
        <v>0</v>
      </c>
      <c r="AM111" s="54">
        <f>VLOOKUP(A111,'Custo_Fopag (2)'!$A:$BQ,36,0)</f>
        <v>0</v>
      </c>
      <c r="AN111" s="54">
        <f>VLOOKUP(A111,'Custo_Fopag (2)'!$A:$BQ,37,0)</f>
        <v>0</v>
      </c>
      <c r="AO111" s="54">
        <f>VLOOKUP(A111,'Custo_Fopag (2)'!$A:$BQ,39,0)</f>
        <v>0</v>
      </c>
      <c r="AP111" s="54">
        <f>VLOOKUP(A111,'Custo_Fopag (2)'!$A:$BQ,42,0)</f>
        <v>0</v>
      </c>
      <c r="AQ111" s="54">
        <f>VLOOKUP(A111,'Custo_Fopag (2)'!$A:$BQ,40,0)</f>
        <v>0</v>
      </c>
      <c r="AR111" s="54">
        <f>VLOOKUP(A111,'Custo_Fopag (2)'!$A:$BQ,41,0)</f>
        <v>533.04</v>
      </c>
      <c r="AS111" s="54">
        <f>VLOOKUP(A111,'Custo_Fopag (2)'!$A:$BQ,38,0)</f>
        <v>0</v>
      </c>
      <c r="AT111" s="54">
        <f>VLOOKUP(A111,'Custo_Fopag (2)'!$A:$BQ,43,0)</f>
        <v>0</v>
      </c>
      <c r="AU111" s="54">
        <f>VLOOKUP(A111,'Custo_Fopag (2)'!$A:$BQ,48,0)</f>
        <v>0</v>
      </c>
      <c r="AV111" s="54">
        <f>VLOOKUP(A111,'Custo_Fopag (2)'!$A:$BQ,49,0)</f>
        <v>0</v>
      </c>
      <c r="AW111" s="54">
        <f>VLOOKUP(A111,'Custo_Fopag (2)'!$A:$BQ,19,0)</f>
        <v>0</v>
      </c>
      <c r="AX111" s="54">
        <f>VLOOKUP(A111,'Custo_Fopag (2)'!$A:$BQ,50,0)</f>
        <v>0</v>
      </c>
      <c r="AY111" s="54">
        <f>VLOOKUP(A111,'Custo_Fopag (2)'!$A:$BQ,51,0)</f>
        <v>0</v>
      </c>
      <c r="AZ111" s="117">
        <v>4</v>
      </c>
      <c r="BA111" s="54">
        <f>VLOOKUP(A111,'Custo_Fopag (2)'!$A:$BQ,54,0)</f>
        <v>0</v>
      </c>
      <c r="BB111" s="54">
        <f>VLOOKUP(A111,'Custo_Fopag (2)'!$A:$BQ,52,0)</f>
        <v>0</v>
      </c>
      <c r="BC111" s="122">
        <f t="shared" si="49"/>
        <v>1041.04</v>
      </c>
      <c r="BD111" s="54">
        <f t="shared" si="50"/>
        <v>4896.2999999999993</v>
      </c>
      <c r="BE111" s="57"/>
      <c r="BF111" s="54">
        <f t="shared" si="51"/>
        <v>4896.2999999999993</v>
      </c>
      <c r="BG111" s="54">
        <f t="shared" si="52"/>
        <v>321.27166666666665</v>
      </c>
      <c r="BH111" s="54">
        <f t="shared" si="53"/>
        <v>321.27166666666665</v>
      </c>
      <c r="BI111" s="61">
        <v>0</v>
      </c>
      <c r="BJ111" s="61">
        <v>0</v>
      </c>
      <c r="BK111" s="54">
        <f>VLOOKUP(A111,'Custo_Fopag (2)'!$A:$BQ,65,0)</f>
        <v>771.05</v>
      </c>
      <c r="BL111" s="54">
        <f>VLOOKUP(A111,'Custo_Fopag (2)'!$A:$BQP,66,0)</f>
        <v>115.65</v>
      </c>
      <c r="BM111" s="54">
        <f>VLOOKUP(A111,'Custo_Fopag (2)'!$A:$BQ,67,0)</f>
        <v>223.6</v>
      </c>
      <c r="BN111" s="54">
        <f>VLOOKUP(A111,'Custo_Fopag (2)'!$A:$BQ,64,0)</f>
        <v>308.42</v>
      </c>
      <c r="BO111" s="54">
        <f t="shared" si="54"/>
        <v>1418.72</v>
      </c>
      <c r="BP111" s="54">
        <f t="shared" si="55"/>
        <v>6315.0199999999995</v>
      </c>
      <c r="BQ111" s="54">
        <f t="shared" si="56"/>
        <v>6315.0199999999995</v>
      </c>
      <c r="BR111" s="109">
        <f>VLOOKUP(A111,'Custo_Fopag (2)'!$A:$BQ,60,0)</f>
        <v>0</v>
      </c>
      <c r="BS111" s="83" t="str">
        <f t="shared" si="57"/>
        <v>Ativo</v>
      </c>
    </row>
    <row r="112" spans="1:71" x14ac:dyDescent="0.25">
      <c r="A112" s="59" t="s">
        <v>257</v>
      </c>
      <c r="B112" s="88">
        <v>46082</v>
      </c>
      <c r="C112" s="59" t="s">
        <v>6</v>
      </c>
      <c r="D112" s="59" t="str">
        <f>VLOOKUP(A112,'Custo_Fopag (2)'!A:$BQ,4,0)</f>
        <v>G3S FL 10 - PRES PRUD</v>
      </c>
      <c r="E112" s="59"/>
      <c r="F112" s="59"/>
      <c r="G112" s="59" t="str">
        <f>VLOOKUP(A112,'Custo_Fopag (2)'!$A:$BQ,5,0)</f>
        <v>20.947.332/0010-86</v>
      </c>
      <c r="H112" s="59" t="str">
        <f>VLOOKUP(A112,'Custo_Fopag (2)'!$A:$BQ,6,0)</f>
        <v>COMERCIAL</v>
      </c>
      <c r="I112" s="59" t="str">
        <f>VLOOKUP(A112,'Custo_Fopag (2)'!$A:$BQ,7,0)</f>
        <v>COMERCIAL</v>
      </c>
      <c r="J112" s="59" t="str">
        <f>VLOOKUP(A112,'Custo_Fopag (2)'!$A:$BQ,8,0)</f>
        <v>SELETIVA CORPORATIVO SUCATA</v>
      </c>
      <c r="K112" s="78">
        <f>VLOOKUP(A112,'Custo_Fopag (2)'!$A:$BQ,9,0)</f>
        <v>46083</v>
      </c>
      <c r="M112" s="60" t="s">
        <v>422</v>
      </c>
      <c r="N112" s="3" t="str">
        <f>VLOOKUP(A112,'Custo_Fopag (2)'!$A:$BQ,11,0)</f>
        <v>1.2.1.1 APOIO</v>
      </c>
      <c r="O112" s="3" t="str">
        <f>VLOOKUP(A112,'Custo_Fopag (2)'!$A:$BQ,12,0)</f>
        <v>AUXILIAR COMERCIAL - ESTAGIARIO</v>
      </c>
      <c r="P112" s="126">
        <f>VLOOKUP(A112,'Custo_Fopag (2)'!$A:$BQ,13,0)</f>
        <v>1000</v>
      </c>
      <c r="Q112" s="127">
        <f>VLOOKUP(A112,'Custo_Fopag (2)'!$A:$BQ,16,0)</f>
        <v>0</v>
      </c>
      <c r="R112" s="56">
        <f>VLOOKUP(A112,'Custo_Fopag (2)'!$A:$BQ,17,0)</f>
        <v>0</v>
      </c>
      <c r="S112" s="54">
        <f>VLOOKUP(A112,'Custo_Fopag (2)'!$A:$BP,18,0)</f>
        <v>0</v>
      </c>
      <c r="T112" s="54">
        <f>VLOOKUP(A112,'Custo_Fopag (2)'!$A:$BQ,20,0)</f>
        <v>0</v>
      </c>
      <c r="U112" s="54">
        <f>VLOOKUP(A112,'Custo_Fopag (2)'!$A:$BQ,21,0)</f>
        <v>0</v>
      </c>
      <c r="V112" s="54">
        <f>VLOOKUP(A112,'Custo_Fopag (2)'!$A:$BQ,22,0)</f>
        <v>0</v>
      </c>
      <c r="W112" s="54">
        <f>VLOOKUP(A112,'Custo_Fopag (2)'!$A:$BQ,23,0)</f>
        <v>0</v>
      </c>
      <c r="X112" s="54">
        <f>VLOOKUP(A112,'Custo_Fopag (2)'!$A:$BQ,24,0)</f>
        <v>0</v>
      </c>
      <c r="Y112" s="55">
        <f>VLOOKUP(A112,'Custo_Fopag (2)'!$A:$BQ,25,0)</f>
        <v>0</v>
      </c>
      <c r="Z112" s="54">
        <f>VLOOKUP(A112,'Custo_Fopag (2)'!$A:$BQ,26,0)</f>
        <v>0</v>
      </c>
      <c r="AA112" s="54">
        <f>VLOOKUP(A112,'Custo_Fopag (2)'!$A:$BQ,27,0)</f>
        <v>0</v>
      </c>
      <c r="AB112" s="54">
        <f>VLOOKUP(A112,'Custo_Fopag (2)'!$A:$BQ,28,0)</f>
        <v>0</v>
      </c>
      <c r="AC112" s="54">
        <f>VLOOKUP(A112,'Custo_Fopag (2)'!$A:$BQ,29,0)</f>
        <v>0</v>
      </c>
      <c r="AD112" s="54">
        <f>VLOOKUP(A112,'Custo_Fopag (2)'!$A:$BQ,30,0)</f>
        <v>0</v>
      </c>
      <c r="AE112" s="54">
        <f>VLOOKUP(A112,'Custo_Fopag (2)'!$A:$BQ,31,0)</f>
        <v>0</v>
      </c>
      <c r="AF112" s="54">
        <f>VLOOKUP(A112,'Custo_Fopag (2)'!$A:$BQ,32,0)</f>
        <v>0</v>
      </c>
      <c r="AG112" s="54">
        <f t="shared" si="48"/>
        <v>0</v>
      </c>
      <c r="AH112" s="121">
        <f>VLOOKUP(A112,'Custo_Fopag (2)'!$A:$BQ,45,0)</f>
        <v>1500</v>
      </c>
      <c r="AI112" s="54">
        <f>_xlfn.XLOOKUP(A112,Beneficios!A:A,Beneficios!B:B,0,0,1)</f>
        <v>0</v>
      </c>
      <c r="AJ112" s="54">
        <f>VLOOKUP(A112,'Custo_Fopag (2)'!$A:$BQ,47,0)</f>
        <v>0</v>
      </c>
      <c r="AK112" s="54">
        <v>0</v>
      </c>
      <c r="AL112" s="54">
        <f>VLOOKUP(A112,'Custo_Fopag (2)'!$A:$BQ,35,0)</f>
        <v>0</v>
      </c>
      <c r="AM112" s="54">
        <f>VLOOKUP(A112,'Custo_Fopag (2)'!$A:$BQ,36,0)</f>
        <v>0</v>
      </c>
      <c r="AN112" s="54">
        <f>VLOOKUP(A112,'Custo_Fopag (2)'!$A:$BQ,37,0)</f>
        <v>0</v>
      </c>
      <c r="AO112" s="54">
        <f>VLOOKUP(A112,'Custo_Fopag (2)'!$A:$BQ,39,0)</f>
        <v>0</v>
      </c>
      <c r="AP112" s="54">
        <f>VLOOKUP(A112,'Custo_Fopag (2)'!$A:$BQ,42,0)</f>
        <v>0</v>
      </c>
      <c r="AQ112" s="54">
        <f>VLOOKUP(A112,'Custo_Fopag (2)'!$A:$BQ,40,0)</f>
        <v>0</v>
      </c>
      <c r="AR112" s="54">
        <f>VLOOKUP(A112,'Custo_Fopag (2)'!$A:$BQ,41,0)</f>
        <v>0</v>
      </c>
      <c r="AS112" s="54">
        <f>VLOOKUP(A112,'Custo_Fopag (2)'!$A:$BQ,38,0)</f>
        <v>0</v>
      </c>
      <c r="AT112" s="54">
        <f>VLOOKUP(A112,'Custo_Fopag (2)'!$A:$BQ,43,0)</f>
        <v>0</v>
      </c>
      <c r="AU112" s="54">
        <f>VLOOKUP(A112,'Custo_Fopag (2)'!$A:$BQ,48,0)</f>
        <v>0</v>
      </c>
      <c r="AV112" s="54">
        <f>VLOOKUP(A112,'Custo_Fopag (2)'!$A:$BQ,49,0)</f>
        <v>0</v>
      </c>
      <c r="AW112" s="54">
        <f>VLOOKUP(A112,'Custo_Fopag (2)'!$A:$BQ,19,0)</f>
        <v>0</v>
      </c>
      <c r="AX112" s="54">
        <f>VLOOKUP(A112,'Custo_Fopag (2)'!$A:$BQ,50,0)</f>
        <v>0</v>
      </c>
      <c r="AY112" s="54">
        <f>VLOOKUP(A112,'Custo_Fopag (2)'!$A:$BQ,51,0)</f>
        <v>0</v>
      </c>
      <c r="AZ112" s="117">
        <v>0</v>
      </c>
      <c r="BA112" s="54">
        <f>VLOOKUP(A112,'Custo_Fopag (2)'!$A:$BQ,54,0)</f>
        <v>0</v>
      </c>
      <c r="BB112" s="54">
        <f>VLOOKUP(A112,'Custo_Fopag (2)'!$A:$BQ,52,0)</f>
        <v>0</v>
      </c>
      <c r="BC112" s="122">
        <f t="shared" si="49"/>
        <v>1500</v>
      </c>
      <c r="BD112" s="54">
        <f t="shared" si="50"/>
        <v>1500</v>
      </c>
      <c r="BE112" s="57"/>
      <c r="BF112" s="54">
        <f t="shared" si="51"/>
        <v>1500</v>
      </c>
      <c r="BG112" s="54">
        <f t="shared" si="52"/>
        <v>0</v>
      </c>
      <c r="BH112" s="54">
        <f t="shared" si="53"/>
        <v>0</v>
      </c>
      <c r="BI112" s="61">
        <v>0</v>
      </c>
      <c r="BJ112" s="61">
        <v>0</v>
      </c>
      <c r="BK112" s="54">
        <f>VLOOKUP(A112,'Custo_Fopag (2)'!$A:$BQ,65,0)</f>
        <v>0</v>
      </c>
      <c r="BL112" s="54">
        <f>VLOOKUP(A112,'Custo_Fopag (2)'!$A:$BQP,66,0)</f>
        <v>0</v>
      </c>
      <c r="BM112" s="54">
        <f>VLOOKUP(A112,'Custo_Fopag (2)'!$A:$BQ,67,0)</f>
        <v>0</v>
      </c>
      <c r="BN112" s="54">
        <f>VLOOKUP(A112,'Custo_Fopag (2)'!$A:$BQ,64,0)</f>
        <v>0</v>
      </c>
      <c r="BO112" s="54">
        <f t="shared" si="54"/>
        <v>0</v>
      </c>
      <c r="BP112" s="54">
        <f t="shared" si="55"/>
        <v>1500</v>
      </c>
      <c r="BQ112" s="54">
        <f t="shared" si="56"/>
        <v>1500</v>
      </c>
      <c r="BR112" s="109">
        <f>VLOOKUP(A112,'Custo_Fopag (2)'!$A:$BQ,60,0)</f>
        <v>0</v>
      </c>
      <c r="BS112" s="83" t="str">
        <f t="shared" si="57"/>
        <v>Ativo</v>
      </c>
    </row>
    <row r="113" spans="1:71" x14ac:dyDescent="0.25">
      <c r="A113" s="59" t="s">
        <v>258</v>
      </c>
      <c r="B113" s="88">
        <v>46082</v>
      </c>
      <c r="C113" s="59" t="s">
        <v>6</v>
      </c>
      <c r="D113" s="59" t="str">
        <f>VLOOKUP(A113,'Custo_Fopag (2)'!A:$BQ,4,0)</f>
        <v>G3S FL 10 - PRES PRUD</v>
      </c>
      <c r="E113" s="59"/>
      <c r="F113" s="59"/>
      <c r="G113" s="59" t="str">
        <f>VLOOKUP(A113,'Custo_Fopag (2)'!$A:$BQ,5,0)</f>
        <v>20.947.332/0010-86</v>
      </c>
      <c r="H113" s="59" t="str">
        <f>VLOOKUP(A113,'Custo_Fopag (2)'!$A:$BQ,6,0)</f>
        <v>ADMINISTRATIVO</v>
      </c>
      <c r="I113" s="59" t="str">
        <f>VLOOKUP(A113,'Custo_Fopag (2)'!$A:$BQ,7,0)</f>
        <v>FISCAL</v>
      </c>
      <c r="J113" s="59" t="str">
        <f>VLOOKUP(A113,'Custo_Fopag (2)'!$A:$BQ,8,0)</f>
        <v>PILARES</v>
      </c>
      <c r="K113" s="78">
        <f>VLOOKUP(A113,'Custo_Fopag (2)'!$A:$BQ,9,0)</f>
        <v>46083</v>
      </c>
      <c r="M113" s="60" t="s">
        <v>422</v>
      </c>
      <c r="N113" s="3" t="str">
        <f>VLOOKUP(A113,'Custo_Fopag (2)'!$A:$BQ,11,0)</f>
        <v>1.1.4 CONTABILIDADE/FISCAL</v>
      </c>
      <c r="O113" s="3" t="str">
        <f>VLOOKUP(A113,'Custo_Fopag (2)'!$A:$BQ,12,0)</f>
        <v>AUXILIAR CONTABIL - ESTAGIARIO</v>
      </c>
      <c r="P113" s="126">
        <f>VLOOKUP(A113,'Custo_Fopag (2)'!$A:$BQ,13,0)</f>
        <v>1000</v>
      </c>
      <c r="Q113" s="127">
        <f>VLOOKUP(A113,'Custo_Fopag (2)'!$A:$BQ,16,0)</f>
        <v>0</v>
      </c>
      <c r="R113" s="56">
        <f>VLOOKUP(A113,'Custo_Fopag (2)'!$A:$BQ,17,0)</f>
        <v>0</v>
      </c>
      <c r="S113" s="54">
        <f>VLOOKUP(A113,'Custo_Fopag (2)'!$A:$BP,18,0)</f>
        <v>0</v>
      </c>
      <c r="T113" s="54">
        <f>VLOOKUP(A113,'Custo_Fopag (2)'!$A:$BQ,20,0)</f>
        <v>0</v>
      </c>
      <c r="U113" s="54">
        <f>VLOOKUP(A113,'Custo_Fopag (2)'!$A:$BQ,21,0)</f>
        <v>0</v>
      </c>
      <c r="V113" s="54">
        <f>VLOOKUP(A113,'Custo_Fopag (2)'!$A:$BQ,22,0)</f>
        <v>0</v>
      </c>
      <c r="W113" s="54">
        <f>VLOOKUP(A113,'Custo_Fopag (2)'!$A:$BQ,23,0)</f>
        <v>0</v>
      </c>
      <c r="X113" s="54">
        <f>VLOOKUP(A113,'Custo_Fopag (2)'!$A:$BQ,24,0)</f>
        <v>0</v>
      </c>
      <c r="Y113" s="55">
        <f>VLOOKUP(A113,'Custo_Fopag (2)'!$A:$BQ,25,0)</f>
        <v>0</v>
      </c>
      <c r="Z113" s="54">
        <f>VLOOKUP(A113,'Custo_Fopag (2)'!$A:$BQ,26,0)</f>
        <v>0</v>
      </c>
      <c r="AA113" s="54">
        <f>VLOOKUP(A113,'Custo_Fopag (2)'!$A:$BQ,27,0)</f>
        <v>0</v>
      </c>
      <c r="AB113" s="54">
        <f>VLOOKUP(A113,'Custo_Fopag (2)'!$A:$BQ,28,0)</f>
        <v>0</v>
      </c>
      <c r="AC113" s="54">
        <f>VLOOKUP(A113,'Custo_Fopag (2)'!$A:$BQ,29,0)</f>
        <v>0</v>
      </c>
      <c r="AD113" s="54">
        <f>VLOOKUP(A113,'Custo_Fopag (2)'!$A:$BQ,30,0)</f>
        <v>0</v>
      </c>
      <c r="AE113" s="54">
        <f>VLOOKUP(A113,'Custo_Fopag (2)'!$A:$BQ,31,0)</f>
        <v>0</v>
      </c>
      <c r="AF113" s="54">
        <f>VLOOKUP(A113,'Custo_Fopag (2)'!$A:$BQ,32,0)</f>
        <v>0</v>
      </c>
      <c r="AG113" s="54">
        <f t="shared" si="48"/>
        <v>0</v>
      </c>
      <c r="AH113" s="121">
        <f>VLOOKUP(A113,'Custo_Fopag (2)'!$A:$BQ,45,0)</f>
        <v>1500</v>
      </c>
      <c r="AI113" s="54">
        <f>_xlfn.XLOOKUP(A113,Beneficios!A:A,Beneficios!B:B,0,0,1)</f>
        <v>0</v>
      </c>
      <c r="AJ113" s="54">
        <f>VLOOKUP(A113,'Custo_Fopag (2)'!$A:$BQ,47,0)</f>
        <v>0</v>
      </c>
      <c r="AK113" s="54">
        <v>0</v>
      </c>
      <c r="AL113" s="54">
        <f>VLOOKUP(A113,'Custo_Fopag (2)'!$A:$BQ,35,0)</f>
        <v>0</v>
      </c>
      <c r="AM113" s="54">
        <f>VLOOKUP(A113,'Custo_Fopag (2)'!$A:$BQ,36,0)</f>
        <v>0</v>
      </c>
      <c r="AN113" s="54">
        <f>VLOOKUP(A113,'Custo_Fopag (2)'!$A:$BQ,37,0)</f>
        <v>0</v>
      </c>
      <c r="AO113" s="54">
        <f>VLOOKUP(A113,'Custo_Fopag (2)'!$A:$BQ,39,0)</f>
        <v>0</v>
      </c>
      <c r="AP113" s="54">
        <f>VLOOKUP(A113,'Custo_Fopag (2)'!$A:$BQ,42,0)</f>
        <v>0</v>
      </c>
      <c r="AQ113" s="54">
        <f>VLOOKUP(A113,'Custo_Fopag (2)'!$A:$BQ,40,0)</f>
        <v>0</v>
      </c>
      <c r="AR113" s="54">
        <f>VLOOKUP(A113,'Custo_Fopag (2)'!$A:$BQ,41,0)</f>
        <v>0</v>
      </c>
      <c r="AS113" s="54">
        <f>VLOOKUP(A113,'Custo_Fopag (2)'!$A:$BQ,38,0)</f>
        <v>0</v>
      </c>
      <c r="AT113" s="54">
        <f>VLOOKUP(A113,'Custo_Fopag (2)'!$A:$BQ,43,0)</f>
        <v>0</v>
      </c>
      <c r="AU113" s="54">
        <f>VLOOKUP(A113,'Custo_Fopag (2)'!$A:$BQ,48,0)</f>
        <v>0</v>
      </c>
      <c r="AV113" s="54">
        <f>VLOOKUP(A113,'Custo_Fopag (2)'!$A:$BQ,49,0)</f>
        <v>0</v>
      </c>
      <c r="AW113" s="54">
        <f>VLOOKUP(A113,'Custo_Fopag (2)'!$A:$BQ,19,0)</f>
        <v>0</v>
      </c>
      <c r="AX113" s="54">
        <f>VLOOKUP(A113,'Custo_Fopag (2)'!$A:$BQ,50,0)</f>
        <v>0</v>
      </c>
      <c r="AY113" s="54">
        <f>VLOOKUP(A113,'Custo_Fopag (2)'!$A:$BQ,51,0)</f>
        <v>0</v>
      </c>
      <c r="AZ113" s="117">
        <v>0</v>
      </c>
      <c r="BA113" s="54">
        <f>VLOOKUP(A113,'Custo_Fopag (2)'!$A:$BQ,54,0)</f>
        <v>0</v>
      </c>
      <c r="BB113" s="54">
        <f>VLOOKUP(A113,'Custo_Fopag (2)'!$A:$BQ,52,0)</f>
        <v>0</v>
      </c>
      <c r="BC113" s="122">
        <f t="shared" si="49"/>
        <v>1500</v>
      </c>
      <c r="BD113" s="54">
        <f t="shared" si="50"/>
        <v>1500</v>
      </c>
      <c r="BE113" s="57"/>
      <c r="BF113" s="54">
        <f t="shared" si="51"/>
        <v>1500</v>
      </c>
      <c r="BG113" s="54">
        <f t="shared" si="52"/>
        <v>0</v>
      </c>
      <c r="BH113" s="54">
        <f t="shared" si="53"/>
        <v>0</v>
      </c>
      <c r="BI113" s="61">
        <v>0</v>
      </c>
      <c r="BJ113" s="61">
        <v>0</v>
      </c>
      <c r="BK113" s="54">
        <f>VLOOKUP(A113,'Custo_Fopag (2)'!$A:$BQ,65,0)</f>
        <v>0</v>
      </c>
      <c r="BL113" s="54">
        <f>VLOOKUP(A113,'Custo_Fopag (2)'!$A:$BQP,66,0)</f>
        <v>0</v>
      </c>
      <c r="BM113" s="54">
        <f>VLOOKUP(A113,'Custo_Fopag (2)'!$A:$BQ,67,0)</f>
        <v>0</v>
      </c>
      <c r="BN113" s="54">
        <f>VLOOKUP(A113,'Custo_Fopag (2)'!$A:$BQ,64,0)</f>
        <v>0</v>
      </c>
      <c r="BO113" s="54">
        <f t="shared" si="54"/>
        <v>0</v>
      </c>
      <c r="BP113" s="54">
        <f t="shared" si="55"/>
        <v>1500</v>
      </c>
      <c r="BQ113" s="54">
        <f t="shared" si="56"/>
        <v>1500</v>
      </c>
      <c r="BR113" s="109">
        <f>VLOOKUP(A113,'Custo_Fopag (2)'!$A:$BQ,60,0)</f>
        <v>0</v>
      </c>
      <c r="BS113" s="83" t="str">
        <f t="shared" si="57"/>
        <v>Ativo</v>
      </c>
    </row>
    <row r="114" spans="1:71" x14ac:dyDescent="0.25">
      <c r="A114" s="59" t="s">
        <v>260</v>
      </c>
      <c r="B114" s="88">
        <v>46082</v>
      </c>
      <c r="C114" s="59" t="s">
        <v>6</v>
      </c>
      <c r="D114" s="59" t="str">
        <f>VLOOKUP(A114,'Custo_Fopag (2)'!A:$BQ,4,0)</f>
        <v>G3S FL 10 - PRES PRUD</v>
      </c>
      <c r="E114" s="59"/>
      <c r="F114" s="59"/>
      <c r="G114" s="59" t="str">
        <f>VLOOKUP(A114,'Custo_Fopag (2)'!$A:$BQ,5,0)</f>
        <v>20.947.332/0010-86</v>
      </c>
      <c r="H114" s="59" t="str">
        <f>VLOOKUP(A114,'Custo_Fopag (2)'!$A:$BQ,6,0)</f>
        <v>ADMINISTRATIVO</v>
      </c>
      <c r="I114" s="59" t="str">
        <f>VLOOKUP(A114,'Custo_Fopag (2)'!$A:$BQ,7,0)</f>
        <v>QUALIDADE</v>
      </c>
      <c r="J114" s="59" t="str">
        <f>VLOOKUP(A114,'Custo_Fopag (2)'!$A:$BQ,8,0)</f>
        <v>PILARES</v>
      </c>
      <c r="K114" s="78">
        <f>VLOOKUP(A114,'Custo_Fopag (2)'!$A:$BQ,9,0)</f>
        <v>46100</v>
      </c>
      <c r="M114" s="60" t="s">
        <v>422</v>
      </c>
      <c r="N114" s="3" t="str">
        <f>VLOOKUP(A114,'Custo_Fopag (2)'!$A:$BQ,11,0)</f>
        <v>1.1.5 QUALIDADE</v>
      </c>
      <c r="O114" s="3" t="str">
        <f>VLOOKUP(A114,'Custo_Fopag (2)'!$A:$BQ,12,0)</f>
        <v>AUXILIAR DE QUALIDADE - ESTAGIARIO</v>
      </c>
      <c r="P114" s="126">
        <f>VLOOKUP(A114,'Custo_Fopag (2)'!$A:$BQ,13,0)</f>
        <v>1000</v>
      </c>
      <c r="Q114" s="127">
        <f>VLOOKUP(A114,'Custo_Fopag (2)'!$A:$BQ,16,0)</f>
        <v>0</v>
      </c>
      <c r="R114" s="56">
        <f>VLOOKUP(A114,'Custo_Fopag (2)'!$A:$BQ,17,0)</f>
        <v>0</v>
      </c>
      <c r="S114" s="54">
        <f>VLOOKUP(A114,'Custo_Fopag (2)'!$A:$BP,18,0)</f>
        <v>0</v>
      </c>
      <c r="T114" s="54">
        <f>VLOOKUP(A114,'Custo_Fopag (2)'!$A:$BQ,20,0)</f>
        <v>0</v>
      </c>
      <c r="U114" s="54">
        <f>VLOOKUP(A114,'Custo_Fopag (2)'!$A:$BQ,21,0)</f>
        <v>0</v>
      </c>
      <c r="V114" s="54">
        <f>VLOOKUP(A114,'Custo_Fopag (2)'!$A:$BQ,22,0)</f>
        <v>0</v>
      </c>
      <c r="W114" s="54">
        <f>VLOOKUP(A114,'Custo_Fopag (2)'!$A:$BQ,23,0)</f>
        <v>0</v>
      </c>
      <c r="X114" s="54">
        <f>VLOOKUP(A114,'Custo_Fopag (2)'!$A:$BQ,24,0)</f>
        <v>0</v>
      </c>
      <c r="Y114" s="55">
        <f>VLOOKUP(A114,'Custo_Fopag (2)'!$A:$BQ,25,0)</f>
        <v>0</v>
      </c>
      <c r="Z114" s="54">
        <f>VLOOKUP(A114,'Custo_Fopag (2)'!$A:$BQ,26,0)</f>
        <v>0</v>
      </c>
      <c r="AA114" s="54">
        <f>VLOOKUP(A114,'Custo_Fopag (2)'!$A:$BQ,27,0)</f>
        <v>0</v>
      </c>
      <c r="AB114" s="54">
        <f>VLOOKUP(A114,'Custo_Fopag (2)'!$A:$BQ,28,0)</f>
        <v>0</v>
      </c>
      <c r="AC114" s="54">
        <f>VLOOKUP(A114,'Custo_Fopag (2)'!$A:$BQ,29,0)</f>
        <v>0</v>
      </c>
      <c r="AD114" s="54">
        <f>VLOOKUP(A114,'Custo_Fopag (2)'!$A:$BQ,30,0)</f>
        <v>0</v>
      </c>
      <c r="AE114" s="54">
        <f>VLOOKUP(A114,'Custo_Fopag (2)'!$A:$BQ,31,0)</f>
        <v>0</v>
      </c>
      <c r="AF114" s="54">
        <f>VLOOKUP(A114,'Custo_Fopag (2)'!$A:$BQ,32,0)</f>
        <v>0</v>
      </c>
      <c r="AG114" s="54">
        <f t="shared" si="48"/>
        <v>0</v>
      </c>
      <c r="AH114" s="121">
        <f>VLOOKUP(A114,'Custo_Fopag (2)'!$A:$BQ,45,0)</f>
        <v>650</v>
      </c>
      <c r="AI114" s="54">
        <f>_xlfn.XLOOKUP(A114,Beneficios!A:A,Beneficios!B:B,0,0,1)</f>
        <v>0</v>
      </c>
      <c r="AJ114" s="54">
        <f>VLOOKUP(A114,'Custo_Fopag (2)'!$A:$BQ,47,0)</f>
        <v>0</v>
      </c>
      <c r="AK114" s="54">
        <v>0</v>
      </c>
      <c r="AL114" s="54">
        <f>VLOOKUP(A114,'Custo_Fopag (2)'!$A:$BQ,35,0)</f>
        <v>0</v>
      </c>
      <c r="AM114" s="54">
        <f>VLOOKUP(A114,'Custo_Fopag (2)'!$A:$BQ,36,0)</f>
        <v>0</v>
      </c>
      <c r="AN114" s="54">
        <f>VLOOKUP(A114,'Custo_Fopag (2)'!$A:$BQ,37,0)</f>
        <v>0</v>
      </c>
      <c r="AO114" s="54">
        <f>VLOOKUP(A114,'Custo_Fopag (2)'!$A:$BQ,39,0)</f>
        <v>0</v>
      </c>
      <c r="AP114" s="54">
        <f>VLOOKUP(A114,'Custo_Fopag (2)'!$A:$BQ,42,0)</f>
        <v>0</v>
      </c>
      <c r="AQ114" s="54">
        <f>VLOOKUP(A114,'Custo_Fopag (2)'!$A:$BQ,40,0)</f>
        <v>0</v>
      </c>
      <c r="AR114" s="54">
        <f>VLOOKUP(A114,'Custo_Fopag (2)'!$A:$BQ,41,0)</f>
        <v>0</v>
      </c>
      <c r="AS114" s="54">
        <f>VLOOKUP(A114,'Custo_Fopag (2)'!$A:$BQ,38,0)</f>
        <v>0</v>
      </c>
      <c r="AT114" s="54">
        <f>VLOOKUP(A114,'Custo_Fopag (2)'!$A:$BQ,43,0)</f>
        <v>0</v>
      </c>
      <c r="AU114" s="54">
        <f>VLOOKUP(A114,'Custo_Fopag (2)'!$A:$BQ,48,0)</f>
        <v>0</v>
      </c>
      <c r="AV114" s="54">
        <f>VLOOKUP(A114,'Custo_Fopag (2)'!$A:$BQ,49,0)</f>
        <v>0</v>
      </c>
      <c r="AW114" s="54">
        <f>VLOOKUP(A114,'Custo_Fopag (2)'!$A:$BQ,19,0)</f>
        <v>0</v>
      </c>
      <c r="AX114" s="54">
        <f>VLOOKUP(A114,'Custo_Fopag (2)'!$A:$BQ,50,0)</f>
        <v>0</v>
      </c>
      <c r="AY114" s="54">
        <f>VLOOKUP(A114,'Custo_Fopag (2)'!$A:$BQ,51,0)</f>
        <v>0</v>
      </c>
      <c r="AZ114" s="117">
        <v>0</v>
      </c>
      <c r="BA114" s="54">
        <f>VLOOKUP(A114,'Custo_Fopag (2)'!$A:$BQ,54,0)</f>
        <v>0</v>
      </c>
      <c r="BB114" s="54">
        <f>VLOOKUP(A114,'Custo_Fopag (2)'!$A:$BQ,52,0)</f>
        <v>0</v>
      </c>
      <c r="BC114" s="122">
        <f t="shared" si="49"/>
        <v>650</v>
      </c>
      <c r="BD114" s="54">
        <f t="shared" si="50"/>
        <v>650</v>
      </c>
      <c r="BE114" s="57"/>
      <c r="BF114" s="54">
        <f t="shared" si="51"/>
        <v>650</v>
      </c>
      <c r="BG114" s="54">
        <f t="shared" si="52"/>
        <v>0</v>
      </c>
      <c r="BH114" s="54">
        <f t="shared" si="53"/>
        <v>0</v>
      </c>
      <c r="BI114" s="61">
        <v>0</v>
      </c>
      <c r="BJ114" s="61">
        <v>0</v>
      </c>
      <c r="BK114" s="54">
        <f>VLOOKUP(A114,'Custo_Fopag (2)'!$A:$BQ,65,0)</f>
        <v>0</v>
      </c>
      <c r="BL114" s="54">
        <f>VLOOKUP(A114,'Custo_Fopag (2)'!$A:$BQP,66,0)</f>
        <v>0</v>
      </c>
      <c r="BM114" s="54">
        <f>VLOOKUP(A114,'Custo_Fopag (2)'!$A:$BQ,67,0)</f>
        <v>0</v>
      </c>
      <c r="BN114" s="54">
        <f>VLOOKUP(A114,'Custo_Fopag (2)'!$A:$BQ,64,0)</f>
        <v>0</v>
      </c>
      <c r="BO114" s="54">
        <f t="shared" si="54"/>
        <v>0</v>
      </c>
      <c r="BP114" s="54">
        <f t="shared" si="55"/>
        <v>650</v>
      </c>
      <c r="BQ114" s="54">
        <f t="shared" si="56"/>
        <v>650</v>
      </c>
      <c r="BR114" s="109">
        <f>VLOOKUP(A114,'Custo_Fopag (2)'!$A:$BQ,60,0)</f>
        <v>0</v>
      </c>
      <c r="BS114" s="83" t="str">
        <f t="shared" si="57"/>
        <v>Ativo</v>
      </c>
    </row>
    <row r="115" spans="1:71" x14ac:dyDescent="0.25">
      <c r="A115" s="59" t="s">
        <v>350</v>
      </c>
      <c r="B115" s="88">
        <v>46082</v>
      </c>
      <c r="C115" s="59" t="s">
        <v>5</v>
      </c>
      <c r="D115" s="59" t="str">
        <f>VLOOKUP(A115,'Custo_Fopag (2)'!A:$BQ,4,0)</f>
        <v>G3S FL 05 - PRES PRUD</v>
      </c>
      <c r="E115" s="59"/>
      <c r="F115" s="59"/>
      <c r="G115" s="59" t="str">
        <f>VLOOKUP(A115,'Custo_Fopag (2)'!$A:$BQ,5,0)</f>
        <v>20.947.332/0005-19</v>
      </c>
      <c r="H115" s="59" t="str">
        <f>VLOOKUP(A115,'Custo_Fopag (2)'!$A:$BQ,6,0)</f>
        <v>ADMINISTRATIVO</v>
      </c>
      <c r="I115" s="59" t="str">
        <f>VLOOKUP(A115,'Custo_Fopag (2)'!$A:$BQ,7,0)</f>
        <v>CONTABILIDADE</v>
      </c>
      <c r="J115" s="59" t="str">
        <f>VLOOKUP(A115,'Custo_Fopag (2)'!$A:$BQ,8,0)</f>
        <v>BRACOFER</v>
      </c>
      <c r="K115" s="78">
        <f>VLOOKUP(A115,'Custo_Fopag (2)'!$A:$BQ,9,0)</f>
        <v>46083</v>
      </c>
      <c r="M115" s="60" t="s">
        <v>422</v>
      </c>
      <c r="N115" s="3" t="str">
        <f>VLOOKUP(A115,'Custo_Fopag (2)'!$A:$BQ,11,0)</f>
        <v>1.3.1.1 ADMINISTRATIVO</v>
      </c>
      <c r="O115" s="3" t="str">
        <f>VLOOKUP(A115,'Custo_Fopag (2)'!$A:$BQ,12,0)</f>
        <v>AUXILIAR CONTABIL</v>
      </c>
      <c r="P115" s="126">
        <f>VLOOKUP(A115,'Custo_Fopag (2)'!$A:$BQ,13,0)</f>
        <v>2098</v>
      </c>
      <c r="Q115" s="127">
        <f>VLOOKUP(A115,'Custo_Fopag (2)'!$A:$BQ,16,0)</f>
        <v>2098</v>
      </c>
      <c r="R115" s="56">
        <f>VLOOKUP(A115,'Custo_Fopag (2)'!$A:$BQ,17,0)</f>
        <v>0</v>
      </c>
      <c r="S115" s="54">
        <f>VLOOKUP(A115,'Custo_Fopag (2)'!$A:$BP,18,0)</f>
        <v>0</v>
      </c>
      <c r="T115" s="54">
        <f>VLOOKUP(A115,'Custo_Fopag (2)'!$A:$BQ,20,0)</f>
        <v>0</v>
      </c>
      <c r="U115" s="54">
        <f>VLOOKUP(A115,'Custo_Fopag (2)'!$A:$BQ,21,0)</f>
        <v>0</v>
      </c>
      <c r="V115" s="54">
        <f>VLOOKUP(A115,'Custo_Fopag (2)'!$A:$BQ,22,0)</f>
        <v>0</v>
      </c>
      <c r="W115" s="54">
        <f>VLOOKUP(A115,'Custo_Fopag (2)'!$A:$BQ,23,0)</f>
        <v>0</v>
      </c>
      <c r="X115" s="54">
        <f>VLOOKUP(A115,'Custo_Fopag (2)'!$A:$BQ,24,0)</f>
        <v>0</v>
      </c>
      <c r="Y115" s="55">
        <f>VLOOKUP(A115,'Custo_Fopag (2)'!$A:$BQ,25,0)</f>
        <v>0</v>
      </c>
      <c r="Z115" s="54">
        <f>VLOOKUP(A115,'Custo_Fopag (2)'!$A:$BQ,26,0)</f>
        <v>0</v>
      </c>
      <c r="AA115" s="54">
        <f>VLOOKUP(A115,'Custo_Fopag (2)'!$A:$BQ,27,0)</f>
        <v>0</v>
      </c>
      <c r="AB115" s="54">
        <f>VLOOKUP(A115,'Custo_Fopag (2)'!$A:$BQ,28,0)</f>
        <v>0</v>
      </c>
      <c r="AC115" s="54">
        <f>VLOOKUP(A115,'Custo_Fopag (2)'!$A:$BQ,29,0)</f>
        <v>0</v>
      </c>
      <c r="AD115" s="54">
        <f>VLOOKUP(A115,'Custo_Fopag (2)'!$A:$BQ,30,0)</f>
        <v>0</v>
      </c>
      <c r="AE115" s="54">
        <f>VLOOKUP(A115,'Custo_Fopag (2)'!$A:$BQ,31,0)</f>
        <v>0</v>
      </c>
      <c r="AF115" s="54">
        <f>VLOOKUP(A115,'Custo_Fopag (2)'!$A:$BQ,32,0)</f>
        <v>0</v>
      </c>
      <c r="AG115" s="54">
        <f t="shared" si="48"/>
        <v>2098</v>
      </c>
      <c r="AH115" s="121">
        <f>VLOOKUP(A115,'Custo_Fopag (2)'!$A:$BQ,45,0)</f>
        <v>0</v>
      </c>
      <c r="AI115" s="54">
        <f>_xlfn.XLOOKUP(A115,Beneficios!A:A,Beneficios!B:B,0,0,1)</f>
        <v>512.87</v>
      </c>
      <c r="AJ115" s="54">
        <f>VLOOKUP(A115,'Custo_Fopag (2)'!$A:$BQ,47,0)</f>
        <v>0</v>
      </c>
      <c r="AK115" s="54">
        <v>8</v>
      </c>
      <c r="AL115" s="54">
        <f>VLOOKUP(A115,'Custo_Fopag (2)'!$A:$BQ,35,0)</f>
        <v>0</v>
      </c>
      <c r="AM115" s="54">
        <f>VLOOKUP(A115,'Custo_Fopag (2)'!$A:$BQ,36,0)</f>
        <v>0</v>
      </c>
      <c r="AN115" s="54">
        <f>VLOOKUP(A115,'Custo_Fopag (2)'!$A:$BQ,37,0)</f>
        <v>0</v>
      </c>
      <c r="AO115" s="54">
        <f>VLOOKUP(A115,'Custo_Fopag (2)'!$A:$BQ,39,0)</f>
        <v>0</v>
      </c>
      <c r="AP115" s="54">
        <f>VLOOKUP(A115,'Custo_Fopag (2)'!$A:$BQ,42,0)</f>
        <v>0</v>
      </c>
      <c r="AQ115" s="54">
        <f>VLOOKUP(A115,'Custo_Fopag (2)'!$A:$BQ,40,0)</f>
        <v>0</v>
      </c>
      <c r="AR115" s="54">
        <f>VLOOKUP(A115,'Custo_Fopag (2)'!$A:$BQ,41,0)</f>
        <v>0</v>
      </c>
      <c r="AS115" s="54">
        <f>VLOOKUP(A115,'Custo_Fopag (2)'!$A:$BQ,38,0)</f>
        <v>0</v>
      </c>
      <c r="AT115" s="54">
        <f>VLOOKUP(A115,'Custo_Fopag (2)'!$A:$BQ,43,0)</f>
        <v>0</v>
      </c>
      <c r="AU115" s="54">
        <f>VLOOKUP(A115,'Custo_Fopag (2)'!$A:$BQ,48,0)</f>
        <v>0</v>
      </c>
      <c r="AV115" s="54">
        <f>VLOOKUP(A115,'Custo_Fopag (2)'!$A:$BQ,49,0)</f>
        <v>0</v>
      </c>
      <c r="AW115" s="54">
        <f>VLOOKUP(A115,'Custo_Fopag (2)'!$A:$BQ,19,0)</f>
        <v>0</v>
      </c>
      <c r="AX115" s="54">
        <f>VLOOKUP(A115,'Custo_Fopag (2)'!$A:$BQ,50,0)</f>
        <v>0</v>
      </c>
      <c r="AY115" s="54">
        <f>VLOOKUP(A115,'Custo_Fopag (2)'!$A:$BQ,51,0)</f>
        <v>0</v>
      </c>
      <c r="AZ115" s="117">
        <v>8</v>
      </c>
      <c r="BA115" s="54">
        <f>VLOOKUP(A115,'Custo_Fopag (2)'!$A:$BQ,54,0)</f>
        <v>0</v>
      </c>
      <c r="BB115" s="54">
        <f>VLOOKUP(A115,'Custo_Fopag (2)'!$A:$BQ,52,0)</f>
        <v>0</v>
      </c>
      <c r="BC115" s="122">
        <f t="shared" si="49"/>
        <v>528.87</v>
      </c>
      <c r="BD115" s="54">
        <f t="shared" si="50"/>
        <v>2626.87</v>
      </c>
      <c r="BE115" s="57"/>
      <c r="BF115" s="54">
        <f t="shared" si="51"/>
        <v>2626.87</v>
      </c>
      <c r="BG115" s="54">
        <f t="shared" si="52"/>
        <v>174.83333333333334</v>
      </c>
      <c r="BH115" s="54">
        <f t="shared" si="53"/>
        <v>174.83333333333334</v>
      </c>
      <c r="BI115" s="61">
        <v>0</v>
      </c>
      <c r="BJ115" s="61">
        <v>0</v>
      </c>
      <c r="BK115" s="54">
        <f>VLOOKUP(A115,'Custo_Fopag (2)'!$A:$BQ,65,0)</f>
        <v>419.6</v>
      </c>
      <c r="BL115" s="54">
        <f>VLOOKUP(A115,'Custo_Fopag (2)'!$A:$BQP,66,0)</f>
        <v>31.47</v>
      </c>
      <c r="BM115" s="54">
        <f>VLOOKUP(A115,'Custo_Fopag (2)'!$A:$BQ,67,0)</f>
        <v>121.68</v>
      </c>
      <c r="BN115" s="54">
        <f>VLOOKUP(A115,'Custo_Fopag (2)'!$A:$BQ,64,0)</f>
        <v>167.84</v>
      </c>
      <c r="BO115" s="54">
        <f t="shared" si="54"/>
        <v>740.59</v>
      </c>
      <c r="BP115" s="54">
        <f t="shared" si="55"/>
        <v>3367.46</v>
      </c>
      <c r="BQ115" s="54">
        <f t="shared" si="56"/>
        <v>3367.46</v>
      </c>
      <c r="BR115" s="109">
        <f>VLOOKUP(A115,'Custo_Fopag (2)'!$A:$BQ,60,0)</f>
        <v>0</v>
      </c>
      <c r="BS115" s="83" t="str">
        <f t="shared" si="57"/>
        <v>Ativo</v>
      </c>
    </row>
    <row r="116" spans="1:71" x14ac:dyDescent="0.25">
      <c r="A116" s="59" t="s">
        <v>361</v>
      </c>
      <c r="B116" s="88">
        <v>46082</v>
      </c>
      <c r="C116" s="59" t="s">
        <v>5</v>
      </c>
      <c r="D116" s="59" t="str">
        <f>VLOOKUP(A116,'Custo_Fopag (2)'!A:$BQ,4,0)</f>
        <v>G3S FL 06 - MARINGA</v>
      </c>
      <c r="E116" s="59"/>
      <c r="F116" s="59"/>
      <c r="G116" s="59" t="str">
        <f>VLOOKUP(A116,'Custo_Fopag (2)'!$A:$BQ,5,0)</f>
        <v>20.947.332/0006-08</v>
      </c>
      <c r="H116" s="59" t="str">
        <f>VLOOKUP(A116,'Custo_Fopag (2)'!$A:$BQ,6,0)</f>
        <v>OPERACIONAL</v>
      </c>
      <c r="I116" s="59" t="str">
        <f>VLOOKUP(A116,'Custo_Fopag (2)'!$A:$BQ,7,0)</f>
        <v>PATIO</v>
      </c>
      <c r="J116" s="59" t="str">
        <f>VLOOKUP(A116,'Custo_Fopag (2)'!$A:$BQ,8,0)</f>
        <v>SELETIVA MARINGA DISTRITO</v>
      </c>
      <c r="K116" s="78">
        <f>VLOOKUP(A116,'Custo_Fopag (2)'!$A:$BQ,9,0)</f>
        <v>46083</v>
      </c>
      <c r="M116" s="60" t="s">
        <v>422</v>
      </c>
      <c r="N116" s="3" t="str">
        <f>VLOOKUP(A116,'Custo_Fopag (2)'!$A:$BQ,11,0)</f>
        <v>1.2.4.3 OPERACIONAL</v>
      </c>
      <c r="O116" s="3" t="str">
        <f>VLOOKUP(A116,'Custo_Fopag (2)'!$A:$BQ,12,0)</f>
        <v>AUXILIAR DE PATIO JUNIOR</v>
      </c>
      <c r="P116" s="126">
        <f>VLOOKUP(A116,'Custo_Fopag (2)'!$A:$BQ,13,0)</f>
        <v>2155</v>
      </c>
      <c r="Q116" s="127">
        <f>VLOOKUP(A116,'Custo_Fopag (2)'!$A:$BQ,16,0)</f>
        <v>2155</v>
      </c>
      <c r="R116" s="56">
        <f>VLOOKUP(A116,'Custo_Fopag (2)'!$A:$BQ,17,0)</f>
        <v>0</v>
      </c>
      <c r="S116" s="54">
        <f>VLOOKUP(A116,'Custo_Fopag (2)'!$A:$BP,18,0)</f>
        <v>0</v>
      </c>
      <c r="T116" s="54">
        <f>VLOOKUP(A116,'Custo_Fopag (2)'!$A:$BQ,20,0)</f>
        <v>0</v>
      </c>
      <c r="U116" s="54">
        <f>VLOOKUP(A116,'Custo_Fopag (2)'!$A:$BQ,21,0)</f>
        <v>0</v>
      </c>
      <c r="V116" s="54">
        <f>VLOOKUP(A116,'Custo_Fopag (2)'!$A:$BQ,22,0)</f>
        <v>0</v>
      </c>
      <c r="W116" s="54">
        <f>VLOOKUP(A116,'Custo_Fopag (2)'!$A:$BQ,23,0)</f>
        <v>0</v>
      </c>
      <c r="X116" s="54">
        <f>VLOOKUP(A116,'Custo_Fopag (2)'!$A:$BQ,24,0)</f>
        <v>0</v>
      </c>
      <c r="Y116" s="55">
        <f>VLOOKUP(A116,'Custo_Fopag (2)'!$A:$BQ,25,0)</f>
        <v>0</v>
      </c>
      <c r="Z116" s="54">
        <f>VLOOKUP(A116,'Custo_Fopag (2)'!$A:$BQ,26,0)</f>
        <v>0</v>
      </c>
      <c r="AA116" s="54">
        <f>VLOOKUP(A116,'Custo_Fopag (2)'!$A:$BQ,27,0)</f>
        <v>0</v>
      </c>
      <c r="AB116" s="54">
        <f>VLOOKUP(A116,'Custo_Fopag (2)'!$A:$BQ,28,0)</f>
        <v>0</v>
      </c>
      <c r="AC116" s="54">
        <f>VLOOKUP(A116,'Custo_Fopag (2)'!$A:$BQ,29,0)</f>
        <v>0</v>
      </c>
      <c r="AD116" s="54">
        <f>VLOOKUP(A116,'Custo_Fopag (2)'!$A:$BQ,30,0)</f>
        <v>0</v>
      </c>
      <c r="AE116" s="54">
        <f>VLOOKUP(A116,'Custo_Fopag (2)'!$A:$BQ,31,0)</f>
        <v>0</v>
      </c>
      <c r="AF116" s="54">
        <f>VLOOKUP(A116,'Custo_Fopag (2)'!$A:$BQ,32,0)</f>
        <v>0</v>
      </c>
      <c r="AG116" s="54">
        <f t="shared" si="48"/>
        <v>2155</v>
      </c>
      <c r="AH116" s="121">
        <f>VLOOKUP(A116,'Custo_Fopag (2)'!$A:$BQ,45,0)</f>
        <v>0</v>
      </c>
      <c r="AI116" s="54">
        <f>_xlfn.XLOOKUP(A116,'Custo_Fopag (2)'!A:A,'Custo_Fopag (2)'!AT:AT,0,0,1)</f>
        <v>500</v>
      </c>
      <c r="AJ116" s="54">
        <f>VLOOKUP(A116,'Custo_Fopag (2)'!$A:$BQ,47,0)</f>
        <v>0</v>
      </c>
      <c r="AK116" s="54">
        <v>9</v>
      </c>
      <c r="AL116" s="54">
        <f>VLOOKUP(A116,'Custo_Fopag (2)'!$A:$BQ,35,0)</f>
        <v>0</v>
      </c>
      <c r="AM116" s="54">
        <f>VLOOKUP(A116,'Custo_Fopag (2)'!$A:$BQ,36,0)</f>
        <v>0</v>
      </c>
      <c r="AN116" s="54">
        <f>VLOOKUP(A116,'Custo_Fopag (2)'!$A:$BQ,37,0)</f>
        <v>0</v>
      </c>
      <c r="AO116" s="54">
        <f>VLOOKUP(A116,'Custo_Fopag (2)'!$A:$BQ,39,0)</f>
        <v>0</v>
      </c>
      <c r="AP116" s="54">
        <f>VLOOKUP(A116,'Custo_Fopag (2)'!$A:$BQ,42,0)</f>
        <v>0</v>
      </c>
      <c r="AQ116" s="54">
        <f>VLOOKUP(A116,'Custo_Fopag (2)'!$A:$BQ,40,0)</f>
        <v>0</v>
      </c>
      <c r="AR116" s="54">
        <f>VLOOKUP(A116,'Custo_Fopag (2)'!$A:$BQ,41,0)</f>
        <v>252.45</v>
      </c>
      <c r="AS116" s="54">
        <f>VLOOKUP(A116,'Custo_Fopag (2)'!$A:$BQ,38,0)</f>
        <v>0</v>
      </c>
      <c r="AT116" s="54">
        <f>VLOOKUP(A116,'Custo_Fopag (2)'!$A:$BQ,43,0)</f>
        <v>0</v>
      </c>
      <c r="AU116" s="54">
        <f>VLOOKUP(A116,'Custo_Fopag (2)'!$A:$BQ,48,0)</f>
        <v>0</v>
      </c>
      <c r="AV116" s="54">
        <f>VLOOKUP(A116,'Custo_Fopag (2)'!$A:$BQ,49,0)</f>
        <v>0</v>
      </c>
      <c r="AW116" s="54">
        <f>VLOOKUP(A116,'Custo_Fopag (2)'!$A:$BQ,19,0)</f>
        <v>0</v>
      </c>
      <c r="AX116" s="54">
        <f>VLOOKUP(A116,'Custo_Fopag (2)'!$A:$BQ,50,0)</f>
        <v>0</v>
      </c>
      <c r="AY116" s="54">
        <f>VLOOKUP(A116,'Custo_Fopag (2)'!$A:$BQ,51,0)</f>
        <v>0</v>
      </c>
      <c r="AZ116" s="117">
        <v>9</v>
      </c>
      <c r="BA116" s="54">
        <f>VLOOKUP(A116,'Custo_Fopag (2)'!$A:$BQ,54,0)</f>
        <v>0</v>
      </c>
      <c r="BB116" s="54">
        <f>VLOOKUP(A116,'Custo_Fopag (2)'!$A:$BQ,52,0)</f>
        <v>0</v>
      </c>
      <c r="BC116" s="122">
        <f t="shared" si="49"/>
        <v>770.45</v>
      </c>
      <c r="BD116" s="54">
        <f t="shared" si="50"/>
        <v>2925.45</v>
      </c>
      <c r="BE116" s="57"/>
      <c r="BF116" s="54">
        <f t="shared" si="51"/>
        <v>2925.45</v>
      </c>
      <c r="BG116" s="54">
        <f t="shared" si="52"/>
        <v>179.58333333333334</v>
      </c>
      <c r="BH116" s="54">
        <f t="shared" si="53"/>
        <v>179.58333333333334</v>
      </c>
      <c r="BI116" s="61">
        <v>0</v>
      </c>
      <c r="BJ116" s="61">
        <v>0</v>
      </c>
      <c r="BK116" s="54">
        <f>VLOOKUP(A116,'Custo_Fopag (2)'!$A:$BQ,65,0)</f>
        <v>431</v>
      </c>
      <c r="BL116" s="54">
        <f>VLOOKUP(A116,'Custo_Fopag (2)'!$A:$BQP,66,0)</f>
        <v>32.32</v>
      </c>
      <c r="BM116" s="54">
        <f>VLOOKUP(A116,'Custo_Fopag (2)'!$A:$BQ,67,0)</f>
        <v>124.99</v>
      </c>
      <c r="BN116" s="54">
        <f>VLOOKUP(A116,'Custo_Fopag (2)'!$A:$BQ,64,0)</f>
        <v>172.4</v>
      </c>
      <c r="BO116" s="54">
        <f t="shared" si="54"/>
        <v>760.70999999999992</v>
      </c>
      <c r="BP116" s="54">
        <f t="shared" si="55"/>
        <v>3686.16</v>
      </c>
      <c r="BQ116" s="54">
        <f t="shared" si="56"/>
        <v>3686.16</v>
      </c>
      <c r="BR116" s="109">
        <f>VLOOKUP(A116,'Custo_Fopag (2)'!$A:$BQ,60,0)</f>
        <v>0</v>
      </c>
      <c r="BS116" s="83" t="str">
        <f t="shared" si="57"/>
        <v>Ativo</v>
      </c>
    </row>
    <row r="117" spans="1:71" x14ac:dyDescent="0.25">
      <c r="A117" s="59" t="s">
        <v>423</v>
      </c>
      <c r="B117" s="88">
        <v>46082</v>
      </c>
      <c r="C117" s="59" t="s">
        <v>8</v>
      </c>
      <c r="D117" s="63" t="s">
        <v>199</v>
      </c>
      <c r="E117" s="63">
        <v>4</v>
      </c>
      <c r="F117" s="63"/>
      <c r="G117" s="63" t="s">
        <v>424</v>
      </c>
      <c r="H117" s="63" t="s">
        <v>203</v>
      </c>
      <c r="I117" s="63" t="s">
        <v>218</v>
      </c>
      <c r="J117" s="97" t="s">
        <v>203</v>
      </c>
      <c r="K117" s="82"/>
      <c r="M117" s="63" t="s">
        <v>422</v>
      </c>
      <c r="N117" s="63" t="s">
        <v>219</v>
      </c>
      <c r="O117" s="63" t="s">
        <v>425</v>
      </c>
      <c r="P117" s="128">
        <v>12000</v>
      </c>
      <c r="Q117" s="128">
        <f t="shared" ref="Q117:Q128" si="58">P117</f>
        <v>12000</v>
      </c>
      <c r="R117" s="79">
        <v>0</v>
      </c>
      <c r="S117" s="62">
        <v>0</v>
      </c>
      <c r="T117" s="62">
        <v>0</v>
      </c>
      <c r="U117" s="62">
        <v>0</v>
      </c>
      <c r="V117" s="62">
        <v>0</v>
      </c>
      <c r="W117" s="62">
        <v>0</v>
      </c>
      <c r="X117" s="62">
        <v>0</v>
      </c>
      <c r="Y117" s="62">
        <v>0</v>
      </c>
      <c r="Z117" s="62">
        <v>0</v>
      </c>
      <c r="AA117" s="62">
        <v>0</v>
      </c>
      <c r="AB117" s="62">
        <v>0</v>
      </c>
      <c r="AC117" s="62">
        <v>0</v>
      </c>
      <c r="AD117" s="62">
        <v>0</v>
      </c>
      <c r="AE117" s="62">
        <v>0</v>
      </c>
      <c r="AF117" s="62">
        <v>0</v>
      </c>
      <c r="AG117" s="62">
        <f t="shared" ref="AG117:AG133" si="59">Q117</f>
        <v>12000</v>
      </c>
      <c r="AH117" s="121">
        <v>0</v>
      </c>
      <c r="AI117" s="54">
        <f>_xlfn.XLOOKUP(A117,Beneficios!A:A,Beneficios!B:B,0,0,1)</f>
        <v>21.87</v>
      </c>
      <c r="AJ117" s="62">
        <v>0</v>
      </c>
      <c r="AK117" s="62">
        <v>0</v>
      </c>
      <c r="AL117" s="62">
        <v>0</v>
      </c>
      <c r="AM117" s="62">
        <v>0</v>
      </c>
      <c r="AN117" s="62">
        <v>0</v>
      </c>
      <c r="AO117" s="62">
        <v>0</v>
      </c>
      <c r="AP117" s="62">
        <v>0</v>
      </c>
      <c r="AQ117" s="62">
        <v>0</v>
      </c>
      <c r="AR117" s="62">
        <v>0</v>
      </c>
      <c r="AS117" s="62">
        <v>0</v>
      </c>
      <c r="AT117" s="62">
        <v>0</v>
      </c>
      <c r="AU117" s="62">
        <v>0</v>
      </c>
      <c r="AV117" s="62">
        <v>0</v>
      </c>
      <c r="AW117" s="62">
        <v>0</v>
      </c>
      <c r="AX117" s="62">
        <v>0</v>
      </c>
      <c r="AY117" s="62">
        <v>0</v>
      </c>
      <c r="AZ117" s="112">
        <v>0</v>
      </c>
      <c r="BA117" s="62">
        <v>0</v>
      </c>
      <c r="BB117" s="62">
        <v>0</v>
      </c>
      <c r="BC117" s="122">
        <f t="shared" ref="BC117:BC135" si="60">SUM(AH117:BB117)</f>
        <v>21.87</v>
      </c>
      <c r="BD117" s="62">
        <f t="shared" ref="BD117:BD135" si="61">BC117+AG117</f>
        <v>12021.87</v>
      </c>
      <c r="BE117" s="62"/>
      <c r="BF117" s="62">
        <f t="shared" ref="BF117:BF135" si="62">BD117+BE117</f>
        <v>12021.87</v>
      </c>
      <c r="BG117" s="62">
        <f t="shared" ref="BG117:BG130" si="63">AG117/12</f>
        <v>1000</v>
      </c>
      <c r="BH117" s="62">
        <v>0</v>
      </c>
      <c r="BI117" s="62">
        <v>0</v>
      </c>
      <c r="BJ117" s="62">
        <f t="shared" ref="BJ117:BJ135" si="64">SUM(BG117:BI117)</f>
        <v>1000</v>
      </c>
      <c r="BK117" s="62">
        <v>0</v>
      </c>
      <c r="BL117" s="62">
        <v>0</v>
      </c>
      <c r="BM117" s="62">
        <v>0</v>
      </c>
      <c r="BN117" s="62">
        <v>0</v>
      </c>
      <c r="BO117" s="62">
        <v>0</v>
      </c>
      <c r="BP117" s="62">
        <f t="shared" ref="BP117:BP135" si="65">BF117+BO117</f>
        <v>12021.87</v>
      </c>
      <c r="BQ117" s="62">
        <f t="shared" ref="BQ117:BQ135" si="66">BF117+BJ117+BO117</f>
        <v>13021.87</v>
      </c>
      <c r="BR117" s="109">
        <v>0</v>
      </c>
      <c r="BS117" s="83" t="s">
        <v>426</v>
      </c>
    </row>
    <row r="118" spans="1:71" x14ac:dyDescent="0.25">
      <c r="A118" s="59" t="s">
        <v>427</v>
      </c>
      <c r="B118" s="88">
        <v>46082</v>
      </c>
      <c r="C118" s="59" t="s">
        <v>8</v>
      </c>
      <c r="D118" s="63" t="s">
        <v>311</v>
      </c>
      <c r="E118" s="63">
        <v>5</v>
      </c>
      <c r="F118" s="63"/>
      <c r="G118" s="63" t="s">
        <v>424</v>
      </c>
      <c r="H118" s="63" t="s">
        <v>313</v>
      </c>
      <c r="I118" s="63" t="s">
        <v>428</v>
      </c>
      <c r="J118" s="97" t="s">
        <v>313</v>
      </c>
      <c r="K118" s="82"/>
      <c r="M118" s="63" t="s">
        <v>419</v>
      </c>
      <c r="N118" s="63" t="s">
        <v>322</v>
      </c>
      <c r="O118" s="63" t="s">
        <v>429</v>
      </c>
      <c r="P118" s="128">
        <v>12000</v>
      </c>
      <c r="Q118" s="128">
        <f t="shared" si="58"/>
        <v>12000</v>
      </c>
      <c r="R118" s="79">
        <v>0</v>
      </c>
      <c r="S118" s="62">
        <v>0</v>
      </c>
      <c r="T118" s="62">
        <v>0</v>
      </c>
      <c r="U118" s="62">
        <v>0</v>
      </c>
      <c r="V118" s="62">
        <v>0</v>
      </c>
      <c r="W118" s="62">
        <v>0</v>
      </c>
      <c r="X118" s="62">
        <v>0</v>
      </c>
      <c r="Y118" s="62">
        <v>0</v>
      </c>
      <c r="Z118" s="62">
        <v>0</v>
      </c>
      <c r="AA118" s="62">
        <v>0</v>
      </c>
      <c r="AB118" s="62">
        <v>0</v>
      </c>
      <c r="AC118" s="62">
        <v>0</v>
      </c>
      <c r="AD118" s="62">
        <v>0</v>
      </c>
      <c r="AE118" s="62">
        <v>0</v>
      </c>
      <c r="AF118" s="62">
        <v>0</v>
      </c>
      <c r="AG118" s="62">
        <f t="shared" si="59"/>
        <v>12000</v>
      </c>
      <c r="AH118" s="121">
        <v>0</v>
      </c>
      <c r="AI118" s="54">
        <f>_xlfn.XLOOKUP(A118,Beneficios!A:A,Beneficios!B:B,0,0,1)</f>
        <v>12.87</v>
      </c>
      <c r="AJ118" s="62">
        <v>0</v>
      </c>
      <c r="AK118" s="62">
        <v>0</v>
      </c>
      <c r="AL118" s="62">
        <v>0</v>
      </c>
      <c r="AM118" s="62">
        <v>0</v>
      </c>
      <c r="AN118" s="62">
        <v>0</v>
      </c>
      <c r="AO118" s="62">
        <v>0</v>
      </c>
      <c r="AP118" s="62">
        <v>0</v>
      </c>
      <c r="AQ118" s="62">
        <v>0</v>
      </c>
      <c r="AR118" s="62">
        <v>0</v>
      </c>
      <c r="AS118" s="62">
        <v>0</v>
      </c>
      <c r="AT118" s="62">
        <v>0</v>
      </c>
      <c r="AU118" s="62">
        <v>0</v>
      </c>
      <c r="AV118" s="62">
        <v>0</v>
      </c>
      <c r="AW118" s="62">
        <v>0</v>
      </c>
      <c r="AX118" s="62">
        <v>0</v>
      </c>
      <c r="AY118" s="62">
        <v>0</v>
      </c>
      <c r="AZ118" s="112">
        <v>0</v>
      </c>
      <c r="BA118" s="62">
        <v>0</v>
      </c>
      <c r="BB118" s="62">
        <v>0</v>
      </c>
      <c r="BC118" s="122">
        <f t="shared" si="60"/>
        <v>12.87</v>
      </c>
      <c r="BD118" s="62">
        <f t="shared" si="61"/>
        <v>12012.87</v>
      </c>
      <c r="BE118" s="62"/>
      <c r="BF118" s="62">
        <f t="shared" si="62"/>
        <v>12012.87</v>
      </c>
      <c r="BG118" s="62">
        <f t="shared" si="63"/>
        <v>1000</v>
      </c>
      <c r="BH118" s="62">
        <v>0</v>
      </c>
      <c r="BI118" s="62">
        <v>0</v>
      </c>
      <c r="BJ118" s="62">
        <f t="shared" si="64"/>
        <v>1000</v>
      </c>
      <c r="BK118" s="62">
        <v>0</v>
      </c>
      <c r="BL118" s="62">
        <v>0</v>
      </c>
      <c r="BM118" s="62">
        <v>0</v>
      </c>
      <c r="BN118" s="62">
        <v>0</v>
      </c>
      <c r="BO118" s="62">
        <v>0</v>
      </c>
      <c r="BP118" s="62">
        <f t="shared" si="65"/>
        <v>12012.87</v>
      </c>
      <c r="BQ118" s="62">
        <f t="shared" si="66"/>
        <v>13012.87</v>
      </c>
      <c r="BR118" s="109">
        <v>0</v>
      </c>
      <c r="BS118" s="83" t="s">
        <v>426</v>
      </c>
    </row>
    <row r="119" spans="1:71" x14ac:dyDescent="0.25">
      <c r="A119" s="59" t="s">
        <v>430</v>
      </c>
      <c r="B119" s="88">
        <v>46082</v>
      </c>
      <c r="C119" s="59" t="s">
        <v>8</v>
      </c>
      <c r="D119" s="63" t="s">
        <v>176</v>
      </c>
      <c r="E119" s="63">
        <v>6</v>
      </c>
      <c r="F119" s="63"/>
      <c r="G119" s="63" t="s">
        <v>424</v>
      </c>
      <c r="H119" s="63" t="s">
        <v>195</v>
      </c>
      <c r="I119" s="63" t="s">
        <v>195</v>
      </c>
      <c r="J119" s="97" t="s">
        <v>178</v>
      </c>
      <c r="K119" s="63"/>
      <c r="M119" s="63"/>
      <c r="N119" s="63" t="s">
        <v>431</v>
      </c>
      <c r="O119" s="63" t="s">
        <v>432</v>
      </c>
      <c r="P119" s="128">
        <v>5000</v>
      </c>
      <c r="Q119" s="128">
        <f t="shared" si="58"/>
        <v>5000</v>
      </c>
      <c r="R119" s="79">
        <v>0</v>
      </c>
      <c r="S119" s="62">
        <v>0</v>
      </c>
      <c r="T119" s="62">
        <v>0</v>
      </c>
      <c r="U119" s="62">
        <v>0</v>
      </c>
      <c r="V119" s="62">
        <v>0</v>
      </c>
      <c r="W119" s="62">
        <v>0</v>
      </c>
      <c r="X119" s="62">
        <v>0</v>
      </c>
      <c r="Y119" s="62">
        <v>0</v>
      </c>
      <c r="Z119" s="62">
        <v>0</v>
      </c>
      <c r="AA119" s="62">
        <v>0</v>
      </c>
      <c r="AB119" s="62">
        <v>0</v>
      </c>
      <c r="AC119" s="62">
        <v>0</v>
      </c>
      <c r="AD119" s="62">
        <v>0</v>
      </c>
      <c r="AE119" s="62">
        <v>0</v>
      </c>
      <c r="AF119" s="62">
        <v>0</v>
      </c>
      <c r="AG119" s="62">
        <f t="shared" si="59"/>
        <v>5000</v>
      </c>
      <c r="AH119" s="121">
        <v>0</v>
      </c>
      <c r="AI119" s="54">
        <f>_xlfn.XLOOKUP(A119,Beneficios!A:A,Beneficios!B:B,0,0,1)</f>
        <v>12.87</v>
      </c>
      <c r="AJ119" s="62">
        <v>0</v>
      </c>
      <c r="AK119" s="62">
        <v>0</v>
      </c>
      <c r="AL119" s="62">
        <v>0</v>
      </c>
      <c r="AM119" s="62">
        <v>0</v>
      </c>
      <c r="AN119" s="62">
        <v>0</v>
      </c>
      <c r="AO119" s="62">
        <v>0</v>
      </c>
      <c r="AP119" s="62">
        <v>0</v>
      </c>
      <c r="AQ119" s="62">
        <v>0</v>
      </c>
      <c r="AR119" s="62">
        <v>0</v>
      </c>
      <c r="AS119" s="62">
        <v>0</v>
      </c>
      <c r="AT119" s="62">
        <v>0</v>
      </c>
      <c r="AU119" s="62">
        <v>0</v>
      </c>
      <c r="AV119" s="62">
        <v>0</v>
      </c>
      <c r="AW119" s="62">
        <v>0</v>
      </c>
      <c r="AX119" s="62">
        <v>0</v>
      </c>
      <c r="AY119" s="62">
        <v>0</v>
      </c>
      <c r="AZ119" s="112">
        <v>0</v>
      </c>
      <c r="BA119" s="62">
        <v>0</v>
      </c>
      <c r="BB119" s="62">
        <v>0</v>
      </c>
      <c r="BC119" s="122">
        <f t="shared" si="60"/>
        <v>12.87</v>
      </c>
      <c r="BD119" s="62">
        <f t="shared" si="61"/>
        <v>5012.87</v>
      </c>
      <c r="BE119" s="62"/>
      <c r="BF119" s="62">
        <f t="shared" si="62"/>
        <v>5012.87</v>
      </c>
      <c r="BG119" s="62">
        <f t="shared" si="63"/>
        <v>416.66666666666669</v>
      </c>
      <c r="BH119" s="62">
        <v>0</v>
      </c>
      <c r="BI119" s="62">
        <v>0</v>
      </c>
      <c r="BJ119" s="62">
        <f t="shared" si="64"/>
        <v>416.66666666666669</v>
      </c>
      <c r="BK119" s="62">
        <v>0</v>
      </c>
      <c r="BL119" s="62">
        <v>0</v>
      </c>
      <c r="BM119" s="62">
        <v>0</v>
      </c>
      <c r="BN119" s="62">
        <v>0</v>
      </c>
      <c r="BO119" s="62">
        <v>0</v>
      </c>
      <c r="BP119" s="62">
        <f t="shared" si="65"/>
        <v>5012.87</v>
      </c>
      <c r="BQ119" s="62">
        <f t="shared" si="66"/>
        <v>5429.5366666666669</v>
      </c>
      <c r="BR119" s="109">
        <v>0</v>
      </c>
      <c r="BS119" s="83" t="str">
        <f>IF(ISBLANK(L119),"Ativo","Desligado")</f>
        <v>Ativo</v>
      </c>
    </row>
    <row r="120" spans="1:71" x14ac:dyDescent="0.25">
      <c r="A120" s="59" t="s">
        <v>433</v>
      </c>
      <c r="B120" s="88">
        <v>46082</v>
      </c>
      <c r="C120" s="59" t="s">
        <v>8</v>
      </c>
      <c r="D120" s="63" t="s">
        <v>199</v>
      </c>
      <c r="E120" s="63">
        <v>10</v>
      </c>
      <c r="F120" s="63"/>
      <c r="G120" s="63" t="s">
        <v>424</v>
      </c>
      <c r="H120" s="63" t="s">
        <v>203</v>
      </c>
      <c r="I120" s="63" t="s">
        <v>81</v>
      </c>
      <c r="J120" s="97" t="s">
        <v>203</v>
      </c>
      <c r="K120" s="82"/>
      <c r="M120" s="63" t="s">
        <v>434</v>
      </c>
      <c r="N120" s="63" t="s">
        <v>435</v>
      </c>
      <c r="O120" s="63" t="s">
        <v>436</v>
      </c>
      <c r="P120" s="128">
        <v>10986.67</v>
      </c>
      <c r="Q120" s="128">
        <f t="shared" si="58"/>
        <v>10986.67</v>
      </c>
      <c r="R120" s="79">
        <v>0</v>
      </c>
      <c r="S120" s="62">
        <v>0</v>
      </c>
      <c r="T120" s="62">
        <v>0</v>
      </c>
      <c r="U120" s="62">
        <v>0</v>
      </c>
      <c r="V120" s="62">
        <v>0</v>
      </c>
      <c r="W120" s="62">
        <v>0</v>
      </c>
      <c r="X120" s="62">
        <v>0</v>
      </c>
      <c r="Y120" s="62">
        <v>0</v>
      </c>
      <c r="Z120" s="62">
        <v>0</v>
      </c>
      <c r="AA120" s="62">
        <v>0</v>
      </c>
      <c r="AB120" s="62">
        <v>0</v>
      </c>
      <c r="AC120" s="62">
        <v>0</v>
      </c>
      <c r="AD120" s="62">
        <v>0</v>
      </c>
      <c r="AE120" s="62">
        <v>0</v>
      </c>
      <c r="AF120" s="62">
        <v>0</v>
      </c>
      <c r="AG120" s="62">
        <f t="shared" si="59"/>
        <v>10986.67</v>
      </c>
      <c r="AH120" s="121">
        <v>0</v>
      </c>
      <c r="AI120" s="54">
        <f>_xlfn.XLOOKUP(A120,Beneficios!A:A,Beneficios!B:B,0,0,1)</f>
        <v>12.87</v>
      </c>
      <c r="AJ120" s="62">
        <v>0</v>
      </c>
      <c r="AK120" s="62">
        <v>0</v>
      </c>
      <c r="AL120" s="62">
        <v>0</v>
      </c>
      <c r="AM120" s="62">
        <v>0</v>
      </c>
      <c r="AN120" s="62">
        <v>0</v>
      </c>
      <c r="AO120" s="62">
        <v>0</v>
      </c>
      <c r="AP120" s="62">
        <v>0</v>
      </c>
      <c r="AQ120" s="62">
        <v>0</v>
      </c>
      <c r="AR120" s="62">
        <v>0</v>
      </c>
      <c r="AS120" s="62">
        <v>0</v>
      </c>
      <c r="AT120" s="62">
        <v>0</v>
      </c>
      <c r="AU120" s="62">
        <v>0</v>
      </c>
      <c r="AV120" s="62">
        <v>0</v>
      </c>
      <c r="AW120" s="62">
        <v>0</v>
      </c>
      <c r="AX120" s="62">
        <v>0</v>
      </c>
      <c r="AY120" s="62">
        <v>0</v>
      </c>
      <c r="AZ120" s="112">
        <v>0</v>
      </c>
      <c r="BA120" s="62">
        <v>0</v>
      </c>
      <c r="BB120" s="62">
        <v>0</v>
      </c>
      <c r="BC120" s="122">
        <f t="shared" si="60"/>
        <v>12.87</v>
      </c>
      <c r="BD120" s="62">
        <f t="shared" si="61"/>
        <v>10999.54</v>
      </c>
      <c r="BE120" s="62"/>
      <c r="BF120" s="62">
        <f t="shared" si="62"/>
        <v>10999.54</v>
      </c>
      <c r="BG120" s="62">
        <f t="shared" si="63"/>
        <v>915.55583333333334</v>
      </c>
      <c r="BH120" s="62">
        <v>0</v>
      </c>
      <c r="BI120" s="62">
        <v>0</v>
      </c>
      <c r="BJ120" s="62">
        <f t="shared" si="64"/>
        <v>915.55583333333334</v>
      </c>
      <c r="BK120" s="62">
        <v>0</v>
      </c>
      <c r="BL120" s="62">
        <v>0</v>
      </c>
      <c r="BM120" s="62">
        <v>0</v>
      </c>
      <c r="BN120" s="62">
        <v>0</v>
      </c>
      <c r="BO120" s="62">
        <v>0</v>
      </c>
      <c r="BP120" s="62">
        <f t="shared" si="65"/>
        <v>10999.54</v>
      </c>
      <c r="BQ120" s="62">
        <f t="shared" si="66"/>
        <v>11915.095833333335</v>
      </c>
      <c r="BR120" s="109">
        <v>0</v>
      </c>
      <c r="BS120" s="83" t="s">
        <v>426</v>
      </c>
    </row>
    <row r="121" spans="1:71" x14ac:dyDescent="0.25">
      <c r="A121" s="3" t="s">
        <v>437</v>
      </c>
      <c r="B121" s="88">
        <v>46082</v>
      </c>
      <c r="C121" s="3" t="s">
        <v>8</v>
      </c>
      <c r="D121" s="63" t="s">
        <v>438</v>
      </c>
      <c r="E121" s="3">
        <v>1</v>
      </c>
      <c r="G121" s="63" t="s">
        <v>424</v>
      </c>
      <c r="H121" s="63" t="s">
        <v>87</v>
      </c>
      <c r="I121" s="63" t="s">
        <v>421</v>
      </c>
      <c r="J121" s="97" t="s">
        <v>107</v>
      </c>
      <c r="M121" s="63" t="s">
        <v>419</v>
      </c>
      <c r="N121" s="63" t="s">
        <v>211</v>
      </c>
      <c r="O121" s="63" t="s">
        <v>439</v>
      </c>
      <c r="P121" s="128">
        <v>8500</v>
      </c>
      <c r="Q121" s="127">
        <f t="shared" si="58"/>
        <v>8500</v>
      </c>
      <c r="R121" s="79">
        <v>0</v>
      </c>
      <c r="S121" s="62">
        <v>0</v>
      </c>
      <c r="T121" s="62">
        <v>0</v>
      </c>
      <c r="U121" s="62">
        <v>0</v>
      </c>
      <c r="V121" s="62">
        <v>0</v>
      </c>
      <c r="W121" s="62">
        <v>0</v>
      </c>
      <c r="X121" s="62">
        <v>0</v>
      </c>
      <c r="Y121" s="62">
        <v>0</v>
      </c>
      <c r="Z121" s="62">
        <v>0</v>
      </c>
      <c r="AA121" s="62">
        <v>0</v>
      </c>
      <c r="AB121" s="62">
        <v>0</v>
      </c>
      <c r="AC121" s="62">
        <v>0</v>
      </c>
      <c r="AD121" s="62">
        <v>0</v>
      </c>
      <c r="AE121" s="62">
        <v>0</v>
      </c>
      <c r="AF121" s="62">
        <v>0</v>
      </c>
      <c r="AG121" s="62">
        <f t="shared" si="59"/>
        <v>8500</v>
      </c>
      <c r="AH121" s="121">
        <v>0</v>
      </c>
      <c r="AI121" s="54">
        <f>_xlfn.XLOOKUP(A121,Beneficios!A:A,Beneficios!B:B,0,0,1)</f>
        <v>0</v>
      </c>
      <c r="AJ121" s="62">
        <v>0</v>
      </c>
      <c r="AK121" s="62">
        <v>0</v>
      </c>
      <c r="AL121" s="62">
        <v>0</v>
      </c>
      <c r="AM121" s="62">
        <v>0</v>
      </c>
      <c r="AN121" s="62">
        <v>0</v>
      </c>
      <c r="AO121" s="62">
        <v>0</v>
      </c>
      <c r="AP121" s="62">
        <v>0</v>
      </c>
      <c r="AQ121" s="62">
        <v>0</v>
      </c>
      <c r="AR121" s="62">
        <v>0</v>
      </c>
      <c r="AS121" s="62">
        <v>0</v>
      </c>
      <c r="AT121" s="62">
        <v>0</v>
      </c>
      <c r="AU121" s="62">
        <v>0</v>
      </c>
      <c r="AV121" s="62">
        <v>0</v>
      </c>
      <c r="AW121" s="62">
        <v>0</v>
      </c>
      <c r="AX121" s="62">
        <v>0</v>
      </c>
      <c r="AY121" s="62">
        <v>0</v>
      </c>
      <c r="AZ121" s="112">
        <v>0</v>
      </c>
      <c r="BA121" s="62">
        <v>0</v>
      </c>
      <c r="BB121" s="62">
        <v>0</v>
      </c>
      <c r="BC121" s="122">
        <f t="shared" si="60"/>
        <v>0</v>
      </c>
      <c r="BD121" s="62">
        <f t="shared" si="61"/>
        <v>8500</v>
      </c>
      <c r="BE121" s="62"/>
      <c r="BF121" s="62">
        <f t="shared" si="62"/>
        <v>8500</v>
      </c>
      <c r="BG121" s="62">
        <f t="shared" si="63"/>
        <v>708.33333333333337</v>
      </c>
      <c r="BH121" s="62">
        <v>0</v>
      </c>
      <c r="BI121" s="62">
        <v>0</v>
      </c>
      <c r="BJ121" s="62">
        <f t="shared" si="64"/>
        <v>708.33333333333337</v>
      </c>
      <c r="BK121" s="62">
        <v>0</v>
      </c>
      <c r="BL121" s="62">
        <v>0</v>
      </c>
      <c r="BM121" s="62">
        <v>0</v>
      </c>
      <c r="BN121" s="62">
        <v>0</v>
      </c>
      <c r="BO121" s="62">
        <v>0</v>
      </c>
      <c r="BP121" s="62">
        <f t="shared" si="65"/>
        <v>8500</v>
      </c>
      <c r="BQ121" s="62">
        <f t="shared" si="66"/>
        <v>9208.3333333333339</v>
      </c>
      <c r="BR121" s="109">
        <v>0</v>
      </c>
      <c r="BS121" s="83" t="s">
        <v>426</v>
      </c>
    </row>
    <row r="122" spans="1:71" x14ac:dyDescent="0.25">
      <c r="A122" s="59" t="s">
        <v>440</v>
      </c>
      <c r="B122" s="88">
        <v>46082</v>
      </c>
      <c r="C122" s="59" t="s">
        <v>8</v>
      </c>
      <c r="D122" s="63" t="s">
        <v>149</v>
      </c>
      <c r="E122" s="63">
        <v>5</v>
      </c>
      <c r="F122" s="63"/>
      <c r="G122" s="63" t="s">
        <v>424</v>
      </c>
      <c r="H122" s="63" t="s">
        <v>195</v>
      </c>
      <c r="I122" s="63" t="s">
        <v>317</v>
      </c>
      <c r="J122" s="97" t="s">
        <v>115</v>
      </c>
      <c r="K122" s="63"/>
      <c r="M122" s="63" t="s">
        <v>434</v>
      </c>
      <c r="N122" s="63" t="s">
        <v>441</v>
      </c>
      <c r="O122" s="63" t="s">
        <v>442</v>
      </c>
      <c r="P122" s="128">
        <v>0</v>
      </c>
      <c r="Q122" s="128">
        <f t="shared" si="58"/>
        <v>0</v>
      </c>
      <c r="R122" s="79">
        <v>0</v>
      </c>
      <c r="S122" s="62">
        <v>0</v>
      </c>
      <c r="T122" s="62">
        <v>0</v>
      </c>
      <c r="U122" s="62">
        <v>0</v>
      </c>
      <c r="V122" s="62">
        <v>0</v>
      </c>
      <c r="W122" s="62">
        <v>0</v>
      </c>
      <c r="X122" s="62">
        <v>0</v>
      </c>
      <c r="Y122" s="62">
        <v>0</v>
      </c>
      <c r="Z122" s="62">
        <v>0</v>
      </c>
      <c r="AA122" s="62">
        <v>0</v>
      </c>
      <c r="AB122" s="62">
        <v>0</v>
      </c>
      <c r="AC122" s="62">
        <v>0</v>
      </c>
      <c r="AD122" s="62">
        <v>0</v>
      </c>
      <c r="AE122" s="62">
        <v>0</v>
      </c>
      <c r="AF122" s="62">
        <v>0</v>
      </c>
      <c r="AG122" s="62">
        <f t="shared" si="59"/>
        <v>0</v>
      </c>
      <c r="AH122" s="123">
        <v>0</v>
      </c>
      <c r="AI122" s="54">
        <f>_xlfn.XLOOKUP(A122,Beneficios!A:A,Beneficios!B:B,0,0,1)</f>
        <v>0</v>
      </c>
      <c r="AJ122" s="62">
        <v>0</v>
      </c>
      <c r="AK122" s="62">
        <v>0</v>
      </c>
      <c r="AL122" s="62">
        <v>0</v>
      </c>
      <c r="AM122" s="62">
        <v>0</v>
      </c>
      <c r="AN122" s="62">
        <v>0</v>
      </c>
      <c r="AO122" s="62">
        <v>0</v>
      </c>
      <c r="AP122" s="62">
        <v>0</v>
      </c>
      <c r="AQ122" s="62">
        <v>0</v>
      </c>
      <c r="AR122" s="62">
        <v>0</v>
      </c>
      <c r="AS122" s="62">
        <v>0</v>
      </c>
      <c r="AT122" s="62">
        <v>0</v>
      </c>
      <c r="AU122" s="62">
        <v>0</v>
      </c>
      <c r="AV122" s="62">
        <v>0</v>
      </c>
      <c r="AW122" s="62">
        <v>0</v>
      </c>
      <c r="AX122" s="62">
        <v>0</v>
      </c>
      <c r="AY122" s="62">
        <v>0</v>
      </c>
      <c r="AZ122" s="112">
        <v>0</v>
      </c>
      <c r="BA122" s="62">
        <v>0</v>
      </c>
      <c r="BB122" s="62">
        <v>0</v>
      </c>
      <c r="BC122" s="122">
        <f t="shared" si="60"/>
        <v>0</v>
      </c>
      <c r="BD122" s="62">
        <f t="shared" si="61"/>
        <v>0</v>
      </c>
      <c r="BE122" s="62"/>
      <c r="BF122" s="62">
        <f t="shared" si="62"/>
        <v>0</v>
      </c>
      <c r="BG122" s="62">
        <f t="shared" si="63"/>
        <v>0</v>
      </c>
      <c r="BH122" s="62">
        <v>0</v>
      </c>
      <c r="BI122" s="62">
        <v>0</v>
      </c>
      <c r="BJ122" s="62">
        <f t="shared" si="64"/>
        <v>0</v>
      </c>
      <c r="BK122" s="62">
        <v>0</v>
      </c>
      <c r="BL122" s="62">
        <v>0</v>
      </c>
      <c r="BM122" s="62">
        <v>0</v>
      </c>
      <c r="BN122" s="62">
        <v>0</v>
      </c>
      <c r="BO122" s="62">
        <v>0</v>
      </c>
      <c r="BP122" s="62">
        <f t="shared" si="65"/>
        <v>0</v>
      </c>
      <c r="BQ122" s="111">
        <f t="shared" si="66"/>
        <v>0</v>
      </c>
      <c r="BR122" s="109">
        <v>0</v>
      </c>
      <c r="BS122" s="83" t="str">
        <f>IF(ISBLANK(L122),"Ativo","Desligado")</f>
        <v>Ativo</v>
      </c>
    </row>
    <row r="123" spans="1:71" x14ac:dyDescent="0.25">
      <c r="A123" s="59" t="s">
        <v>443</v>
      </c>
      <c r="B123" s="88">
        <v>46082</v>
      </c>
      <c r="C123" s="59" t="s">
        <v>8</v>
      </c>
      <c r="D123" s="63" t="s">
        <v>291</v>
      </c>
      <c r="E123" s="63">
        <v>4</v>
      </c>
      <c r="F123" s="63"/>
      <c r="G123" s="63" t="s">
        <v>424</v>
      </c>
      <c r="H123" s="63" t="s">
        <v>444</v>
      </c>
      <c r="I123" s="63" t="s">
        <v>428</v>
      </c>
      <c r="J123" s="97" t="s">
        <v>107</v>
      </c>
      <c r="K123" s="82"/>
      <c r="M123" s="63" t="s">
        <v>419</v>
      </c>
      <c r="N123" s="63" t="s">
        <v>211</v>
      </c>
      <c r="O123" s="63" t="s">
        <v>442</v>
      </c>
      <c r="P123" s="128">
        <v>22242.560000000001</v>
      </c>
      <c r="Q123" s="128">
        <f t="shared" si="58"/>
        <v>22242.560000000001</v>
      </c>
      <c r="R123" s="79">
        <v>0</v>
      </c>
      <c r="S123" s="62">
        <v>0</v>
      </c>
      <c r="T123" s="62">
        <v>0</v>
      </c>
      <c r="U123" s="62">
        <v>0</v>
      </c>
      <c r="V123" s="62">
        <v>0</v>
      </c>
      <c r="W123" s="62">
        <v>0</v>
      </c>
      <c r="X123" s="62">
        <v>0</v>
      </c>
      <c r="Y123" s="62">
        <v>0</v>
      </c>
      <c r="Z123" s="62">
        <v>0</v>
      </c>
      <c r="AA123" s="62">
        <v>0</v>
      </c>
      <c r="AB123" s="62">
        <v>0</v>
      </c>
      <c r="AC123" s="62">
        <v>0</v>
      </c>
      <c r="AD123" s="62">
        <v>0</v>
      </c>
      <c r="AE123" s="62">
        <v>0</v>
      </c>
      <c r="AF123" s="62">
        <v>0</v>
      </c>
      <c r="AG123" s="62">
        <f t="shared" si="59"/>
        <v>22242.560000000001</v>
      </c>
      <c r="AH123" s="121">
        <v>0</v>
      </c>
      <c r="AI123" s="54">
        <f>_xlfn.XLOOKUP(A123,Beneficios!A:A,Beneficios!B:B,0,0,1)</f>
        <v>512.87</v>
      </c>
      <c r="AJ123" s="62">
        <v>0</v>
      </c>
      <c r="AK123" s="62">
        <v>0</v>
      </c>
      <c r="AL123" s="62">
        <v>0</v>
      </c>
      <c r="AM123" s="62">
        <v>0</v>
      </c>
      <c r="AN123" s="62">
        <v>0</v>
      </c>
      <c r="AO123" s="62">
        <v>0</v>
      </c>
      <c r="AP123" s="62">
        <v>0</v>
      </c>
      <c r="AQ123" s="62">
        <v>0</v>
      </c>
      <c r="AR123" s="62">
        <v>0</v>
      </c>
      <c r="AS123" s="62">
        <v>0</v>
      </c>
      <c r="AT123" s="62">
        <v>0</v>
      </c>
      <c r="AU123" s="62">
        <v>0</v>
      </c>
      <c r="AV123" s="62">
        <v>0</v>
      </c>
      <c r="AW123" s="62">
        <v>0</v>
      </c>
      <c r="AX123" s="62">
        <v>0</v>
      </c>
      <c r="AY123" s="62">
        <v>0</v>
      </c>
      <c r="AZ123" s="112">
        <v>0</v>
      </c>
      <c r="BA123" s="62">
        <v>0</v>
      </c>
      <c r="BB123" s="62">
        <v>0</v>
      </c>
      <c r="BC123" s="122">
        <f t="shared" si="60"/>
        <v>512.87</v>
      </c>
      <c r="BD123" s="62">
        <f t="shared" si="61"/>
        <v>22755.43</v>
      </c>
      <c r="BE123" s="62"/>
      <c r="BF123" s="62">
        <f t="shared" si="62"/>
        <v>22755.43</v>
      </c>
      <c r="BG123" s="62">
        <f t="shared" si="63"/>
        <v>1853.5466666666669</v>
      </c>
      <c r="BH123" s="62">
        <v>0</v>
      </c>
      <c r="BI123" s="62">
        <v>0</v>
      </c>
      <c r="BJ123" s="62">
        <f t="shared" si="64"/>
        <v>1853.5466666666669</v>
      </c>
      <c r="BK123" s="62">
        <v>0</v>
      </c>
      <c r="BL123" s="62">
        <v>0</v>
      </c>
      <c r="BM123" s="62">
        <v>0</v>
      </c>
      <c r="BN123" s="62">
        <v>0</v>
      </c>
      <c r="BO123" s="62">
        <v>0</v>
      </c>
      <c r="BP123" s="62">
        <f t="shared" si="65"/>
        <v>22755.43</v>
      </c>
      <c r="BQ123" s="62">
        <f t="shared" si="66"/>
        <v>24608.976666666666</v>
      </c>
      <c r="BR123" s="109">
        <v>0</v>
      </c>
      <c r="BS123" s="83" t="s">
        <v>426</v>
      </c>
    </row>
    <row r="124" spans="1:71" x14ac:dyDescent="0.25">
      <c r="A124" s="59" t="s">
        <v>445</v>
      </c>
      <c r="B124" s="88">
        <v>46082</v>
      </c>
      <c r="C124" s="59" t="s">
        <v>8</v>
      </c>
      <c r="D124" s="63" t="s">
        <v>291</v>
      </c>
      <c r="E124" s="63">
        <v>4</v>
      </c>
      <c r="F124" s="63"/>
      <c r="G124" s="63" t="s">
        <v>424</v>
      </c>
      <c r="H124" s="63" t="s">
        <v>444</v>
      </c>
      <c r="I124" s="63" t="s">
        <v>446</v>
      </c>
      <c r="J124" s="97" t="s">
        <v>98</v>
      </c>
      <c r="K124" s="82"/>
      <c r="M124" s="63" t="s">
        <v>419</v>
      </c>
      <c r="N124" s="63" t="s">
        <v>447</v>
      </c>
      <c r="O124" s="63" t="s">
        <v>448</v>
      </c>
      <c r="P124" s="128">
        <v>8865</v>
      </c>
      <c r="Q124" s="128">
        <f t="shared" si="58"/>
        <v>8865</v>
      </c>
      <c r="R124" s="79">
        <v>0</v>
      </c>
      <c r="S124" s="62">
        <v>0</v>
      </c>
      <c r="T124" s="62">
        <v>0</v>
      </c>
      <c r="U124" s="62">
        <v>0</v>
      </c>
      <c r="V124" s="62">
        <v>0</v>
      </c>
      <c r="W124" s="62">
        <v>0</v>
      </c>
      <c r="X124" s="62">
        <v>0</v>
      </c>
      <c r="Y124" s="62">
        <v>0</v>
      </c>
      <c r="Z124" s="62">
        <v>0</v>
      </c>
      <c r="AA124" s="62">
        <v>0</v>
      </c>
      <c r="AB124" s="62">
        <v>0</v>
      </c>
      <c r="AC124" s="62">
        <v>0</v>
      </c>
      <c r="AD124" s="62">
        <v>0</v>
      </c>
      <c r="AE124" s="62">
        <v>0</v>
      </c>
      <c r="AF124" s="62">
        <v>0</v>
      </c>
      <c r="AG124" s="62">
        <f t="shared" si="59"/>
        <v>8865</v>
      </c>
      <c r="AH124" s="121">
        <v>0</v>
      </c>
      <c r="AI124" s="54">
        <f>_xlfn.XLOOKUP(A124,Beneficios!A:A,Beneficios!B:B,0,0,1)</f>
        <v>12.87</v>
      </c>
      <c r="AJ124" s="62">
        <v>0</v>
      </c>
      <c r="AK124" s="62">
        <v>0</v>
      </c>
      <c r="AL124" s="62">
        <v>0</v>
      </c>
      <c r="AM124" s="62">
        <v>0</v>
      </c>
      <c r="AN124" s="62">
        <v>0</v>
      </c>
      <c r="AO124" s="62">
        <v>0</v>
      </c>
      <c r="AP124" s="62">
        <v>0</v>
      </c>
      <c r="AQ124" s="62">
        <v>0</v>
      </c>
      <c r="AR124" s="62">
        <v>0</v>
      </c>
      <c r="AS124" s="62">
        <v>0</v>
      </c>
      <c r="AT124" s="62">
        <v>0</v>
      </c>
      <c r="AU124" s="62">
        <v>0</v>
      </c>
      <c r="AV124" s="62">
        <v>0</v>
      </c>
      <c r="AW124" s="62">
        <v>0</v>
      </c>
      <c r="AX124" s="62">
        <v>0</v>
      </c>
      <c r="AY124" s="62">
        <v>0</v>
      </c>
      <c r="AZ124" s="112">
        <v>0</v>
      </c>
      <c r="BA124" s="62">
        <v>0</v>
      </c>
      <c r="BB124" s="62">
        <v>0</v>
      </c>
      <c r="BC124" s="122">
        <f t="shared" si="60"/>
        <v>12.87</v>
      </c>
      <c r="BD124" s="62">
        <f t="shared" si="61"/>
        <v>8877.8700000000008</v>
      </c>
      <c r="BE124" s="62"/>
      <c r="BF124" s="62">
        <f t="shared" si="62"/>
        <v>8877.8700000000008</v>
      </c>
      <c r="BG124" s="62">
        <f t="shared" si="63"/>
        <v>738.75</v>
      </c>
      <c r="BH124" s="62">
        <v>0</v>
      </c>
      <c r="BI124" s="62">
        <v>0</v>
      </c>
      <c r="BJ124" s="62">
        <f t="shared" si="64"/>
        <v>738.75</v>
      </c>
      <c r="BK124" s="62">
        <v>0</v>
      </c>
      <c r="BL124" s="62">
        <v>0</v>
      </c>
      <c r="BM124" s="62">
        <v>0</v>
      </c>
      <c r="BN124" s="62">
        <v>0</v>
      </c>
      <c r="BO124" s="62">
        <v>0</v>
      </c>
      <c r="BP124" s="62">
        <f t="shared" si="65"/>
        <v>8877.8700000000008</v>
      </c>
      <c r="BQ124" s="62">
        <f t="shared" si="66"/>
        <v>9616.6200000000008</v>
      </c>
      <c r="BR124" s="109">
        <v>0</v>
      </c>
      <c r="BS124" s="83" t="s">
        <v>426</v>
      </c>
    </row>
    <row r="125" spans="1:71" x14ac:dyDescent="0.25">
      <c r="A125" s="59" t="s">
        <v>449</v>
      </c>
      <c r="B125" s="88">
        <v>46082</v>
      </c>
      <c r="C125" s="59" t="s">
        <v>8</v>
      </c>
      <c r="D125" s="63" t="s">
        <v>199</v>
      </c>
      <c r="E125" s="63">
        <v>4</v>
      </c>
      <c r="F125" s="63"/>
      <c r="G125" s="63" t="s">
        <v>424</v>
      </c>
      <c r="H125" s="63" t="s">
        <v>203</v>
      </c>
      <c r="I125" s="63" t="s">
        <v>81</v>
      </c>
      <c r="J125" s="97" t="s">
        <v>203</v>
      </c>
      <c r="K125" s="82"/>
      <c r="M125" s="63" t="s">
        <v>434</v>
      </c>
      <c r="N125" s="63" t="s">
        <v>435</v>
      </c>
      <c r="O125" s="63" t="s">
        <v>436</v>
      </c>
      <c r="P125" s="128">
        <v>6000</v>
      </c>
      <c r="Q125" s="128">
        <f t="shared" si="58"/>
        <v>6000</v>
      </c>
      <c r="R125" s="79">
        <v>0</v>
      </c>
      <c r="S125" s="62">
        <v>0</v>
      </c>
      <c r="T125" s="62">
        <v>0</v>
      </c>
      <c r="U125" s="62">
        <v>0</v>
      </c>
      <c r="V125" s="62">
        <v>0</v>
      </c>
      <c r="W125" s="62">
        <v>0</v>
      </c>
      <c r="X125" s="62">
        <v>0</v>
      </c>
      <c r="Y125" s="62">
        <v>0</v>
      </c>
      <c r="Z125" s="62">
        <v>0</v>
      </c>
      <c r="AA125" s="62">
        <v>0</v>
      </c>
      <c r="AB125" s="62">
        <v>0</v>
      </c>
      <c r="AC125" s="62">
        <v>0</v>
      </c>
      <c r="AD125" s="62">
        <v>0</v>
      </c>
      <c r="AE125" s="62">
        <v>0</v>
      </c>
      <c r="AF125" s="62">
        <v>0</v>
      </c>
      <c r="AG125" s="62">
        <f t="shared" si="59"/>
        <v>6000</v>
      </c>
      <c r="AH125" s="121">
        <v>0</v>
      </c>
      <c r="AI125" s="54">
        <f>_xlfn.XLOOKUP(A125,Beneficios!A:A,Beneficios!B:B,0,0,1)</f>
        <v>0</v>
      </c>
      <c r="AJ125" s="62">
        <v>0</v>
      </c>
      <c r="AK125" s="62">
        <v>0</v>
      </c>
      <c r="AL125" s="62">
        <v>0</v>
      </c>
      <c r="AM125" s="62">
        <v>0</v>
      </c>
      <c r="AN125" s="62">
        <v>0</v>
      </c>
      <c r="AO125" s="62">
        <v>0</v>
      </c>
      <c r="AP125" s="62">
        <v>0</v>
      </c>
      <c r="AQ125" s="62">
        <v>0</v>
      </c>
      <c r="AR125" s="62">
        <v>0</v>
      </c>
      <c r="AS125" s="62">
        <v>0</v>
      </c>
      <c r="AT125" s="62">
        <v>0</v>
      </c>
      <c r="AU125" s="62">
        <v>0</v>
      </c>
      <c r="AV125" s="62">
        <v>0</v>
      </c>
      <c r="AW125" s="62">
        <v>0</v>
      </c>
      <c r="AX125" s="62">
        <v>0</v>
      </c>
      <c r="AY125" s="62">
        <v>0</v>
      </c>
      <c r="AZ125" s="112">
        <v>0</v>
      </c>
      <c r="BA125" s="62">
        <v>0</v>
      </c>
      <c r="BB125" s="62">
        <v>0</v>
      </c>
      <c r="BC125" s="122">
        <f t="shared" si="60"/>
        <v>0</v>
      </c>
      <c r="BD125" s="62">
        <f t="shared" si="61"/>
        <v>6000</v>
      </c>
      <c r="BE125" s="62"/>
      <c r="BF125" s="62">
        <f t="shared" si="62"/>
        <v>6000</v>
      </c>
      <c r="BG125" s="62">
        <f t="shared" si="63"/>
        <v>500</v>
      </c>
      <c r="BH125" s="62">
        <v>0</v>
      </c>
      <c r="BI125" s="62">
        <v>0</v>
      </c>
      <c r="BJ125" s="62">
        <f t="shared" si="64"/>
        <v>500</v>
      </c>
      <c r="BK125" s="62">
        <v>0</v>
      </c>
      <c r="BL125" s="62">
        <v>0</v>
      </c>
      <c r="BM125" s="62">
        <v>0</v>
      </c>
      <c r="BN125" s="62">
        <v>0</v>
      </c>
      <c r="BO125" s="62">
        <v>0</v>
      </c>
      <c r="BP125" s="62">
        <f t="shared" si="65"/>
        <v>6000</v>
      </c>
      <c r="BQ125" s="62">
        <f t="shared" si="66"/>
        <v>6500</v>
      </c>
      <c r="BR125" s="109">
        <v>0</v>
      </c>
      <c r="BS125" s="83" t="s">
        <v>426</v>
      </c>
    </row>
    <row r="126" spans="1:71" x14ac:dyDescent="0.25">
      <c r="A126" s="59" t="s">
        <v>450</v>
      </c>
      <c r="B126" s="88">
        <v>46082</v>
      </c>
      <c r="C126" s="59" t="s">
        <v>8</v>
      </c>
      <c r="D126" s="63" t="s">
        <v>291</v>
      </c>
      <c r="E126" s="63">
        <v>4</v>
      </c>
      <c r="F126" s="63"/>
      <c r="G126" s="63" t="s">
        <v>424</v>
      </c>
      <c r="H126" s="63" t="s">
        <v>444</v>
      </c>
      <c r="I126" s="63" t="s">
        <v>81</v>
      </c>
      <c r="J126" s="97" t="s">
        <v>107</v>
      </c>
      <c r="K126" s="82"/>
      <c r="M126" s="63" t="s">
        <v>419</v>
      </c>
      <c r="N126" s="63" t="s">
        <v>211</v>
      </c>
      <c r="O126" s="63" t="s">
        <v>451</v>
      </c>
      <c r="P126" s="128">
        <v>11129</v>
      </c>
      <c r="Q126" s="128">
        <f t="shared" si="58"/>
        <v>11129</v>
      </c>
      <c r="R126" s="79">
        <v>0</v>
      </c>
      <c r="S126" s="62">
        <v>0</v>
      </c>
      <c r="T126" s="62">
        <v>0</v>
      </c>
      <c r="U126" s="62">
        <v>0</v>
      </c>
      <c r="V126" s="62">
        <v>0</v>
      </c>
      <c r="W126" s="62">
        <v>0</v>
      </c>
      <c r="X126" s="62">
        <v>0</v>
      </c>
      <c r="Y126" s="62">
        <v>0</v>
      </c>
      <c r="Z126" s="62">
        <v>0</v>
      </c>
      <c r="AA126" s="62">
        <v>0</v>
      </c>
      <c r="AB126" s="62">
        <v>0</v>
      </c>
      <c r="AC126" s="62">
        <v>0</v>
      </c>
      <c r="AD126" s="62">
        <v>0</v>
      </c>
      <c r="AE126" s="62">
        <v>0</v>
      </c>
      <c r="AF126" s="62">
        <v>0</v>
      </c>
      <c r="AG126" s="62">
        <f t="shared" si="59"/>
        <v>11129</v>
      </c>
      <c r="AH126" s="121">
        <v>0</v>
      </c>
      <c r="AI126" s="54">
        <f>_xlfn.XLOOKUP(A126,Beneficios!A:A,Beneficios!B:B,0,0,1)</f>
        <v>21.87</v>
      </c>
      <c r="AJ126" s="62">
        <v>0</v>
      </c>
      <c r="AK126" s="62">
        <v>0</v>
      </c>
      <c r="AL126" s="62">
        <v>0</v>
      </c>
      <c r="AM126" s="62">
        <v>0</v>
      </c>
      <c r="AN126" s="62">
        <v>0</v>
      </c>
      <c r="AO126" s="62">
        <v>0</v>
      </c>
      <c r="AP126" s="62">
        <v>0</v>
      </c>
      <c r="AQ126" s="62">
        <v>0</v>
      </c>
      <c r="AR126" s="62">
        <v>0</v>
      </c>
      <c r="AS126" s="62">
        <v>0</v>
      </c>
      <c r="AT126" s="62">
        <v>0</v>
      </c>
      <c r="AU126" s="62">
        <v>0</v>
      </c>
      <c r="AV126" s="62">
        <v>0</v>
      </c>
      <c r="AW126" s="62">
        <v>0</v>
      </c>
      <c r="AX126" s="62">
        <v>0</v>
      </c>
      <c r="AY126" s="62">
        <v>0</v>
      </c>
      <c r="AZ126" s="112">
        <v>0</v>
      </c>
      <c r="BA126" s="62">
        <v>0</v>
      </c>
      <c r="BB126" s="62">
        <v>0</v>
      </c>
      <c r="BC126" s="122">
        <f t="shared" si="60"/>
        <v>21.87</v>
      </c>
      <c r="BD126" s="62">
        <f t="shared" si="61"/>
        <v>11150.87</v>
      </c>
      <c r="BE126" s="62"/>
      <c r="BF126" s="62">
        <f t="shared" si="62"/>
        <v>11150.87</v>
      </c>
      <c r="BG126" s="62">
        <f t="shared" si="63"/>
        <v>927.41666666666663</v>
      </c>
      <c r="BH126" s="62">
        <v>0</v>
      </c>
      <c r="BI126" s="62">
        <v>0</v>
      </c>
      <c r="BJ126" s="62">
        <f t="shared" si="64"/>
        <v>927.41666666666663</v>
      </c>
      <c r="BK126" s="62">
        <v>0</v>
      </c>
      <c r="BL126" s="62">
        <v>0</v>
      </c>
      <c r="BM126" s="62">
        <v>0</v>
      </c>
      <c r="BN126" s="62">
        <v>0</v>
      </c>
      <c r="BO126" s="62">
        <v>0</v>
      </c>
      <c r="BP126" s="62">
        <f t="shared" si="65"/>
        <v>11150.87</v>
      </c>
      <c r="BQ126" s="62">
        <f t="shared" si="66"/>
        <v>12078.286666666667</v>
      </c>
      <c r="BR126" s="109">
        <v>0</v>
      </c>
      <c r="BS126" s="83" t="s">
        <v>426</v>
      </c>
    </row>
    <row r="127" spans="1:71" x14ac:dyDescent="0.25">
      <c r="A127" s="59" t="s">
        <v>452</v>
      </c>
      <c r="B127" s="88">
        <v>46082</v>
      </c>
      <c r="C127" s="59" t="s">
        <v>8</v>
      </c>
      <c r="D127" s="63" t="s">
        <v>199</v>
      </c>
      <c r="E127" s="63">
        <v>4</v>
      </c>
      <c r="F127" s="63"/>
      <c r="G127" s="63" t="s">
        <v>424</v>
      </c>
      <c r="H127" s="63" t="s">
        <v>203</v>
      </c>
      <c r="I127" s="63" t="s">
        <v>81</v>
      </c>
      <c r="J127" s="97" t="s">
        <v>203</v>
      </c>
      <c r="K127" s="82"/>
      <c r="M127" s="63" t="s">
        <v>434</v>
      </c>
      <c r="N127" s="63" t="s">
        <v>435</v>
      </c>
      <c r="O127" s="63" t="s">
        <v>436</v>
      </c>
      <c r="P127" s="128">
        <v>11490.6</v>
      </c>
      <c r="Q127" s="128">
        <f t="shared" si="58"/>
        <v>11490.6</v>
      </c>
      <c r="R127" s="79">
        <v>0</v>
      </c>
      <c r="S127" s="62">
        <v>0</v>
      </c>
      <c r="T127" s="62">
        <v>0</v>
      </c>
      <c r="U127" s="62">
        <v>0</v>
      </c>
      <c r="V127" s="62">
        <v>0</v>
      </c>
      <c r="W127" s="62">
        <v>0</v>
      </c>
      <c r="X127" s="62">
        <v>0</v>
      </c>
      <c r="Y127" s="62">
        <v>0</v>
      </c>
      <c r="Z127" s="62">
        <v>0</v>
      </c>
      <c r="AA127" s="62">
        <v>0</v>
      </c>
      <c r="AB127" s="62">
        <v>0</v>
      </c>
      <c r="AC127" s="62">
        <v>0</v>
      </c>
      <c r="AD127" s="62">
        <v>0</v>
      </c>
      <c r="AE127" s="62">
        <v>0</v>
      </c>
      <c r="AF127" s="62">
        <v>0</v>
      </c>
      <c r="AG127" s="62">
        <f t="shared" si="59"/>
        <v>11490.6</v>
      </c>
      <c r="AH127" s="121">
        <v>0</v>
      </c>
      <c r="AI127" s="54">
        <f>_xlfn.XLOOKUP(A127,Beneficios!A:A,Beneficios!B:B,0,0,1)</f>
        <v>21.87</v>
      </c>
      <c r="AJ127" s="62">
        <v>0</v>
      </c>
      <c r="AK127" s="62">
        <v>0</v>
      </c>
      <c r="AL127" s="62">
        <v>0</v>
      </c>
      <c r="AM127" s="62">
        <v>0</v>
      </c>
      <c r="AN127" s="62">
        <v>0</v>
      </c>
      <c r="AO127" s="62">
        <v>0</v>
      </c>
      <c r="AP127" s="62">
        <v>0</v>
      </c>
      <c r="AQ127" s="62">
        <v>0</v>
      </c>
      <c r="AR127" s="62">
        <v>0</v>
      </c>
      <c r="AS127" s="62">
        <v>0</v>
      </c>
      <c r="AT127" s="62">
        <v>0</v>
      </c>
      <c r="AU127" s="62">
        <v>0</v>
      </c>
      <c r="AV127" s="62">
        <v>0</v>
      </c>
      <c r="AW127" s="62">
        <v>0</v>
      </c>
      <c r="AX127" s="62">
        <v>0</v>
      </c>
      <c r="AY127" s="62">
        <v>0</v>
      </c>
      <c r="AZ127" s="112">
        <v>0</v>
      </c>
      <c r="BA127" s="62">
        <v>0</v>
      </c>
      <c r="BB127" s="62">
        <v>0</v>
      </c>
      <c r="BC127" s="122">
        <f t="shared" si="60"/>
        <v>21.87</v>
      </c>
      <c r="BD127" s="62">
        <f t="shared" si="61"/>
        <v>11512.470000000001</v>
      </c>
      <c r="BE127" s="62"/>
      <c r="BF127" s="62">
        <f t="shared" si="62"/>
        <v>11512.470000000001</v>
      </c>
      <c r="BG127" s="62">
        <f t="shared" si="63"/>
        <v>957.55000000000007</v>
      </c>
      <c r="BH127" s="62">
        <v>0</v>
      </c>
      <c r="BI127" s="62">
        <v>0</v>
      </c>
      <c r="BJ127" s="62">
        <f t="shared" si="64"/>
        <v>957.55000000000007</v>
      </c>
      <c r="BK127" s="62">
        <v>0</v>
      </c>
      <c r="BL127" s="62">
        <v>0</v>
      </c>
      <c r="BM127" s="62">
        <v>0</v>
      </c>
      <c r="BN127" s="62">
        <v>0</v>
      </c>
      <c r="BO127" s="62">
        <v>0</v>
      </c>
      <c r="BP127" s="62">
        <f t="shared" si="65"/>
        <v>11512.470000000001</v>
      </c>
      <c r="BQ127" s="62">
        <f t="shared" si="66"/>
        <v>12470.02</v>
      </c>
      <c r="BR127" s="109">
        <v>0</v>
      </c>
      <c r="BS127" s="83" t="s">
        <v>426</v>
      </c>
    </row>
    <row r="128" spans="1:71" x14ac:dyDescent="0.25">
      <c r="A128" s="59" t="s">
        <v>453</v>
      </c>
      <c r="B128" s="88">
        <v>46082</v>
      </c>
      <c r="C128" s="59" t="s">
        <v>8</v>
      </c>
      <c r="D128" s="63" t="s">
        <v>282</v>
      </c>
      <c r="E128" s="63">
        <v>5</v>
      </c>
      <c r="F128" s="63"/>
      <c r="G128" s="63" t="s">
        <v>424</v>
      </c>
      <c r="H128" s="63" t="s">
        <v>142</v>
      </c>
      <c r="I128" s="63" t="s">
        <v>195</v>
      </c>
      <c r="J128" s="97" t="s">
        <v>142</v>
      </c>
      <c r="K128" s="82"/>
      <c r="L128" s="52">
        <v>46111</v>
      </c>
      <c r="M128" s="63" t="s">
        <v>419</v>
      </c>
      <c r="N128" s="63" t="s">
        <v>454</v>
      </c>
      <c r="O128" s="63" t="s">
        <v>432</v>
      </c>
      <c r="P128" s="128">
        <v>10000</v>
      </c>
      <c r="Q128" s="128">
        <f t="shared" si="58"/>
        <v>10000</v>
      </c>
      <c r="R128" s="79">
        <v>0</v>
      </c>
      <c r="S128" s="62">
        <v>0</v>
      </c>
      <c r="T128" s="62">
        <v>0</v>
      </c>
      <c r="U128" s="62">
        <v>0</v>
      </c>
      <c r="V128" s="62">
        <v>0</v>
      </c>
      <c r="W128" s="62">
        <v>0</v>
      </c>
      <c r="X128" s="62">
        <v>0</v>
      </c>
      <c r="Y128" s="62">
        <v>0</v>
      </c>
      <c r="Z128" s="62">
        <v>0</v>
      </c>
      <c r="AA128" s="62">
        <v>0</v>
      </c>
      <c r="AB128" s="62">
        <v>0</v>
      </c>
      <c r="AC128" s="62">
        <v>0</v>
      </c>
      <c r="AD128" s="62">
        <v>0</v>
      </c>
      <c r="AE128" s="62">
        <v>0</v>
      </c>
      <c r="AF128" s="62">
        <v>0</v>
      </c>
      <c r="AG128" s="62">
        <f t="shared" si="59"/>
        <v>10000</v>
      </c>
      <c r="AH128" s="121">
        <v>0</v>
      </c>
      <c r="AI128" s="54">
        <f>_xlfn.XLOOKUP(A128,Beneficios!A:A,Beneficios!B:B,0,0,1)</f>
        <v>0</v>
      </c>
      <c r="AJ128" s="62">
        <v>0</v>
      </c>
      <c r="AK128" s="62">
        <v>0</v>
      </c>
      <c r="AL128" s="62">
        <v>0</v>
      </c>
      <c r="AM128" s="62">
        <v>0</v>
      </c>
      <c r="AN128" s="62">
        <v>0</v>
      </c>
      <c r="AO128" s="62">
        <v>0</v>
      </c>
      <c r="AP128" s="62">
        <v>0</v>
      </c>
      <c r="AQ128" s="62">
        <v>0</v>
      </c>
      <c r="AR128" s="62">
        <v>0</v>
      </c>
      <c r="AS128" s="62">
        <v>0</v>
      </c>
      <c r="AT128" s="62">
        <v>0</v>
      </c>
      <c r="AU128" s="62">
        <v>0</v>
      </c>
      <c r="AV128" s="62">
        <v>0</v>
      </c>
      <c r="AW128" s="62">
        <v>0</v>
      </c>
      <c r="AX128" s="62">
        <v>0</v>
      </c>
      <c r="AY128" s="62">
        <v>0</v>
      </c>
      <c r="AZ128" s="112">
        <v>0</v>
      </c>
      <c r="BA128" s="62">
        <v>0</v>
      </c>
      <c r="BB128" s="62">
        <v>0</v>
      </c>
      <c r="BC128" s="122">
        <f t="shared" si="60"/>
        <v>0</v>
      </c>
      <c r="BD128" s="62">
        <f t="shared" si="61"/>
        <v>10000</v>
      </c>
      <c r="BE128" s="62"/>
      <c r="BF128" s="62">
        <f t="shared" si="62"/>
        <v>10000</v>
      </c>
      <c r="BG128" s="62">
        <f t="shared" si="63"/>
        <v>833.33333333333337</v>
      </c>
      <c r="BH128" s="62">
        <v>0</v>
      </c>
      <c r="BI128" s="62">
        <v>0</v>
      </c>
      <c r="BJ128" s="62">
        <f t="shared" si="64"/>
        <v>833.33333333333337</v>
      </c>
      <c r="BK128" s="62">
        <v>0</v>
      </c>
      <c r="BL128" s="62">
        <v>0</v>
      </c>
      <c r="BM128" s="62">
        <v>0</v>
      </c>
      <c r="BN128" s="62">
        <v>0</v>
      </c>
      <c r="BO128" s="62">
        <v>0</v>
      </c>
      <c r="BP128" s="62">
        <f t="shared" si="65"/>
        <v>10000</v>
      </c>
      <c r="BQ128" s="62">
        <f t="shared" si="66"/>
        <v>10833.333333333334</v>
      </c>
      <c r="BR128" s="109">
        <v>0</v>
      </c>
      <c r="BS128" s="83" t="s">
        <v>455</v>
      </c>
    </row>
    <row r="129" spans="1:71" x14ac:dyDescent="0.25">
      <c r="A129" s="59" t="s">
        <v>456</v>
      </c>
      <c r="B129" s="88">
        <v>46082</v>
      </c>
      <c r="C129" s="59" t="s">
        <v>8</v>
      </c>
      <c r="D129" s="63" t="s">
        <v>199</v>
      </c>
      <c r="E129" s="63">
        <v>4</v>
      </c>
      <c r="F129" s="63"/>
      <c r="G129" s="63" t="s">
        <v>424</v>
      </c>
      <c r="H129" s="63" t="s">
        <v>203</v>
      </c>
      <c r="I129" s="63" t="s">
        <v>240</v>
      </c>
      <c r="J129" s="97" t="s">
        <v>203</v>
      </c>
      <c r="K129" s="82"/>
      <c r="M129" s="63" t="s">
        <v>422</v>
      </c>
      <c r="N129" s="63" t="s">
        <v>241</v>
      </c>
      <c r="O129" s="63" t="s">
        <v>457</v>
      </c>
      <c r="P129" s="128">
        <v>9150</v>
      </c>
      <c r="Q129" s="128">
        <f>P129</f>
        <v>9150</v>
      </c>
      <c r="R129" s="79">
        <v>0</v>
      </c>
      <c r="S129" s="62">
        <v>0</v>
      </c>
      <c r="T129" s="62">
        <v>0</v>
      </c>
      <c r="U129" s="62">
        <v>0</v>
      </c>
      <c r="V129" s="62">
        <v>0</v>
      </c>
      <c r="W129" s="62">
        <v>0</v>
      </c>
      <c r="X129" s="62">
        <v>0</v>
      </c>
      <c r="Y129" s="62">
        <v>0</v>
      </c>
      <c r="Z129" s="62">
        <v>0</v>
      </c>
      <c r="AA129" s="62">
        <v>0</v>
      </c>
      <c r="AB129" s="62">
        <v>0</v>
      </c>
      <c r="AC129" s="62">
        <v>0</v>
      </c>
      <c r="AD129" s="62">
        <v>0</v>
      </c>
      <c r="AE129" s="62">
        <v>0</v>
      </c>
      <c r="AF129" s="62">
        <v>0</v>
      </c>
      <c r="AG129" s="62">
        <f t="shared" si="59"/>
        <v>9150</v>
      </c>
      <c r="AH129" s="121">
        <v>0</v>
      </c>
      <c r="AI129" s="54">
        <f>_xlfn.XLOOKUP(A129,Beneficios!A:A,Beneficios!B:B,0,0,1)</f>
        <v>21.87</v>
      </c>
      <c r="AJ129" s="62">
        <v>0</v>
      </c>
      <c r="AK129" s="62">
        <v>0</v>
      </c>
      <c r="AL129" s="62">
        <v>0</v>
      </c>
      <c r="AM129" s="62">
        <v>0</v>
      </c>
      <c r="AN129" s="62">
        <v>0</v>
      </c>
      <c r="AO129" s="62">
        <v>0</v>
      </c>
      <c r="AP129" s="62">
        <v>0</v>
      </c>
      <c r="AQ129" s="62">
        <v>0</v>
      </c>
      <c r="AR129" s="62">
        <v>0</v>
      </c>
      <c r="AS129" s="62">
        <v>0</v>
      </c>
      <c r="AT129" s="62">
        <v>0</v>
      </c>
      <c r="AU129" s="62">
        <v>0</v>
      </c>
      <c r="AV129" s="62">
        <v>0</v>
      </c>
      <c r="AW129" s="62">
        <v>0</v>
      </c>
      <c r="AX129" s="62">
        <v>0</v>
      </c>
      <c r="AY129" s="62">
        <v>0</v>
      </c>
      <c r="AZ129" s="112">
        <v>0</v>
      </c>
      <c r="BA129" s="62">
        <v>0</v>
      </c>
      <c r="BB129" s="62">
        <v>0</v>
      </c>
      <c r="BC129" s="122">
        <f t="shared" si="60"/>
        <v>21.87</v>
      </c>
      <c r="BD129" s="62">
        <f t="shared" si="61"/>
        <v>9171.8700000000008</v>
      </c>
      <c r="BE129" s="62"/>
      <c r="BF129" s="62">
        <f t="shared" si="62"/>
        <v>9171.8700000000008</v>
      </c>
      <c r="BG129" s="62">
        <f t="shared" si="63"/>
        <v>762.5</v>
      </c>
      <c r="BH129" s="62">
        <v>0</v>
      </c>
      <c r="BI129" s="62">
        <v>0</v>
      </c>
      <c r="BJ129" s="62">
        <f t="shared" si="64"/>
        <v>762.5</v>
      </c>
      <c r="BK129" s="62">
        <v>0</v>
      </c>
      <c r="BL129" s="62">
        <v>0</v>
      </c>
      <c r="BM129" s="62">
        <v>0</v>
      </c>
      <c r="BN129" s="62">
        <v>0</v>
      </c>
      <c r="BO129" s="62">
        <v>0</v>
      </c>
      <c r="BP129" s="62">
        <f t="shared" si="65"/>
        <v>9171.8700000000008</v>
      </c>
      <c r="BQ129" s="62">
        <f t="shared" si="66"/>
        <v>9934.3700000000008</v>
      </c>
      <c r="BR129" s="109">
        <v>0</v>
      </c>
      <c r="BS129" s="83" t="s">
        <v>426</v>
      </c>
    </row>
    <row r="130" spans="1:71" x14ac:dyDescent="0.25">
      <c r="A130" s="59" t="s">
        <v>458</v>
      </c>
      <c r="B130" s="88">
        <v>46082</v>
      </c>
      <c r="C130" s="59" t="s">
        <v>8</v>
      </c>
      <c r="D130" s="63" t="s">
        <v>291</v>
      </c>
      <c r="E130" s="63">
        <v>4</v>
      </c>
      <c r="F130" s="63"/>
      <c r="G130" s="63" t="s">
        <v>424</v>
      </c>
      <c r="H130" s="63" t="s">
        <v>444</v>
      </c>
      <c r="I130" s="63" t="s">
        <v>459</v>
      </c>
      <c r="J130" s="97" t="s">
        <v>107</v>
      </c>
      <c r="K130" s="82"/>
      <c r="M130" s="63" t="s">
        <v>434</v>
      </c>
      <c r="N130" s="63" t="s">
        <v>211</v>
      </c>
      <c r="O130" s="63" t="s">
        <v>460</v>
      </c>
      <c r="P130" s="128">
        <v>15000</v>
      </c>
      <c r="Q130" s="128">
        <v>15000</v>
      </c>
      <c r="R130" s="79">
        <v>0</v>
      </c>
      <c r="S130" s="62">
        <v>0</v>
      </c>
      <c r="T130" s="62">
        <v>0</v>
      </c>
      <c r="U130" s="62">
        <v>0</v>
      </c>
      <c r="V130" s="62">
        <v>0</v>
      </c>
      <c r="W130" s="62">
        <v>0</v>
      </c>
      <c r="X130" s="62">
        <v>0</v>
      </c>
      <c r="Y130" s="62">
        <v>0</v>
      </c>
      <c r="Z130" s="62">
        <v>0</v>
      </c>
      <c r="AA130" s="62">
        <v>0</v>
      </c>
      <c r="AB130" s="62">
        <v>0</v>
      </c>
      <c r="AC130" s="62">
        <v>0</v>
      </c>
      <c r="AD130" s="62">
        <v>0</v>
      </c>
      <c r="AE130" s="62">
        <v>0</v>
      </c>
      <c r="AF130" s="62">
        <v>0</v>
      </c>
      <c r="AG130" s="62">
        <f t="shared" si="59"/>
        <v>15000</v>
      </c>
      <c r="AH130" s="121">
        <v>0</v>
      </c>
      <c r="AI130" s="54">
        <f>_xlfn.XLOOKUP(A130,Beneficios!A:A,Beneficios!B:B,0,0,1)</f>
        <v>0</v>
      </c>
      <c r="AJ130" s="62">
        <v>0</v>
      </c>
      <c r="AK130" s="62">
        <v>0</v>
      </c>
      <c r="AL130" s="62">
        <v>0</v>
      </c>
      <c r="AM130" s="62">
        <v>0</v>
      </c>
      <c r="AN130" s="62">
        <v>0</v>
      </c>
      <c r="AO130" s="62">
        <v>0</v>
      </c>
      <c r="AP130" s="62">
        <v>0</v>
      </c>
      <c r="AQ130" s="62">
        <v>0</v>
      </c>
      <c r="AR130" s="62">
        <v>0</v>
      </c>
      <c r="AS130" s="62">
        <v>0</v>
      </c>
      <c r="AT130" s="62">
        <v>0</v>
      </c>
      <c r="AU130" s="62">
        <v>0</v>
      </c>
      <c r="AV130" s="62">
        <v>0</v>
      </c>
      <c r="AW130" s="62">
        <v>0</v>
      </c>
      <c r="AX130" s="62">
        <v>0</v>
      </c>
      <c r="AY130" s="62">
        <v>0</v>
      </c>
      <c r="AZ130" s="112">
        <v>0</v>
      </c>
      <c r="BA130" s="62">
        <v>0</v>
      </c>
      <c r="BB130" s="62">
        <v>0</v>
      </c>
      <c r="BC130" s="122">
        <f t="shared" si="60"/>
        <v>0</v>
      </c>
      <c r="BD130" s="62">
        <f t="shared" si="61"/>
        <v>15000</v>
      </c>
      <c r="BE130" s="62"/>
      <c r="BF130" s="62">
        <f t="shared" si="62"/>
        <v>15000</v>
      </c>
      <c r="BG130" s="62">
        <f t="shared" si="63"/>
        <v>1250</v>
      </c>
      <c r="BH130" s="62">
        <v>0</v>
      </c>
      <c r="BI130" s="62">
        <v>0</v>
      </c>
      <c r="BJ130" s="62">
        <f t="shared" si="64"/>
        <v>1250</v>
      </c>
      <c r="BK130" s="62">
        <v>0</v>
      </c>
      <c r="BL130" s="62">
        <v>0</v>
      </c>
      <c r="BM130" s="62">
        <v>0</v>
      </c>
      <c r="BN130" s="62">
        <v>0</v>
      </c>
      <c r="BO130" s="62">
        <v>0</v>
      </c>
      <c r="BP130" s="62">
        <f t="shared" si="65"/>
        <v>15000</v>
      </c>
      <c r="BQ130" s="62">
        <f t="shared" si="66"/>
        <v>16250</v>
      </c>
      <c r="BR130" s="109">
        <v>0</v>
      </c>
      <c r="BS130" s="83" t="s">
        <v>426</v>
      </c>
    </row>
    <row r="131" spans="1:71" x14ac:dyDescent="0.25">
      <c r="A131" s="59" t="s">
        <v>461</v>
      </c>
      <c r="B131" s="88">
        <v>46082</v>
      </c>
      <c r="C131" s="59" t="s">
        <v>8</v>
      </c>
      <c r="D131" s="63" t="s">
        <v>199</v>
      </c>
      <c r="E131" s="63">
        <v>10</v>
      </c>
      <c r="F131" s="63"/>
      <c r="G131" s="63" t="s">
        <v>424</v>
      </c>
      <c r="H131" s="63" t="s">
        <v>203</v>
      </c>
      <c r="I131" s="63" t="s">
        <v>81</v>
      </c>
      <c r="J131" s="97" t="s">
        <v>203</v>
      </c>
      <c r="K131" s="82"/>
      <c r="M131" s="63" t="s">
        <v>434</v>
      </c>
      <c r="N131" s="63" t="s">
        <v>435</v>
      </c>
      <c r="O131" s="63" t="s">
        <v>436</v>
      </c>
      <c r="P131" s="128">
        <v>6578</v>
      </c>
      <c r="Q131" s="128">
        <f>P131</f>
        <v>6578</v>
      </c>
      <c r="R131" s="79">
        <v>0</v>
      </c>
      <c r="S131" s="62">
        <v>0</v>
      </c>
      <c r="T131" s="62">
        <v>0</v>
      </c>
      <c r="U131" s="62">
        <v>0</v>
      </c>
      <c r="V131" s="62">
        <v>0</v>
      </c>
      <c r="W131" s="62">
        <v>0</v>
      </c>
      <c r="X131" s="62">
        <v>0</v>
      </c>
      <c r="Y131" s="62">
        <v>0</v>
      </c>
      <c r="Z131" s="62">
        <v>0</v>
      </c>
      <c r="AA131" s="62">
        <v>0</v>
      </c>
      <c r="AB131" s="62">
        <v>0</v>
      </c>
      <c r="AC131" s="62">
        <v>0</v>
      </c>
      <c r="AD131" s="62">
        <v>0</v>
      </c>
      <c r="AE131" s="62">
        <v>0</v>
      </c>
      <c r="AF131" s="62">
        <v>0</v>
      </c>
      <c r="AG131" s="62">
        <f t="shared" si="59"/>
        <v>6578</v>
      </c>
      <c r="AH131" s="121">
        <v>0</v>
      </c>
      <c r="AI131" s="54">
        <f>_xlfn.XLOOKUP(A131,Beneficios!A:A,Beneficios!B:B,0,0,1)</f>
        <v>0</v>
      </c>
      <c r="AJ131" s="62">
        <v>0</v>
      </c>
      <c r="AK131" s="62">
        <v>0</v>
      </c>
      <c r="AL131" s="62">
        <v>0</v>
      </c>
      <c r="AM131" s="62">
        <v>0</v>
      </c>
      <c r="AN131" s="62">
        <v>0</v>
      </c>
      <c r="AO131" s="62">
        <v>0</v>
      </c>
      <c r="AP131" s="62">
        <v>0</v>
      </c>
      <c r="AQ131" s="62">
        <v>0</v>
      </c>
      <c r="AR131" s="62">
        <v>0</v>
      </c>
      <c r="AS131" s="62">
        <v>0</v>
      </c>
      <c r="AT131" s="62">
        <v>0</v>
      </c>
      <c r="AU131" s="62">
        <v>0</v>
      </c>
      <c r="AV131" s="62">
        <v>0</v>
      </c>
      <c r="AW131" s="62">
        <v>0</v>
      </c>
      <c r="AX131" s="62">
        <v>0</v>
      </c>
      <c r="AY131" s="62">
        <v>0</v>
      </c>
      <c r="AZ131" s="112">
        <v>0</v>
      </c>
      <c r="BA131" s="62">
        <v>0</v>
      </c>
      <c r="BB131" s="62">
        <v>0</v>
      </c>
      <c r="BC131" s="122">
        <f t="shared" si="60"/>
        <v>0</v>
      </c>
      <c r="BD131" s="62">
        <f t="shared" si="61"/>
        <v>6578</v>
      </c>
      <c r="BE131" s="62"/>
      <c r="BF131" s="62">
        <f t="shared" si="62"/>
        <v>6578</v>
      </c>
      <c r="BG131" s="62">
        <v>0</v>
      </c>
      <c r="BH131" s="62">
        <v>0</v>
      </c>
      <c r="BI131" s="62">
        <v>0</v>
      </c>
      <c r="BJ131" s="62">
        <f t="shared" si="64"/>
        <v>0</v>
      </c>
      <c r="BK131" s="62">
        <v>0</v>
      </c>
      <c r="BL131" s="62">
        <v>0</v>
      </c>
      <c r="BM131" s="62">
        <v>0</v>
      </c>
      <c r="BN131" s="62">
        <v>0</v>
      </c>
      <c r="BO131" s="62">
        <v>0</v>
      </c>
      <c r="BP131" s="62">
        <f t="shared" si="65"/>
        <v>6578</v>
      </c>
      <c r="BQ131" s="62">
        <f t="shared" si="66"/>
        <v>6578</v>
      </c>
      <c r="BR131" s="109">
        <v>0</v>
      </c>
      <c r="BS131" s="83" t="s">
        <v>426</v>
      </c>
    </row>
    <row r="132" spans="1:71" x14ac:dyDescent="0.25">
      <c r="A132" s="59" t="s">
        <v>462</v>
      </c>
      <c r="B132" s="88">
        <v>46082</v>
      </c>
      <c r="C132" s="59" t="s">
        <v>8</v>
      </c>
      <c r="D132" s="63" t="s">
        <v>291</v>
      </c>
      <c r="E132" s="63">
        <v>4</v>
      </c>
      <c r="F132" s="63"/>
      <c r="G132" s="63" t="s">
        <v>424</v>
      </c>
      <c r="H132" s="63" t="s">
        <v>444</v>
      </c>
      <c r="I132" s="63" t="s">
        <v>428</v>
      </c>
      <c r="J132" s="97" t="s">
        <v>107</v>
      </c>
      <c r="K132" s="82"/>
      <c r="M132" s="63" t="s">
        <v>419</v>
      </c>
      <c r="N132" s="63" t="s">
        <v>211</v>
      </c>
      <c r="O132" s="63" t="s">
        <v>442</v>
      </c>
      <c r="P132" s="128">
        <v>13500</v>
      </c>
      <c r="Q132" s="128">
        <v>13500</v>
      </c>
      <c r="R132" s="79">
        <v>0</v>
      </c>
      <c r="S132" s="62">
        <v>0</v>
      </c>
      <c r="T132" s="62">
        <v>0</v>
      </c>
      <c r="U132" s="62">
        <v>0</v>
      </c>
      <c r="V132" s="62">
        <v>0</v>
      </c>
      <c r="W132" s="62">
        <v>0</v>
      </c>
      <c r="X132" s="62">
        <v>0</v>
      </c>
      <c r="Y132" s="62">
        <v>0</v>
      </c>
      <c r="Z132" s="62">
        <v>0</v>
      </c>
      <c r="AA132" s="62">
        <v>0</v>
      </c>
      <c r="AB132" s="62">
        <v>0</v>
      </c>
      <c r="AC132" s="62">
        <v>0</v>
      </c>
      <c r="AD132" s="62">
        <v>0</v>
      </c>
      <c r="AE132" s="62">
        <v>0</v>
      </c>
      <c r="AF132" s="62">
        <v>0</v>
      </c>
      <c r="AG132" s="62">
        <f t="shared" si="59"/>
        <v>13500</v>
      </c>
      <c r="AH132" s="121">
        <v>0</v>
      </c>
      <c r="AI132" s="54">
        <f>_xlfn.XLOOKUP(A132,Beneficios!A:A,Beneficios!B:B,0,0,1)</f>
        <v>21.87</v>
      </c>
      <c r="AJ132" s="62">
        <v>0</v>
      </c>
      <c r="AK132" s="62">
        <v>0</v>
      </c>
      <c r="AL132" s="62">
        <v>0</v>
      </c>
      <c r="AM132" s="62">
        <v>0</v>
      </c>
      <c r="AN132" s="62">
        <v>0</v>
      </c>
      <c r="AO132" s="62">
        <v>0</v>
      </c>
      <c r="AP132" s="62">
        <v>0</v>
      </c>
      <c r="AQ132" s="62">
        <v>0</v>
      </c>
      <c r="AR132" s="62">
        <v>0</v>
      </c>
      <c r="AS132" s="62">
        <v>0</v>
      </c>
      <c r="AT132" s="62">
        <v>0</v>
      </c>
      <c r="AU132" s="62">
        <v>0</v>
      </c>
      <c r="AV132" s="62">
        <v>0</v>
      </c>
      <c r="AW132" s="62">
        <v>0</v>
      </c>
      <c r="AX132" s="62">
        <v>0</v>
      </c>
      <c r="AY132" s="62">
        <v>0</v>
      </c>
      <c r="AZ132" s="112">
        <v>0</v>
      </c>
      <c r="BA132" s="62">
        <v>0</v>
      </c>
      <c r="BB132" s="62">
        <v>0</v>
      </c>
      <c r="BC132" s="122">
        <f t="shared" si="60"/>
        <v>21.87</v>
      </c>
      <c r="BD132" s="62">
        <f t="shared" si="61"/>
        <v>13521.87</v>
      </c>
      <c r="BE132" s="62"/>
      <c r="BF132" s="62">
        <f t="shared" si="62"/>
        <v>13521.87</v>
      </c>
      <c r="BG132" s="62">
        <f>AG132/12</f>
        <v>1125</v>
      </c>
      <c r="BH132" s="62">
        <v>0</v>
      </c>
      <c r="BI132" s="62">
        <v>0</v>
      </c>
      <c r="BJ132" s="62">
        <f t="shared" si="64"/>
        <v>1125</v>
      </c>
      <c r="BK132" s="62">
        <v>0</v>
      </c>
      <c r="BL132" s="62">
        <v>0</v>
      </c>
      <c r="BM132" s="62">
        <v>0</v>
      </c>
      <c r="BN132" s="62">
        <v>0</v>
      </c>
      <c r="BO132" s="62">
        <v>0</v>
      </c>
      <c r="BP132" s="62">
        <f t="shared" si="65"/>
        <v>13521.87</v>
      </c>
      <c r="BQ132" s="62">
        <f t="shared" si="66"/>
        <v>14646.87</v>
      </c>
      <c r="BR132" s="109">
        <v>0</v>
      </c>
      <c r="BS132" s="83" t="s">
        <v>426</v>
      </c>
    </row>
    <row r="133" spans="1:71" x14ac:dyDescent="0.25">
      <c r="A133" s="59" t="s">
        <v>463</v>
      </c>
      <c r="B133" s="88">
        <v>46082</v>
      </c>
      <c r="C133" s="59" t="s">
        <v>8</v>
      </c>
      <c r="D133" s="63" t="s">
        <v>355</v>
      </c>
      <c r="E133" s="63">
        <v>6</v>
      </c>
      <c r="F133" s="63"/>
      <c r="G133" s="63" t="s">
        <v>424</v>
      </c>
      <c r="H133" s="63" t="s">
        <v>464</v>
      </c>
      <c r="I133" s="63" t="s">
        <v>195</v>
      </c>
      <c r="J133" s="97" t="s">
        <v>464</v>
      </c>
      <c r="K133" s="82"/>
      <c r="M133" s="63" t="s">
        <v>419</v>
      </c>
      <c r="N133" s="63" t="s">
        <v>465</v>
      </c>
      <c r="O133" s="63" t="s">
        <v>432</v>
      </c>
      <c r="P133" s="128">
        <v>8000</v>
      </c>
      <c r="Q133" s="128">
        <f>P133</f>
        <v>8000</v>
      </c>
      <c r="R133" s="79">
        <v>0</v>
      </c>
      <c r="S133" s="62">
        <v>0</v>
      </c>
      <c r="T133" s="62">
        <v>0</v>
      </c>
      <c r="U133" s="62">
        <v>0</v>
      </c>
      <c r="V133" s="62">
        <v>0</v>
      </c>
      <c r="W133" s="62">
        <v>0</v>
      </c>
      <c r="X133" s="62">
        <v>0</v>
      </c>
      <c r="Y133" s="62">
        <v>0</v>
      </c>
      <c r="Z133" s="62">
        <v>0</v>
      </c>
      <c r="AA133" s="62">
        <v>0</v>
      </c>
      <c r="AB133" s="62">
        <v>0</v>
      </c>
      <c r="AC133" s="62">
        <v>0</v>
      </c>
      <c r="AD133" s="62">
        <v>0</v>
      </c>
      <c r="AE133" s="62">
        <v>0</v>
      </c>
      <c r="AF133" s="62">
        <v>0</v>
      </c>
      <c r="AG133" s="62">
        <f t="shared" si="59"/>
        <v>8000</v>
      </c>
      <c r="AH133" s="121">
        <v>0</v>
      </c>
      <c r="AI133" s="54">
        <f>_xlfn.XLOOKUP(A133,Beneficios!A:A,Beneficios!B:B,0,0,1)</f>
        <v>21.87</v>
      </c>
      <c r="AJ133" s="62">
        <v>0</v>
      </c>
      <c r="AK133" s="62">
        <v>0</v>
      </c>
      <c r="AL133" s="62">
        <v>0</v>
      </c>
      <c r="AM133" s="62">
        <v>0</v>
      </c>
      <c r="AN133" s="62">
        <v>0</v>
      </c>
      <c r="AO133" s="62">
        <v>0</v>
      </c>
      <c r="AP133" s="62">
        <v>0</v>
      </c>
      <c r="AQ133" s="62">
        <v>0</v>
      </c>
      <c r="AR133" s="62">
        <v>0</v>
      </c>
      <c r="AS133" s="62">
        <v>0</v>
      </c>
      <c r="AT133" s="62">
        <v>0</v>
      </c>
      <c r="AU133" s="62">
        <v>0</v>
      </c>
      <c r="AV133" s="62">
        <v>0</v>
      </c>
      <c r="AW133" s="62">
        <v>0</v>
      </c>
      <c r="AX133" s="62">
        <v>0</v>
      </c>
      <c r="AY133" s="62">
        <v>0</v>
      </c>
      <c r="AZ133" s="112">
        <v>0</v>
      </c>
      <c r="BA133" s="62">
        <v>0</v>
      </c>
      <c r="BB133" s="62">
        <v>0</v>
      </c>
      <c r="BC133" s="122">
        <f t="shared" si="60"/>
        <v>21.87</v>
      </c>
      <c r="BD133" s="62">
        <f t="shared" si="61"/>
        <v>8021.87</v>
      </c>
      <c r="BE133" s="62"/>
      <c r="BF133" s="62">
        <f t="shared" si="62"/>
        <v>8021.87</v>
      </c>
      <c r="BG133" s="62">
        <f>AG133/12</f>
        <v>666.66666666666663</v>
      </c>
      <c r="BH133" s="62">
        <v>0</v>
      </c>
      <c r="BI133" s="62">
        <v>0</v>
      </c>
      <c r="BJ133" s="62">
        <f t="shared" si="64"/>
        <v>666.66666666666663</v>
      </c>
      <c r="BK133" s="62">
        <v>0</v>
      </c>
      <c r="BL133" s="62">
        <v>0</v>
      </c>
      <c r="BM133" s="62">
        <v>0</v>
      </c>
      <c r="BN133" s="62">
        <v>0</v>
      </c>
      <c r="BO133" s="62">
        <v>0</v>
      </c>
      <c r="BP133" s="62">
        <f t="shared" si="65"/>
        <v>8021.87</v>
      </c>
      <c r="BQ133" s="62">
        <f t="shared" si="66"/>
        <v>8688.5366666666669</v>
      </c>
      <c r="BR133" s="109">
        <v>0</v>
      </c>
      <c r="BS133" s="83" t="s">
        <v>426</v>
      </c>
    </row>
    <row r="134" spans="1:71" x14ac:dyDescent="0.25">
      <c r="A134" s="59" t="s">
        <v>466</v>
      </c>
      <c r="B134" s="88">
        <v>46082</v>
      </c>
      <c r="C134" s="59" t="s">
        <v>8</v>
      </c>
      <c r="D134" s="63" t="s">
        <v>467</v>
      </c>
      <c r="E134" s="63">
        <v>10</v>
      </c>
      <c r="F134" s="63"/>
      <c r="G134" s="63" t="s">
        <v>424</v>
      </c>
      <c r="H134" s="63" t="s">
        <v>81</v>
      </c>
      <c r="I134" s="63" t="s">
        <v>244</v>
      </c>
      <c r="J134" s="97" t="s">
        <v>203</v>
      </c>
      <c r="K134" s="82">
        <v>45839</v>
      </c>
      <c r="M134" s="63"/>
      <c r="N134" s="63" t="s">
        <v>245</v>
      </c>
      <c r="O134" s="63" t="s">
        <v>468</v>
      </c>
      <c r="P134" s="128">
        <v>6500</v>
      </c>
      <c r="Q134" s="128">
        <f>P134</f>
        <v>6500</v>
      </c>
      <c r="R134" s="79">
        <v>0</v>
      </c>
      <c r="S134" s="62">
        <v>0</v>
      </c>
      <c r="T134" s="62">
        <v>0</v>
      </c>
      <c r="U134" s="62">
        <v>0</v>
      </c>
      <c r="V134" s="62">
        <v>0</v>
      </c>
      <c r="W134" s="62">
        <v>0</v>
      </c>
      <c r="X134" s="62">
        <v>0</v>
      </c>
      <c r="Y134" s="62">
        <v>0</v>
      </c>
      <c r="Z134" s="62">
        <v>0</v>
      </c>
      <c r="AA134" s="62">
        <v>0</v>
      </c>
      <c r="AB134" s="62">
        <v>0</v>
      </c>
      <c r="AC134" s="62">
        <v>0</v>
      </c>
      <c r="AD134" s="62">
        <v>0</v>
      </c>
      <c r="AE134" s="62">
        <v>0</v>
      </c>
      <c r="AF134" s="62">
        <v>0</v>
      </c>
      <c r="AG134" s="62">
        <f>SUM(Q134:AF134)</f>
        <v>6500</v>
      </c>
      <c r="AH134" s="121">
        <v>0</v>
      </c>
      <c r="AI134" s="54">
        <f>_xlfn.XLOOKUP(A134,Beneficios!A:A,Beneficios!B:B,0,0,1)</f>
        <v>521.87</v>
      </c>
      <c r="AJ134" s="62">
        <v>0</v>
      </c>
      <c r="AK134" s="62">
        <v>0</v>
      </c>
      <c r="AL134" s="62">
        <v>0</v>
      </c>
      <c r="AM134" s="62">
        <v>0</v>
      </c>
      <c r="AN134" s="62">
        <v>0</v>
      </c>
      <c r="AO134" s="62">
        <v>0</v>
      </c>
      <c r="AP134" s="62">
        <v>0</v>
      </c>
      <c r="AQ134" s="62">
        <v>0</v>
      </c>
      <c r="AR134" s="62">
        <v>0</v>
      </c>
      <c r="AS134" s="62">
        <v>0</v>
      </c>
      <c r="AT134" s="62">
        <v>0</v>
      </c>
      <c r="AU134" s="62">
        <v>0</v>
      </c>
      <c r="AV134" s="62">
        <v>0</v>
      </c>
      <c r="AW134" s="62">
        <v>0</v>
      </c>
      <c r="AX134" s="62">
        <v>0</v>
      </c>
      <c r="AY134" s="62">
        <v>0</v>
      </c>
      <c r="AZ134" s="112">
        <v>0</v>
      </c>
      <c r="BA134" s="62">
        <v>0</v>
      </c>
      <c r="BB134" s="62">
        <v>0</v>
      </c>
      <c r="BC134" s="122">
        <f t="shared" si="60"/>
        <v>521.87</v>
      </c>
      <c r="BD134" s="62">
        <f t="shared" si="61"/>
        <v>7021.87</v>
      </c>
      <c r="BE134" s="62"/>
      <c r="BF134" s="62">
        <f t="shared" si="62"/>
        <v>7021.87</v>
      </c>
      <c r="BG134" s="62">
        <f>AG134/12</f>
        <v>541.66666666666663</v>
      </c>
      <c r="BH134" s="62">
        <v>0</v>
      </c>
      <c r="BI134" s="62">
        <v>0</v>
      </c>
      <c r="BJ134" s="62">
        <f t="shared" si="64"/>
        <v>541.66666666666663</v>
      </c>
      <c r="BK134" s="62">
        <v>0</v>
      </c>
      <c r="BL134" s="62">
        <v>0</v>
      </c>
      <c r="BM134" s="62">
        <v>0</v>
      </c>
      <c r="BN134" s="62">
        <v>0</v>
      </c>
      <c r="BO134" s="62">
        <v>0</v>
      </c>
      <c r="BP134" s="62">
        <f t="shared" si="65"/>
        <v>7021.87</v>
      </c>
      <c r="BQ134" s="62">
        <f t="shared" si="66"/>
        <v>7563.5366666666669</v>
      </c>
      <c r="BR134" s="109">
        <v>0</v>
      </c>
      <c r="BS134" s="83" t="s">
        <v>426</v>
      </c>
    </row>
    <row r="135" spans="1:71" x14ac:dyDescent="0.25">
      <c r="A135" s="59" t="s">
        <v>469</v>
      </c>
      <c r="B135" s="88">
        <v>46082</v>
      </c>
      <c r="C135" s="59" t="s">
        <v>8</v>
      </c>
      <c r="D135" s="63" t="s">
        <v>149</v>
      </c>
      <c r="E135" s="63">
        <v>5</v>
      </c>
      <c r="F135" s="63"/>
      <c r="G135" s="63" t="s">
        <v>424</v>
      </c>
      <c r="H135" s="63" t="s">
        <v>87</v>
      </c>
      <c r="I135" s="63" t="s">
        <v>421</v>
      </c>
      <c r="J135" s="97" t="s">
        <v>115</v>
      </c>
      <c r="K135" s="82">
        <v>42826</v>
      </c>
      <c r="M135" s="63"/>
      <c r="N135" s="63" t="s">
        <v>470</v>
      </c>
      <c r="O135" s="63" t="s">
        <v>439</v>
      </c>
      <c r="P135" s="128">
        <v>10000</v>
      </c>
      <c r="Q135" s="128">
        <v>10000</v>
      </c>
      <c r="R135" s="79">
        <v>0</v>
      </c>
      <c r="S135" s="62">
        <v>0</v>
      </c>
      <c r="T135" s="62">
        <v>0</v>
      </c>
      <c r="U135" s="62">
        <v>0</v>
      </c>
      <c r="V135" s="62">
        <v>0</v>
      </c>
      <c r="W135" s="62">
        <v>0</v>
      </c>
      <c r="X135" s="62">
        <v>0</v>
      </c>
      <c r="Y135" s="62">
        <v>0</v>
      </c>
      <c r="Z135" s="62">
        <v>0</v>
      </c>
      <c r="AA135" s="62">
        <v>0</v>
      </c>
      <c r="AB135" s="62">
        <v>0</v>
      </c>
      <c r="AC135" s="62">
        <v>0</v>
      </c>
      <c r="AD135" s="62">
        <v>0</v>
      </c>
      <c r="AE135" s="62">
        <v>0</v>
      </c>
      <c r="AF135" s="62">
        <v>0</v>
      </c>
      <c r="AG135" s="62">
        <f>Q135</f>
        <v>10000</v>
      </c>
      <c r="AH135" s="121">
        <v>0</v>
      </c>
      <c r="AI135" s="54">
        <f>_xlfn.XLOOKUP(A135,Beneficios!A:A,Beneficios!B:B,0,0,1)</f>
        <v>12.87</v>
      </c>
      <c r="AJ135" s="62">
        <v>0</v>
      </c>
      <c r="AK135" s="62">
        <v>0</v>
      </c>
      <c r="AL135" s="62">
        <v>0</v>
      </c>
      <c r="AM135" s="62">
        <v>0</v>
      </c>
      <c r="AN135" s="62">
        <v>0</v>
      </c>
      <c r="AO135" s="62">
        <v>0</v>
      </c>
      <c r="AP135" s="62">
        <v>0</v>
      </c>
      <c r="AQ135" s="62">
        <v>0</v>
      </c>
      <c r="AR135" s="62">
        <v>0</v>
      </c>
      <c r="AS135" s="62">
        <v>0</v>
      </c>
      <c r="AT135" s="62">
        <v>0</v>
      </c>
      <c r="AU135" s="62">
        <v>0</v>
      </c>
      <c r="AV135" s="62">
        <v>0</v>
      </c>
      <c r="AW135" s="62">
        <v>0</v>
      </c>
      <c r="AX135" s="62">
        <v>0</v>
      </c>
      <c r="AY135" s="62">
        <v>0</v>
      </c>
      <c r="AZ135" s="112">
        <v>0</v>
      </c>
      <c r="BA135" s="62">
        <v>0</v>
      </c>
      <c r="BB135" s="62">
        <v>0</v>
      </c>
      <c r="BC135" s="122">
        <f t="shared" si="60"/>
        <v>12.87</v>
      </c>
      <c r="BD135" s="62">
        <f t="shared" si="61"/>
        <v>10012.870000000001</v>
      </c>
      <c r="BE135" s="62"/>
      <c r="BF135" s="62">
        <f t="shared" si="62"/>
        <v>10012.870000000001</v>
      </c>
      <c r="BG135" s="62">
        <f>AG135/12</f>
        <v>833.33333333333337</v>
      </c>
      <c r="BH135" s="62">
        <v>0</v>
      </c>
      <c r="BI135" s="62">
        <v>0</v>
      </c>
      <c r="BJ135" s="62">
        <f t="shared" si="64"/>
        <v>833.33333333333337</v>
      </c>
      <c r="BK135" s="62">
        <v>0</v>
      </c>
      <c r="BL135" s="62">
        <v>0</v>
      </c>
      <c r="BM135" s="62">
        <v>0</v>
      </c>
      <c r="BN135" s="62">
        <v>0</v>
      </c>
      <c r="BO135" s="62">
        <v>0</v>
      </c>
      <c r="BP135" s="62">
        <f t="shared" si="65"/>
        <v>10012.870000000001</v>
      </c>
      <c r="BQ135" s="62">
        <f t="shared" si="66"/>
        <v>10846.203333333335</v>
      </c>
      <c r="BR135" s="109">
        <v>0</v>
      </c>
      <c r="BS135" s="83" t="str">
        <f>IF(ISBLANK(L135),"Ativo","Desligado")</f>
        <v>Ativo</v>
      </c>
    </row>
  </sheetData>
  <autoFilter ref="A1:BS135" xr:uid="{4E4F2EB1-95CE-4987-ABDD-3F224DC327FB}"/>
  <dataValidations count="1">
    <dataValidation errorStyle="warning" allowBlank="1" showInputMessage="1" showErrorMessage="1" sqref="AG1:AG1048576" xr:uid="{E2FCB1CA-272F-4F08-AA75-B718E47BE07C}"/>
  </dataValidations>
  <pageMargins left="0.511811024" right="0.511811024" top="0.78740157499999996" bottom="0.78740157499999996" header="0.31496062000000002" footer="0.31496062000000002"/>
  <pageSetup paperSize="0" orientation="portrait" horizontalDpi="0" verticalDpi="0" r:id="rId1"/>
  <colBreaks count="1" manualBreakCount="1">
    <brk id="1" max="1048575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4289F-6581-407E-99CB-F027D14DADBB}">
  <dimension ref="A1:B121"/>
  <sheetViews>
    <sheetView workbookViewId="0">
      <selection activeCell="B30" sqref="B30"/>
    </sheetView>
  </sheetViews>
  <sheetFormatPr defaultRowHeight="15" x14ac:dyDescent="0.25"/>
  <cols>
    <col min="1" max="1" width="41.85546875" bestFit="1" customWidth="1"/>
    <col min="2" max="2" width="24" bestFit="1" customWidth="1"/>
  </cols>
  <sheetData>
    <row r="1" spans="1:2" x14ac:dyDescent="0.25">
      <c r="A1" s="141" t="s">
        <v>471</v>
      </c>
      <c r="B1" s="141" t="s">
        <v>472</v>
      </c>
    </row>
    <row r="2" spans="1:2" x14ac:dyDescent="0.25">
      <c r="A2" s="142" t="s">
        <v>262</v>
      </c>
      <c r="B2" s="143">
        <v>512.87</v>
      </c>
    </row>
    <row r="3" spans="1:2" x14ac:dyDescent="0.25">
      <c r="A3" s="142" t="s">
        <v>324</v>
      </c>
      <c r="B3" s="143">
        <v>521.87</v>
      </c>
    </row>
    <row r="4" spans="1:2" x14ac:dyDescent="0.25">
      <c r="A4" s="142" t="s">
        <v>198</v>
      </c>
      <c r="B4" s="143">
        <v>512.87</v>
      </c>
    </row>
    <row r="5" spans="1:2" x14ac:dyDescent="0.25">
      <c r="A5" s="142" t="s">
        <v>423</v>
      </c>
      <c r="B5" s="143">
        <v>21.87</v>
      </c>
    </row>
    <row r="6" spans="1:2" x14ac:dyDescent="0.25">
      <c r="A6" s="142" t="s">
        <v>304</v>
      </c>
      <c r="B6" s="143">
        <v>521.87</v>
      </c>
    </row>
    <row r="7" spans="1:2" x14ac:dyDescent="0.25">
      <c r="A7" s="142" t="s">
        <v>473</v>
      </c>
      <c r="B7" s="143">
        <v>512.87</v>
      </c>
    </row>
    <row r="8" spans="1:2" x14ac:dyDescent="0.25">
      <c r="A8" s="142" t="s">
        <v>206</v>
      </c>
      <c r="B8" s="143">
        <v>521.87</v>
      </c>
    </row>
    <row r="9" spans="1:2" x14ac:dyDescent="0.25">
      <c r="A9" s="142" t="s">
        <v>309</v>
      </c>
      <c r="B9" s="143">
        <v>512.87</v>
      </c>
    </row>
    <row r="10" spans="1:2" x14ac:dyDescent="0.25">
      <c r="A10" s="142" t="s">
        <v>427</v>
      </c>
      <c r="B10" s="143">
        <v>12.87</v>
      </c>
    </row>
    <row r="11" spans="1:2" x14ac:dyDescent="0.25">
      <c r="A11" s="142" t="s">
        <v>474</v>
      </c>
      <c r="B11" s="143">
        <v>21.87</v>
      </c>
    </row>
    <row r="12" spans="1:2" x14ac:dyDescent="0.25">
      <c r="A12" s="142" t="s">
        <v>303</v>
      </c>
      <c r="B12" s="143">
        <v>512.87</v>
      </c>
    </row>
    <row r="13" spans="1:2" x14ac:dyDescent="0.25">
      <c r="A13" s="142" t="s">
        <v>300</v>
      </c>
      <c r="B13" s="143">
        <v>512.87</v>
      </c>
    </row>
    <row r="14" spans="1:2" x14ac:dyDescent="0.25">
      <c r="A14" s="142" t="s">
        <v>139</v>
      </c>
      <c r="B14" s="143">
        <v>512.87</v>
      </c>
    </row>
    <row r="15" spans="1:2" x14ac:dyDescent="0.25">
      <c r="A15" s="142" t="s">
        <v>175</v>
      </c>
      <c r="B15" s="143">
        <v>512.87</v>
      </c>
    </row>
    <row r="16" spans="1:2" x14ac:dyDescent="0.25">
      <c r="A16" s="142" t="s">
        <v>210</v>
      </c>
      <c r="B16" s="143">
        <v>521.87</v>
      </c>
    </row>
    <row r="17" spans="1:2" x14ac:dyDescent="0.25">
      <c r="A17" s="142" t="s">
        <v>256</v>
      </c>
      <c r="B17" s="143">
        <v>521.87</v>
      </c>
    </row>
    <row r="18" spans="1:2" x14ac:dyDescent="0.25">
      <c r="A18" s="142" t="s">
        <v>430</v>
      </c>
      <c r="B18" s="143">
        <v>12.87</v>
      </c>
    </row>
    <row r="19" spans="1:2" x14ac:dyDescent="0.25">
      <c r="A19" s="142" t="s">
        <v>192</v>
      </c>
      <c r="B19" s="143">
        <v>521.87</v>
      </c>
    </row>
    <row r="20" spans="1:2" x14ac:dyDescent="0.25">
      <c r="A20" s="142" t="s">
        <v>254</v>
      </c>
      <c r="B20" s="143">
        <v>512.87</v>
      </c>
    </row>
    <row r="21" spans="1:2" x14ac:dyDescent="0.25">
      <c r="A21" s="142" t="s">
        <v>100</v>
      </c>
      <c r="B21" s="143">
        <v>512.87</v>
      </c>
    </row>
    <row r="22" spans="1:2" x14ac:dyDescent="0.25">
      <c r="A22" s="142" t="s">
        <v>153</v>
      </c>
      <c r="B22" s="143">
        <v>512.87</v>
      </c>
    </row>
    <row r="23" spans="1:2" x14ac:dyDescent="0.25">
      <c r="A23" s="142" t="s">
        <v>433</v>
      </c>
      <c r="B23" s="143">
        <v>12.87</v>
      </c>
    </row>
    <row r="24" spans="1:2" x14ac:dyDescent="0.25">
      <c r="A24" s="142" t="s">
        <v>148</v>
      </c>
      <c r="B24" s="143">
        <v>512.87</v>
      </c>
    </row>
    <row r="25" spans="1:2" x14ac:dyDescent="0.25">
      <c r="A25" s="142" t="s">
        <v>213</v>
      </c>
      <c r="B25" s="143">
        <v>521.87</v>
      </c>
    </row>
    <row r="26" spans="1:2" x14ac:dyDescent="0.25">
      <c r="A26" s="142" t="s">
        <v>334</v>
      </c>
      <c r="B26" s="143">
        <v>521.87</v>
      </c>
    </row>
    <row r="27" spans="1:2" x14ac:dyDescent="0.25">
      <c r="A27" s="142" t="s">
        <v>475</v>
      </c>
      <c r="B27" s="143">
        <v>512.87</v>
      </c>
    </row>
    <row r="28" spans="1:2" x14ac:dyDescent="0.25">
      <c r="A28" s="142" t="s">
        <v>121</v>
      </c>
      <c r="B28" s="143">
        <v>512.87</v>
      </c>
    </row>
    <row r="29" spans="1:2" x14ac:dyDescent="0.25">
      <c r="A29" s="142" t="s">
        <v>476</v>
      </c>
      <c r="B29" s="143">
        <v>21.87</v>
      </c>
    </row>
    <row r="30" spans="1:2" x14ac:dyDescent="0.25">
      <c r="A30" s="142" t="s">
        <v>353</v>
      </c>
      <c r="B30" s="143">
        <v>521.87</v>
      </c>
    </row>
    <row r="31" spans="1:2" x14ac:dyDescent="0.25">
      <c r="A31" s="142" t="s">
        <v>344</v>
      </c>
      <c r="B31" s="143">
        <v>521.87</v>
      </c>
    </row>
    <row r="32" spans="1:2" x14ac:dyDescent="0.25">
      <c r="A32" s="142" t="s">
        <v>237</v>
      </c>
      <c r="B32" s="143">
        <v>521.87</v>
      </c>
    </row>
    <row r="33" spans="1:2" x14ac:dyDescent="0.25">
      <c r="A33" s="142" t="s">
        <v>232</v>
      </c>
      <c r="B33" s="143">
        <v>521.87</v>
      </c>
    </row>
    <row r="34" spans="1:2" x14ac:dyDescent="0.25">
      <c r="A34" s="142" t="s">
        <v>332</v>
      </c>
      <c r="B34" s="143">
        <v>512.87</v>
      </c>
    </row>
    <row r="35" spans="1:2" x14ac:dyDescent="0.25">
      <c r="A35" s="142" t="s">
        <v>144</v>
      </c>
      <c r="B35" s="143">
        <v>521.87</v>
      </c>
    </row>
    <row r="36" spans="1:2" x14ac:dyDescent="0.25">
      <c r="A36" s="142" t="s">
        <v>255</v>
      </c>
      <c r="B36" s="143">
        <v>21.88</v>
      </c>
    </row>
    <row r="37" spans="1:2" x14ac:dyDescent="0.25">
      <c r="A37" s="142" t="s">
        <v>477</v>
      </c>
      <c r="B37" s="143">
        <v>21.87</v>
      </c>
    </row>
    <row r="38" spans="1:2" x14ac:dyDescent="0.25">
      <c r="A38" s="142" t="s">
        <v>229</v>
      </c>
      <c r="B38" s="143">
        <v>521.87</v>
      </c>
    </row>
    <row r="39" spans="1:2" x14ac:dyDescent="0.25">
      <c r="A39" s="142" t="s">
        <v>443</v>
      </c>
      <c r="B39" s="143">
        <v>512.87</v>
      </c>
    </row>
    <row r="40" spans="1:2" x14ac:dyDescent="0.25">
      <c r="A40" s="142" t="s">
        <v>137</v>
      </c>
      <c r="B40" s="143">
        <v>512.87</v>
      </c>
    </row>
    <row r="41" spans="1:2" x14ac:dyDescent="0.25">
      <c r="A41" s="142" t="s">
        <v>445</v>
      </c>
      <c r="B41" s="143">
        <v>12.87</v>
      </c>
    </row>
    <row r="42" spans="1:2" x14ac:dyDescent="0.25">
      <c r="A42" s="142" t="s">
        <v>243</v>
      </c>
      <c r="B42" s="143">
        <v>521.87</v>
      </c>
    </row>
    <row r="43" spans="1:2" x14ac:dyDescent="0.25">
      <c r="A43" s="142" t="s">
        <v>347</v>
      </c>
      <c r="B43" s="143">
        <v>512.87</v>
      </c>
    </row>
    <row r="44" spans="1:2" x14ac:dyDescent="0.25">
      <c r="A44" s="142" t="s">
        <v>478</v>
      </c>
      <c r="B44" s="143">
        <v>21.87</v>
      </c>
    </row>
    <row r="45" spans="1:2" x14ac:dyDescent="0.25">
      <c r="A45" s="142" t="s">
        <v>479</v>
      </c>
      <c r="B45" s="143">
        <v>512.87</v>
      </c>
    </row>
    <row r="46" spans="1:2" x14ac:dyDescent="0.25">
      <c r="A46" s="142" t="s">
        <v>215</v>
      </c>
      <c r="B46" s="143">
        <v>512.87</v>
      </c>
    </row>
    <row r="47" spans="1:2" x14ac:dyDescent="0.25">
      <c r="A47" s="142" t="s">
        <v>450</v>
      </c>
      <c r="B47" s="143">
        <v>21.87</v>
      </c>
    </row>
    <row r="48" spans="1:2" x14ac:dyDescent="0.25">
      <c r="A48" s="142" t="s">
        <v>352</v>
      </c>
      <c r="B48" s="143">
        <v>521.87</v>
      </c>
    </row>
    <row r="49" spans="1:2" x14ac:dyDescent="0.25">
      <c r="A49" s="142" t="s">
        <v>452</v>
      </c>
      <c r="B49" s="143">
        <v>21.87</v>
      </c>
    </row>
    <row r="50" spans="1:2" x14ac:dyDescent="0.25">
      <c r="A50" s="142" t="s">
        <v>251</v>
      </c>
      <c r="B50" s="143">
        <v>521.87</v>
      </c>
    </row>
    <row r="51" spans="1:2" x14ac:dyDescent="0.25">
      <c r="A51" s="142" t="s">
        <v>157</v>
      </c>
      <c r="B51" s="143">
        <v>512.87</v>
      </c>
    </row>
    <row r="52" spans="1:2" x14ac:dyDescent="0.25">
      <c r="A52" s="142" t="s">
        <v>249</v>
      </c>
      <c r="B52" s="143">
        <v>521.87</v>
      </c>
    </row>
    <row r="53" spans="1:2" x14ac:dyDescent="0.25">
      <c r="A53" s="142" t="s">
        <v>349</v>
      </c>
      <c r="B53" s="143">
        <v>512.87</v>
      </c>
    </row>
    <row r="54" spans="1:2" x14ac:dyDescent="0.25">
      <c r="A54" s="142" t="s">
        <v>248</v>
      </c>
      <c r="B54" s="143">
        <v>521.87</v>
      </c>
    </row>
    <row r="55" spans="1:2" x14ac:dyDescent="0.25">
      <c r="A55" s="142" t="s">
        <v>138</v>
      </c>
      <c r="B55" s="143">
        <v>512.87</v>
      </c>
    </row>
    <row r="56" spans="1:2" x14ac:dyDescent="0.25">
      <c r="A56" s="142" t="s">
        <v>307</v>
      </c>
      <c r="B56" s="143">
        <v>512.87</v>
      </c>
    </row>
    <row r="57" spans="1:2" x14ac:dyDescent="0.25">
      <c r="A57" s="142" t="s">
        <v>146</v>
      </c>
      <c r="B57" s="143">
        <v>512.87</v>
      </c>
    </row>
    <row r="58" spans="1:2" x14ac:dyDescent="0.25">
      <c r="A58" s="142" t="s">
        <v>106</v>
      </c>
      <c r="B58" s="143">
        <v>512.87</v>
      </c>
    </row>
    <row r="59" spans="1:2" x14ac:dyDescent="0.25">
      <c r="A59" s="142" t="s">
        <v>420</v>
      </c>
      <c r="B59" s="143">
        <v>512.87</v>
      </c>
    </row>
    <row r="60" spans="1:2" x14ac:dyDescent="0.25">
      <c r="A60" s="142" t="s">
        <v>77</v>
      </c>
      <c r="B60" s="143">
        <v>521.87</v>
      </c>
    </row>
    <row r="61" spans="1:2" x14ac:dyDescent="0.25">
      <c r="A61" s="142" t="s">
        <v>284</v>
      </c>
      <c r="B61" s="143">
        <v>521.87</v>
      </c>
    </row>
    <row r="62" spans="1:2" x14ac:dyDescent="0.25">
      <c r="A62" s="142" t="s">
        <v>321</v>
      </c>
      <c r="B62" s="143">
        <v>521.87</v>
      </c>
    </row>
    <row r="63" spans="1:2" x14ac:dyDescent="0.25">
      <c r="A63" s="142" t="s">
        <v>236</v>
      </c>
      <c r="B63" s="143">
        <v>521.87</v>
      </c>
    </row>
    <row r="64" spans="1:2" x14ac:dyDescent="0.25">
      <c r="A64" s="142" t="s">
        <v>186</v>
      </c>
      <c r="B64" s="143">
        <v>512.87</v>
      </c>
    </row>
    <row r="65" spans="1:2" x14ac:dyDescent="0.25">
      <c r="A65" s="142" t="s">
        <v>456</v>
      </c>
      <c r="B65" s="143">
        <v>21.87</v>
      </c>
    </row>
    <row r="66" spans="1:2" x14ac:dyDescent="0.25">
      <c r="A66" s="142" t="s">
        <v>298</v>
      </c>
      <c r="B66" s="143">
        <v>512.87</v>
      </c>
    </row>
    <row r="67" spans="1:2" x14ac:dyDescent="0.25">
      <c r="A67" s="142" t="s">
        <v>335</v>
      </c>
      <c r="B67" s="143">
        <v>521.87</v>
      </c>
    </row>
    <row r="68" spans="1:2" x14ac:dyDescent="0.25">
      <c r="A68" s="142" t="s">
        <v>343</v>
      </c>
      <c r="B68" s="143">
        <v>521.87</v>
      </c>
    </row>
    <row r="69" spans="1:2" x14ac:dyDescent="0.25">
      <c r="A69" s="142" t="s">
        <v>338</v>
      </c>
      <c r="B69" s="143">
        <v>512.87</v>
      </c>
    </row>
    <row r="70" spans="1:2" x14ac:dyDescent="0.25">
      <c r="A70" s="142" t="s">
        <v>326</v>
      </c>
      <c r="B70" s="143">
        <v>521.87</v>
      </c>
    </row>
    <row r="71" spans="1:2" x14ac:dyDescent="0.25">
      <c r="A71" s="142" t="s">
        <v>278</v>
      </c>
      <c r="B71" s="143">
        <v>512.87</v>
      </c>
    </row>
    <row r="72" spans="1:2" x14ac:dyDescent="0.25">
      <c r="A72" s="142" t="s">
        <v>118</v>
      </c>
      <c r="B72" s="143">
        <v>512.87</v>
      </c>
    </row>
    <row r="73" spans="1:2" x14ac:dyDescent="0.25">
      <c r="A73" s="142" t="s">
        <v>103</v>
      </c>
      <c r="B73" s="143">
        <v>512.87</v>
      </c>
    </row>
    <row r="74" spans="1:2" x14ac:dyDescent="0.25">
      <c r="A74" s="142" t="s">
        <v>189</v>
      </c>
      <c r="B74" s="143">
        <v>512.87</v>
      </c>
    </row>
    <row r="75" spans="1:2" x14ac:dyDescent="0.25">
      <c r="A75" s="142" t="s">
        <v>480</v>
      </c>
      <c r="B75" s="143">
        <v>21.87</v>
      </c>
    </row>
    <row r="76" spans="1:2" x14ac:dyDescent="0.25">
      <c r="A76" s="142" t="s">
        <v>158</v>
      </c>
      <c r="B76" s="143">
        <v>512.87</v>
      </c>
    </row>
    <row r="77" spans="1:2" x14ac:dyDescent="0.25">
      <c r="A77" s="142" t="s">
        <v>301</v>
      </c>
      <c r="B77" s="143">
        <v>512.87</v>
      </c>
    </row>
    <row r="78" spans="1:2" x14ac:dyDescent="0.25">
      <c r="A78" s="142" t="s">
        <v>217</v>
      </c>
      <c r="B78" s="143">
        <v>521.87</v>
      </c>
    </row>
    <row r="79" spans="1:2" x14ac:dyDescent="0.25">
      <c r="A79" s="142" t="s">
        <v>238</v>
      </c>
      <c r="B79" s="143">
        <v>521.87</v>
      </c>
    </row>
    <row r="80" spans="1:2" x14ac:dyDescent="0.25">
      <c r="A80" s="142" t="s">
        <v>221</v>
      </c>
      <c r="B80" s="143">
        <v>521.87</v>
      </c>
    </row>
    <row r="81" spans="1:2" x14ac:dyDescent="0.25">
      <c r="A81" s="142" t="s">
        <v>306</v>
      </c>
      <c r="B81" s="143">
        <v>512.87</v>
      </c>
    </row>
    <row r="82" spans="1:2" x14ac:dyDescent="0.25">
      <c r="A82" s="142" t="s">
        <v>246</v>
      </c>
      <c r="B82" s="143">
        <v>521.87</v>
      </c>
    </row>
    <row r="83" spans="1:2" x14ac:dyDescent="0.25">
      <c r="A83" s="142" t="s">
        <v>108</v>
      </c>
      <c r="B83" s="143">
        <v>521.87</v>
      </c>
    </row>
    <row r="84" spans="1:2" x14ac:dyDescent="0.25">
      <c r="A84" s="142" t="s">
        <v>341</v>
      </c>
      <c r="B84" s="143">
        <v>521.87</v>
      </c>
    </row>
    <row r="85" spans="1:2" x14ac:dyDescent="0.25">
      <c r="A85" s="142" t="s">
        <v>350</v>
      </c>
      <c r="B85" s="143">
        <v>512.87</v>
      </c>
    </row>
    <row r="86" spans="1:2" x14ac:dyDescent="0.25">
      <c r="A86" s="142" t="s">
        <v>296</v>
      </c>
      <c r="B86" s="143">
        <v>512.87</v>
      </c>
    </row>
    <row r="87" spans="1:2" x14ac:dyDescent="0.25">
      <c r="A87" s="142" t="s">
        <v>462</v>
      </c>
      <c r="B87" s="143">
        <v>21.87</v>
      </c>
    </row>
    <row r="88" spans="1:2" x14ac:dyDescent="0.25">
      <c r="A88" s="142" t="s">
        <v>359</v>
      </c>
      <c r="B88" s="143">
        <v>521.87</v>
      </c>
    </row>
    <row r="89" spans="1:2" x14ac:dyDescent="0.25">
      <c r="A89" s="142" t="s">
        <v>357</v>
      </c>
      <c r="B89" s="143">
        <v>512.87</v>
      </c>
    </row>
    <row r="90" spans="1:2" x14ac:dyDescent="0.25">
      <c r="A90" s="142" t="s">
        <v>275</v>
      </c>
      <c r="B90" s="143">
        <v>521.87</v>
      </c>
    </row>
    <row r="91" spans="1:2" x14ac:dyDescent="0.25">
      <c r="A91" s="142" t="s">
        <v>128</v>
      </c>
      <c r="B91" s="143">
        <v>512.87</v>
      </c>
    </row>
    <row r="92" spans="1:2" x14ac:dyDescent="0.25">
      <c r="A92" s="142" t="s">
        <v>320</v>
      </c>
      <c r="B92" s="143">
        <v>512.87</v>
      </c>
    </row>
    <row r="93" spans="1:2" x14ac:dyDescent="0.25">
      <c r="A93" s="142" t="s">
        <v>86</v>
      </c>
      <c r="B93" s="143">
        <v>521.87</v>
      </c>
    </row>
    <row r="94" spans="1:2" x14ac:dyDescent="0.25">
      <c r="A94" s="142" t="s">
        <v>239</v>
      </c>
      <c r="B94" s="143">
        <v>521.87</v>
      </c>
    </row>
    <row r="95" spans="1:2" x14ac:dyDescent="0.25">
      <c r="A95" s="142" t="s">
        <v>286</v>
      </c>
      <c r="B95" s="143">
        <v>521.87</v>
      </c>
    </row>
    <row r="96" spans="1:2" x14ac:dyDescent="0.25">
      <c r="A96" s="142" t="s">
        <v>280</v>
      </c>
      <c r="B96" s="143">
        <v>512.87</v>
      </c>
    </row>
    <row r="97" spans="1:2" x14ac:dyDescent="0.25">
      <c r="A97" s="142" t="s">
        <v>181</v>
      </c>
      <c r="B97" s="143">
        <v>521.87</v>
      </c>
    </row>
    <row r="98" spans="1:2" x14ac:dyDescent="0.25">
      <c r="A98" s="142" t="s">
        <v>310</v>
      </c>
      <c r="B98" s="143">
        <v>512.87</v>
      </c>
    </row>
    <row r="99" spans="1:2" x14ac:dyDescent="0.25">
      <c r="A99" s="142" t="s">
        <v>481</v>
      </c>
      <c r="B99" s="143">
        <v>9</v>
      </c>
    </row>
    <row r="100" spans="1:2" x14ac:dyDescent="0.25">
      <c r="A100" s="142" t="s">
        <v>161</v>
      </c>
      <c r="B100" s="143">
        <v>512.87</v>
      </c>
    </row>
    <row r="101" spans="1:2" x14ac:dyDescent="0.25">
      <c r="A101" s="142" t="s">
        <v>316</v>
      </c>
      <c r="B101" s="143">
        <v>512.87</v>
      </c>
    </row>
    <row r="102" spans="1:2" x14ac:dyDescent="0.25">
      <c r="A102" s="142" t="s">
        <v>162</v>
      </c>
      <c r="B102" s="143">
        <v>512.87</v>
      </c>
    </row>
    <row r="103" spans="1:2" x14ac:dyDescent="0.25">
      <c r="A103" s="142" t="s">
        <v>287</v>
      </c>
      <c r="B103" s="143">
        <v>512.87</v>
      </c>
    </row>
    <row r="104" spans="1:2" x14ac:dyDescent="0.25">
      <c r="A104" s="142" t="s">
        <v>463</v>
      </c>
      <c r="B104" s="143">
        <v>21.87</v>
      </c>
    </row>
    <row r="105" spans="1:2" x14ac:dyDescent="0.25">
      <c r="A105" s="142" t="s">
        <v>133</v>
      </c>
      <c r="B105" s="143">
        <v>512.87</v>
      </c>
    </row>
    <row r="106" spans="1:2" x14ac:dyDescent="0.25">
      <c r="A106" s="142" t="s">
        <v>165</v>
      </c>
      <c r="B106" s="143">
        <v>512.87</v>
      </c>
    </row>
    <row r="107" spans="1:2" x14ac:dyDescent="0.25">
      <c r="A107" s="142" t="s">
        <v>482</v>
      </c>
      <c r="B107" s="143">
        <v>12.87</v>
      </c>
    </row>
    <row r="108" spans="1:2" x14ac:dyDescent="0.25">
      <c r="A108" s="142" t="s">
        <v>172</v>
      </c>
      <c r="B108" s="143">
        <v>512.87</v>
      </c>
    </row>
    <row r="109" spans="1:2" x14ac:dyDescent="0.25">
      <c r="A109" s="142" t="s">
        <v>166</v>
      </c>
      <c r="B109" s="143">
        <v>512.87</v>
      </c>
    </row>
    <row r="110" spans="1:2" x14ac:dyDescent="0.25">
      <c r="A110" s="142" t="s">
        <v>224</v>
      </c>
      <c r="B110" s="143">
        <v>521.87</v>
      </c>
    </row>
    <row r="111" spans="1:2" x14ac:dyDescent="0.25">
      <c r="A111" s="142" t="s">
        <v>113</v>
      </c>
      <c r="B111" s="143">
        <v>521.87</v>
      </c>
    </row>
    <row r="112" spans="1:2" x14ac:dyDescent="0.25">
      <c r="A112" s="142" t="s">
        <v>328</v>
      </c>
      <c r="B112" s="143">
        <v>521.87</v>
      </c>
    </row>
    <row r="113" spans="1:2" x14ac:dyDescent="0.25">
      <c r="A113" s="142" t="s">
        <v>191</v>
      </c>
      <c r="B113" s="143">
        <v>512.87</v>
      </c>
    </row>
    <row r="114" spans="1:2" x14ac:dyDescent="0.25">
      <c r="A114" s="142" t="s">
        <v>354</v>
      </c>
      <c r="B114" s="143">
        <v>512.87</v>
      </c>
    </row>
    <row r="115" spans="1:2" x14ac:dyDescent="0.25">
      <c r="A115" s="142" t="s">
        <v>466</v>
      </c>
      <c r="B115" s="143">
        <v>521.87</v>
      </c>
    </row>
    <row r="116" spans="1:2" x14ac:dyDescent="0.25">
      <c r="A116" s="142" t="s">
        <v>281</v>
      </c>
      <c r="B116" s="143">
        <v>512.87</v>
      </c>
    </row>
    <row r="117" spans="1:2" x14ac:dyDescent="0.25">
      <c r="A117" s="142" t="s">
        <v>169</v>
      </c>
      <c r="B117" s="143">
        <v>512.87</v>
      </c>
    </row>
    <row r="118" spans="1:2" x14ac:dyDescent="0.25">
      <c r="A118" s="142" t="s">
        <v>469</v>
      </c>
      <c r="B118" s="143">
        <v>12.87</v>
      </c>
    </row>
    <row r="119" spans="1:2" x14ac:dyDescent="0.25">
      <c r="A119" s="142" t="s">
        <v>168</v>
      </c>
      <c r="B119" s="143">
        <v>512.87</v>
      </c>
    </row>
    <row r="120" spans="1:2" x14ac:dyDescent="0.25">
      <c r="A120" s="142" t="s">
        <v>227</v>
      </c>
      <c r="B120" s="143">
        <v>521.87</v>
      </c>
    </row>
    <row r="121" spans="1:2" x14ac:dyDescent="0.25">
      <c r="A121" s="142" t="s">
        <v>136</v>
      </c>
      <c r="B121" s="143">
        <v>512.87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8FB63-1435-4956-845C-22098789842E}">
  <sheetPr filterMode="1"/>
  <dimension ref="A1:BJ104"/>
  <sheetViews>
    <sheetView workbookViewId="0">
      <pane ySplit="1" topLeftCell="A55" activePane="bottomLeft" state="frozen"/>
      <selection pane="bottomLeft" activeCell="A55" sqref="A55:A104"/>
    </sheetView>
  </sheetViews>
  <sheetFormatPr defaultRowHeight="15" x14ac:dyDescent="0.25"/>
  <cols>
    <col min="1" max="1" width="41.85546875" style="46" bestFit="1" customWidth="1"/>
    <col min="2" max="2" width="13.28515625" bestFit="1" customWidth="1"/>
    <col min="3" max="3" width="18.28515625" bestFit="1" customWidth="1"/>
    <col min="4" max="4" width="28" bestFit="1" customWidth="1"/>
    <col min="5" max="5" width="17.7109375" bestFit="1" customWidth="1"/>
    <col min="6" max="6" width="16.28515625" bestFit="1" customWidth="1"/>
    <col min="7" max="7" width="25.28515625" bestFit="1" customWidth="1"/>
    <col min="8" max="8" width="12.140625" bestFit="1" customWidth="1"/>
    <col min="9" max="9" width="11.85546875" bestFit="1" customWidth="1"/>
    <col min="15" max="15" width="17.85546875" bestFit="1" customWidth="1"/>
    <col min="21" max="21" width="8.85546875" style="45"/>
  </cols>
  <sheetData>
    <row r="1" spans="1:62" x14ac:dyDescent="0.25">
      <c r="A1" s="46" t="s">
        <v>10</v>
      </c>
      <c r="B1" t="s">
        <v>11</v>
      </c>
      <c r="C1" t="s">
        <v>2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483</v>
      </c>
      <c r="P1" t="s">
        <v>25</v>
      </c>
      <c r="Q1" t="s">
        <v>27</v>
      </c>
      <c r="R1" t="s">
        <v>484</v>
      </c>
      <c r="S1" t="s">
        <v>485</v>
      </c>
      <c r="T1" t="s">
        <v>30</v>
      </c>
      <c r="U1" s="45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486</v>
      </c>
      <c r="AD1" t="s">
        <v>487</v>
      </c>
      <c r="AE1" t="s">
        <v>488</v>
      </c>
      <c r="AF1" t="s">
        <v>489</v>
      </c>
      <c r="AG1" t="s">
        <v>490</v>
      </c>
      <c r="AH1" t="s">
        <v>491</v>
      </c>
      <c r="AI1" t="s">
        <v>492</v>
      </c>
      <c r="AJ1" t="s">
        <v>493</v>
      </c>
      <c r="AK1" t="s">
        <v>494</v>
      </c>
      <c r="AL1" t="s">
        <v>49</v>
      </c>
      <c r="AM1" t="s">
        <v>495</v>
      </c>
      <c r="AN1" t="s">
        <v>53</v>
      </c>
      <c r="AO1" t="s">
        <v>54</v>
      </c>
      <c r="AP1" t="s">
        <v>59</v>
      </c>
      <c r="AQ1" t="s">
        <v>488</v>
      </c>
      <c r="AR1" t="s">
        <v>496</v>
      </c>
      <c r="AS1" t="s">
        <v>497</v>
      </c>
      <c r="AT1" t="s">
        <v>498</v>
      </c>
      <c r="AU1" t="s">
        <v>57</v>
      </c>
      <c r="AV1" t="s">
        <v>58</v>
      </c>
      <c r="AW1" t="s">
        <v>60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  <c r="BC1" t="s">
        <v>69</v>
      </c>
      <c r="BD1" t="s">
        <v>70</v>
      </c>
      <c r="BE1" t="s">
        <v>71</v>
      </c>
      <c r="BF1" t="s">
        <v>72</v>
      </c>
      <c r="BG1" t="s">
        <v>73</v>
      </c>
      <c r="BH1" t="s">
        <v>74</v>
      </c>
      <c r="BI1" t="s">
        <v>75</v>
      </c>
      <c r="BJ1" t="s">
        <v>76</v>
      </c>
    </row>
    <row r="2" spans="1:62" hidden="1" x14ac:dyDescent="0.25">
      <c r="A2" s="46" t="s">
        <v>77</v>
      </c>
      <c r="B2" s="44">
        <v>45778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s="10">
        <v>43903</v>
      </c>
      <c r="J2" t="s">
        <v>84</v>
      </c>
      <c r="K2" t="s">
        <v>499</v>
      </c>
      <c r="L2">
        <v>2224.59</v>
      </c>
      <c r="M2">
        <v>2224.59</v>
      </c>
      <c r="N2">
        <v>0</v>
      </c>
      <c r="O2">
        <f>M2+N2</f>
        <v>2224.59</v>
      </c>
      <c r="Q2">
        <v>0</v>
      </c>
      <c r="R2">
        <v>0</v>
      </c>
      <c r="S2">
        <v>0</v>
      </c>
      <c r="T2">
        <v>0</v>
      </c>
      <c r="U2" s="45">
        <v>0</v>
      </c>
      <c r="V2">
        <v>0</v>
      </c>
      <c r="W2">
        <v>253.2</v>
      </c>
      <c r="X2">
        <v>48.69</v>
      </c>
      <c r="Y2">
        <v>0</v>
      </c>
      <c r="Z2">
        <v>0</v>
      </c>
      <c r="AA2">
        <v>0</v>
      </c>
      <c r="AB2">
        <v>0</v>
      </c>
      <c r="AC2">
        <v>0</v>
      </c>
      <c r="AD2">
        <v>2526.48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10.09</v>
      </c>
      <c r="AL2">
        <v>697</v>
      </c>
      <c r="AM2">
        <v>0</v>
      </c>
      <c r="AN2">
        <v>200</v>
      </c>
      <c r="AO2">
        <v>190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1097.0899999999999</v>
      </c>
      <c r="AY2">
        <v>0</v>
      </c>
      <c r="AZ2">
        <v>0</v>
      </c>
      <c r="BA2">
        <v>0</v>
      </c>
      <c r="BB2">
        <v>3623.57</v>
      </c>
      <c r="BC2">
        <v>0</v>
      </c>
      <c r="BD2">
        <v>2528.96</v>
      </c>
      <c r="BE2">
        <v>202.11</v>
      </c>
      <c r="BF2">
        <v>505.3</v>
      </c>
      <c r="BG2">
        <v>37.89</v>
      </c>
      <c r="BH2">
        <v>146.53</v>
      </c>
      <c r="BI2">
        <v>891.83</v>
      </c>
      <c r="BJ2">
        <v>4515.3999999999996</v>
      </c>
    </row>
    <row r="3" spans="1:62" hidden="1" x14ac:dyDescent="0.25">
      <c r="A3" s="46" t="s">
        <v>500</v>
      </c>
      <c r="B3" s="44">
        <v>45778</v>
      </c>
      <c r="C3" t="s">
        <v>78</v>
      </c>
      <c r="D3" t="s">
        <v>79</v>
      </c>
      <c r="E3" t="s">
        <v>80</v>
      </c>
      <c r="F3" t="s">
        <v>81</v>
      </c>
      <c r="G3" t="s">
        <v>501</v>
      </c>
      <c r="H3" s="10">
        <v>44630</v>
      </c>
      <c r="J3" t="s">
        <v>502</v>
      </c>
      <c r="K3" t="s">
        <v>432</v>
      </c>
      <c r="L3">
        <v>2486.84</v>
      </c>
      <c r="M3">
        <v>1077.6300000000001</v>
      </c>
      <c r="N3">
        <v>0</v>
      </c>
      <c r="O3">
        <f t="shared" ref="O3:O66" si="0">M3+N3</f>
        <v>1077.6300000000001</v>
      </c>
      <c r="P3">
        <v>1878.95</v>
      </c>
      <c r="Q3">
        <v>0</v>
      </c>
      <c r="R3">
        <v>0</v>
      </c>
      <c r="S3">
        <v>0</v>
      </c>
      <c r="T3">
        <v>0</v>
      </c>
      <c r="U3" s="45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2956.58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2131.58</v>
      </c>
      <c r="AM3">
        <v>0</v>
      </c>
      <c r="AN3">
        <v>400</v>
      </c>
      <c r="AO3">
        <v>490</v>
      </c>
      <c r="AP3">
        <v>0</v>
      </c>
      <c r="AQ3">
        <v>0</v>
      </c>
      <c r="AR3">
        <v>800</v>
      </c>
      <c r="AS3">
        <v>0</v>
      </c>
      <c r="AT3">
        <v>0</v>
      </c>
      <c r="AU3">
        <v>0</v>
      </c>
      <c r="AV3">
        <v>0</v>
      </c>
      <c r="AW3">
        <v>0</v>
      </c>
      <c r="AX3">
        <v>3821.58</v>
      </c>
      <c r="AY3">
        <v>0</v>
      </c>
      <c r="AZ3">
        <v>0</v>
      </c>
      <c r="BA3">
        <v>0</v>
      </c>
      <c r="BB3">
        <v>6778.16</v>
      </c>
      <c r="BC3">
        <v>0</v>
      </c>
      <c r="BD3">
        <v>3528.62</v>
      </c>
      <c r="BE3">
        <v>236.52</v>
      </c>
      <c r="BF3">
        <v>591.32000000000005</v>
      </c>
      <c r="BG3">
        <v>44.34</v>
      </c>
      <c r="BH3">
        <v>171.48</v>
      </c>
      <c r="BI3">
        <v>1043.6600000000001</v>
      </c>
      <c r="BJ3">
        <v>7821.82</v>
      </c>
    </row>
    <row r="4" spans="1:62" hidden="1" x14ac:dyDescent="0.25">
      <c r="A4" s="46" t="s">
        <v>86</v>
      </c>
      <c r="B4" s="44">
        <v>45778</v>
      </c>
      <c r="C4" t="s">
        <v>78</v>
      </c>
      <c r="D4" t="s">
        <v>79</v>
      </c>
      <c r="E4" t="s">
        <v>80</v>
      </c>
      <c r="F4" t="s">
        <v>87</v>
      </c>
      <c r="G4" t="s">
        <v>88</v>
      </c>
      <c r="H4" s="10">
        <v>45027</v>
      </c>
      <c r="J4" t="s">
        <v>89</v>
      </c>
      <c r="K4" t="s">
        <v>331</v>
      </c>
      <c r="L4">
        <v>2883.78</v>
      </c>
      <c r="M4">
        <v>2883.78</v>
      </c>
      <c r="N4">
        <v>0</v>
      </c>
      <c r="O4">
        <f t="shared" si="0"/>
        <v>2883.78</v>
      </c>
      <c r="P4">
        <v>0</v>
      </c>
      <c r="Q4">
        <v>576.76</v>
      </c>
      <c r="R4">
        <v>0</v>
      </c>
      <c r="S4">
        <v>865.13</v>
      </c>
      <c r="T4">
        <v>0</v>
      </c>
      <c r="U4" s="45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4325.67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10.09</v>
      </c>
      <c r="AL4">
        <v>0</v>
      </c>
      <c r="AM4">
        <v>0</v>
      </c>
      <c r="AN4">
        <v>200</v>
      </c>
      <c r="AO4">
        <v>190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400.09</v>
      </c>
      <c r="AY4">
        <v>0</v>
      </c>
      <c r="AZ4">
        <v>0</v>
      </c>
      <c r="BA4">
        <v>0</v>
      </c>
      <c r="BB4">
        <v>4725.76</v>
      </c>
      <c r="BC4">
        <v>0</v>
      </c>
      <c r="BD4">
        <v>4145.47</v>
      </c>
      <c r="BE4">
        <v>346.05</v>
      </c>
      <c r="BF4">
        <v>865.13</v>
      </c>
      <c r="BG4">
        <v>64.88</v>
      </c>
      <c r="BH4">
        <v>250.88</v>
      </c>
      <c r="BI4">
        <v>1526.94</v>
      </c>
      <c r="BJ4">
        <v>6252.7</v>
      </c>
    </row>
    <row r="5" spans="1:62" hidden="1" x14ac:dyDescent="0.25">
      <c r="A5" s="46" t="s">
        <v>503</v>
      </c>
      <c r="B5" s="44">
        <v>45778</v>
      </c>
      <c r="C5" t="s">
        <v>78</v>
      </c>
      <c r="D5" t="s">
        <v>79</v>
      </c>
      <c r="E5" t="s">
        <v>80</v>
      </c>
      <c r="F5" t="s">
        <v>87</v>
      </c>
      <c r="G5" t="s">
        <v>88</v>
      </c>
      <c r="H5" s="10">
        <v>45119</v>
      </c>
      <c r="I5" s="10">
        <v>45807</v>
      </c>
      <c r="J5" t="s">
        <v>89</v>
      </c>
      <c r="K5" t="s">
        <v>504</v>
      </c>
      <c r="L5">
        <v>1828.35</v>
      </c>
      <c r="M5">
        <v>0</v>
      </c>
      <c r="N5">
        <v>0</v>
      </c>
      <c r="O5">
        <f t="shared" si="0"/>
        <v>0</v>
      </c>
      <c r="P5">
        <v>0</v>
      </c>
      <c r="Q5">
        <v>0</v>
      </c>
      <c r="R5">
        <v>0</v>
      </c>
      <c r="S5">
        <v>0</v>
      </c>
      <c r="T5">
        <v>0</v>
      </c>
      <c r="U5" s="4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1828.35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10.09</v>
      </c>
      <c r="AL5">
        <v>0</v>
      </c>
      <c r="AM5">
        <v>0</v>
      </c>
      <c r="AN5">
        <v>3650.7</v>
      </c>
      <c r="AO5">
        <v>190</v>
      </c>
      <c r="AP5">
        <v>0</v>
      </c>
      <c r="AQ5">
        <v>0</v>
      </c>
      <c r="AR5">
        <v>0</v>
      </c>
      <c r="AS5">
        <v>0</v>
      </c>
      <c r="AT5">
        <v>0</v>
      </c>
      <c r="AU5">
        <v>65</v>
      </c>
      <c r="AV5">
        <v>0</v>
      </c>
      <c r="AW5">
        <v>0</v>
      </c>
      <c r="AX5">
        <v>3915.79</v>
      </c>
      <c r="AY5">
        <v>6362.83</v>
      </c>
      <c r="AZ5">
        <v>0</v>
      </c>
      <c r="BA5">
        <v>6362.83</v>
      </c>
      <c r="BB5">
        <v>5744.14</v>
      </c>
      <c r="BC5">
        <v>0</v>
      </c>
      <c r="BD5">
        <v>0</v>
      </c>
      <c r="BE5">
        <v>146.26</v>
      </c>
      <c r="BF5">
        <v>365.67</v>
      </c>
      <c r="BG5">
        <v>27.42</v>
      </c>
      <c r="BH5">
        <v>106.04</v>
      </c>
      <c r="BI5">
        <v>645.39</v>
      </c>
      <c r="BJ5">
        <v>6389.53</v>
      </c>
    </row>
    <row r="6" spans="1:62" hidden="1" x14ac:dyDescent="0.25">
      <c r="A6" s="46" t="s">
        <v>191</v>
      </c>
      <c r="B6" s="44">
        <v>45778</v>
      </c>
      <c r="C6" t="s">
        <v>78</v>
      </c>
      <c r="D6" t="s">
        <v>79</v>
      </c>
      <c r="E6" t="s">
        <v>80</v>
      </c>
      <c r="F6" t="s">
        <v>87</v>
      </c>
      <c r="G6" t="s">
        <v>88</v>
      </c>
      <c r="H6" s="10">
        <v>45594</v>
      </c>
      <c r="K6" t="s">
        <v>505</v>
      </c>
      <c r="L6">
        <v>1932</v>
      </c>
      <c r="M6">
        <v>1932</v>
      </c>
      <c r="N6">
        <v>0</v>
      </c>
      <c r="O6">
        <f t="shared" si="0"/>
        <v>1932</v>
      </c>
      <c r="P6">
        <v>0</v>
      </c>
      <c r="Q6">
        <v>0</v>
      </c>
      <c r="R6">
        <v>0</v>
      </c>
      <c r="S6">
        <v>0</v>
      </c>
      <c r="T6">
        <v>0</v>
      </c>
      <c r="U6" s="45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1932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10.09</v>
      </c>
      <c r="AL6">
        <v>0</v>
      </c>
      <c r="AM6">
        <v>0</v>
      </c>
      <c r="AN6">
        <v>200</v>
      </c>
      <c r="AO6">
        <v>190</v>
      </c>
      <c r="AP6">
        <v>0</v>
      </c>
      <c r="AQ6">
        <v>0</v>
      </c>
      <c r="AR6">
        <v>262.89</v>
      </c>
      <c r="AS6">
        <v>0</v>
      </c>
      <c r="AT6">
        <v>0</v>
      </c>
      <c r="AU6">
        <v>0</v>
      </c>
      <c r="AV6">
        <v>0</v>
      </c>
      <c r="AW6">
        <v>0</v>
      </c>
      <c r="AX6">
        <v>662.98</v>
      </c>
      <c r="AY6">
        <v>0</v>
      </c>
      <c r="AZ6">
        <v>0</v>
      </c>
      <c r="BA6">
        <v>0</v>
      </c>
      <c r="BB6">
        <v>2594.98</v>
      </c>
      <c r="BC6">
        <v>0</v>
      </c>
      <c r="BD6">
        <v>1407.98</v>
      </c>
      <c r="BE6">
        <v>154.56</v>
      </c>
      <c r="BF6">
        <v>386.4</v>
      </c>
      <c r="BG6">
        <v>28.98</v>
      </c>
      <c r="BH6">
        <v>112.05</v>
      </c>
      <c r="BI6">
        <v>681.99</v>
      </c>
      <c r="BJ6">
        <v>3276.97</v>
      </c>
    </row>
    <row r="7" spans="1:62" hidden="1" x14ac:dyDescent="0.25">
      <c r="A7" s="46" t="s">
        <v>91</v>
      </c>
      <c r="B7" s="44">
        <v>45778</v>
      </c>
      <c r="C7" t="s">
        <v>78</v>
      </c>
      <c r="D7" t="s">
        <v>79</v>
      </c>
      <c r="E7" t="s">
        <v>80</v>
      </c>
      <c r="F7" t="s">
        <v>87</v>
      </c>
      <c r="G7" t="s">
        <v>88</v>
      </c>
      <c r="H7" s="10">
        <v>42205</v>
      </c>
      <c r="K7" t="s">
        <v>506</v>
      </c>
      <c r="L7">
        <v>1828</v>
      </c>
      <c r="M7">
        <v>0</v>
      </c>
      <c r="N7">
        <v>0</v>
      </c>
      <c r="O7">
        <f t="shared" si="0"/>
        <v>0</v>
      </c>
      <c r="P7">
        <v>0</v>
      </c>
      <c r="Q7">
        <v>0</v>
      </c>
      <c r="R7">
        <v>0</v>
      </c>
      <c r="S7">
        <v>0</v>
      </c>
      <c r="T7">
        <v>0</v>
      </c>
      <c r="U7" s="45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 hidden="1" x14ac:dyDescent="0.25">
      <c r="A8" s="46" t="s">
        <v>93</v>
      </c>
      <c r="B8" s="44">
        <v>45778</v>
      </c>
      <c r="C8" t="s">
        <v>78</v>
      </c>
      <c r="D8" t="s">
        <v>94</v>
      </c>
      <c r="E8" t="s">
        <v>95</v>
      </c>
      <c r="F8" t="s">
        <v>96</v>
      </c>
      <c r="G8" t="s">
        <v>97</v>
      </c>
      <c r="H8" s="10">
        <v>41883</v>
      </c>
      <c r="K8" t="s">
        <v>99</v>
      </c>
      <c r="L8">
        <v>1710</v>
      </c>
      <c r="M8">
        <v>0</v>
      </c>
      <c r="N8">
        <v>0</v>
      </c>
      <c r="O8">
        <f t="shared" si="0"/>
        <v>0</v>
      </c>
      <c r="P8">
        <v>0</v>
      </c>
      <c r="Q8">
        <v>0</v>
      </c>
      <c r="R8">
        <v>0</v>
      </c>
      <c r="S8">
        <v>0</v>
      </c>
      <c r="T8">
        <v>0</v>
      </c>
      <c r="U8" s="45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 hidden="1" x14ac:dyDescent="0.25">
      <c r="A9" s="46" t="s">
        <v>100</v>
      </c>
      <c r="B9" s="44">
        <v>45778</v>
      </c>
      <c r="C9" t="s">
        <v>78</v>
      </c>
      <c r="D9" t="s">
        <v>94</v>
      </c>
      <c r="E9" t="s">
        <v>95</v>
      </c>
      <c r="F9" t="s">
        <v>87</v>
      </c>
      <c r="G9" t="s">
        <v>88</v>
      </c>
      <c r="H9" s="10">
        <v>40269</v>
      </c>
      <c r="J9" t="s">
        <v>89</v>
      </c>
      <c r="K9" t="s">
        <v>92</v>
      </c>
      <c r="L9">
        <v>2462.25</v>
      </c>
      <c r="M9">
        <v>2462.25</v>
      </c>
      <c r="N9">
        <v>0</v>
      </c>
      <c r="O9">
        <f t="shared" si="0"/>
        <v>2462.25</v>
      </c>
      <c r="P9">
        <v>0</v>
      </c>
      <c r="Q9">
        <v>492.45</v>
      </c>
      <c r="R9">
        <v>0</v>
      </c>
      <c r="S9">
        <v>0</v>
      </c>
      <c r="T9">
        <v>0</v>
      </c>
      <c r="U9" s="45">
        <v>123.11</v>
      </c>
      <c r="V9">
        <v>0</v>
      </c>
      <c r="W9">
        <v>1216.2</v>
      </c>
      <c r="X9">
        <v>233.88</v>
      </c>
      <c r="Y9">
        <v>0</v>
      </c>
      <c r="Z9">
        <v>0</v>
      </c>
      <c r="AA9">
        <v>0</v>
      </c>
      <c r="AB9">
        <v>0</v>
      </c>
      <c r="AC9">
        <v>0</v>
      </c>
      <c r="AD9">
        <v>4527.8900000000003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523.20000000000005</v>
      </c>
      <c r="AL9">
        <v>0</v>
      </c>
      <c r="AM9">
        <v>0</v>
      </c>
      <c r="AN9">
        <v>0</v>
      </c>
      <c r="AO9">
        <v>190</v>
      </c>
      <c r="AP9">
        <v>0</v>
      </c>
      <c r="AQ9">
        <v>0</v>
      </c>
      <c r="AR9">
        <v>737.8</v>
      </c>
      <c r="AS9">
        <v>0</v>
      </c>
      <c r="AT9">
        <v>0</v>
      </c>
      <c r="AU9">
        <v>0</v>
      </c>
      <c r="AV9">
        <v>0</v>
      </c>
      <c r="AW9">
        <v>0</v>
      </c>
      <c r="AX9">
        <v>1451</v>
      </c>
      <c r="AY9">
        <v>0</v>
      </c>
      <c r="AZ9">
        <v>0</v>
      </c>
      <c r="BA9">
        <v>0</v>
      </c>
      <c r="BB9">
        <v>5978.89</v>
      </c>
      <c r="BC9">
        <v>0</v>
      </c>
      <c r="BD9">
        <v>3687.94</v>
      </c>
      <c r="BE9">
        <v>362.23</v>
      </c>
      <c r="BF9">
        <v>905.58</v>
      </c>
      <c r="BG9">
        <v>67.91</v>
      </c>
      <c r="BH9">
        <v>262.61</v>
      </c>
      <c r="BI9">
        <v>1598.33</v>
      </c>
      <c r="BJ9">
        <v>7577.22</v>
      </c>
    </row>
    <row r="10" spans="1:62" hidden="1" x14ac:dyDescent="0.25">
      <c r="A10" s="46" t="s">
        <v>103</v>
      </c>
      <c r="B10" s="44">
        <v>45778</v>
      </c>
      <c r="C10" t="s">
        <v>78</v>
      </c>
      <c r="D10" t="s">
        <v>94</v>
      </c>
      <c r="E10" t="s">
        <v>95</v>
      </c>
      <c r="F10" t="s">
        <v>96</v>
      </c>
      <c r="G10" t="s">
        <v>97</v>
      </c>
      <c r="H10" s="10">
        <v>44153</v>
      </c>
      <c r="J10" t="s">
        <v>507</v>
      </c>
      <c r="K10" t="s">
        <v>508</v>
      </c>
      <c r="L10">
        <v>2394.67</v>
      </c>
      <c r="M10">
        <v>2394.67</v>
      </c>
      <c r="N10">
        <v>0</v>
      </c>
      <c r="O10">
        <f t="shared" si="0"/>
        <v>2394.67</v>
      </c>
      <c r="P10">
        <v>0</v>
      </c>
      <c r="Q10">
        <v>478.93</v>
      </c>
      <c r="R10">
        <v>0</v>
      </c>
      <c r="S10">
        <v>0</v>
      </c>
      <c r="T10">
        <v>0</v>
      </c>
      <c r="U10" s="45">
        <v>0</v>
      </c>
      <c r="V10">
        <v>0</v>
      </c>
      <c r="W10">
        <v>744.52</v>
      </c>
      <c r="X10">
        <v>143.18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3761.3</v>
      </c>
      <c r="AE10">
        <v>0</v>
      </c>
      <c r="AF10">
        <v>681.89</v>
      </c>
      <c r="AG10">
        <v>0</v>
      </c>
      <c r="AH10">
        <v>0</v>
      </c>
      <c r="AI10">
        <v>0</v>
      </c>
      <c r="AJ10">
        <v>0</v>
      </c>
      <c r="AK10">
        <v>523.20000000000005</v>
      </c>
      <c r="AL10">
        <v>0</v>
      </c>
      <c r="AM10">
        <v>0</v>
      </c>
      <c r="AN10">
        <v>200</v>
      </c>
      <c r="AO10">
        <v>190</v>
      </c>
      <c r="AP10">
        <v>0</v>
      </c>
      <c r="AQ10">
        <v>0</v>
      </c>
      <c r="AR10">
        <v>724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2319.09</v>
      </c>
      <c r="AY10">
        <v>0</v>
      </c>
      <c r="AZ10">
        <v>0</v>
      </c>
      <c r="BA10">
        <v>0</v>
      </c>
      <c r="BB10">
        <v>6080.39</v>
      </c>
      <c r="BC10">
        <v>0</v>
      </c>
      <c r="BD10">
        <v>4473.1000000000004</v>
      </c>
      <c r="BE10">
        <v>300.89999999999998</v>
      </c>
      <c r="BF10">
        <v>752.26</v>
      </c>
      <c r="BG10">
        <v>56.41</v>
      </c>
      <c r="BH10">
        <v>218.15</v>
      </c>
      <c r="BI10">
        <v>1327.72</v>
      </c>
      <c r="BJ10">
        <v>7408.11</v>
      </c>
    </row>
    <row r="11" spans="1:62" hidden="1" x14ac:dyDescent="0.25">
      <c r="A11" s="46" t="s">
        <v>509</v>
      </c>
      <c r="B11" s="44">
        <v>45778</v>
      </c>
      <c r="C11" t="s">
        <v>78</v>
      </c>
      <c r="D11" t="s">
        <v>94</v>
      </c>
      <c r="E11" t="s">
        <v>95</v>
      </c>
      <c r="F11" t="s">
        <v>96</v>
      </c>
      <c r="G11" t="s">
        <v>97</v>
      </c>
      <c r="H11" s="10">
        <v>44365</v>
      </c>
      <c r="I11" s="10">
        <v>45782</v>
      </c>
      <c r="J11" t="s">
        <v>507</v>
      </c>
      <c r="K11" t="s">
        <v>508</v>
      </c>
      <c r="L11">
        <v>2394.67</v>
      </c>
      <c r="M11">
        <v>0</v>
      </c>
      <c r="N11">
        <v>0</v>
      </c>
      <c r="O11">
        <f t="shared" si="0"/>
        <v>0</v>
      </c>
      <c r="P11">
        <v>0</v>
      </c>
      <c r="Q11">
        <v>79.819999999999993</v>
      </c>
      <c r="R11">
        <v>0</v>
      </c>
      <c r="S11">
        <v>0</v>
      </c>
      <c r="T11">
        <v>0</v>
      </c>
      <c r="U11" s="45">
        <v>0</v>
      </c>
      <c r="V11">
        <v>0</v>
      </c>
      <c r="W11">
        <v>48.33</v>
      </c>
      <c r="X11">
        <v>32.22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559.48</v>
      </c>
      <c r="AE11">
        <v>0</v>
      </c>
      <c r="AF11">
        <v>2.5</v>
      </c>
      <c r="AG11">
        <v>0</v>
      </c>
      <c r="AH11">
        <v>0</v>
      </c>
      <c r="AI11">
        <v>0</v>
      </c>
      <c r="AJ11">
        <v>0</v>
      </c>
      <c r="AK11">
        <v>43.86</v>
      </c>
      <c r="AL11">
        <v>0</v>
      </c>
      <c r="AM11">
        <v>0</v>
      </c>
      <c r="AN11">
        <v>0</v>
      </c>
      <c r="AO11">
        <v>190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236.36</v>
      </c>
      <c r="AY11">
        <v>13945.34</v>
      </c>
      <c r="AZ11">
        <v>369.52</v>
      </c>
      <c r="BA11">
        <v>14314.86</v>
      </c>
      <c r="BB11">
        <v>795.84</v>
      </c>
      <c r="BC11">
        <v>0</v>
      </c>
      <c r="BD11">
        <v>0</v>
      </c>
      <c r="BE11">
        <v>0</v>
      </c>
      <c r="BF11">
        <v>111.9</v>
      </c>
      <c r="BG11">
        <v>8.39</v>
      </c>
      <c r="BH11">
        <v>32.44</v>
      </c>
      <c r="BI11">
        <v>152.72999999999999</v>
      </c>
      <c r="BJ11">
        <v>948.57</v>
      </c>
    </row>
    <row r="12" spans="1:62" hidden="1" x14ac:dyDescent="0.25">
      <c r="A12" s="46" t="s">
        <v>106</v>
      </c>
      <c r="B12" s="44">
        <v>45778</v>
      </c>
      <c r="C12" t="s">
        <v>78</v>
      </c>
      <c r="D12" t="s">
        <v>94</v>
      </c>
      <c r="E12" t="s">
        <v>95</v>
      </c>
      <c r="F12" t="s">
        <v>96</v>
      </c>
      <c r="G12" t="s">
        <v>97</v>
      </c>
      <c r="H12" s="10">
        <v>42217</v>
      </c>
      <c r="J12" t="s">
        <v>211</v>
      </c>
      <c r="K12" t="s">
        <v>508</v>
      </c>
      <c r="L12">
        <v>2394.67</v>
      </c>
      <c r="M12">
        <v>2394.67</v>
      </c>
      <c r="N12">
        <v>0</v>
      </c>
      <c r="O12">
        <f t="shared" si="0"/>
        <v>2394.67</v>
      </c>
      <c r="P12">
        <v>0</v>
      </c>
      <c r="Q12">
        <v>478.93</v>
      </c>
      <c r="R12">
        <v>0</v>
      </c>
      <c r="S12">
        <v>0</v>
      </c>
      <c r="T12">
        <v>0</v>
      </c>
      <c r="U12" s="45">
        <v>119.73</v>
      </c>
      <c r="V12">
        <v>0</v>
      </c>
      <c r="W12">
        <v>1163.32</v>
      </c>
      <c r="X12">
        <v>223.72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4380.37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523.20000000000005</v>
      </c>
      <c r="AL12">
        <v>0</v>
      </c>
      <c r="AM12">
        <v>0</v>
      </c>
      <c r="AN12">
        <v>200</v>
      </c>
      <c r="AO12">
        <v>190</v>
      </c>
      <c r="AP12">
        <v>0</v>
      </c>
      <c r="AQ12">
        <v>0</v>
      </c>
      <c r="AR12">
        <v>2016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2929.2</v>
      </c>
      <c r="AY12">
        <v>0</v>
      </c>
      <c r="AZ12">
        <v>0</v>
      </c>
      <c r="BA12">
        <v>0</v>
      </c>
      <c r="BB12">
        <v>7309.57</v>
      </c>
      <c r="BC12">
        <v>0</v>
      </c>
      <c r="BD12">
        <v>6564.39</v>
      </c>
      <c r="BE12">
        <v>350.42</v>
      </c>
      <c r="BF12">
        <v>876.07</v>
      </c>
      <c r="BG12">
        <v>65.7</v>
      </c>
      <c r="BH12">
        <v>254.06</v>
      </c>
      <c r="BI12">
        <v>1546.25</v>
      </c>
      <c r="BJ12">
        <v>8855.82</v>
      </c>
    </row>
    <row r="13" spans="1:62" hidden="1" x14ac:dyDescent="0.25">
      <c r="A13" s="46" t="s">
        <v>108</v>
      </c>
      <c r="B13" s="44">
        <v>45778</v>
      </c>
      <c r="C13" t="s">
        <v>78</v>
      </c>
      <c r="D13" t="s">
        <v>94</v>
      </c>
      <c r="E13" t="s">
        <v>95</v>
      </c>
      <c r="F13" t="s">
        <v>81</v>
      </c>
      <c r="G13" t="s">
        <v>97</v>
      </c>
      <c r="H13" s="10">
        <v>44274</v>
      </c>
      <c r="J13" t="s">
        <v>211</v>
      </c>
      <c r="K13" t="s">
        <v>510</v>
      </c>
      <c r="L13">
        <v>2399.6999999999998</v>
      </c>
      <c r="M13">
        <v>2399.6999999999998</v>
      </c>
      <c r="N13">
        <v>0</v>
      </c>
      <c r="O13">
        <f t="shared" si="0"/>
        <v>2399.6999999999998</v>
      </c>
      <c r="P13">
        <v>0</v>
      </c>
      <c r="Q13">
        <v>0</v>
      </c>
      <c r="R13">
        <v>0</v>
      </c>
      <c r="S13">
        <v>0</v>
      </c>
      <c r="T13">
        <v>0</v>
      </c>
      <c r="U13" s="45">
        <v>0</v>
      </c>
      <c r="V13">
        <v>0</v>
      </c>
      <c r="W13">
        <v>51.54</v>
      </c>
      <c r="X13">
        <v>9.91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2461.15</v>
      </c>
      <c r="AE13">
        <v>712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400</v>
      </c>
      <c r="AM13">
        <v>0</v>
      </c>
      <c r="AN13">
        <v>0</v>
      </c>
      <c r="AO13">
        <v>190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1302</v>
      </c>
      <c r="AY13">
        <v>0</v>
      </c>
      <c r="AZ13">
        <v>0</v>
      </c>
      <c r="BA13">
        <v>0</v>
      </c>
      <c r="BB13">
        <v>3763.15</v>
      </c>
      <c r="BC13">
        <v>0</v>
      </c>
      <c r="BD13">
        <v>2604.42</v>
      </c>
      <c r="BE13">
        <v>196.89</v>
      </c>
      <c r="BF13">
        <v>492.23</v>
      </c>
      <c r="BG13">
        <v>36.909999999999997</v>
      </c>
      <c r="BH13">
        <v>142.74</v>
      </c>
      <c r="BI13">
        <v>868.77</v>
      </c>
      <c r="BJ13">
        <v>4631.92</v>
      </c>
    </row>
    <row r="14" spans="1:62" hidden="1" x14ac:dyDescent="0.25">
      <c r="A14" s="46" t="s">
        <v>128</v>
      </c>
      <c r="B14" s="44">
        <v>45778</v>
      </c>
      <c r="C14" t="s">
        <v>78</v>
      </c>
      <c r="D14" t="s">
        <v>129</v>
      </c>
      <c r="E14" t="s">
        <v>130</v>
      </c>
      <c r="F14" t="s">
        <v>87</v>
      </c>
      <c r="G14" t="s">
        <v>88</v>
      </c>
      <c r="H14" s="10">
        <v>41276</v>
      </c>
      <c r="J14" t="s">
        <v>132</v>
      </c>
      <c r="K14" t="s">
        <v>511</v>
      </c>
      <c r="L14">
        <v>3158.66</v>
      </c>
      <c r="M14">
        <v>3158.66</v>
      </c>
      <c r="N14">
        <v>0</v>
      </c>
      <c r="O14">
        <f t="shared" si="0"/>
        <v>3158.66</v>
      </c>
      <c r="P14">
        <v>0</v>
      </c>
      <c r="Q14">
        <v>631.73</v>
      </c>
      <c r="R14">
        <v>0</v>
      </c>
      <c r="S14">
        <v>0</v>
      </c>
      <c r="T14">
        <v>0</v>
      </c>
      <c r="U14" s="45">
        <v>0</v>
      </c>
      <c r="V14">
        <v>0</v>
      </c>
      <c r="W14">
        <v>2460.88</v>
      </c>
      <c r="X14">
        <v>590.61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6841.88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85.66</v>
      </c>
      <c r="AL14">
        <v>0</v>
      </c>
      <c r="AM14">
        <v>0</v>
      </c>
      <c r="AN14">
        <v>200</v>
      </c>
      <c r="AO14">
        <v>190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475.66</v>
      </c>
      <c r="AY14">
        <v>0</v>
      </c>
      <c r="AZ14">
        <v>0</v>
      </c>
      <c r="BA14">
        <v>0</v>
      </c>
      <c r="BB14">
        <v>7317.54</v>
      </c>
      <c r="BC14">
        <v>0</v>
      </c>
      <c r="BD14">
        <v>4888.84</v>
      </c>
      <c r="BE14">
        <v>547.35</v>
      </c>
      <c r="BF14">
        <v>1368.38</v>
      </c>
      <c r="BG14">
        <v>205.25</v>
      </c>
      <c r="BH14">
        <v>396.82</v>
      </c>
      <c r="BI14">
        <v>2517.8000000000002</v>
      </c>
      <c r="BJ14">
        <v>9835.34</v>
      </c>
    </row>
    <row r="15" spans="1:62" hidden="1" x14ac:dyDescent="0.25">
      <c r="A15" s="46" t="s">
        <v>512</v>
      </c>
      <c r="B15" s="44">
        <v>45778</v>
      </c>
      <c r="C15" t="s">
        <v>78</v>
      </c>
      <c r="D15" t="s">
        <v>129</v>
      </c>
      <c r="E15" t="s">
        <v>130</v>
      </c>
      <c r="F15" t="s">
        <v>96</v>
      </c>
      <c r="G15" t="s">
        <v>97</v>
      </c>
      <c r="H15" s="10">
        <v>45223</v>
      </c>
      <c r="J15" t="s">
        <v>513</v>
      </c>
      <c r="K15" t="s">
        <v>508</v>
      </c>
      <c r="L15">
        <v>2925.98</v>
      </c>
      <c r="M15">
        <v>2925.98</v>
      </c>
      <c r="N15">
        <v>0</v>
      </c>
      <c r="O15">
        <f t="shared" si="0"/>
        <v>2925.98</v>
      </c>
      <c r="P15">
        <v>0</v>
      </c>
      <c r="Q15">
        <v>585.20000000000005</v>
      </c>
      <c r="R15">
        <v>0</v>
      </c>
      <c r="S15">
        <v>0</v>
      </c>
      <c r="T15">
        <v>0</v>
      </c>
      <c r="U15" s="45">
        <v>0</v>
      </c>
      <c r="V15">
        <v>0</v>
      </c>
      <c r="W15">
        <v>2189.71</v>
      </c>
      <c r="X15">
        <v>525.53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6226.42</v>
      </c>
      <c r="AE15">
        <v>0</v>
      </c>
      <c r="AF15">
        <v>1516.34</v>
      </c>
      <c r="AG15">
        <v>0</v>
      </c>
      <c r="AH15">
        <v>0</v>
      </c>
      <c r="AI15">
        <v>0</v>
      </c>
      <c r="AJ15">
        <v>0</v>
      </c>
      <c r="AK15">
        <v>85.66</v>
      </c>
      <c r="AL15">
        <v>0</v>
      </c>
      <c r="AM15">
        <v>0</v>
      </c>
      <c r="AN15">
        <v>200</v>
      </c>
      <c r="AO15">
        <v>190</v>
      </c>
      <c r="AP15">
        <v>0</v>
      </c>
      <c r="AQ15">
        <v>0</v>
      </c>
      <c r="AR15">
        <v>423.53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2415.5300000000002</v>
      </c>
      <c r="AY15">
        <v>0</v>
      </c>
      <c r="AZ15">
        <v>0</v>
      </c>
      <c r="BA15">
        <v>0</v>
      </c>
      <c r="BB15">
        <v>8641.9500000000007</v>
      </c>
      <c r="BC15">
        <v>0</v>
      </c>
      <c r="BD15">
        <v>6107.18</v>
      </c>
      <c r="BE15">
        <v>498.11</v>
      </c>
      <c r="BF15">
        <v>1245.28</v>
      </c>
      <c r="BG15">
        <v>186.79</v>
      </c>
      <c r="BH15">
        <v>361.13</v>
      </c>
      <c r="BI15">
        <v>2291.31</v>
      </c>
      <c r="BJ15">
        <v>10933.26</v>
      </c>
    </row>
    <row r="16" spans="1:62" hidden="1" x14ac:dyDescent="0.25">
      <c r="A16" s="46" t="s">
        <v>133</v>
      </c>
      <c r="B16" s="44">
        <v>45778</v>
      </c>
      <c r="C16" t="s">
        <v>78</v>
      </c>
      <c r="D16" t="s">
        <v>129</v>
      </c>
      <c r="E16" t="s">
        <v>130</v>
      </c>
      <c r="F16" t="s">
        <v>96</v>
      </c>
      <c r="G16" t="s">
        <v>97</v>
      </c>
      <c r="H16" s="10">
        <v>45664</v>
      </c>
      <c r="J16" t="s">
        <v>513</v>
      </c>
      <c r="K16" t="s">
        <v>508</v>
      </c>
      <c r="L16">
        <v>2925.98</v>
      </c>
      <c r="M16">
        <v>2925.98</v>
      </c>
      <c r="N16">
        <v>0</v>
      </c>
      <c r="O16">
        <f t="shared" si="0"/>
        <v>2925.98</v>
      </c>
      <c r="P16">
        <v>0</v>
      </c>
      <c r="Q16">
        <v>585.20000000000005</v>
      </c>
      <c r="R16">
        <v>0</v>
      </c>
      <c r="S16">
        <v>0</v>
      </c>
      <c r="T16">
        <v>0</v>
      </c>
      <c r="U16" s="45">
        <v>0</v>
      </c>
      <c r="V16">
        <v>0</v>
      </c>
      <c r="W16">
        <v>1600.26</v>
      </c>
      <c r="X16">
        <v>384.06</v>
      </c>
      <c r="Y16">
        <v>0</v>
      </c>
      <c r="Z16">
        <v>0</v>
      </c>
      <c r="AA16">
        <v>0</v>
      </c>
      <c r="AB16">
        <v>0</v>
      </c>
      <c r="AC16">
        <v>0</v>
      </c>
      <c r="AD16">
        <v>5495.5</v>
      </c>
      <c r="AE16">
        <v>0</v>
      </c>
      <c r="AF16">
        <v>279.19</v>
      </c>
      <c r="AG16">
        <v>0</v>
      </c>
      <c r="AH16">
        <v>0</v>
      </c>
      <c r="AI16">
        <v>0</v>
      </c>
      <c r="AJ16">
        <v>0</v>
      </c>
      <c r="AK16">
        <v>85.66</v>
      </c>
      <c r="AL16">
        <v>0</v>
      </c>
      <c r="AM16">
        <v>0</v>
      </c>
      <c r="AN16">
        <v>200</v>
      </c>
      <c r="AO16">
        <v>190</v>
      </c>
      <c r="AP16">
        <v>0</v>
      </c>
      <c r="AQ16">
        <v>0</v>
      </c>
      <c r="AR16">
        <v>715.61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1470.46</v>
      </c>
      <c r="AY16">
        <v>0</v>
      </c>
      <c r="AZ16">
        <v>0</v>
      </c>
      <c r="BA16">
        <v>0</v>
      </c>
      <c r="BB16">
        <v>6965.96</v>
      </c>
      <c r="BC16">
        <v>0</v>
      </c>
      <c r="BD16">
        <v>5720.94</v>
      </c>
      <c r="BE16">
        <v>439.64</v>
      </c>
      <c r="BF16">
        <v>1099.0999999999999</v>
      </c>
      <c r="BG16">
        <v>164.86</v>
      </c>
      <c r="BH16">
        <v>318.73</v>
      </c>
      <c r="BI16">
        <v>2022.33</v>
      </c>
      <c r="BJ16">
        <v>8988.2900000000009</v>
      </c>
    </row>
    <row r="17" spans="1:62" hidden="1" x14ac:dyDescent="0.25">
      <c r="A17" s="46" t="s">
        <v>136</v>
      </c>
      <c r="B17" s="44">
        <v>45778</v>
      </c>
      <c r="C17" t="s">
        <v>78</v>
      </c>
      <c r="D17" t="s">
        <v>129</v>
      </c>
      <c r="E17" t="s">
        <v>130</v>
      </c>
      <c r="F17" t="s">
        <v>96</v>
      </c>
      <c r="G17" t="s">
        <v>97</v>
      </c>
      <c r="H17" s="10">
        <v>45117</v>
      </c>
      <c r="J17" t="s">
        <v>513</v>
      </c>
      <c r="K17" t="s">
        <v>508</v>
      </c>
      <c r="L17">
        <v>2925.98</v>
      </c>
      <c r="M17">
        <v>2633.38</v>
      </c>
      <c r="N17">
        <v>480.33</v>
      </c>
      <c r="O17">
        <f t="shared" si="0"/>
        <v>3113.71</v>
      </c>
      <c r="P17">
        <v>0</v>
      </c>
      <c r="Q17">
        <v>526.67999999999995</v>
      </c>
      <c r="R17">
        <v>0</v>
      </c>
      <c r="S17">
        <v>0</v>
      </c>
      <c r="T17">
        <v>0</v>
      </c>
      <c r="U17" s="45">
        <v>0</v>
      </c>
      <c r="V17">
        <v>0</v>
      </c>
      <c r="W17">
        <v>1918.39</v>
      </c>
      <c r="X17">
        <v>523.20000000000005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6081.98</v>
      </c>
      <c r="AE17">
        <v>0</v>
      </c>
      <c r="AF17">
        <v>745.96</v>
      </c>
      <c r="AG17">
        <v>0</v>
      </c>
      <c r="AH17">
        <v>0</v>
      </c>
      <c r="AI17">
        <v>0</v>
      </c>
      <c r="AJ17">
        <v>0</v>
      </c>
      <c r="AK17">
        <v>85.66</v>
      </c>
      <c r="AL17">
        <v>0</v>
      </c>
      <c r="AM17">
        <v>0</v>
      </c>
      <c r="AN17">
        <v>200</v>
      </c>
      <c r="AO17">
        <v>190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1221.6199999999999</v>
      </c>
      <c r="AY17">
        <v>0</v>
      </c>
      <c r="AZ17">
        <v>0</v>
      </c>
      <c r="BA17">
        <v>0</v>
      </c>
      <c r="BB17">
        <v>7303.6</v>
      </c>
      <c r="BC17">
        <v>0</v>
      </c>
      <c r="BD17">
        <v>5087.12</v>
      </c>
      <c r="BE17">
        <v>486.55</v>
      </c>
      <c r="BF17">
        <v>1216.4000000000001</v>
      </c>
      <c r="BG17">
        <v>182.45</v>
      </c>
      <c r="BH17">
        <v>352.75</v>
      </c>
      <c r="BI17">
        <v>2238.15</v>
      </c>
      <c r="BJ17">
        <v>9541.75</v>
      </c>
    </row>
    <row r="18" spans="1:62" hidden="1" x14ac:dyDescent="0.25">
      <c r="A18" s="46" t="s">
        <v>139</v>
      </c>
      <c r="B18" s="44">
        <v>45778</v>
      </c>
      <c r="C18" t="s">
        <v>78</v>
      </c>
      <c r="D18" t="s">
        <v>140</v>
      </c>
      <c r="E18" t="s">
        <v>141</v>
      </c>
      <c r="F18">
        <v>24</v>
      </c>
      <c r="G18">
        <v>26</v>
      </c>
      <c r="H18" s="10">
        <v>43521</v>
      </c>
      <c r="J18">
        <v>19</v>
      </c>
      <c r="K18" t="s">
        <v>508</v>
      </c>
      <c r="L18">
        <v>2538.36</v>
      </c>
      <c r="M18">
        <v>2538.36</v>
      </c>
      <c r="N18">
        <v>0</v>
      </c>
      <c r="O18">
        <f t="shared" si="0"/>
        <v>2538.36</v>
      </c>
      <c r="P18">
        <v>0</v>
      </c>
      <c r="Q18">
        <v>507.67</v>
      </c>
      <c r="R18">
        <v>0</v>
      </c>
      <c r="S18">
        <v>0</v>
      </c>
      <c r="T18">
        <v>0</v>
      </c>
      <c r="U18" s="45">
        <v>0</v>
      </c>
      <c r="V18">
        <v>0</v>
      </c>
      <c r="W18">
        <v>534.79</v>
      </c>
      <c r="X18">
        <v>102.84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3683.66</v>
      </c>
      <c r="AE18">
        <v>0</v>
      </c>
      <c r="AF18">
        <v>265.27</v>
      </c>
      <c r="AG18">
        <v>0</v>
      </c>
      <c r="AH18">
        <v>0</v>
      </c>
      <c r="AI18">
        <v>0</v>
      </c>
      <c r="AJ18">
        <v>0</v>
      </c>
      <c r="AK18">
        <v>600</v>
      </c>
      <c r="AL18">
        <v>0</v>
      </c>
      <c r="AM18">
        <v>0</v>
      </c>
      <c r="AN18">
        <v>200</v>
      </c>
      <c r="AO18">
        <v>0</v>
      </c>
      <c r="AP18">
        <v>0</v>
      </c>
      <c r="AQ18">
        <v>0</v>
      </c>
      <c r="AR18">
        <v>1281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2346.27</v>
      </c>
      <c r="AY18">
        <v>0</v>
      </c>
      <c r="AZ18">
        <v>0</v>
      </c>
      <c r="BA18">
        <v>0</v>
      </c>
      <c r="BB18">
        <v>6029.93</v>
      </c>
      <c r="BC18">
        <v>0</v>
      </c>
      <c r="BD18">
        <v>5483.09</v>
      </c>
      <c r="BE18">
        <v>294.69</v>
      </c>
      <c r="BF18">
        <v>736.73</v>
      </c>
      <c r="BG18">
        <v>110.5</v>
      </c>
      <c r="BH18">
        <v>213.65</v>
      </c>
      <c r="BI18">
        <v>1355.57</v>
      </c>
      <c r="BJ18">
        <v>7385.5</v>
      </c>
    </row>
    <row r="19" spans="1:62" hidden="1" x14ac:dyDescent="0.25">
      <c r="A19" s="46" t="s">
        <v>144</v>
      </c>
      <c r="B19" s="44">
        <v>45778</v>
      </c>
      <c r="C19" t="s">
        <v>78</v>
      </c>
      <c r="D19" t="s">
        <v>140</v>
      </c>
      <c r="E19" t="s">
        <v>141</v>
      </c>
      <c r="F19">
        <v>24</v>
      </c>
      <c r="G19">
        <v>26</v>
      </c>
      <c r="H19" s="10">
        <v>45103</v>
      </c>
      <c r="J19">
        <v>19</v>
      </c>
      <c r="K19" t="s">
        <v>508</v>
      </c>
      <c r="L19">
        <v>2538.36</v>
      </c>
      <c r="M19">
        <v>2538.36</v>
      </c>
      <c r="N19">
        <v>0</v>
      </c>
      <c r="O19">
        <f t="shared" si="0"/>
        <v>2538.36</v>
      </c>
      <c r="P19">
        <v>0</v>
      </c>
      <c r="Q19">
        <v>507.67</v>
      </c>
      <c r="R19">
        <v>0</v>
      </c>
      <c r="S19">
        <v>0</v>
      </c>
      <c r="T19">
        <v>0</v>
      </c>
      <c r="U19" s="45">
        <v>0</v>
      </c>
      <c r="V19">
        <v>0</v>
      </c>
      <c r="W19">
        <v>545.16999999999996</v>
      </c>
      <c r="X19">
        <v>104.84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3696.04</v>
      </c>
      <c r="AE19">
        <v>0</v>
      </c>
      <c r="AF19">
        <v>218.11</v>
      </c>
      <c r="AG19">
        <v>0</v>
      </c>
      <c r="AH19">
        <v>0</v>
      </c>
      <c r="AI19">
        <v>0</v>
      </c>
      <c r="AJ19">
        <v>0</v>
      </c>
      <c r="AK19">
        <v>600</v>
      </c>
      <c r="AL19">
        <v>0</v>
      </c>
      <c r="AM19">
        <v>0</v>
      </c>
      <c r="AN19">
        <v>200</v>
      </c>
      <c r="AO19">
        <v>0</v>
      </c>
      <c r="AP19">
        <v>0</v>
      </c>
      <c r="AQ19">
        <v>0</v>
      </c>
      <c r="AR19">
        <v>989.2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2007.31</v>
      </c>
      <c r="AY19">
        <v>0</v>
      </c>
      <c r="AZ19">
        <v>0</v>
      </c>
      <c r="BA19">
        <v>0</v>
      </c>
      <c r="BB19">
        <v>5703.35</v>
      </c>
      <c r="BC19">
        <v>0</v>
      </c>
      <c r="BD19">
        <v>5187.3599999999997</v>
      </c>
      <c r="BE19">
        <v>295.68</v>
      </c>
      <c r="BF19">
        <v>739.21</v>
      </c>
      <c r="BG19">
        <v>110.88</v>
      </c>
      <c r="BH19">
        <v>214.37</v>
      </c>
      <c r="BI19">
        <v>1360.14</v>
      </c>
      <c r="BJ19">
        <v>7063.49</v>
      </c>
    </row>
    <row r="20" spans="1:62" hidden="1" x14ac:dyDescent="0.25">
      <c r="A20" s="46" t="s">
        <v>145</v>
      </c>
      <c r="B20" s="44">
        <v>45778</v>
      </c>
      <c r="C20" t="s">
        <v>78</v>
      </c>
      <c r="D20" t="s">
        <v>140</v>
      </c>
      <c r="E20" t="s">
        <v>141</v>
      </c>
      <c r="F20">
        <v>24</v>
      </c>
      <c r="G20">
        <v>26</v>
      </c>
      <c r="H20" s="10">
        <v>45440</v>
      </c>
      <c r="J20">
        <v>19</v>
      </c>
      <c r="K20" t="s">
        <v>508</v>
      </c>
      <c r="L20">
        <v>2538.36</v>
      </c>
      <c r="M20">
        <v>2538.36</v>
      </c>
      <c r="N20">
        <v>0</v>
      </c>
      <c r="O20">
        <f t="shared" si="0"/>
        <v>2538.36</v>
      </c>
      <c r="P20">
        <v>0</v>
      </c>
      <c r="Q20">
        <v>507.67</v>
      </c>
      <c r="R20">
        <v>0</v>
      </c>
      <c r="S20">
        <v>0</v>
      </c>
      <c r="T20">
        <v>0</v>
      </c>
      <c r="U20" s="45">
        <v>0</v>
      </c>
      <c r="V20">
        <v>0</v>
      </c>
      <c r="W20">
        <v>680.16</v>
      </c>
      <c r="X20">
        <v>130.80000000000001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3856.99</v>
      </c>
      <c r="AE20">
        <v>0</v>
      </c>
      <c r="AF20">
        <v>184.72</v>
      </c>
      <c r="AG20">
        <v>0</v>
      </c>
      <c r="AH20">
        <v>0</v>
      </c>
      <c r="AI20">
        <v>0</v>
      </c>
      <c r="AJ20">
        <v>0</v>
      </c>
      <c r="AK20">
        <v>600</v>
      </c>
      <c r="AL20">
        <v>0</v>
      </c>
      <c r="AM20">
        <v>0</v>
      </c>
      <c r="AN20">
        <v>200</v>
      </c>
      <c r="AO20">
        <v>0</v>
      </c>
      <c r="AP20">
        <v>0</v>
      </c>
      <c r="AQ20">
        <v>0</v>
      </c>
      <c r="AR20">
        <v>970.9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1955.62</v>
      </c>
      <c r="AY20">
        <v>0</v>
      </c>
      <c r="AZ20">
        <v>0</v>
      </c>
      <c r="BA20">
        <v>0</v>
      </c>
      <c r="BB20">
        <v>5812.61</v>
      </c>
      <c r="BC20">
        <v>0</v>
      </c>
      <c r="BD20">
        <v>4381.75</v>
      </c>
      <c r="BE20">
        <v>308.55</v>
      </c>
      <c r="BF20">
        <v>771.4</v>
      </c>
      <c r="BG20">
        <v>115.7</v>
      </c>
      <c r="BH20">
        <v>223.7</v>
      </c>
      <c r="BI20">
        <v>1419.35</v>
      </c>
      <c r="BJ20">
        <v>7231.96</v>
      </c>
    </row>
    <row r="21" spans="1:62" hidden="1" x14ac:dyDescent="0.25">
      <c r="A21" s="46" t="s">
        <v>148</v>
      </c>
      <c r="B21" s="44">
        <v>45778</v>
      </c>
      <c r="C21" t="s">
        <v>78</v>
      </c>
      <c r="D21" t="s">
        <v>149</v>
      </c>
      <c r="E21" t="s">
        <v>150</v>
      </c>
      <c r="F21" t="s">
        <v>87</v>
      </c>
      <c r="G21" t="s">
        <v>159</v>
      </c>
      <c r="H21" s="10">
        <v>44617</v>
      </c>
      <c r="J21" t="s">
        <v>514</v>
      </c>
      <c r="K21" t="s">
        <v>508</v>
      </c>
      <c r="L21">
        <v>2631.88</v>
      </c>
      <c r="M21">
        <v>2631.88</v>
      </c>
      <c r="N21">
        <v>0</v>
      </c>
      <c r="O21">
        <f t="shared" si="0"/>
        <v>2631.88</v>
      </c>
      <c r="P21">
        <v>0</v>
      </c>
      <c r="Q21">
        <v>526.38</v>
      </c>
      <c r="R21">
        <v>0</v>
      </c>
      <c r="S21">
        <v>0</v>
      </c>
      <c r="T21">
        <v>0</v>
      </c>
      <c r="U21" s="45">
        <v>0</v>
      </c>
      <c r="V21">
        <v>0</v>
      </c>
      <c r="W21">
        <v>803.44</v>
      </c>
      <c r="X21">
        <v>154.51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4116.21</v>
      </c>
      <c r="AE21">
        <v>0</v>
      </c>
      <c r="AF21">
        <v>0</v>
      </c>
      <c r="AG21">
        <v>1831.5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200</v>
      </c>
      <c r="AO21">
        <v>190</v>
      </c>
      <c r="AP21">
        <v>0</v>
      </c>
      <c r="AQ21">
        <v>0</v>
      </c>
      <c r="AR21">
        <v>2020.2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4241.7</v>
      </c>
      <c r="AY21">
        <v>0</v>
      </c>
      <c r="AZ21">
        <v>0</v>
      </c>
      <c r="BA21">
        <v>0</v>
      </c>
      <c r="BB21">
        <v>8357.91</v>
      </c>
      <c r="BC21">
        <v>0</v>
      </c>
      <c r="BD21">
        <v>6542.41</v>
      </c>
      <c r="BE21">
        <v>329.29</v>
      </c>
      <c r="BF21">
        <v>823.24</v>
      </c>
      <c r="BG21">
        <v>123.48</v>
      </c>
      <c r="BH21">
        <v>238.74</v>
      </c>
      <c r="BI21">
        <v>1514.75</v>
      </c>
      <c r="BJ21">
        <v>9872.66</v>
      </c>
    </row>
    <row r="22" spans="1:62" hidden="1" x14ac:dyDescent="0.25">
      <c r="A22" s="46" t="s">
        <v>515</v>
      </c>
      <c r="B22" s="44">
        <v>45778</v>
      </c>
      <c r="C22" t="s">
        <v>78</v>
      </c>
      <c r="D22" t="s">
        <v>149</v>
      </c>
      <c r="E22" t="s">
        <v>150</v>
      </c>
      <c r="F22" t="s">
        <v>87</v>
      </c>
      <c r="G22" t="s">
        <v>151</v>
      </c>
      <c r="H22" s="10">
        <v>45754</v>
      </c>
      <c r="I22" s="10">
        <v>45805</v>
      </c>
      <c r="J22" t="s">
        <v>516</v>
      </c>
      <c r="K22" t="s">
        <v>92</v>
      </c>
      <c r="L22">
        <v>2631.88</v>
      </c>
      <c r="M22">
        <v>0</v>
      </c>
      <c r="N22">
        <v>0</v>
      </c>
      <c r="O22">
        <f t="shared" si="0"/>
        <v>0</v>
      </c>
      <c r="P22">
        <v>0</v>
      </c>
      <c r="Q22">
        <v>526.38</v>
      </c>
      <c r="R22">
        <v>0</v>
      </c>
      <c r="S22">
        <v>0</v>
      </c>
      <c r="T22">
        <v>0</v>
      </c>
      <c r="U22" s="45">
        <v>0</v>
      </c>
      <c r="V22">
        <v>0</v>
      </c>
      <c r="W22">
        <v>683.97</v>
      </c>
      <c r="X22">
        <v>148.69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3815.46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190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190</v>
      </c>
      <c r="AY22">
        <v>3505.88</v>
      </c>
      <c r="AZ22">
        <v>0</v>
      </c>
      <c r="BA22">
        <v>3505.88</v>
      </c>
      <c r="BB22">
        <v>4005.46</v>
      </c>
      <c r="BC22">
        <v>0</v>
      </c>
      <c r="BD22">
        <v>0</v>
      </c>
      <c r="BE22">
        <v>305.23</v>
      </c>
      <c r="BF22">
        <v>763.09</v>
      </c>
      <c r="BG22">
        <v>114.46</v>
      </c>
      <c r="BH22">
        <v>221.29</v>
      </c>
      <c r="BI22">
        <v>1404.07</v>
      </c>
      <c r="BJ22">
        <v>5409.53</v>
      </c>
    </row>
    <row r="23" spans="1:62" hidden="1" x14ac:dyDescent="0.25">
      <c r="A23" s="46" t="s">
        <v>153</v>
      </c>
      <c r="B23" s="44">
        <v>45778</v>
      </c>
      <c r="C23" t="s">
        <v>78</v>
      </c>
      <c r="D23" t="s">
        <v>149</v>
      </c>
      <c r="E23" t="s">
        <v>150</v>
      </c>
      <c r="F23" t="s">
        <v>87</v>
      </c>
      <c r="G23" t="s">
        <v>154</v>
      </c>
      <c r="H23" s="10">
        <v>45026</v>
      </c>
      <c r="J23" t="s">
        <v>517</v>
      </c>
      <c r="K23" t="s">
        <v>92</v>
      </c>
      <c r="L23">
        <v>2631.88</v>
      </c>
      <c r="M23">
        <v>2631.88</v>
      </c>
      <c r="N23">
        <v>0</v>
      </c>
      <c r="O23">
        <f t="shared" si="0"/>
        <v>2631.88</v>
      </c>
      <c r="P23">
        <v>0</v>
      </c>
      <c r="Q23">
        <v>526.38</v>
      </c>
      <c r="R23">
        <v>0</v>
      </c>
      <c r="S23">
        <v>0</v>
      </c>
      <c r="T23">
        <v>0</v>
      </c>
      <c r="U23" s="45">
        <v>0</v>
      </c>
      <c r="V23">
        <v>8.2200000000000006</v>
      </c>
      <c r="W23">
        <v>991.62</v>
      </c>
      <c r="X23">
        <v>190.7</v>
      </c>
      <c r="Y23">
        <v>0</v>
      </c>
      <c r="Z23">
        <v>0</v>
      </c>
      <c r="AA23">
        <v>0</v>
      </c>
      <c r="AB23">
        <v>0</v>
      </c>
      <c r="AC23">
        <v>0</v>
      </c>
      <c r="AD23">
        <v>4348.8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1118</v>
      </c>
      <c r="AK23">
        <v>0</v>
      </c>
      <c r="AL23">
        <v>0</v>
      </c>
      <c r="AM23">
        <v>0</v>
      </c>
      <c r="AN23">
        <v>200</v>
      </c>
      <c r="AO23">
        <v>190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1508</v>
      </c>
      <c r="AY23">
        <v>0</v>
      </c>
      <c r="AZ23">
        <v>0</v>
      </c>
      <c r="BA23">
        <v>0</v>
      </c>
      <c r="BB23">
        <v>5856.8</v>
      </c>
      <c r="BC23">
        <v>0</v>
      </c>
      <c r="BD23">
        <v>4118.43</v>
      </c>
      <c r="BE23">
        <v>347.9</v>
      </c>
      <c r="BF23">
        <v>869.76</v>
      </c>
      <c r="BG23">
        <v>130.46</v>
      </c>
      <c r="BH23">
        <v>252.23</v>
      </c>
      <c r="BI23">
        <v>1600.35</v>
      </c>
      <c r="BJ23">
        <v>7457.15</v>
      </c>
    </row>
    <row r="24" spans="1:62" hidden="1" x14ac:dyDescent="0.25">
      <c r="A24" s="46" t="s">
        <v>157</v>
      </c>
      <c r="B24" s="44">
        <v>45778</v>
      </c>
      <c r="C24" t="s">
        <v>78</v>
      </c>
      <c r="D24" t="s">
        <v>149</v>
      </c>
      <c r="E24" t="s">
        <v>150</v>
      </c>
      <c r="F24" t="s">
        <v>87</v>
      </c>
      <c r="G24" t="s">
        <v>88</v>
      </c>
      <c r="H24" s="10">
        <v>42826</v>
      </c>
      <c r="J24" t="s">
        <v>132</v>
      </c>
      <c r="K24" t="s">
        <v>92</v>
      </c>
      <c r="L24">
        <v>2631.88</v>
      </c>
      <c r="M24">
        <v>2631.88</v>
      </c>
      <c r="N24">
        <v>0</v>
      </c>
      <c r="O24">
        <f t="shared" si="0"/>
        <v>2631.88</v>
      </c>
      <c r="P24">
        <v>0</v>
      </c>
      <c r="Q24">
        <v>526.38</v>
      </c>
      <c r="R24">
        <v>0</v>
      </c>
      <c r="S24">
        <v>0</v>
      </c>
      <c r="T24">
        <v>0</v>
      </c>
      <c r="U24" s="45">
        <v>0</v>
      </c>
      <c r="V24">
        <v>0</v>
      </c>
      <c r="W24">
        <v>1982.53</v>
      </c>
      <c r="X24">
        <v>381.26</v>
      </c>
      <c r="Y24">
        <v>0</v>
      </c>
      <c r="Z24">
        <v>0</v>
      </c>
      <c r="AA24">
        <v>0</v>
      </c>
      <c r="AB24">
        <v>0</v>
      </c>
      <c r="AC24">
        <v>0</v>
      </c>
      <c r="AD24">
        <v>5522.05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85.66</v>
      </c>
      <c r="AL24">
        <v>0</v>
      </c>
      <c r="AM24">
        <v>0</v>
      </c>
      <c r="AN24">
        <v>200</v>
      </c>
      <c r="AO24">
        <v>190</v>
      </c>
      <c r="AP24">
        <v>0</v>
      </c>
      <c r="AQ24">
        <v>0</v>
      </c>
      <c r="AR24">
        <v>2081.1999999999998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2556.86</v>
      </c>
      <c r="AY24">
        <v>0</v>
      </c>
      <c r="AZ24">
        <v>0</v>
      </c>
      <c r="BA24">
        <v>0</v>
      </c>
      <c r="BB24">
        <v>8078.91</v>
      </c>
      <c r="BC24">
        <v>0</v>
      </c>
      <c r="BD24">
        <v>6181.72</v>
      </c>
      <c r="BE24">
        <v>441.76</v>
      </c>
      <c r="BF24">
        <v>1104.4100000000001</v>
      </c>
      <c r="BG24">
        <v>165.66</v>
      </c>
      <c r="BH24">
        <v>320.27</v>
      </c>
      <c r="BI24">
        <v>2032.1</v>
      </c>
      <c r="BJ24">
        <v>10111.01</v>
      </c>
    </row>
    <row r="25" spans="1:62" hidden="1" x14ac:dyDescent="0.25">
      <c r="A25" s="46" t="s">
        <v>518</v>
      </c>
      <c r="B25" s="44">
        <v>45778</v>
      </c>
      <c r="C25" t="s">
        <v>78</v>
      </c>
      <c r="D25" t="s">
        <v>149</v>
      </c>
      <c r="E25" t="s">
        <v>150</v>
      </c>
      <c r="F25" t="s">
        <v>87</v>
      </c>
      <c r="G25" t="s">
        <v>154</v>
      </c>
      <c r="H25" s="10">
        <v>45327</v>
      </c>
      <c r="J25" t="s">
        <v>517</v>
      </c>
      <c r="K25" t="s">
        <v>92</v>
      </c>
      <c r="L25">
        <v>2631.88</v>
      </c>
      <c r="M25">
        <v>2631.88</v>
      </c>
      <c r="N25">
        <v>0</v>
      </c>
      <c r="O25">
        <f t="shared" si="0"/>
        <v>2631.88</v>
      </c>
      <c r="P25">
        <v>0</v>
      </c>
      <c r="Q25">
        <v>526.38</v>
      </c>
      <c r="R25">
        <v>0</v>
      </c>
      <c r="S25">
        <v>0</v>
      </c>
      <c r="T25">
        <v>0</v>
      </c>
      <c r="U25" s="45">
        <v>0</v>
      </c>
      <c r="V25">
        <v>59.06</v>
      </c>
      <c r="W25">
        <v>718.26</v>
      </c>
      <c r="X25">
        <v>138.13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4073.71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984</v>
      </c>
      <c r="AK25">
        <v>0</v>
      </c>
      <c r="AL25">
        <v>0</v>
      </c>
      <c r="AM25">
        <v>0</v>
      </c>
      <c r="AN25">
        <v>200</v>
      </c>
      <c r="AO25">
        <v>190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1374</v>
      </c>
      <c r="AY25">
        <v>0</v>
      </c>
      <c r="AZ25">
        <v>0</v>
      </c>
      <c r="BA25">
        <v>0</v>
      </c>
      <c r="BB25">
        <v>5447.71</v>
      </c>
      <c r="BC25">
        <v>0</v>
      </c>
      <c r="BD25">
        <v>3811.04</v>
      </c>
      <c r="BE25">
        <v>325.89</v>
      </c>
      <c r="BF25">
        <v>814.74</v>
      </c>
      <c r="BG25">
        <v>122.21</v>
      </c>
      <c r="BH25">
        <v>236.27</v>
      </c>
      <c r="BI25">
        <v>1499.11</v>
      </c>
      <c r="BJ25">
        <v>6946.82</v>
      </c>
    </row>
    <row r="26" spans="1:62" hidden="1" x14ac:dyDescent="0.25">
      <c r="A26" s="46" t="s">
        <v>158</v>
      </c>
      <c r="B26" s="44">
        <v>45778</v>
      </c>
      <c r="C26" t="s">
        <v>78</v>
      </c>
      <c r="D26" t="s">
        <v>149</v>
      </c>
      <c r="E26" t="s">
        <v>150</v>
      </c>
      <c r="F26" t="s">
        <v>87</v>
      </c>
      <c r="G26" t="s">
        <v>159</v>
      </c>
      <c r="H26" s="10">
        <v>45742</v>
      </c>
      <c r="J26" t="s">
        <v>514</v>
      </c>
      <c r="K26" t="s">
        <v>92</v>
      </c>
      <c r="L26">
        <v>2631.88</v>
      </c>
      <c r="M26">
        <v>2631.88</v>
      </c>
      <c r="N26">
        <v>0</v>
      </c>
      <c r="O26">
        <f t="shared" si="0"/>
        <v>2631.88</v>
      </c>
      <c r="P26">
        <v>0</v>
      </c>
      <c r="Q26">
        <v>526.38</v>
      </c>
      <c r="R26">
        <v>0</v>
      </c>
      <c r="S26">
        <v>0</v>
      </c>
      <c r="T26">
        <v>0</v>
      </c>
      <c r="U26" s="45">
        <v>0</v>
      </c>
      <c r="V26">
        <v>0</v>
      </c>
      <c r="W26">
        <v>804.88</v>
      </c>
      <c r="X26">
        <v>154.78</v>
      </c>
      <c r="Y26">
        <v>0</v>
      </c>
      <c r="Z26">
        <v>0</v>
      </c>
      <c r="AA26">
        <v>0</v>
      </c>
      <c r="AB26">
        <v>0</v>
      </c>
      <c r="AC26">
        <v>0</v>
      </c>
      <c r="AD26">
        <v>4117.92</v>
      </c>
      <c r="AE26">
        <v>0</v>
      </c>
      <c r="AF26">
        <v>0</v>
      </c>
      <c r="AG26">
        <v>2171.9699999999998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250</v>
      </c>
      <c r="AO26">
        <v>190</v>
      </c>
      <c r="AP26">
        <v>0</v>
      </c>
      <c r="AQ26">
        <v>0</v>
      </c>
      <c r="AR26">
        <v>1942.5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4554.47</v>
      </c>
      <c r="AY26">
        <v>0</v>
      </c>
      <c r="AZ26">
        <v>0</v>
      </c>
      <c r="BA26">
        <v>0</v>
      </c>
      <c r="BB26">
        <v>8672.39</v>
      </c>
      <c r="BC26">
        <v>0</v>
      </c>
      <c r="BD26">
        <v>6779.69</v>
      </c>
      <c r="BE26">
        <v>329.43</v>
      </c>
      <c r="BF26">
        <v>823.58</v>
      </c>
      <c r="BG26">
        <v>123.53</v>
      </c>
      <c r="BH26">
        <v>238.83</v>
      </c>
      <c r="BI26">
        <v>1515.37</v>
      </c>
      <c r="BJ26">
        <v>10187.76</v>
      </c>
    </row>
    <row r="27" spans="1:62" hidden="1" x14ac:dyDescent="0.25">
      <c r="A27" s="46" t="s">
        <v>161</v>
      </c>
      <c r="B27" s="44">
        <v>45778</v>
      </c>
      <c r="C27" t="s">
        <v>78</v>
      </c>
      <c r="D27" t="s">
        <v>149</v>
      </c>
      <c r="E27" t="s">
        <v>150</v>
      </c>
      <c r="F27" t="s">
        <v>87</v>
      </c>
      <c r="G27" t="s">
        <v>154</v>
      </c>
      <c r="H27" s="10">
        <v>44167</v>
      </c>
      <c r="J27" t="s">
        <v>517</v>
      </c>
      <c r="K27" t="s">
        <v>92</v>
      </c>
      <c r="L27">
        <v>2873.33</v>
      </c>
      <c r="M27">
        <v>2873.33</v>
      </c>
      <c r="N27">
        <v>0</v>
      </c>
      <c r="O27">
        <f t="shared" si="0"/>
        <v>2873.33</v>
      </c>
      <c r="P27">
        <v>0</v>
      </c>
      <c r="Q27">
        <v>574.66999999999996</v>
      </c>
      <c r="R27">
        <v>0</v>
      </c>
      <c r="S27">
        <v>0</v>
      </c>
      <c r="T27">
        <v>0</v>
      </c>
      <c r="U27" s="45">
        <v>0</v>
      </c>
      <c r="V27">
        <v>0</v>
      </c>
      <c r="W27">
        <v>739.75</v>
      </c>
      <c r="X27">
        <v>142.26</v>
      </c>
      <c r="Y27">
        <v>0</v>
      </c>
      <c r="Z27">
        <v>0</v>
      </c>
      <c r="AA27">
        <v>0</v>
      </c>
      <c r="AB27">
        <v>0</v>
      </c>
      <c r="AC27">
        <v>0</v>
      </c>
      <c r="AD27">
        <v>4330.01</v>
      </c>
      <c r="AE27">
        <v>750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645</v>
      </c>
      <c r="AM27">
        <v>0</v>
      </c>
      <c r="AN27">
        <v>300</v>
      </c>
      <c r="AO27">
        <v>190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1885</v>
      </c>
      <c r="AY27">
        <v>0</v>
      </c>
      <c r="AZ27">
        <v>0</v>
      </c>
      <c r="BA27">
        <v>0</v>
      </c>
      <c r="BB27">
        <v>6215.01</v>
      </c>
      <c r="BC27">
        <v>0</v>
      </c>
      <c r="BD27">
        <v>5207.5600000000004</v>
      </c>
      <c r="BE27">
        <v>346.4</v>
      </c>
      <c r="BF27">
        <v>866</v>
      </c>
      <c r="BG27">
        <v>129.9</v>
      </c>
      <c r="BH27">
        <v>251.14</v>
      </c>
      <c r="BI27">
        <v>1593.44</v>
      </c>
      <c r="BJ27">
        <v>7808.45</v>
      </c>
    </row>
    <row r="28" spans="1:62" hidden="1" x14ac:dyDescent="0.25">
      <c r="A28" s="46" t="s">
        <v>162</v>
      </c>
      <c r="B28" s="44">
        <v>45778</v>
      </c>
      <c r="C28" t="s">
        <v>78</v>
      </c>
      <c r="D28" t="s">
        <v>149</v>
      </c>
      <c r="E28" t="s">
        <v>150</v>
      </c>
      <c r="F28" t="s">
        <v>87</v>
      </c>
      <c r="G28" t="s">
        <v>163</v>
      </c>
      <c r="H28" s="10">
        <v>45520</v>
      </c>
      <c r="J28" t="s">
        <v>174</v>
      </c>
      <c r="K28" t="s">
        <v>92</v>
      </c>
      <c r="L28">
        <v>2631.88</v>
      </c>
      <c r="M28">
        <v>2631.88</v>
      </c>
      <c r="N28">
        <v>0</v>
      </c>
      <c r="O28">
        <f t="shared" si="0"/>
        <v>2631.88</v>
      </c>
      <c r="P28">
        <v>0</v>
      </c>
      <c r="Q28">
        <v>526.38</v>
      </c>
      <c r="R28">
        <v>0</v>
      </c>
      <c r="S28">
        <v>0</v>
      </c>
      <c r="T28">
        <v>0</v>
      </c>
      <c r="U28" s="45">
        <v>0</v>
      </c>
      <c r="V28">
        <v>47.93</v>
      </c>
      <c r="W28">
        <v>219.16</v>
      </c>
      <c r="X28">
        <v>42.15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3467.5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916.4</v>
      </c>
      <c r="AK28">
        <v>0</v>
      </c>
      <c r="AL28">
        <v>0</v>
      </c>
      <c r="AM28">
        <v>0</v>
      </c>
      <c r="AN28">
        <v>500</v>
      </c>
      <c r="AO28">
        <v>190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1606.4</v>
      </c>
      <c r="AY28">
        <v>0</v>
      </c>
      <c r="AZ28">
        <v>0</v>
      </c>
      <c r="BA28">
        <v>0</v>
      </c>
      <c r="BB28">
        <v>5073.8999999999996</v>
      </c>
      <c r="BC28">
        <v>0</v>
      </c>
      <c r="BD28">
        <v>3603.32</v>
      </c>
      <c r="BE28">
        <v>277.39999999999998</v>
      </c>
      <c r="BF28">
        <v>693.5</v>
      </c>
      <c r="BG28">
        <v>104.02</v>
      </c>
      <c r="BH28">
        <v>201.11</v>
      </c>
      <c r="BI28">
        <v>1276.03</v>
      </c>
      <c r="BJ28">
        <v>6349.93</v>
      </c>
    </row>
    <row r="29" spans="1:62" hidden="1" x14ac:dyDescent="0.25">
      <c r="A29" s="46" t="s">
        <v>165</v>
      </c>
      <c r="B29" s="44">
        <v>45778</v>
      </c>
      <c r="C29" t="s">
        <v>78</v>
      </c>
      <c r="D29" t="s">
        <v>149</v>
      </c>
      <c r="E29" t="s">
        <v>150</v>
      </c>
      <c r="F29" t="s">
        <v>87</v>
      </c>
      <c r="G29" t="s">
        <v>163</v>
      </c>
      <c r="H29" s="10">
        <v>45728</v>
      </c>
      <c r="J29" t="s">
        <v>174</v>
      </c>
      <c r="K29" t="s">
        <v>92</v>
      </c>
      <c r="L29">
        <v>2631.88</v>
      </c>
      <c r="M29">
        <v>2631.88</v>
      </c>
      <c r="N29">
        <v>0</v>
      </c>
      <c r="O29">
        <f t="shared" si="0"/>
        <v>2631.88</v>
      </c>
      <c r="P29">
        <v>0</v>
      </c>
      <c r="Q29">
        <v>526.38</v>
      </c>
      <c r="R29">
        <v>0</v>
      </c>
      <c r="S29">
        <v>0</v>
      </c>
      <c r="T29">
        <v>0</v>
      </c>
      <c r="U29" s="45">
        <v>0</v>
      </c>
      <c r="V29">
        <v>38.799999999999997</v>
      </c>
      <c r="W29">
        <v>200.98</v>
      </c>
      <c r="X29">
        <v>38.65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3436.69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683.7</v>
      </c>
      <c r="AK29">
        <v>0</v>
      </c>
      <c r="AL29">
        <v>0</v>
      </c>
      <c r="AM29">
        <v>0</v>
      </c>
      <c r="AN29">
        <v>500</v>
      </c>
      <c r="AO29">
        <v>190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1373.7</v>
      </c>
      <c r="AY29">
        <v>0</v>
      </c>
      <c r="AZ29">
        <v>0</v>
      </c>
      <c r="BA29">
        <v>0</v>
      </c>
      <c r="BB29">
        <v>4810.3900000000003</v>
      </c>
      <c r="BC29">
        <v>0</v>
      </c>
      <c r="BD29">
        <v>3365.63</v>
      </c>
      <c r="BE29">
        <v>274.93</v>
      </c>
      <c r="BF29">
        <v>687.34</v>
      </c>
      <c r="BG29">
        <v>103.1</v>
      </c>
      <c r="BH29">
        <v>199.32</v>
      </c>
      <c r="BI29">
        <v>1264.69</v>
      </c>
      <c r="BJ29">
        <v>6075.08</v>
      </c>
    </row>
    <row r="30" spans="1:62" hidden="1" x14ac:dyDescent="0.25">
      <c r="A30" s="46" t="s">
        <v>166</v>
      </c>
      <c r="B30" s="44">
        <v>45778</v>
      </c>
      <c r="C30" t="s">
        <v>78</v>
      </c>
      <c r="D30" t="s">
        <v>149</v>
      </c>
      <c r="E30" t="s">
        <v>150</v>
      </c>
      <c r="F30" t="s">
        <v>96</v>
      </c>
      <c r="G30" t="s">
        <v>97</v>
      </c>
      <c r="H30" s="10">
        <v>44238</v>
      </c>
      <c r="J30" t="s">
        <v>519</v>
      </c>
      <c r="K30" t="s">
        <v>508</v>
      </c>
      <c r="L30">
        <v>2631.88</v>
      </c>
      <c r="M30">
        <v>2631.88</v>
      </c>
      <c r="N30">
        <v>0</v>
      </c>
      <c r="O30">
        <f t="shared" si="0"/>
        <v>2631.88</v>
      </c>
      <c r="P30">
        <v>0</v>
      </c>
      <c r="Q30">
        <v>526.38</v>
      </c>
      <c r="R30">
        <v>0</v>
      </c>
      <c r="S30">
        <v>0</v>
      </c>
      <c r="T30">
        <v>0</v>
      </c>
      <c r="U30" s="45">
        <v>0</v>
      </c>
      <c r="V30">
        <v>0</v>
      </c>
      <c r="W30">
        <v>758.93</v>
      </c>
      <c r="X30">
        <v>145.94999999999999</v>
      </c>
      <c r="Y30">
        <v>0</v>
      </c>
      <c r="Z30">
        <v>0</v>
      </c>
      <c r="AA30">
        <v>0</v>
      </c>
      <c r="AB30">
        <v>0</v>
      </c>
      <c r="AC30">
        <v>0</v>
      </c>
      <c r="AD30">
        <v>4063.14</v>
      </c>
      <c r="AE30">
        <v>0</v>
      </c>
      <c r="AF30">
        <v>0</v>
      </c>
      <c r="AG30">
        <v>2599.12</v>
      </c>
      <c r="AH30">
        <v>0</v>
      </c>
      <c r="AI30">
        <v>0</v>
      </c>
      <c r="AJ30">
        <v>0</v>
      </c>
      <c r="AK30">
        <v>0</v>
      </c>
      <c r="AL30">
        <v>300</v>
      </c>
      <c r="AM30">
        <v>0</v>
      </c>
      <c r="AN30">
        <v>200</v>
      </c>
      <c r="AO30">
        <v>190</v>
      </c>
      <c r="AP30">
        <v>0</v>
      </c>
      <c r="AQ30">
        <v>0</v>
      </c>
      <c r="AR30">
        <v>2020.2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5309.32</v>
      </c>
      <c r="AY30">
        <v>0</v>
      </c>
      <c r="AZ30">
        <v>0</v>
      </c>
      <c r="BA30">
        <v>0</v>
      </c>
      <c r="BB30">
        <v>9372.4599999999991</v>
      </c>
      <c r="BC30">
        <v>0</v>
      </c>
      <c r="BD30">
        <v>8066.61</v>
      </c>
      <c r="BE30">
        <v>325.05</v>
      </c>
      <c r="BF30">
        <v>812.63</v>
      </c>
      <c r="BG30">
        <v>121.89</v>
      </c>
      <c r="BH30">
        <v>235.66</v>
      </c>
      <c r="BI30">
        <v>1495.23</v>
      </c>
      <c r="BJ30">
        <v>10867.69</v>
      </c>
    </row>
    <row r="31" spans="1:62" hidden="1" x14ac:dyDescent="0.25">
      <c r="A31" s="46" t="s">
        <v>469</v>
      </c>
      <c r="B31" s="44">
        <v>45778</v>
      </c>
      <c r="C31" t="s">
        <v>78</v>
      </c>
      <c r="D31" t="s">
        <v>149</v>
      </c>
      <c r="E31" t="s">
        <v>150</v>
      </c>
      <c r="F31" t="s">
        <v>87</v>
      </c>
      <c r="G31" t="s">
        <v>421</v>
      </c>
      <c r="H31" s="10">
        <v>42826</v>
      </c>
      <c r="J31" t="s">
        <v>470</v>
      </c>
      <c r="K31" t="s">
        <v>439</v>
      </c>
      <c r="L31">
        <v>2631.88</v>
      </c>
      <c r="M31">
        <v>2631.88</v>
      </c>
      <c r="N31">
        <v>0</v>
      </c>
      <c r="O31">
        <f t="shared" si="0"/>
        <v>2631.88</v>
      </c>
      <c r="P31">
        <v>0</v>
      </c>
      <c r="Q31">
        <v>526.38</v>
      </c>
      <c r="R31">
        <v>0</v>
      </c>
      <c r="S31">
        <v>0</v>
      </c>
      <c r="T31">
        <v>0</v>
      </c>
      <c r="U31" s="45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3158.26</v>
      </c>
      <c r="AE31">
        <v>770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1000</v>
      </c>
      <c r="AM31">
        <v>0</v>
      </c>
      <c r="AN31">
        <v>0</v>
      </c>
      <c r="AO31">
        <v>190</v>
      </c>
      <c r="AP31">
        <v>0</v>
      </c>
      <c r="AQ31">
        <v>0</v>
      </c>
      <c r="AR31">
        <v>2331</v>
      </c>
      <c r="AS31">
        <v>2600</v>
      </c>
      <c r="AT31">
        <v>0</v>
      </c>
      <c r="AU31">
        <v>0</v>
      </c>
      <c r="AV31">
        <v>0</v>
      </c>
      <c r="AW31">
        <v>0</v>
      </c>
      <c r="AX31">
        <v>6891</v>
      </c>
      <c r="AY31">
        <v>0</v>
      </c>
      <c r="AZ31">
        <v>0</v>
      </c>
      <c r="BA31">
        <v>0</v>
      </c>
      <c r="BB31">
        <v>10049.26</v>
      </c>
      <c r="BC31">
        <v>0</v>
      </c>
      <c r="BD31">
        <v>8266.51</v>
      </c>
      <c r="BE31">
        <v>252.66</v>
      </c>
      <c r="BF31">
        <v>631.65</v>
      </c>
      <c r="BG31">
        <v>94.74</v>
      </c>
      <c r="BH31">
        <v>183.17</v>
      </c>
      <c r="BI31">
        <v>1162.22</v>
      </c>
      <c r="BJ31">
        <v>11211.48</v>
      </c>
    </row>
    <row r="32" spans="1:62" hidden="1" x14ac:dyDescent="0.25">
      <c r="A32" s="46" t="s">
        <v>168</v>
      </c>
      <c r="B32" s="44">
        <v>45778</v>
      </c>
      <c r="C32" t="s">
        <v>78</v>
      </c>
      <c r="D32" t="s">
        <v>149</v>
      </c>
      <c r="E32" t="s">
        <v>150</v>
      </c>
      <c r="F32" t="s">
        <v>87</v>
      </c>
      <c r="G32" t="s">
        <v>163</v>
      </c>
      <c r="H32" s="10">
        <v>44876</v>
      </c>
      <c r="J32" t="s">
        <v>174</v>
      </c>
      <c r="K32" t="s">
        <v>92</v>
      </c>
      <c r="L32">
        <v>2631.88</v>
      </c>
      <c r="M32">
        <v>2631.88</v>
      </c>
      <c r="N32">
        <v>0</v>
      </c>
      <c r="O32">
        <f t="shared" si="0"/>
        <v>2631.88</v>
      </c>
      <c r="P32">
        <v>0</v>
      </c>
      <c r="Q32">
        <v>526.38</v>
      </c>
      <c r="R32">
        <v>0</v>
      </c>
      <c r="S32">
        <v>0</v>
      </c>
      <c r="T32">
        <v>0</v>
      </c>
      <c r="U32" s="45">
        <v>0</v>
      </c>
      <c r="V32">
        <v>0</v>
      </c>
      <c r="W32">
        <v>236.87</v>
      </c>
      <c r="X32">
        <v>45.55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3440.68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789.6</v>
      </c>
      <c r="AK32">
        <v>0</v>
      </c>
      <c r="AL32">
        <v>0</v>
      </c>
      <c r="AM32">
        <v>0</v>
      </c>
      <c r="AN32">
        <v>500</v>
      </c>
      <c r="AO32">
        <v>190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1479.6</v>
      </c>
      <c r="AY32">
        <v>0</v>
      </c>
      <c r="AZ32">
        <v>0</v>
      </c>
      <c r="BA32">
        <v>0</v>
      </c>
      <c r="BB32">
        <v>4920.28</v>
      </c>
      <c r="BC32">
        <v>0</v>
      </c>
      <c r="BD32">
        <v>3475.04</v>
      </c>
      <c r="BE32">
        <v>275.25</v>
      </c>
      <c r="BF32">
        <v>688.14</v>
      </c>
      <c r="BG32">
        <v>103.22</v>
      </c>
      <c r="BH32">
        <v>199.55</v>
      </c>
      <c r="BI32">
        <v>1266.1600000000001</v>
      </c>
      <c r="BJ32">
        <v>6186.44</v>
      </c>
    </row>
    <row r="33" spans="1:62" hidden="1" x14ac:dyDescent="0.25">
      <c r="A33" s="46" t="s">
        <v>169</v>
      </c>
      <c r="B33" s="44">
        <v>45778</v>
      </c>
      <c r="C33" t="s">
        <v>78</v>
      </c>
      <c r="D33" t="s">
        <v>149</v>
      </c>
      <c r="E33" t="s">
        <v>150</v>
      </c>
      <c r="F33" t="s">
        <v>520</v>
      </c>
      <c r="G33" t="s">
        <v>521</v>
      </c>
      <c r="H33" s="10">
        <v>43858</v>
      </c>
      <c r="J33" t="s">
        <v>522</v>
      </c>
      <c r="K33" t="s">
        <v>508</v>
      </c>
      <c r="L33">
        <v>2631.88</v>
      </c>
      <c r="M33">
        <v>2631.88</v>
      </c>
      <c r="N33">
        <v>0</v>
      </c>
      <c r="O33">
        <f t="shared" si="0"/>
        <v>2631.88</v>
      </c>
      <c r="P33">
        <v>0</v>
      </c>
      <c r="Q33">
        <v>526.38</v>
      </c>
      <c r="R33">
        <v>0</v>
      </c>
      <c r="S33">
        <v>0</v>
      </c>
      <c r="T33">
        <v>0</v>
      </c>
      <c r="U33" s="45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3158.26</v>
      </c>
      <c r="AE33">
        <v>2205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500</v>
      </c>
      <c r="AM33">
        <v>0</v>
      </c>
      <c r="AN33">
        <v>0</v>
      </c>
      <c r="AO33">
        <v>190</v>
      </c>
      <c r="AP33">
        <v>0</v>
      </c>
      <c r="AQ33">
        <v>0</v>
      </c>
      <c r="AR33">
        <v>2880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5775</v>
      </c>
      <c r="AY33">
        <v>0</v>
      </c>
      <c r="AZ33">
        <v>0</v>
      </c>
      <c r="BA33">
        <v>0</v>
      </c>
      <c r="BB33">
        <v>8933.26</v>
      </c>
      <c r="BC33">
        <v>0</v>
      </c>
      <c r="BD33">
        <v>8038.22</v>
      </c>
      <c r="BE33">
        <v>252.66</v>
      </c>
      <c r="BF33">
        <v>631.65</v>
      </c>
      <c r="BG33">
        <v>94.74</v>
      </c>
      <c r="BH33">
        <v>183.17</v>
      </c>
      <c r="BI33">
        <v>1162.22</v>
      </c>
      <c r="BJ33">
        <v>10095.48</v>
      </c>
    </row>
    <row r="34" spans="1:62" hidden="1" x14ac:dyDescent="0.25">
      <c r="A34" s="46" t="s">
        <v>420</v>
      </c>
      <c r="B34" s="44">
        <v>45778</v>
      </c>
      <c r="C34" t="s">
        <v>78</v>
      </c>
      <c r="D34" t="s">
        <v>149</v>
      </c>
      <c r="E34" t="s">
        <v>150</v>
      </c>
      <c r="F34" t="s">
        <v>87</v>
      </c>
      <c r="G34" t="s">
        <v>421</v>
      </c>
      <c r="H34" s="10">
        <v>41883</v>
      </c>
      <c r="J34" t="s">
        <v>523</v>
      </c>
      <c r="K34" t="s">
        <v>508</v>
      </c>
      <c r="L34">
        <v>3072.27</v>
      </c>
      <c r="M34">
        <v>2765.04</v>
      </c>
      <c r="N34">
        <v>0</v>
      </c>
      <c r="O34">
        <f t="shared" si="0"/>
        <v>2765.04</v>
      </c>
      <c r="P34">
        <v>496.19</v>
      </c>
      <c r="Q34">
        <v>553.01</v>
      </c>
      <c r="R34">
        <v>0</v>
      </c>
      <c r="S34">
        <v>0</v>
      </c>
      <c r="T34">
        <v>0</v>
      </c>
      <c r="U34" s="45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3814.24</v>
      </c>
      <c r="AE34">
        <v>1817.17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221.2</v>
      </c>
      <c r="AN34">
        <v>200</v>
      </c>
      <c r="AO34">
        <v>190</v>
      </c>
      <c r="AP34">
        <v>0</v>
      </c>
      <c r="AQ34">
        <v>0</v>
      </c>
      <c r="AR34">
        <v>2112</v>
      </c>
      <c r="AS34">
        <v>1500</v>
      </c>
      <c r="AT34">
        <v>1653.96</v>
      </c>
      <c r="AU34">
        <v>0</v>
      </c>
      <c r="AV34">
        <v>0</v>
      </c>
      <c r="AW34">
        <v>0</v>
      </c>
      <c r="AX34">
        <v>7694.33</v>
      </c>
      <c r="AY34">
        <v>0</v>
      </c>
      <c r="AZ34">
        <v>0</v>
      </c>
      <c r="BA34">
        <v>0</v>
      </c>
      <c r="BB34">
        <v>11508.57</v>
      </c>
      <c r="BC34">
        <v>0</v>
      </c>
      <c r="BD34">
        <v>8577.76</v>
      </c>
      <c r="BE34">
        <v>305.13</v>
      </c>
      <c r="BF34">
        <v>762.85</v>
      </c>
      <c r="BG34">
        <v>114.42</v>
      </c>
      <c r="BH34">
        <v>221.22</v>
      </c>
      <c r="BI34">
        <v>1403.62</v>
      </c>
      <c r="BJ34">
        <v>12912.19</v>
      </c>
    </row>
    <row r="35" spans="1:62" hidden="1" x14ac:dyDescent="0.25">
      <c r="A35" s="46" t="s">
        <v>175</v>
      </c>
      <c r="B35" s="44">
        <v>45778</v>
      </c>
      <c r="C35" t="s">
        <v>78</v>
      </c>
      <c r="D35" t="s">
        <v>176</v>
      </c>
      <c r="E35" t="s">
        <v>177</v>
      </c>
      <c r="F35" t="s">
        <v>96</v>
      </c>
      <c r="G35" t="s">
        <v>97</v>
      </c>
      <c r="H35" s="10">
        <v>45597</v>
      </c>
      <c r="K35" t="s">
        <v>508</v>
      </c>
      <c r="L35">
        <v>2400</v>
      </c>
      <c r="M35">
        <v>2400</v>
      </c>
      <c r="N35">
        <v>0</v>
      </c>
      <c r="O35">
        <f t="shared" si="0"/>
        <v>2400</v>
      </c>
      <c r="P35">
        <v>0</v>
      </c>
      <c r="Q35">
        <v>480</v>
      </c>
      <c r="R35">
        <v>0</v>
      </c>
      <c r="S35">
        <v>0</v>
      </c>
      <c r="T35">
        <v>0</v>
      </c>
      <c r="U35" s="45">
        <v>0</v>
      </c>
      <c r="V35">
        <v>0</v>
      </c>
      <c r="W35">
        <v>648.33000000000004</v>
      </c>
      <c r="X35">
        <v>124.68</v>
      </c>
      <c r="Y35">
        <v>0</v>
      </c>
      <c r="Z35">
        <v>0</v>
      </c>
      <c r="AA35">
        <v>0</v>
      </c>
      <c r="AB35">
        <v>0</v>
      </c>
      <c r="AC35">
        <v>0</v>
      </c>
      <c r="AD35">
        <v>3653.01</v>
      </c>
      <c r="AE35">
        <v>0</v>
      </c>
      <c r="AF35">
        <v>183.14</v>
      </c>
      <c r="AG35">
        <v>0</v>
      </c>
      <c r="AH35">
        <v>0</v>
      </c>
      <c r="AI35">
        <v>0</v>
      </c>
      <c r="AJ35">
        <v>0</v>
      </c>
      <c r="AK35">
        <v>156.5</v>
      </c>
      <c r="AL35">
        <v>0</v>
      </c>
      <c r="AM35">
        <v>0</v>
      </c>
      <c r="AN35">
        <v>200</v>
      </c>
      <c r="AO35">
        <v>0</v>
      </c>
      <c r="AP35">
        <v>0</v>
      </c>
      <c r="AQ35">
        <v>0</v>
      </c>
      <c r="AR35">
        <v>907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1446.64</v>
      </c>
      <c r="AY35">
        <v>0</v>
      </c>
      <c r="AZ35">
        <v>0</v>
      </c>
      <c r="BA35">
        <v>0</v>
      </c>
      <c r="BB35">
        <v>5099.6499999999996</v>
      </c>
      <c r="BC35">
        <v>0</v>
      </c>
      <c r="BD35">
        <v>3708.89</v>
      </c>
      <c r="BE35">
        <v>292.24</v>
      </c>
      <c r="BF35">
        <v>730.6</v>
      </c>
      <c r="BG35">
        <v>109.59</v>
      </c>
      <c r="BH35">
        <v>211.87</v>
      </c>
      <c r="BI35">
        <v>1344.3</v>
      </c>
      <c r="BJ35">
        <v>6443.95</v>
      </c>
    </row>
    <row r="36" spans="1:62" hidden="1" x14ac:dyDescent="0.25">
      <c r="A36" s="46" t="s">
        <v>181</v>
      </c>
      <c r="B36" s="44">
        <v>45778</v>
      </c>
      <c r="C36" t="s">
        <v>78</v>
      </c>
      <c r="D36" t="s">
        <v>176</v>
      </c>
      <c r="E36" t="s">
        <v>177</v>
      </c>
      <c r="F36" t="s">
        <v>96</v>
      </c>
      <c r="G36" t="s">
        <v>97</v>
      </c>
      <c r="H36" s="10">
        <v>44698</v>
      </c>
      <c r="J36" t="s">
        <v>184</v>
      </c>
      <c r="K36" t="s">
        <v>508</v>
      </c>
      <c r="L36">
        <v>2591</v>
      </c>
      <c r="M36">
        <v>2072.8000000000002</v>
      </c>
      <c r="N36">
        <v>0</v>
      </c>
      <c r="O36">
        <f t="shared" si="0"/>
        <v>2072.8000000000002</v>
      </c>
      <c r="P36">
        <v>1164.95</v>
      </c>
      <c r="Q36">
        <v>414.56</v>
      </c>
      <c r="R36">
        <v>0</v>
      </c>
      <c r="S36">
        <v>0</v>
      </c>
      <c r="T36">
        <v>0</v>
      </c>
      <c r="U36" s="45">
        <v>0</v>
      </c>
      <c r="V36">
        <v>0</v>
      </c>
      <c r="W36">
        <v>631.73</v>
      </c>
      <c r="X36">
        <v>120.33</v>
      </c>
      <c r="Y36">
        <v>0</v>
      </c>
      <c r="Z36">
        <v>0</v>
      </c>
      <c r="AA36">
        <v>0</v>
      </c>
      <c r="AB36">
        <v>0</v>
      </c>
      <c r="AC36">
        <v>0</v>
      </c>
      <c r="AD36">
        <v>4404.37</v>
      </c>
      <c r="AE36">
        <v>0</v>
      </c>
      <c r="AF36">
        <v>241.39</v>
      </c>
      <c r="AG36">
        <v>0</v>
      </c>
      <c r="AH36">
        <v>0</v>
      </c>
      <c r="AI36">
        <v>0</v>
      </c>
      <c r="AJ36">
        <v>0</v>
      </c>
      <c r="AK36">
        <v>156.5</v>
      </c>
      <c r="AL36">
        <v>0</v>
      </c>
      <c r="AM36">
        <v>0</v>
      </c>
      <c r="AN36">
        <v>200</v>
      </c>
      <c r="AO36">
        <v>0</v>
      </c>
      <c r="AP36">
        <v>0</v>
      </c>
      <c r="AQ36">
        <v>0</v>
      </c>
      <c r="AR36">
        <v>750</v>
      </c>
      <c r="AS36">
        <v>0</v>
      </c>
      <c r="AT36">
        <v>1359.11</v>
      </c>
      <c r="AU36">
        <v>0</v>
      </c>
      <c r="AV36">
        <v>0</v>
      </c>
      <c r="AW36">
        <v>0</v>
      </c>
      <c r="AX36">
        <v>3328.84</v>
      </c>
      <c r="AY36">
        <v>0</v>
      </c>
      <c r="AZ36">
        <v>0</v>
      </c>
      <c r="BA36">
        <v>0</v>
      </c>
      <c r="BB36">
        <v>7733.21</v>
      </c>
      <c r="BC36">
        <v>0</v>
      </c>
      <c r="BD36">
        <v>3631.51</v>
      </c>
      <c r="BE36">
        <v>352.34</v>
      </c>
      <c r="BF36">
        <v>880.87</v>
      </c>
      <c r="BG36">
        <v>132.13</v>
      </c>
      <c r="BH36">
        <v>255.45</v>
      </c>
      <c r="BI36">
        <v>1620.79</v>
      </c>
      <c r="BJ36">
        <v>9354</v>
      </c>
    </row>
    <row r="37" spans="1:62" hidden="1" x14ac:dyDescent="0.25">
      <c r="A37" s="46" t="s">
        <v>183</v>
      </c>
      <c r="B37" s="44">
        <v>45778</v>
      </c>
      <c r="C37" t="s">
        <v>78</v>
      </c>
      <c r="D37" t="s">
        <v>176</v>
      </c>
      <c r="E37" t="s">
        <v>177</v>
      </c>
      <c r="F37" t="s">
        <v>87</v>
      </c>
      <c r="G37" t="s">
        <v>88</v>
      </c>
      <c r="H37" s="10">
        <v>44698</v>
      </c>
      <c r="J37" t="s">
        <v>524</v>
      </c>
      <c r="K37" t="s">
        <v>511</v>
      </c>
      <c r="L37">
        <v>2063.3200000000002</v>
      </c>
      <c r="M37">
        <v>0</v>
      </c>
      <c r="N37">
        <v>0</v>
      </c>
      <c r="O37">
        <f t="shared" si="0"/>
        <v>0</v>
      </c>
      <c r="P37">
        <v>0</v>
      </c>
      <c r="Q37">
        <v>0</v>
      </c>
      <c r="R37">
        <v>0</v>
      </c>
      <c r="S37">
        <v>0</v>
      </c>
      <c r="T37">
        <v>0</v>
      </c>
      <c r="U37" s="45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 hidden="1" x14ac:dyDescent="0.25">
      <c r="A38" s="46" t="s">
        <v>186</v>
      </c>
      <c r="B38" s="44">
        <v>45778</v>
      </c>
      <c r="C38" t="s">
        <v>78</v>
      </c>
      <c r="D38" t="s">
        <v>187</v>
      </c>
      <c r="E38" t="s">
        <v>188</v>
      </c>
      <c r="F38" t="s">
        <v>87</v>
      </c>
      <c r="G38" t="s">
        <v>88</v>
      </c>
      <c r="H38" s="10">
        <v>45532</v>
      </c>
      <c r="K38" t="s">
        <v>92</v>
      </c>
      <c r="L38">
        <v>1828.35</v>
      </c>
      <c r="M38">
        <v>1828.35</v>
      </c>
      <c r="N38">
        <v>0</v>
      </c>
      <c r="O38">
        <f t="shared" si="0"/>
        <v>1828.35</v>
      </c>
      <c r="P38">
        <v>0</v>
      </c>
      <c r="Q38">
        <v>365.67</v>
      </c>
      <c r="R38">
        <v>0</v>
      </c>
      <c r="S38">
        <v>0</v>
      </c>
      <c r="T38">
        <v>0</v>
      </c>
      <c r="U38" s="45">
        <v>0</v>
      </c>
      <c r="V38">
        <v>0</v>
      </c>
      <c r="W38">
        <v>1140.8900000000001</v>
      </c>
      <c r="X38">
        <v>219.4</v>
      </c>
      <c r="Y38">
        <v>0</v>
      </c>
      <c r="Z38">
        <v>0</v>
      </c>
      <c r="AA38">
        <v>0</v>
      </c>
      <c r="AB38">
        <v>0</v>
      </c>
      <c r="AC38">
        <v>0</v>
      </c>
      <c r="AD38">
        <v>3554.31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10.09</v>
      </c>
      <c r="AL38">
        <v>0</v>
      </c>
      <c r="AM38">
        <v>0</v>
      </c>
      <c r="AN38">
        <v>200</v>
      </c>
      <c r="AO38">
        <v>190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400.09</v>
      </c>
      <c r="AY38">
        <v>0</v>
      </c>
      <c r="AZ38">
        <v>0</v>
      </c>
      <c r="BA38">
        <v>0</v>
      </c>
      <c r="BB38">
        <v>3954.4</v>
      </c>
      <c r="BC38">
        <v>0</v>
      </c>
      <c r="BD38">
        <v>2902.48</v>
      </c>
      <c r="BE38">
        <v>284.33999999999997</v>
      </c>
      <c r="BF38">
        <v>710.86</v>
      </c>
      <c r="BG38">
        <v>106.62</v>
      </c>
      <c r="BH38">
        <v>206.15</v>
      </c>
      <c r="BI38">
        <v>1307.97</v>
      </c>
      <c r="BJ38">
        <v>5262.37</v>
      </c>
    </row>
    <row r="39" spans="1:62" hidden="1" x14ac:dyDescent="0.25">
      <c r="A39" s="46" t="s">
        <v>189</v>
      </c>
      <c r="B39" s="44">
        <v>45778</v>
      </c>
      <c r="C39" t="s">
        <v>78</v>
      </c>
      <c r="D39" t="s">
        <v>187</v>
      </c>
      <c r="E39" t="s">
        <v>188</v>
      </c>
      <c r="F39" t="s">
        <v>96</v>
      </c>
      <c r="G39" t="s">
        <v>97</v>
      </c>
      <c r="H39" s="10">
        <v>45261</v>
      </c>
      <c r="J39" t="s">
        <v>525</v>
      </c>
      <c r="K39" t="s">
        <v>508</v>
      </c>
      <c r="L39">
        <v>2925.98</v>
      </c>
      <c r="M39">
        <v>2925.98</v>
      </c>
      <c r="N39">
        <v>0</v>
      </c>
      <c r="O39">
        <f t="shared" si="0"/>
        <v>2925.98</v>
      </c>
      <c r="P39">
        <v>0</v>
      </c>
      <c r="Q39">
        <v>585.20000000000005</v>
      </c>
      <c r="R39">
        <v>0</v>
      </c>
      <c r="S39">
        <v>0</v>
      </c>
      <c r="T39">
        <v>0</v>
      </c>
      <c r="U39" s="45">
        <v>0</v>
      </c>
      <c r="V39">
        <v>0</v>
      </c>
      <c r="W39">
        <v>357.5</v>
      </c>
      <c r="X39">
        <v>68.75</v>
      </c>
      <c r="Y39">
        <v>0</v>
      </c>
      <c r="Z39">
        <v>0</v>
      </c>
      <c r="AA39">
        <v>0</v>
      </c>
      <c r="AB39">
        <v>0</v>
      </c>
      <c r="AC39">
        <v>0</v>
      </c>
      <c r="AD39">
        <v>3937.43</v>
      </c>
      <c r="AE39">
        <v>0</v>
      </c>
      <c r="AF39">
        <v>156.57</v>
      </c>
      <c r="AG39">
        <v>0</v>
      </c>
      <c r="AH39">
        <v>0</v>
      </c>
      <c r="AI39">
        <v>0</v>
      </c>
      <c r="AJ39">
        <v>0</v>
      </c>
      <c r="AK39">
        <v>10.09</v>
      </c>
      <c r="AL39">
        <v>0</v>
      </c>
      <c r="AM39">
        <v>0</v>
      </c>
      <c r="AN39">
        <v>400</v>
      </c>
      <c r="AO39">
        <v>190</v>
      </c>
      <c r="AP39">
        <v>0</v>
      </c>
      <c r="AQ39">
        <v>0</v>
      </c>
      <c r="AR39">
        <v>205.06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961.72</v>
      </c>
      <c r="AY39">
        <v>0</v>
      </c>
      <c r="AZ39">
        <v>0</v>
      </c>
      <c r="BA39">
        <v>0</v>
      </c>
      <c r="BB39">
        <v>4899.1499999999996</v>
      </c>
      <c r="BC39">
        <v>0</v>
      </c>
      <c r="BD39">
        <v>4402.8900000000003</v>
      </c>
      <c r="BE39">
        <v>314.99</v>
      </c>
      <c r="BF39">
        <v>787.49</v>
      </c>
      <c r="BG39">
        <v>118.12</v>
      </c>
      <c r="BH39">
        <v>228.37</v>
      </c>
      <c r="BI39">
        <v>1448.97</v>
      </c>
      <c r="BJ39">
        <v>6348.12</v>
      </c>
    </row>
    <row r="40" spans="1:62" hidden="1" x14ac:dyDescent="0.25">
      <c r="A40" s="46" t="s">
        <v>526</v>
      </c>
      <c r="B40" s="44">
        <v>45778</v>
      </c>
      <c r="C40" t="s">
        <v>78</v>
      </c>
      <c r="D40" t="s">
        <v>193</v>
      </c>
      <c r="E40" t="s">
        <v>194</v>
      </c>
      <c r="F40" t="s">
        <v>195</v>
      </c>
      <c r="G40" t="s">
        <v>317</v>
      </c>
      <c r="H40" s="10">
        <v>45580</v>
      </c>
      <c r="K40" t="s">
        <v>197</v>
      </c>
      <c r="L40">
        <v>2208</v>
      </c>
      <c r="M40">
        <v>2208</v>
      </c>
      <c r="N40">
        <v>0</v>
      </c>
      <c r="O40">
        <f t="shared" si="0"/>
        <v>2208</v>
      </c>
      <c r="P40">
        <v>0</v>
      </c>
      <c r="Q40">
        <v>0</v>
      </c>
      <c r="R40">
        <v>0</v>
      </c>
      <c r="S40">
        <v>0</v>
      </c>
      <c r="T40">
        <v>0</v>
      </c>
      <c r="U40" s="45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2208</v>
      </c>
      <c r="AE40">
        <v>0</v>
      </c>
      <c r="AF40">
        <v>0</v>
      </c>
      <c r="AG40">
        <v>0</v>
      </c>
      <c r="AH40">
        <v>0</v>
      </c>
      <c r="AI40">
        <v>589</v>
      </c>
      <c r="AJ40">
        <v>0</v>
      </c>
      <c r="AK40">
        <v>0</v>
      </c>
      <c r="AL40">
        <v>0</v>
      </c>
      <c r="AM40">
        <v>0</v>
      </c>
      <c r="AN40">
        <v>200</v>
      </c>
      <c r="AO40">
        <v>190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979</v>
      </c>
      <c r="AY40">
        <v>0</v>
      </c>
      <c r="AZ40">
        <v>0</v>
      </c>
      <c r="BA40">
        <v>0</v>
      </c>
      <c r="BB40">
        <v>3187</v>
      </c>
      <c r="BC40">
        <v>0</v>
      </c>
      <c r="BD40">
        <v>1698.35</v>
      </c>
      <c r="BE40">
        <v>176.64</v>
      </c>
      <c r="BF40">
        <v>441.6</v>
      </c>
      <c r="BG40">
        <v>33.119999999999997</v>
      </c>
      <c r="BH40">
        <v>128.06</v>
      </c>
      <c r="BI40">
        <v>779.42</v>
      </c>
      <c r="BJ40">
        <v>3966.42</v>
      </c>
    </row>
    <row r="41" spans="1:62" hidden="1" x14ac:dyDescent="0.25">
      <c r="A41" s="46" t="s">
        <v>466</v>
      </c>
      <c r="B41" s="44">
        <v>45778</v>
      </c>
      <c r="C41" t="s">
        <v>78</v>
      </c>
      <c r="D41" t="s">
        <v>199</v>
      </c>
      <c r="E41" t="s">
        <v>200</v>
      </c>
      <c r="F41" t="s">
        <v>81</v>
      </c>
      <c r="G41" t="s">
        <v>244</v>
      </c>
      <c r="H41" s="10">
        <v>44650</v>
      </c>
      <c r="J41" t="s">
        <v>245</v>
      </c>
      <c r="K41" t="s">
        <v>468</v>
      </c>
      <c r="L41">
        <v>2972.34</v>
      </c>
      <c r="M41">
        <v>2972.34</v>
      </c>
      <c r="N41">
        <v>0</v>
      </c>
      <c r="O41">
        <f t="shared" si="0"/>
        <v>2972.34</v>
      </c>
      <c r="P41">
        <v>0</v>
      </c>
      <c r="Q41">
        <v>0</v>
      </c>
      <c r="R41">
        <v>0</v>
      </c>
      <c r="S41">
        <v>0</v>
      </c>
      <c r="T41">
        <v>1188.94</v>
      </c>
      <c r="U41" s="45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4161.28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200</v>
      </c>
      <c r="AO41">
        <v>190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390</v>
      </c>
      <c r="AY41">
        <v>0</v>
      </c>
      <c r="AZ41">
        <v>0</v>
      </c>
      <c r="BA41">
        <v>0</v>
      </c>
      <c r="BB41">
        <v>4551.28</v>
      </c>
      <c r="BC41">
        <v>0</v>
      </c>
      <c r="BD41">
        <v>4019.58</v>
      </c>
      <c r="BE41">
        <v>332.9</v>
      </c>
      <c r="BF41">
        <v>832.26</v>
      </c>
      <c r="BG41">
        <v>124.83</v>
      </c>
      <c r="BH41">
        <v>241.35</v>
      </c>
      <c r="BI41">
        <v>1531.34</v>
      </c>
      <c r="BJ41">
        <v>6082.62</v>
      </c>
    </row>
    <row r="42" spans="1:62" hidden="1" x14ac:dyDescent="0.25">
      <c r="A42" s="46" t="s">
        <v>198</v>
      </c>
      <c r="B42" s="44">
        <v>45778</v>
      </c>
      <c r="C42" t="s">
        <v>78</v>
      </c>
      <c r="D42" t="s">
        <v>199</v>
      </c>
      <c r="E42" t="s">
        <v>200</v>
      </c>
      <c r="F42" t="s">
        <v>201</v>
      </c>
      <c r="G42" t="s">
        <v>202</v>
      </c>
      <c r="H42" s="10">
        <v>43692</v>
      </c>
      <c r="J42" t="s">
        <v>204</v>
      </c>
      <c r="K42" t="s">
        <v>527</v>
      </c>
      <c r="L42">
        <v>3435.55</v>
      </c>
      <c r="M42">
        <v>3435.55</v>
      </c>
      <c r="N42">
        <v>0</v>
      </c>
      <c r="O42">
        <f t="shared" si="0"/>
        <v>3435.55</v>
      </c>
      <c r="P42">
        <v>0</v>
      </c>
      <c r="Q42">
        <v>0</v>
      </c>
      <c r="R42">
        <v>0</v>
      </c>
      <c r="S42">
        <v>0</v>
      </c>
      <c r="T42">
        <v>0</v>
      </c>
      <c r="U42" s="45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3435.55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200</v>
      </c>
      <c r="AO42">
        <v>190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390</v>
      </c>
      <c r="AY42">
        <v>0</v>
      </c>
      <c r="AZ42">
        <v>0</v>
      </c>
      <c r="BA42">
        <v>0</v>
      </c>
      <c r="BB42">
        <v>3825.55</v>
      </c>
      <c r="BC42">
        <v>0</v>
      </c>
      <c r="BD42">
        <v>1294.8800000000001</v>
      </c>
      <c r="BE42">
        <v>274.83999999999997</v>
      </c>
      <c r="BF42">
        <v>687.11</v>
      </c>
      <c r="BG42">
        <v>103.06</v>
      </c>
      <c r="BH42">
        <v>199.26</v>
      </c>
      <c r="BI42">
        <v>1264.27</v>
      </c>
      <c r="BJ42">
        <v>5089.82</v>
      </c>
    </row>
    <row r="43" spans="1:62" hidden="1" x14ac:dyDescent="0.25">
      <c r="A43" s="46" t="s">
        <v>206</v>
      </c>
      <c r="B43" s="44">
        <v>45778</v>
      </c>
      <c r="C43" t="s">
        <v>78</v>
      </c>
      <c r="D43" t="s">
        <v>199</v>
      </c>
      <c r="E43" t="s">
        <v>200</v>
      </c>
      <c r="F43" t="s">
        <v>81</v>
      </c>
      <c r="G43" t="s">
        <v>207</v>
      </c>
      <c r="H43" s="10">
        <v>45552</v>
      </c>
      <c r="K43" t="s">
        <v>209</v>
      </c>
      <c r="L43">
        <v>2500</v>
      </c>
      <c r="M43">
        <v>2500</v>
      </c>
      <c r="N43">
        <v>0</v>
      </c>
      <c r="O43">
        <f t="shared" si="0"/>
        <v>2500</v>
      </c>
      <c r="P43">
        <v>0</v>
      </c>
      <c r="Q43">
        <v>0</v>
      </c>
      <c r="R43">
        <v>0</v>
      </c>
      <c r="S43">
        <v>0</v>
      </c>
      <c r="T43">
        <v>0</v>
      </c>
      <c r="U43" s="45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2500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200</v>
      </c>
      <c r="AO43">
        <v>190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390</v>
      </c>
      <c r="AY43">
        <v>0</v>
      </c>
      <c r="AZ43">
        <v>0</v>
      </c>
      <c r="BA43">
        <v>0</v>
      </c>
      <c r="BB43">
        <v>2890</v>
      </c>
      <c r="BC43">
        <v>0</v>
      </c>
      <c r="BD43">
        <v>1895.77</v>
      </c>
      <c r="BE43">
        <v>200</v>
      </c>
      <c r="BF43">
        <v>500</v>
      </c>
      <c r="BG43">
        <v>75</v>
      </c>
      <c r="BH43">
        <v>145</v>
      </c>
      <c r="BI43">
        <v>920</v>
      </c>
      <c r="BJ43">
        <v>3810</v>
      </c>
    </row>
    <row r="44" spans="1:62" hidden="1" x14ac:dyDescent="0.25">
      <c r="A44" s="46" t="s">
        <v>528</v>
      </c>
      <c r="B44" s="44">
        <v>45778</v>
      </c>
      <c r="C44" t="s">
        <v>78</v>
      </c>
      <c r="D44" t="s">
        <v>199</v>
      </c>
      <c r="E44" t="s">
        <v>200</v>
      </c>
      <c r="F44" t="s">
        <v>195</v>
      </c>
      <c r="G44" t="s">
        <v>195</v>
      </c>
      <c r="H44" s="10">
        <v>45561</v>
      </c>
      <c r="K44" t="s">
        <v>212</v>
      </c>
      <c r="L44">
        <v>1979.25</v>
      </c>
      <c r="M44">
        <v>1979.25</v>
      </c>
      <c r="N44">
        <v>0</v>
      </c>
      <c r="O44">
        <f t="shared" si="0"/>
        <v>1979.25</v>
      </c>
      <c r="P44">
        <v>0</v>
      </c>
      <c r="Q44">
        <v>0</v>
      </c>
      <c r="R44">
        <v>0</v>
      </c>
      <c r="S44">
        <v>0</v>
      </c>
      <c r="T44">
        <v>0</v>
      </c>
      <c r="U44" s="45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1979.25</v>
      </c>
      <c r="AE44">
        <v>0</v>
      </c>
      <c r="AF44">
        <v>0</v>
      </c>
      <c r="AG44">
        <v>0</v>
      </c>
      <c r="AH44">
        <v>338.64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200</v>
      </c>
      <c r="AO44">
        <v>190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728.64</v>
      </c>
      <c r="AY44">
        <v>0</v>
      </c>
      <c r="AZ44">
        <v>0</v>
      </c>
      <c r="BA44">
        <v>0</v>
      </c>
      <c r="BB44">
        <v>2707.89</v>
      </c>
      <c r="BC44">
        <v>0</v>
      </c>
      <c r="BD44">
        <v>2546.23</v>
      </c>
      <c r="BE44">
        <v>158.34</v>
      </c>
      <c r="BF44">
        <v>395.85</v>
      </c>
      <c r="BG44">
        <v>59.37</v>
      </c>
      <c r="BH44">
        <v>114.79</v>
      </c>
      <c r="BI44">
        <v>728.35</v>
      </c>
      <c r="BJ44">
        <v>3436.24</v>
      </c>
    </row>
    <row r="45" spans="1:62" hidden="1" x14ac:dyDescent="0.25">
      <c r="A45" s="46" t="s">
        <v>210</v>
      </c>
      <c r="B45" s="44">
        <v>45778</v>
      </c>
      <c r="C45" t="s">
        <v>78</v>
      </c>
      <c r="D45" t="s">
        <v>199</v>
      </c>
      <c r="E45" t="s">
        <v>200</v>
      </c>
      <c r="F45" t="s">
        <v>195</v>
      </c>
      <c r="G45" t="s">
        <v>195</v>
      </c>
      <c r="H45" s="10">
        <v>45628</v>
      </c>
      <c r="J45" t="s">
        <v>211</v>
      </c>
      <c r="K45" t="s">
        <v>212</v>
      </c>
      <c r="L45">
        <v>1979.25</v>
      </c>
      <c r="M45">
        <v>1979.25</v>
      </c>
      <c r="N45">
        <v>0</v>
      </c>
      <c r="O45">
        <f t="shared" si="0"/>
        <v>1979.25</v>
      </c>
      <c r="P45">
        <v>0</v>
      </c>
      <c r="Q45">
        <v>0</v>
      </c>
      <c r="R45">
        <v>0</v>
      </c>
      <c r="S45">
        <v>0</v>
      </c>
      <c r="T45">
        <v>0</v>
      </c>
      <c r="U45" s="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1979.25</v>
      </c>
      <c r="AE45">
        <v>0</v>
      </c>
      <c r="AF45">
        <v>0</v>
      </c>
      <c r="AG45">
        <v>0</v>
      </c>
      <c r="AH45">
        <v>338.64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200</v>
      </c>
      <c r="AO45">
        <v>190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728.64</v>
      </c>
      <c r="AY45">
        <v>0</v>
      </c>
      <c r="AZ45">
        <v>0</v>
      </c>
      <c r="BA45">
        <v>0</v>
      </c>
      <c r="BB45">
        <v>2707.89</v>
      </c>
      <c r="BC45">
        <v>0</v>
      </c>
      <c r="BD45">
        <v>2552.5300000000002</v>
      </c>
      <c r="BE45">
        <v>158.34</v>
      </c>
      <c r="BF45">
        <v>395.85</v>
      </c>
      <c r="BG45">
        <v>59.37</v>
      </c>
      <c r="BH45">
        <v>114.79</v>
      </c>
      <c r="BI45">
        <v>728.35</v>
      </c>
      <c r="BJ45">
        <v>3436.24</v>
      </c>
    </row>
    <row r="46" spans="1:62" hidden="1" x14ac:dyDescent="0.25">
      <c r="A46" s="46" t="s">
        <v>213</v>
      </c>
      <c r="B46" s="44">
        <v>45778</v>
      </c>
      <c r="C46" t="s">
        <v>78</v>
      </c>
      <c r="D46" t="s">
        <v>199</v>
      </c>
      <c r="E46" t="s">
        <v>200</v>
      </c>
      <c r="F46" t="s">
        <v>81</v>
      </c>
      <c r="G46" t="s">
        <v>230</v>
      </c>
      <c r="H46" s="10">
        <v>43678</v>
      </c>
      <c r="J46" t="s">
        <v>208</v>
      </c>
      <c r="K46" t="s">
        <v>214</v>
      </c>
      <c r="L46">
        <v>3500</v>
      </c>
      <c r="M46">
        <v>3500</v>
      </c>
      <c r="N46">
        <v>0</v>
      </c>
      <c r="O46">
        <f t="shared" si="0"/>
        <v>3500</v>
      </c>
      <c r="P46">
        <v>0</v>
      </c>
      <c r="Q46">
        <v>0</v>
      </c>
      <c r="R46">
        <v>0</v>
      </c>
      <c r="S46">
        <v>0</v>
      </c>
      <c r="T46">
        <v>0</v>
      </c>
      <c r="U46" s="45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3500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100</v>
      </c>
      <c r="AM46">
        <v>0</v>
      </c>
      <c r="AN46">
        <v>200</v>
      </c>
      <c r="AO46">
        <v>190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490</v>
      </c>
      <c r="AY46">
        <v>0</v>
      </c>
      <c r="AZ46">
        <v>0</v>
      </c>
      <c r="BA46">
        <v>0</v>
      </c>
      <c r="BB46">
        <v>3990</v>
      </c>
      <c r="BC46">
        <v>0</v>
      </c>
      <c r="BD46">
        <v>3621.84</v>
      </c>
      <c r="BE46">
        <v>280</v>
      </c>
      <c r="BF46">
        <v>700</v>
      </c>
      <c r="BG46">
        <v>105</v>
      </c>
      <c r="BH46">
        <v>203</v>
      </c>
      <c r="BI46">
        <v>1288</v>
      </c>
      <c r="BJ46">
        <v>5278</v>
      </c>
    </row>
    <row r="47" spans="1:62" hidden="1" x14ac:dyDescent="0.25">
      <c r="A47" s="46" t="s">
        <v>215</v>
      </c>
      <c r="B47" s="44">
        <v>45778</v>
      </c>
      <c r="C47" t="s">
        <v>78</v>
      </c>
      <c r="D47" t="s">
        <v>199</v>
      </c>
      <c r="E47" t="s">
        <v>200</v>
      </c>
      <c r="F47" t="s">
        <v>195</v>
      </c>
      <c r="G47" t="s">
        <v>195</v>
      </c>
      <c r="H47" s="10">
        <v>44397</v>
      </c>
      <c r="J47" t="s">
        <v>211</v>
      </c>
      <c r="K47" t="s">
        <v>216</v>
      </c>
      <c r="L47">
        <v>3360</v>
      </c>
      <c r="M47">
        <v>3360</v>
      </c>
      <c r="N47">
        <v>0</v>
      </c>
      <c r="O47">
        <f t="shared" si="0"/>
        <v>3360</v>
      </c>
      <c r="P47">
        <v>0</v>
      </c>
      <c r="Q47">
        <v>0</v>
      </c>
      <c r="R47">
        <v>0</v>
      </c>
      <c r="S47">
        <v>0</v>
      </c>
      <c r="T47">
        <v>0</v>
      </c>
      <c r="U47" s="45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3360</v>
      </c>
      <c r="AE47">
        <v>0</v>
      </c>
      <c r="AF47">
        <v>0</v>
      </c>
      <c r="AG47">
        <v>0</v>
      </c>
      <c r="AH47">
        <v>338.64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200</v>
      </c>
      <c r="AO47">
        <v>190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728.64</v>
      </c>
      <c r="AY47">
        <v>0</v>
      </c>
      <c r="AZ47">
        <v>0</v>
      </c>
      <c r="BA47">
        <v>0</v>
      </c>
      <c r="BB47">
        <v>4088.64</v>
      </c>
      <c r="BC47">
        <v>0</v>
      </c>
      <c r="BD47">
        <v>3331.79</v>
      </c>
      <c r="BE47">
        <v>268.8</v>
      </c>
      <c r="BF47">
        <v>672</v>
      </c>
      <c r="BG47">
        <v>100.8</v>
      </c>
      <c r="BH47">
        <v>194.88</v>
      </c>
      <c r="BI47">
        <v>1236.48</v>
      </c>
      <c r="BJ47">
        <v>5325.12</v>
      </c>
    </row>
    <row r="48" spans="1:62" hidden="1" x14ac:dyDescent="0.25">
      <c r="A48" s="46" t="s">
        <v>217</v>
      </c>
      <c r="B48" s="44">
        <v>45778</v>
      </c>
      <c r="C48" t="s">
        <v>78</v>
      </c>
      <c r="D48" t="s">
        <v>199</v>
      </c>
      <c r="E48" t="s">
        <v>200</v>
      </c>
      <c r="F48" t="s">
        <v>81</v>
      </c>
      <c r="G48" t="s">
        <v>218</v>
      </c>
      <c r="H48" s="10">
        <v>44410</v>
      </c>
      <c r="J48" t="s">
        <v>219</v>
      </c>
      <c r="K48" t="s">
        <v>529</v>
      </c>
      <c r="L48">
        <v>3500</v>
      </c>
      <c r="M48">
        <v>3500</v>
      </c>
      <c r="N48">
        <v>0</v>
      </c>
      <c r="O48">
        <f t="shared" si="0"/>
        <v>3500</v>
      </c>
      <c r="P48">
        <v>0</v>
      </c>
      <c r="Q48">
        <v>0</v>
      </c>
      <c r="R48">
        <v>0</v>
      </c>
      <c r="S48">
        <v>0</v>
      </c>
      <c r="T48">
        <v>0</v>
      </c>
      <c r="U48" s="45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3500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200</v>
      </c>
      <c r="AO48">
        <v>190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390</v>
      </c>
      <c r="AY48">
        <v>0</v>
      </c>
      <c r="AZ48">
        <v>0</v>
      </c>
      <c r="BA48">
        <v>0</v>
      </c>
      <c r="BB48">
        <v>3890</v>
      </c>
      <c r="BC48">
        <v>0</v>
      </c>
      <c r="BD48">
        <v>2616.6</v>
      </c>
      <c r="BE48">
        <v>280</v>
      </c>
      <c r="BF48">
        <v>700</v>
      </c>
      <c r="BG48">
        <v>105</v>
      </c>
      <c r="BH48">
        <v>203</v>
      </c>
      <c r="BI48">
        <v>1288</v>
      </c>
      <c r="BJ48">
        <v>5178</v>
      </c>
    </row>
    <row r="49" spans="1:62" hidden="1" x14ac:dyDescent="0.25">
      <c r="A49" s="46" t="s">
        <v>221</v>
      </c>
      <c r="B49" s="44">
        <v>45778</v>
      </c>
      <c r="C49" t="s">
        <v>78</v>
      </c>
      <c r="D49" t="s">
        <v>199</v>
      </c>
      <c r="E49" t="s">
        <v>200</v>
      </c>
      <c r="F49" t="s">
        <v>201</v>
      </c>
      <c r="G49" t="s">
        <v>222</v>
      </c>
      <c r="H49" s="10">
        <v>44271</v>
      </c>
      <c r="J49" t="s">
        <v>204</v>
      </c>
      <c r="K49" t="s">
        <v>112</v>
      </c>
      <c r="L49">
        <v>3500</v>
      </c>
      <c r="M49">
        <v>3500</v>
      </c>
      <c r="N49">
        <v>0</v>
      </c>
      <c r="O49">
        <f t="shared" si="0"/>
        <v>3500</v>
      </c>
      <c r="P49">
        <v>0</v>
      </c>
      <c r="Q49">
        <v>0</v>
      </c>
      <c r="R49">
        <v>0</v>
      </c>
      <c r="S49">
        <v>0</v>
      </c>
      <c r="T49">
        <v>0</v>
      </c>
      <c r="U49" s="45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3500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200</v>
      </c>
      <c r="AO49">
        <v>190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390</v>
      </c>
      <c r="AY49">
        <v>0</v>
      </c>
      <c r="AZ49">
        <v>0</v>
      </c>
      <c r="BA49">
        <v>0</v>
      </c>
      <c r="BB49">
        <v>3890</v>
      </c>
      <c r="BC49">
        <v>0</v>
      </c>
      <c r="BD49">
        <v>2376.6</v>
      </c>
      <c r="BE49">
        <v>280</v>
      </c>
      <c r="BF49">
        <v>700</v>
      </c>
      <c r="BG49">
        <v>105</v>
      </c>
      <c r="BH49">
        <v>203</v>
      </c>
      <c r="BI49">
        <v>1288</v>
      </c>
      <c r="BJ49">
        <v>5178</v>
      </c>
    </row>
    <row r="50" spans="1:62" hidden="1" x14ac:dyDescent="0.25">
      <c r="A50" s="46" t="s">
        <v>224</v>
      </c>
      <c r="B50" s="44">
        <v>45778</v>
      </c>
      <c r="C50" t="s">
        <v>78</v>
      </c>
      <c r="D50" t="s">
        <v>199</v>
      </c>
      <c r="E50" t="s">
        <v>200</v>
      </c>
      <c r="F50" t="s">
        <v>195</v>
      </c>
      <c r="G50" t="s">
        <v>195</v>
      </c>
      <c r="H50" s="10">
        <v>45301</v>
      </c>
      <c r="J50" t="s">
        <v>447</v>
      </c>
      <c r="K50" t="s">
        <v>212</v>
      </c>
      <c r="L50">
        <v>1979.25</v>
      </c>
      <c r="M50">
        <v>1979.25</v>
      </c>
      <c r="N50">
        <v>0</v>
      </c>
      <c r="O50">
        <f t="shared" si="0"/>
        <v>1979.25</v>
      </c>
      <c r="P50">
        <v>0</v>
      </c>
      <c r="Q50">
        <v>0</v>
      </c>
      <c r="R50">
        <v>0</v>
      </c>
      <c r="S50">
        <v>0</v>
      </c>
      <c r="T50">
        <v>0</v>
      </c>
      <c r="U50" s="45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1979.25</v>
      </c>
      <c r="AE50">
        <v>0</v>
      </c>
      <c r="AF50">
        <v>0</v>
      </c>
      <c r="AG50">
        <v>0</v>
      </c>
      <c r="AH50">
        <v>338.64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200</v>
      </c>
      <c r="AO50">
        <v>190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728.64</v>
      </c>
      <c r="AY50">
        <v>0</v>
      </c>
      <c r="AZ50">
        <v>0</v>
      </c>
      <c r="BA50">
        <v>0</v>
      </c>
      <c r="BB50">
        <v>2707.89</v>
      </c>
      <c r="BC50">
        <v>0</v>
      </c>
      <c r="BD50">
        <v>2552.5300000000002</v>
      </c>
      <c r="BE50">
        <v>158.34</v>
      </c>
      <c r="BF50">
        <v>395.85</v>
      </c>
      <c r="BG50">
        <v>59.37</v>
      </c>
      <c r="BH50">
        <v>114.79</v>
      </c>
      <c r="BI50">
        <v>728.35</v>
      </c>
      <c r="BJ50">
        <v>3436.24</v>
      </c>
    </row>
    <row r="51" spans="1:62" hidden="1" x14ac:dyDescent="0.25">
      <c r="A51" s="46" t="s">
        <v>227</v>
      </c>
      <c r="B51" s="44">
        <v>45778</v>
      </c>
      <c r="C51" t="s">
        <v>78</v>
      </c>
      <c r="D51" t="s">
        <v>199</v>
      </c>
      <c r="E51" t="s">
        <v>200</v>
      </c>
      <c r="F51" t="s">
        <v>81</v>
      </c>
      <c r="G51" t="s">
        <v>218</v>
      </c>
      <c r="H51" s="10">
        <v>45562</v>
      </c>
      <c r="K51" t="s">
        <v>228</v>
      </c>
      <c r="L51">
        <v>2500</v>
      </c>
      <c r="M51">
        <v>2500</v>
      </c>
      <c r="N51">
        <v>0</v>
      </c>
      <c r="O51">
        <f t="shared" si="0"/>
        <v>2500</v>
      </c>
      <c r="P51">
        <v>0</v>
      </c>
      <c r="Q51">
        <v>0</v>
      </c>
      <c r="R51">
        <v>0</v>
      </c>
      <c r="S51">
        <v>0</v>
      </c>
      <c r="T51">
        <v>0</v>
      </c>
      <c r="U51" s="45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2500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200</v>
      </c>
      <c r="AO51">
        <v>190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390</v>
      </c>
      <c r="AY51">
        <v>0</v>
      </c>
      <c r="AZ51">
        <v>0</v>
      </c>
      <c r="BA51">
        <v>0</v>
      </c>
      <c r="BB51">
        <v>2890</v>
      </c>
      <c r="BC51">
        <v>0</v>
      </c>
      <c r="BD51">
        <v>1895.77</v>
      </c>
      <c r="BE51">
        <v>200</v>
      </c>
      <c r="BF51">
        <v>500</v>
      </c>
      <c r="BG51">
        <v>75</v>
      </c>
      <c r="BH51">
        <v>145</v>
      </c>
      <c r="BI51">
        <v>920</v>
      </c>
      <c r="BJ51">
        <v>3810</v>
      </c>
    </row>
    <row r="52" spans="1:62" hidden="1" x14ac:dyDescent="0.25">
      <c r="A52" s="46" t="s">
        <v>530</v>
      </c>
      <c r="B52" s="44">
        <v>45778</v>
      </c>
      <c r="C52" t="s">
        <v>123</v>
      </c>
      <c r="D52" t="s">
        <v>199</v>
      </c>
      <c r="E52" t="s">
        <v>200</v>
      </c>
      <c r="F52" t="s">
        <v>195</v>
      </c>
      <c r="G52" t="s">
        <v>195</v>
      </c>
      <c r="H52" s="10">
        <v>45496</v>
      </c>
      <c r="K52" t="s">
        <v>125</v>
      </c>
      <c r="L52">
        <v>1000</v>
      </c>
      <c r="M52">
        <v>0</v>
      </c>
      <c r="N52">
        <v>0</v>
      </c>
      <c r="O52">
        <f t="shared" si="0"/>
        <v>0</v>
      </c>
      <c r="P52">
        <v>0</v>
      </c>
      <c r="Q52">
        <v>0</v>
      </c>
      <c r="R52">
        <v>0</v>
      </c>
      <c r="S52">
        <v>0</v>
      </c>
      <c r="T52">
        <v>0</v>
      </c>
      <c r="U52" s="45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1200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 hidden="1" x14ac:dyDescent="0.25">
      <c r="A53" s="46" t="s">
        <v>531</v>
      </c>
      <c r="B53" s="44">
        <v>45778</v>
      </c>
      <c r="C53" t="s">
        <v>123</v>
      </c>
      <c r="D53" t="s">
        <v>199</v>
      </c>
      <c r="E53" t="s">
        <v>200</v>
      </c>
      <c r="F53" t="s">
        <v>81</v>
      </c>
      <c r="G53" t="s">
        <v>230</v>
      </c>
      <c r="H53" s="10">
        <v>45566</v>
      </c>
      <c r="K53" t="s">
        <v>250</v>
      </c>
      <c r="L53">
        <v>1000</v>
      </c>
      <c r="M53">
        <v>0</v>
      </c>
      <c r="N53">
        <v>0</v>
      </c>
      <c r="O53">
        <f t="shared" si="0"/>
        <v>0</v>
      </c>
      <c r="P53">
        <v>0</v>
      </c>
      <c r="Q53">
        <v>0</v>
      </c>
      <c r="R53">
        <v>0</v>
      </c>
      <c r="S53">
        <v>0</v>
      </c>
      <c r="T53">
        <v>0</v>
      </c>
      <c r="U53" s="45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1200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 hidden="1" x14ac:dyDescent="0.25">
      <c r="A54" s="46" t="s">
        <v>532</v>
      </c>
      <c r="B54" s="44">
        <v>45778</v>
      </c>
      <c r="C54" t="s">
        <v>123</v>
      </c>
      <c r="D54" t="s">
        <v>199</v>
      </c>
      <c r="E54" t="s">
        <v>200</v>
      </c>
      <c r="F54" t="s">
        <v>195</v>
      </c>
      <c r="G54" t="s">
        <v>195</v>
      </c>
      <c r="H54" s="10">
        <v>45597</v>
      </c>
      <c r="I54" s="10">
        <v>45807</v>
      </c>
      <c r="K54" t="s">
        <v>247</v>
      </c>
      <c r="L54">
        <v>1000</v>
      </c>
      <c r="M54">
        <v>0</v>
      </c>
      <c r="N54">
        <v>0</v>
      </c>
      <c r="O54">
        <f t="shared" si="0"/>
        <v>0</v>
      </c>
      <c r="P54">
        <v>0</v>
      </c>
      <c r="Q54">
        <v>0</v>
      </c>
      <c r="R54">
        <v>0</v>
      </c>
      <c r="S54">
        <v>0</v>
      </c>
      <c r="T54">
        <v>0</v>
      </c>
      <c r="U54" s="45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1583.33</v>
      </c>
      <c r="AZ54">
        <v>0</v>
      </c>
      <c r="BA54">
        <v>1583.33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 x14ac:dyDescent="0.25">
      <c r="A55" s="46" t="s">
        <v>533</v>
      </c>
      <c r="B55" s="44">
        <v>45778</v>
      </c>
      <c r="C55" t="s">
        <v>123</v>
      </c>
      <c r="D55" t="s">
        <v>199</v>
      </c>
      <c r="E55" t="s">
        <v>200</v>
      </c>
      <c r="F55" t="s">
        <v>81</v>
      </c>
      <c r="G55" t="s">
        <v>244</v>
      </c>
      <c r="H55" s="10">
        <v>45782</v>
      </c>
      <c r="I55" s="10">
        <v>45797</v>
      </c>
      <c r="J55" t="s">
        <v>245</v>
      </c>
      <c r="K55" t="s">
        <v>242</v>
      </c>
      <c r="L55">
        <v>1000</v>
      </c>
      <c r="M55">
        <v>0</v>
      </c>
      <c r="N55">
        <v>0</v>
      </c>
      <c r="O55">
        <f t="shared" si="0"/>
        <v>0</v>
      </c>
      <c r="P55">
        <v>0</v>
      </c>
      <c r="Q55">
        <v>0</v>
      </c>
      <c r="R55">
        <v>0</v>
      </c>
      <c r="S55">
        <v>0</v>
      </c>
      <c r="T55">
        <v>0</v>
      </c>
      <c r="U55" s="4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583.33000000000004</v>
      </c>
      <c r="AZ55">
        <v>0</v>
      </c>
      <c r="BA55">
        <v>583.33000000000004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 hidden="1" x14ac:dyDescent="0.25">
      <c r="A56" s="46" t="s">
        <v>534</v>
      </c>
      <c r="B56" s="44">
        <v>45778</v>
      </c>
      <c r="C56" t="s">
        <v>123</v>
      </c>
      <c r="D56" t="s">
        <v>199</v>
      </c>
      <c r="E56" t="s">
        <v>200</v>
      </c>
      <c r="F56" t="s">
        <v>81</v>
      </c>
      <c r="G56" t="s">
        <v>97</v>
      </c>
      <c r="H56" s="10">
        <v>45733</v>
      </c>
      <c r="J56" t="s">
        <v>535</v>
      </c>
      <c r="K56" t="s">
        <v>536</v>
      </c>
      <c r="L56">
        <v>1000</v>
      </c>
      <c r="M56">
        <v>0</v>
      </c>
      <c r="N56">
        <v>0</v>
      </c>
      <c r="O56">
        <f t="shared" si="0"/>
        <v>0</v>
      </c>
      <c r="P56">
        <v>0</v>
      </c>
      <c r="Q56">
        <v>0</v>
      </c>
      <c r="R56">
        <v>0</v>
      </c>
      <c r="S56">
        <v>0</v>
      </c>
      <c r="T56">
        <v>0</v>
      </c>
      <c r="U56" s="45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1000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 x14ac:dyDescent="0.25">
      <c r="A57" s="46" t="s">
        <v>239</v>
      </c>
      <c r="B57" s="44">
        <v>45778</v>
      </c>
      <c r="C57" t="s">
        <v>123</v>
      </c>
      <c r="D57" t="s">
        <v>199</v>
      </c>
      <c r="E57" t="s">
        <v>200</v>
      </c>
      <c r="F57" t="s">
        <v>81</v>
      </c>
      <c r="G57" t="s">
        <v>537</v>
      </c>
      <c r="H57" s="10">
        <v>45790</v>
      </c>
      <c r="J57" t="s">
        <v>241</v>
      </c>
      <c r="K57" t="s">
        <v>242</v>
      </c>
      <c r="L57">
        <v>1000</v>
      </c>
      <c r="M57">
        <v>0</v>
      </c>
      <c r="N57">
        <v>0</v>
      </c>
      <c r="O57">
        <f t="shared" si="0"/>
        <v>0</v>
      </c>
      <c r="P57">
        <v>0</v>
      </c>
      <c r="Q57">
        <v>0</v>
      </c>
      <c r="R57">
        <v>0</v>
      </c>
      <c r="S57">
        <v>0</v>
      </c>
      <c r="T57">
        <v>0</v>
      </c>
      <c r="U57" s="45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833.33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 x14ac:dyDescent="0.25">
      <c r="A58" s="46" t="s">
        <v>236</v>
      </c>
      <c r="B58" s="44">
        <v>45778</v>
      </c>
      <c r="C58" t="s">
        <v>123</v>
      </c>
      <c r="D58" t="s">
        <v>199</v>
      </c>
      <c r="E58" t="s">
        <v>200</v>
      </c>
      <c r="F58" t="s">
        <v>195</v>
      </c>
      <c r="G58" t="s">
        <v>195</v>
      </c>
      <c r="H58" s="10">
        <v>45796</v>
      </c>
      <c r="J58" t="s">
        <v>454</v>
      </c>
      <c r="K58" t="s">
        <v>247</v>
      </c>
      <c r="L58">
        <v>1000</v>
      </c>
      <c r="M58">
        <v>0</v>
      </c>
      <c r="N58">
        <v>0</v>
      </c>
      <c r="O58">
        <f t="shared" si="0"/>
        <v>0</v>
      </c>
      <c r="P58">
        <v>0</v>
      </c>
      <c r="Q58">
        <v>0</v>
      </c>
      <c r="R58">
        <v>0</v>
      </c>
      <c r="S58">
        <v>0</v>
      </c>
      <c r="T58">
        <v>0</v>
      </c>
      <c r="U58" s="45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633.33000000000004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 x14ac:dyDescent="0.25">
      <c r="A59" s="46" t="s">
        <v>256</v>
      </c>
      <c r="B59" s="44">
        <v>45778</v>
      </c>
      <c r="C59" t="s">
        <v>123</v>
      </c>
      <c r="D59" t="s">
        <v>199</v>
      </c>
      <c r="E59" t="s">
        <v>200</v>
      </c>
      <c r="F59" t="s">
        <v>201</v>
      </c>
      <c r="G59" t="s">
        <v>202</v>
      </c>
      <c r="H59" s="10">
        <v>45796</v>
      </c>
      <c r="J59" t="s">
        <v>204</v>
      </c>
      <c r="K59" t="s">
        <v>242</v>
      </c>
      <c r="L59">
        <v>1000</v>
      </c>
      <c r="M59">
        <v>0</v>
      </c>
      <c r="N59">
        <v>0</v>
      </c>
      <c r="O59">
        <f t="shared" si="0"/>
        <v>0</v>
      </c>
      <c r="P59">
        <v>0</v>
      </c>
      <c r="Q59">
        <v>0</v>
      </c>
      <c r="R59">
        <v>0</v>
      </c>
      <c r="S59">
        <v>0</v>
      </c>
      <c r="T59">
        <v>0</v>
      </c>
      <c r="U59" s="45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433.33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 hidden="1" x14ac:dyDescent="0.25">
      <c r="A60" s="46" t="s">
        <v>271</v>
      </c>
      <c r="B60" s="44">
        <v>45778</v>
      </c>
      <c r="C60" t="s">
        <v>78</v>
      </c>
      <c r="D60" t="s">
        <v>272</v>
      </c>
      <c r="E60" t="s">
        <v>273</v>
      </c>
      <c r="F60" t="s">
        <v>87</v>
      </c>
      <c r="G60" t="s">
        <v>88</v>
      </c>
      <c r="H60" s="10">
        <v>45237</v>
      </c>
      <c r="J60" t="s">
        <v>184</v>
      </c>
      <c r="K60" t="s">
        <v>504</v>
      </c>
      <c r="L60">
        <v>1856.8</v>
      </c>
      <c r="M60">
        <v>1856.8</v>
      </c>
      <c r="N60">
        <v>0</v>
      </c>
      <c r="O60">
        <f t="shared" si="0"/>
        <v>1856.8</v>
      </c>
      <c r="P60">
        <v>0</v>
      </c>
      <c r="Q60">
        <v>0</v>
      </c>
      <c r="R60">
        <v>0</v>
      </c>
      <c r="S60">
        <v>0</v>
      </c>
      <c r="T60">
        <v>0</v>
      </c>
      <c r="U60" s="45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1856.8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156.5</v>
      </c>
      <c r="AL60">
        <v>0</v>
      </c>
      <c r="AM60">
        <v>0</v>
      </c>
      <c r="AN60">
        <v>200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356.5</v>
      </c>
      <c r="AY60">
        <v>0</v>
      </c>
      <c r="AZ60">
        <v>0</v>
      </c>
      <c r="BA60">
        <v>0</v>
      </c>
      <c r="BB60">
        <v>2213.3000000000002</v>
      </c>
      <c r="BC60">
        <v>0</v>
      </c>
      <c r="BD60">
        <v>1325.96</v>
      </c>
      <c r="BE60">
        <v>148.54</v>
      </c>
      <c r="BF60">
        <v>371.36</v>
      </c>
      <c r="BG60">
        <v>87.78</v>
      </c>
      <c r="BH60">
        <v>107.69</v>
      </c>
      <c r="BI60">
        <v>715.37</v>
      </c>
      <c r="BJ60">
        <v>2928.67</v>
      </c>
    </row>
    <row r="61" spans="1:62" hidden="1" x14ac:dyDescent="0.25">
      <c r="A61" s="46" t="s">
        <v>275</v>
      </c>
      <c r="B61" s="44">
        <v>45778</v>
      </c>
      <c r="C61" t="s">
        <v>78</v>
      </c>
      <c r="D61" t="s">
        <v>272</v>
      </c>
      <c r="E61" t="s">
        <v>273</v>
      </c>
      <c r="F61" t="s">
        <v>81</v>
      </c>
      <c r="G61" t="s">
        <v>82</v>
      </c>
      <c r="H61" s="10">
        <v>45733</v>
      </c>
      <c r="J61" t="s">
        <v>276</v>
      </c>
      <c r="K61" t="s">
        <v>538</v>
      </c>
      <c r="L61">
        <v>2025.07</v>
      </c>
      <c r="M61">
        <v>2025.07</v>
      </c>
      <c r="N61">
        <v>0</v>
      </c>
      <c r="O61">
        <f t="shared" si="0"/>
        <v>2025.07</v>
      </c>
      <c r="P61">
        <v>0</v>
      </c>
      <c r="Q61">
        <v>0</v>
      </c>
      <c r="R61">
        <v>0</v>
      </c>
      <c r="S61">
        <v>0</v>
      </c>
      <c r="T61">
        <v>0</v>
      </c>
      <c r="U61" s="45">
        <v>0</v>
      </c>
      <c r="V61">
        <v>0</v>
      </c>
      <c r="W61">
        <v>18.79</v>
      </c>
      <c r="X61">
        <v>3.61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2047.47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156.5</v>
      </c>
      <c r="AL61">
        <v>0</v>
      </c>
      <c r="AM61">
        <v>0</v>
      </c>
      <c r="AN61">
        <v>200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356.5</v>
      </c>
      <c r="AY61">
        <v>0</v>
      </c>
      <c r="AZ61">
        <v>0</v>
      </c>
      <c r="BA61">
        <v>0</v>
      </c>
      <c r="BB61">
        <v>2403.9699999999998</v>
      </c>
      <c r="BC61">
        <v>0</v>
      </c>
      <c r="BD61">
        <v>1390.97</v>
      </c>
      <c r="BE61">
        <v>163.79</v>
      </c>
      <c r="BF61">
        <v>409.49</v>
      </c>
      <c r="BG61">
        <v>96.8</v>
      </c>
      <c r="BH61">
        <v>118.75</v>
      </c>
      <c r="BI61">
        <v>788.83</v>
      </c>
      <c r="BJ61">
        <v>3192.8</v>
      </c>
    </row>
    <row r="62" spans="1:62" hidden="1" x14ac:dyDescent="0.25">
      <c r="A62" s="46" t="s">
        <v>278</v>
      </c>
      <c r="B62" s="44">
        <v>45778</v>
      </c>
      <c r="C62" t="s">
        <v>78</v>
      </c>
      <c r="D62" t="s">
        <v>272</v>
      </c>
      <c r="E62" t="s">
        <v>273</v>
      </c>
      <c r="F62" t="s">
        <v>87</v>
      </c>
      <c r="G62" t="s">
        <v>88</v>
      </c>
      <c r="H62" s="10">
        <v>44630</v>
      </c>
      <c r="J62" t="s">
        <v>184</v>
      </c>
      <c r="K62" t="s">
        <v>539</v>
      </c>
      <c r="L62">
        <v>2964.89</v>
      </c>
      <c r="M62">
        <v>2964.89</v>
      </c>
      <c r="N62">
        <v>0</v>
      </c>
      <c r="O62">
        <f t="shared" si="0"/>
        <v>2964.89</v>
      </c>
      <c r="P62">
        <v>0</v>
      </c>
      <c r="Q62">
        <v>592.98</v>
      </c>
      <c r="R62">
        <v>0</v>
      </c>
      <c r="S62">
        <v>889.47</v>
      </c>
      <c r="T62">
        <v>0</v>
      </c>
      <c r="U62" s="45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4447.34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156.5</v>
      </c>
      <c r="AL62">
        <v>0</v>
      </c>
      <c r="AM62">
        <v>0</v>
      </c>
      <c r="AN62">
        <v>200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356.5</v>
      </c>
      <c r="AY62">
        <v>0</v>
      </c>
      <c r="AZ62">
        <v>0</v>
      </c>
      <c r="BA62">
        <v>0</v>
      </c>
      <c r="BB62">
        <v>4803.84</v>
      </c>
      <c r="BC62">
        <v>0</v>
      </c>
      <c r="BD62">
        <v>4458.09</v>
      </c>
      <c r="BE62">
        <v>355.78</v>
      </c>
      <c r="BF62">
        <v>889.47</v>
      </c>
      <c r="BG62">
        <v>210.27</v>
      </c>
      <c r="BH62">
        <v>257.94</v>
      </c>
      <c r="BI62">
        <v>1713.46</v>
      </c>
      <c r="BJ62">
        <v>6517.3</v>
      </c>
    </row>
    <row r="63" spans="1:62" hidden="1" x14ac:dyDescent="0.25">
      <c r="A63" s="46" t="s">
        <v>281</v>
      </c>
      <c r="B63" s="44">
        <v>45778</v>
      </c>
      <c r="C63" t="s">
        <v>78</v>
      </c>
      <c r="D63" t="s">
        <v>282</v>
      </c>
      <c r="E63" t="s">
        <v>283</v>
      </c>
      <c r="F63" t="s">
        <v>87</v>
      </c>
      <c r="G63" t="s">
        <v>88</v>
      </c>
      <c r="H63" s="10">
        <v>44700</v>
      </c>
      <c r="J63" t="s">
        <v>147</v>
      </c>
      <c r="K63" t="s">
        <v>539</v>
      </c>
      <c r="L63">
        <v>2964.89</v>
      </c>
      <c r="M63">
        <v>2964.89</v>
      </c>
      <c r="N63">
        <v>0</v>
      </c>
      <c r="O63">
        <f t="shared" si="0"/>
        <v>2964.89</v>
      </c>
      <c r="P63">
        <v>0</v>
      </c>
      <c r="Q63">
        <v>592.98</v>
      </c>
      <c r="R63">
        <v>0</v>
      </c>
      <c r="S63">
        <v>889.47</v>
      </c>
      <c r="T63">
        <v>0</v>
      </c>
      <c r="U63" s="45">
        <v>0</v>
      </c>
      <c r="V63">
        <v>0</v>
      </c>
      <c r="W63">
        <v>1115.8699999999999</v>
      </c>
      <c r="X63">
        <v>214.59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5777.8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390.42</v>
      </c>
      <c r="AL63">
        <v>0</v>
      </c>
      <c r="AM63">
        <v>0</v>
      </c>
      <c r="AN63">
        <v>200</v>
      </c>
      <c r="AO63">
        <v>0</v>
      </c>
      <c r="AP63">
        <v>0</v>
      </c>
      <c r="AQ63">
        <v>0</v>
      </c>
      <c r="AR63">
        <v>457.5</v>
      </c>
      <c r="AS63">
        <v>0</v>
      </c>
      <c r="AT63">
        <v>1368.65</v>
      </c>
      <c r="AU63">
        <v>0</v>
      </c>
      <c r="AV63">
        <v>0</v>
      </c>
      <c r="AW63">
        <v>0</v>
      </c>
      <c r="AX63">
        <v>2416.5700000000002</v>
      </c>
      <c r="AY63">
        <v>0</v>
      </c>
      <c r="AZ63">
        <v>0</v>
      </c>
      <c r="BA63">
        <v>0</v>
      </c>
      <c r="BB63">
        <v>8194.3700000000008</v>
      </c>
      <c r="BC63">
        <v>0</v>
      </c>
      <c r="BD63">
        <v>4531.13</v>
      </c>
      <c r="BE63">
        <v>462.22</v>
      </c>
      <c r="BF63">
        <v>1155.56</v>
      </c>
      <c r="BG63">
        <v>86.66</v>
      </c>
      <c r="BH63">
        <v>335.11</v>
      </c>
      <c r="BI63">
        <v>2039.55</v>
      </c>
      <c r="BJ63">
        <v>10233.92</v>
      </c>
    </row>
    <row r="64" spans="1:62" hidden="1" x14ac:dyDescent="0.25">
      <c r="A64" s="46" t="s">
        <v>540</v>
      </c>
      <c r="B64" s="44">
        <v>45778</v>
      </c>
      <c r="C64" t="s">
        <v>78</v>
      </c>
      <c r="D64" t="s">
        <v>282</v>
      </c>
      <c r="E64" t="s">
        <v>283</v>
      </c>
      <c r="F64" t="s">
        <v>81</v>
      </c>
      <c r="G64" t="s">
        <v>82</v>
      </c>
      <c r="H64" s="10">
        <v>44769</v>
      </c>
      <c r="J64" t="s">
        <v>285</v>
      </c>
      <c r="K64" t="s">
        <v>541</v>
      </c>
      <c r="L64">
        <v>2006.73</v>
      </c>
      <c r="M64">
        <v>1806.06</v>
      </c>
      <c r="N64">
        <v>200.67</v>
      </c>
      <c r="O64">
        <f t="shared" si="0"/>
        <v>2006.73</v>
      </c>
      <c r="P64">
        <v>0</v>
      </c>
      <c r="Q64">
        <v>0</v>
      </c>
      <c r="R64">
        <v>0</v>
      </c>
      <c r="S64">
        <v>0</v>
      </c>
      <c r="T64">
        <v>0</v>
      </c>
      <c r="U64" s="45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180.61</v>
      </c>
      <c r="AC64">
        <v>0</v>
      </c>
      <c r="AD64">
        <v>2187.34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390.42</v>
      </c>
      <c r="AL64">
        <v>0</v>
      </c>
      <c r="AM64">
        <v>0</v>
      </c>
      <c r="AN64">
        <v>200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590.41999999999996</v>
      </c>
      <c r="AY64">
        <v>0</v>
      </c>
      <c r="AZ64">
        <v>0</v>
      </c>
      <c r="BA64">
        <v>0</v>
      </c>
      <c r="BB64">
        <v>2777.76</v>
      </c>
      <c r="BC64">
        <v>0</v>
      </c>
      <c r="BD64">
        <v>1800.67</v>
      </c>
      <c r="BE64">
        <v>174.98</v>
      </c>
      <c r="BF64">
        <v>437.47</v>
      </c>
      <c r="BG64">
        <v>32.81</v>
      </c>
      <c r="BH64">
        <v>126.86</v>
      </c>
      <c r="BI64">
        <v>772.12</v>
      </c>
      <c r="BJ64">
        <v>3549.88</v>
      </c>
    </row>
    <row r="65" spans="1:62" hidden="1" x14ac:dyDescent="0.25">
      <c r="A65" s="46" t="s">
        <v>146</v>
      </c>
      <c r="B65" s="44">
        <v>45778</v>
      </c>
      <c r="C65" t="s">
        <v>78</v>
      </c>
      <c r="D65" t="s">
        <v>282</v>
      </c>
      <c r="E65" t="s">
        <v>283</v>
      </c>
      <c r="F65" t="s">
        <v>87</v>
      </c>
      <c r="G65" t="s">
        <v>88</v>
      </c>
      <c r="H65" s="10">
        <v>44964</v>
      </c>
      <c r="I65" s="10">
        <v>45808</v>
      </c>
      <c r="J65" t="s">
        <v>147</v>
      </c>
      <c r="K65" t="s">
        <v>92</v>
      </c>
      <c r="L65">
        <v>2236.4899999999998</v>
      </c>
      <c r="M65">
        <v>2236.4899999999998</v>
      </c>
      <c r="N65">
        <v>0</v>
      </c>
      <c r="O65">
        <f t="shared" si="0"/>
        <v>2236.4899999999998</v>
      </c>
      <c r="P65">
        <v>0</v>
      </c>
      <c r="Q65">
        <v>447.3</v>
      </c>
      <c r="R65">
        <v>0</v>
      </c>
      <c r="S65">
        <v>0</v>
      </c>
      <c r="T65">
        <v>0</v>
      </c>
      <c r="U65" s="45">
        <v>0</v>
      </c>
      <c r="V65">
        <v>0</v>
      </c>
      <c r="W65">
        <v>978.53</v>
      </c>
      <c r="X65">
        <v>188.18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3850.5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390.42</v>
      </c>
      <c r="AL65">
        <v>0</v>
      </c>
      <c r="AM65">
        <v>0</v>
      </c>
      <c r="AN65">
        <v>200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590.41999999999996</v>
      </c>
      <c r="AY65">
        <v>0</v>
      </c>
      <c r="AZ65">
        <v>0</v>
      </c>
      <c r="BA65">
        <v>0</v>
      </c>
      <c r="BB65">
        <v>4440.92</v>
      </c>
      <c r="BC65">
        <v>0</v>
      </c>
      <c r="BD65">
        <v>3176.77</v>
      </c>
      <c r="BE65">
        <v>308.04000000000002</v>
      </c>
      <c r="BF65">
        <v>770.1</v>
      </c>
      <c r="BG65">
        <v>57.75</v>
      </c>
      <c r="BH65">
        <v>223.32</v>
      </c>
      <c r="BI65">
        <v>1359.21</v>
      </c>
      <c r="BJ65">
        <v>5800.13</v>
      </c>
    </row>
    <row r="66" spans="1:62" hidden="1" x14ac:dyDescent="0.25">
      <c r="A66" s="46" t="s">
        <v>286</v>
      </c>
      <c r="B66" s="44">
        <v>45778</v>
      </c>
      <c r="C66" t="s">
        <v>78</v>
      </c>
      <c r="D66" t="s">
        <v>282</v>
      </c>
      <c r="E66" t="s">
        <v>283</v>
      </c>
      <c r="F66" t="s">
        <v>81</v>
      </c>
      <c r="G66" t="s">
        <v>82</v>
      </c>
      <c r="H66" s="10">
        <v>45376</v>
      </c>
      <c r="J66" t="s">
        <v>285</v>
      </c>
      <c r="K66" t="s">
        <v>541</v>
      </c>
      <c r="L66">
        <v>2006.73</v>
      </c>
      <c r="M66">
        <v>2006.73</v>
      </c>
      <c r="N66">
        <v>0</v>
      </c>
      <c r="O66">
        <f t="shared" si="0"/>
        <v>2006.73</v>
      </c>
      <c r="P66">
        <v>0</v>
      </c>
      <c r="Q66">
        <v>0</v>
      </c>
      <c r="R66">
        <v>0</v>
      </c>
      <c r="S66">
        <v>0</v>
      </c>
      <c r="T66">
        <v>0</v>
      </c>
      <c r="U66" s="45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2006.73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390.42</v>
      </c>
      <c r="AL66">
        <v>0</v>
      </c>
      <c r="AM66">
        <v>0</v>
      </c>
      <c r="AN66">
        <v>200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590.41999999999996</v>
      </c>
      <c r="AY66">
        <v>0</v>
      </c>
      <c r="AZ66">
        <v>0</v>
      </c>
      <c r="BA66">
        <v>0</v>
      </c>
      <c r="BB66">
        <v>2597.15</v>
      </c>
      <c r="BC66">
        <v>0</v>
      </c>
      <c r="BD66">
        <v>1636.32</v>
      </c>
      <c r="BE66">
        <v>160.53</v>
      </c>
      <c r="BF66">
        <v>401.35</v>
      </c>
      <c r="BG66">
        <v>30.1</v>
      </c>
      <c r="BH66">
        <v>116.39</v>
      </c>
      <c r="BI66">
        <v>708.37</v>
      </c>
      <c r="BJ66">
        <v>3305.52</v>
      </c>
    </row>
    <row r="67" spans="1:62" hidden="1" x14ac:dyDescent="0.25">
      <c r="A67" s="46" t="s">
        <v>287</v>
      </c>
      <c r="B67" s="44">
        <v>45778</v>
      </c>
      <c r="C67" t="s">
        <v>78</v>
      </c>
      <c r="D67" t="s">
        <v>282</v>
      </c>
      <c r="E67" t="s">
        <v>283</v>
      </c>
      <c r="F67" t="s">
        <v>87</v>
      </c>
      <c r="G67" t="s">
        <v>88</v>
      </c>
      <c r="H67" s="10">
        <v>45733</v>
      </c>
      <c r="J67" t="s">
        <v>147</v>
      </c>
      <c r="K67" t="s">
        <v>542</v>
      </c>
      <c r="L67">
        <v>1746.88</v>
      </c>
      <c r="M67">
        <v>1746.88</v>
      </c>
      <c r="N67">
        <v>0</v>
      </c>
      <c r="O67">
        <f t="shared" ref="O67:O104" si="1">M67+N67</f>
        <v>1746.88</v>
      </c>
      <c r="P67">
        <v>0</v>
      </c>
      <c r="Q67">
        <v>0</v>
      </c>
      <c r="R67">
        <v>0</v>
      </c>
      <c r="S67">
        <v>0</v>
      </c>
      <c r="T67">
        <v>0</v>
      </c>
      <c r="U67" s="45">
        <v>0</v>
      </c>
      <c r="V67">
        <v>0</v>
      </c>
      <c r="W67">
        <v>439.93</v>
      </c>
      <c r="X67">
        <v>84.6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2271.41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390.42</v>
      </c>
      <c r="AL67">
        <v>0</v>
      </c>
      <c r="AM67">
        <v>0</v>
      </c>
      <c r="AN67">
        <v>200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590.41999999999996</v>
      </c>
      <c r="AY67">
        <v>0</v>
      </c>
      <c r="AZ67">
        <v>0</v>
      </c>
      <c r="BA67">
        <v>0</v>
      </c>
      <c r="BB67">
        <v>2861.83</v>
      </c>
      <c r="BC67">
        <v>0</v>
      </c>
      <c r="BD67">
        <v>1981.18</v>
      </c>
      <c r="BE67">
        <v>181.71</v>
      </c>
      <c r="BF67">
        <v>454.28</v>
      </c>
      <c r="BG67">
        <v>34.07</v>
      </c>
      <c r="BH67">
        <v>131.74</v>
      </c>
      <c r="BI67">
        <v>801.8</v>
      </c>
      <c r="BJ67">
        <v>3663.63</v>
      </c>
    </row>
    <row r="68" spans="1:62" hidden="1" x14ac:dyDescent="0.25">
      <c r="A68" s="46" t="s">
        <v>290</v>
      </c>
      <c r="B68" s="44">
        <v>45778</v>
      </c>
      <c r="C68" t="s">
        <v>78</v>
      </c>
      <c r="D68" t="s">
        <v>291</v>
      </c>
      <c r="E68" t="s">
        <v>292</v>
      </c>
      <c r="F68" t="s">
        <v>81</v>
      </c>
      <c r="G68" t="s">
        <v>293</v>
      </c>
      <c r="H68" s="10">
        <v>40672</v>
      </c>
      <c r="K68" t="s">
        <v>294</v>
      </c>
      <c r="L68">
        <v>1979.25</v>
      </c>
      <c r="M68">
        <v>0</v>
      </c>
      <c r="N68">
        <v>0</v>
      </c>
      <c r="O68">
        <f t="shared" si="1"/>
        <v>0</v>
      </c>
      <c r="P68">
        <v>0</v>
      </c>
      <c r="Q68">
        <v>0</v>
      </c>
      <c r="R68">
        <v>0</v>
      </c>
      <c r="S68">
        <v>0</v>
      </c>
      <c r="T68">
        <v>0</v>
      </c>
      <c r="U68" s="45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 hidden="1" x14ac:dyDescent="0.25">
      <c r="A69" s="46" t="s">
        <v>295</v>
      </c>
      <c r="B69" s="44">
        <v>45778</v>
      </c>
      <c r="C69" t="s">
        <v>78</v>
      </c>
      <c r="D69" t="s">
        <v>291</v>
      </c>
      <c r="E69" t="s">
        <v>292</v>
      </c>
      <c r="F69" t="s">
        <v>96</v>
      </c>
      <c r="G69" t="s">
        <v>97</v>
      </c>
      <c r="H69" s="10">
        <v>41074</v>
      </c>
      <c r="K69" t="s">
        <v>543</v>
      </c>
      <c r="L69">
        <v>2394.67</v>
      </c>
      <c r="M69">
        <v>0</v>
      </c>
      <c r="N69">
        <v>0</v>
      </c>
      <c r="O69">
        <f t="shared" si="1"/>
        <v>0</v>
      </c>
      <c r="P69">
        <v>0</v>
      </c>
      <c r="Q69">
        <v>0</v>
      </c>
      <c r="R69">
        <v>0</v>
      </c>
      <c r="S69">
        <v>0</v>
      </c>
      <c r="T69">
        <v>0</v>
      </c>
      <c r="U69" s="45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 hidden="1" x14ac:dyDescent="0.25">
      <c r="A70" s="46" t="s">
        <v>118</v>
      </c>
      <c r="B70" s="44">
        <v>45778</v>
      </c>
      <c r="C70" t="s">
        <v>78</v>
      </c>
      <c r="D70" t="s">
        <v>291</v>
      </c>
      <c r="E70" t="s">
        <v>292</v>
      </c>
      <c r="F70" t="s">
        <v>87</v>
      </c>
      <c r="G70" t="s">
        <v>88</v>
      </c>
      <c r="H70" s="10">
        <v>43790</v>
      </c>
      <c r="J70" t="s">
        <v>119</v>
      </c>
      <c r="K70" t="s">
        <v>92</v>
      </c>
      <c r="L70">
        <v>2462.25</v>
      </c>
      <c r="M70">
        <v>2462.25</v>
      </c>
      <c r="N70">
        <v>0</v>
      </c>
      <c r="O70">
        <f t="shared" si="1"/>
        <v>2462.25</v>
      </c>
      <c r="P70">
        <v>0</v>
      </c>
      <c r="Q70">
        <v>492.45</v>
      </c>
      <c r="R70">
        <v>0</v>
      </c>
      <c r="S70">
        <v>0</v>
      </c>
      <c r="T70">
        <v>0</v>
      </c>
      <c r="U70" s="45">
        <v>123.11</v>
      </c>
      <c r="V70">
        <v>0</v>
      </c>
      <c r="W70">
        <v>1734.76</v>
      </c>
      <c r="X70">
        <v>333.61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5146.18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523.20000000000005</v>
      </c>
      <c r="AL70">
        <v>0</v>
      </c>
      <c r="AM70">
        <v>0</v>
      </c>
      <c r="AN70">
        <v>200</v>
      </c>
      <c r="AO70">
        <v>190</v>
      </c>
      <c r="AP70">
        <v>0</v>
      </c>
      <c r="AQ70">
        <v>0</v>
      </c>
      <c r="AR70">
        <v>185.9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1099.0999999999999</v>
      </c>
      <c r="AY70">
        <v>0</v>
      </c>
      <c r="AZ70">
        <v>0</v>
      </c>
      <c r="BA70">
        <v>0</v>
      </c>
      <c r="BB70">
        <v>6245.28</v>
      </c>
      <c r="BC70">
        <v>0</v>
      </c>
      <c r="BD70">
        <v>4278.32</v>
      </c>
      <c r="BE70">
        <v>411.69</v>
      </c>
      <c r="BF70">
        <v>1029.24</v>
      </c>
      <c r="BG70">
        <v>77.19</v>
      </c>
      <c r="BH70">
        <v>298.47000000000003</v>
      </c>
      <c r="BI70">
        <v>1816.59</v>
      </c>
      <c r="BJ70">
        <v>8061.87</v>
      </c>
    </row>
    <row r="71" spans="1:62" hidden="1" x14ac:dyDescent="0.25">
      <c r="A71" s="46" t="s">
        <v>296</v>
      </c>
      <c r="B71" s="44">
        <v>45778</v>
      </c>
      <c r="C71" t="s">
        <v>78</v>
      </c>
      <c r="D71" t="s">
        <v>291</v>
      </c>
      <c r="E71" t="s">
        <v>292</v>
      </c>
      <c r="F71" t="s">
        <v>87</v>
      </c>
      <c r="G71" t="s">
        <v>88</v>
      </c>
      <c r="H71" s="10">
        <v>44166</v>
      </c>
      <c r="J71" t="s">
        <v>101</v>
      </c>
      <c r="K71" t="s">
        <v>297</v>
      </c>
      <c r="L71">
        <v>3000</v>
      </c>
      <c r="M71">
        <v>3000</v>
      </c>
      <c r="N71">
        <v>0</v>
      </c>
      <c r="O71">
        <f t="shared" si="1"/>
        <v>3000</v>
      </c>
      <c r="P71">
        <v>0</v>
      </c>
      <c r="Q71">
        <v>600</v>
      </c>
      <c r="R71">
        <v>0</v>
      </c>
      <c r="S71">
        <v>900</v>
      </c>
      <c r="T71">
        <v>0</v>
      </c>
      <c r="U71" s="45">
        <v>0</v>
      </c>
      <c r="V71">
        <v>0</v>
      </c>
      <c r="W71">
        <v>850.91</v>
      </c>
      <c r="X71">
        <v>163.63999999999999</v>
      </c>
      <c r="Y71">
        <v>0</v>
      </c>
      <c r="Z71">
        <v>0</v>
      </c>
      <c r="AA71">
        <v>0</v>
      </c>
      <c r="AB71">
        <v>0</v>
      </c>
      <c r="AC71">
        <v>0</v>
      </c>
      <c r="AD71">
        <v>5514.55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523.20000000000005</v>
      </c>
      <c r="AL71">
        <v>900</v>
      </c>
      <c r="AM71">
        <v>0</v>
      </c>
      <c r="AN71">
        <v>200</v>
      </c>
      <c r="AO71">
        <v>190</v>
      </c>
      <c r="AP71">
        <v>0</v>
      </c>
      <c r="AQ71">
        <v>0</v>
      </c>
      <c r="AR71">
        <v>185.9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1999.1</v>
      </c>
      <c r="AY71">
        <v>0</v>
      </c>
      <c r="AZ71">
        <v>0</v>
      </c>
      <c r="BA71">
        <v>0</v>
      </c>
      <c r="BB71">
        <v>7513.65</v>
      </c>
      <c r="BC71">
        <v>0</v>
      </c>
      <c r="BD71">
        <v>4553.96</v>
      </c>
      <c r="BE71">
        <v>441.16</v>
      </c>
      <c r="BF71">
        <v>1102.9100000000001</v>
      </c>
      <c r="BG71">
        <v>82.71</v>
      </c>
      <c r="BH71">
        <v>319.83999999999997</v>
      </c>
      <c r="BI71">
        <v>1946.62</v>
      </c>
      <c r="BJ71">
        <v>9460.27</v>
      </c>
    </row>
    <row r="72" spans="1:62" hidden="1" x14ac:dyDescent="0.25">
      <c r="A72" s="46" t="s">
        <v>298</v>
      </c>
      <c r="B72" s="44">
        <v>45778</v>
      </c>
      <c r="C72" t="s">
        <v>78</v>
      </c>
      <c r="D72" t="s">
        <v>291</v>
      </c>
      <c r="E72" t="s">
        <v>292</v>
      </c>
      <c r="F72" t="s">
        <v>81</v>
      </c>
      <c r="G72" t="s">
        <v>544</v>
      </c>
      <c r="H72" s="10">
        <v>45600</v>
      </c>
      <c r="K72" t="s">
        <v>299</v>
      </c>
      <c r="L72">
        <v>1745.1</v>
      </c>
      <c r="M72">
        <v>1745.1</v>
      </c>
      <c r="N72">
        <v>0</v>
      </c>
      <c r="O72">
        <f t="shared" si="1"/>
        <v>1745.1</v>
      </c>
      <c r="P72">
        <v>0</v>
      </c>
      <c r="Q72">
        <v>0</v>
      </c>
      <c r="R72">
        <v>0</v>
      </c>
      <c r="S72">
        <v>0</v>
      </c>
      <c r="T72">
        <v>0</v>
      </c>
      <c r="U72" s="45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1745.1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200</v>
      </c>
      <c r="AO72">
        <v>190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390</v>
      </c>
      <c r="AY72">
        <v>0</v>
      </c>
      <c r="AZ72">
        <v>0</v>
      </c>
      <c r="BA72">
        <v>0</v>
      </c>
      <c r="BB72">
        <v>2135.1</v>
      </c>
      <c r="BC72">
        <v>0</v>
      </c>
      <c r="BD72">
        <v>1301.82</v>
      </c>
      <c r="BE72">
        <v>139.6</v>
      </c>
      <c r="BF72">
        <v>349.02</v>
      </c>
      <c r="BG72">
        <v>26.17</v>
      </c>
      <c r="BH72">
        <v>101.21</v>
      </c>
      <c r="BI72">
        <v>616</v>
      </c>
      <c r="BJ72">
        <v>2751.1</v>
      </c>
    </row>
    <row r="73" spans="1:62" hidden="1" x14ac:dyDescent="0.25">
      <c r="A73" s="46" t="s">
        <v>300</v>
      </c>
      <c r="B73" s="44">
        <v>45778</v>
      </c>
      <c r="C73" t="s">
        <v>78</v>
      </c>
      <c r="D73" t="s">
        <v>291</v>
      </c>
      <c r="E73" t="s">
        <v>292</v>
      </c>
      <c r="F73" t="s">
        <v>87</v>
      </c>
      <c r="G73" t="s">
        <v>88</v>
      </c>
      <c r="H73" s="10">
        <v>40118</v>
      </c>
      <c r="J73" t="s">
        <v>101</v>
      </c>
      <c r="K73" t="s">
        <v>504</v>
      </c>
      <c r="L73">
        <v>2265.4499999999998</v>
      </c>
      <c r="M73">
        <v>2265.4499999999998</v>
      </c>
      <c r="N73">
        <v>0</v>
      </c>
      <c r="O73">
        <f t="shared" si="1"/>
        <v>2265.4499999999998</v>
      </c>
      <c r="P73">
        <v>0</v>
      </c>
      <c r="Q73">
        <v>0</v>
      </c>
      <c r="R73">
        <v>0</v>
      </c>
      <c r="S73">
        <v>0</v>
      </c>
      <c r="T73">
        <v>0</v>
      </c>
      <c r="U73" s="45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2465.4499999999998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523.20000000000005</v>
      </c>
      <c r="AL73">
        <v>200</v>
      </c>
      <c r="AM73">
        <v>0</v>
      </c>
      <c r="AN73">
        <v>600</v>
      </c>
      <c r="AO73">
        <v>190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1513.2</v>
      </c>
      <c r="AY73">
        <v>0</v>
      </c>
      <c r="AZ73">
        <v>0</v>
      </c>
      <c r="BA73">
        <v>0</v>
      </c>
      <c r="BB73">
        <v>3978.65</v>
      </c>
      <c r="BC73">
        <v>0</v>
      </c>
      <c r="BD73">
        <v>3579.53</v>
      </c>
      <c r="BE73">
        <v>197.23</v>
      </c>
      <c r="BF73">
        <v>493.09</v>
      </c>
      <c r="BG73">
        <v>36.979999999999997</v>
      </c>
      <c r="BH73">
        <v>142.99</v>
      </c>
      <c r="BI73">
        <v>870.29</v>
      </c>
      <c r="BJ73">
        <v>4848.9399999999996</v>
      </c>
    </row>
    <row r="74" spans="1:62" hidden="1" x14ac:dyDescent="0.25">
      <c r="A74" s="46" t="s">
        <v>301</v>
      </c>
      <c r="B74" s="44">
        <v>45778</v>
      </c>
      <c r="C74" t="s">
        <v>78</v>
      </c>
      <c r="D74" t="s">
        <v>291</v>
      </c>
      <c r="E74" t="s">
        <v>292</v>
      </c>
      <c r="F74" t="s">
        <v>87</v>
      </c>
      <c r="G74" t="s">
        <v>88</v>
      </c>
      <c r="H74" s="10">
        <v>44228</v>
      </c>
      <c r="J74" t="s">
        <v>101</v>
      </c>
      <c r="K74" t="s">
        <v>302</v>
      </c>
      <c r="L74">
        <v>2730</v>
      </c>
      <c r="M74">
        <v>2730</v>
      </c>
      <c r="N74">
        <v>0</v>
      </c>
      <c r="O74">
        <f t="shared" si="1"/>
        <v>2730</v>
      </c>
      <c r="P74">
        <v>0</v>
      </c>
      <c r="Q74">
        <v>0</v>
      </c>
      <c r="R74">
        <v>303.60000000000002</v>
      </c>
      <c r="S74">
        <v>0</v>
      </c>
      <c r="T74">
        <v>0</v>
      </c>
      <c r="U74" s="45">
        <v>0</v>
      </c>
      <c r="V74">
        <v>6.58</v>
      </c>
      <c r="W74">
        <v>908.8</v>
      </c>
      <c r="X74">
        <v>174.77</v>
      </c>
      <c r="Y74">
        <v>0</v>
      </c>
      <c r="Z74">
        <v>0</v>
      </c>
      <c r="AA74">
        <v>0</v>
      </c>
      <c r="AB74">
        <v>0</v>
      </c>
      <c r="AC74">
        <v>0</v>
      </c>
      <c r="AD74">
        <v>4123.75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156.5</v>
      </c>
      <c r="AL74">
        <v>515</v>
      </c>
      <c r="AM74">
        <v>0</v>
      </c>
      <c r="AN74">
        <v>200</v>
      </c>
      <c r="AO74">
        <v>190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1061.5</v>
      </c>
      <c r="AY74">
        <v>0</v>
      </c>
      <c r="AZ74">
        <v>0</v>
      </c>
      <c r="BA74">
        <v>0</v>
      </c>
      <c r="BB74">
        <v>5185.25</v>
      </c>
      <c r="BC74">
        <v>0</v>
      </c>
      <c r="BD74">
        <v>2830.95</v>
      </c>
      <c r="BE74">
        <v>329.9</v>
      </c>
      <c r="BF74">
        <v>824.75</v>
      </c>
      <c r="BG74">
        <v>61.85</v>
      </c>
      <c r="BH74">
        <v>239.17</v>
      </c>
      <c r="BI74">
        <v>1455.67</v>
      </c>
      <c r="BJ74">
        <v>6640.92</v>
      </c>
    </row>
    <row r="75" spans="1:62" hidden="1" x14ac:dyDescent="0.25">
      <c r="A75" s="46" t="s">
        <v>545</v>
      </c>
      <c r="B75" s="44">
        <v>45778</v>
      </c>
      <c r="C75" t="s">
        <v>78</v>
      </c>
      <c r="D75" t="s">
        <v>291</v>
      </c>
      <c r="E75" t="s">
        <v>292</v>
      </c>
      <c r="F75" t="s">
        <v>81</v>
      </c>
      <c r="G75" t="s">
        <v>81</v>
      </c>
      <c r="H75" s="10">
        <v>42912</v>
      </c>
      <c r="J75" t="s">
        <v>234</v>
      </c>
      <c r="K75" t="s">
        <v>546</v>
      </c>
      <c r="L75">
        <v>2561.69</v>
      </c>
      <c r="M75">
        <v>2561.69</v>
      </c>
      <c r="N75">
        <v>0</v>
      </c>
      <c r="O75">
        <f t="shared" si="1"/>
        <v>2561.69</v>
      </c>
      <c r="P75">
        <v>0</v>
      </c>
      <c r="Q75">
        <v>0</v>
      </c>
      <c r="R75">
        <v>0</v>
      </c>
      <c r="S75">
        <v>0</v>
      </c>
      <c r="T75">
        <v>0</v>
      </c>
      <c r="U75" s="4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2561.69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200</v>
      </c>
      <c r="AO75">
        <v>190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390</v>
      </c>
      <c r="AY75">
        <v>0</v>
      </c>
      <c r="AZ75">
        <v>0</v>
      </c>
      <c r="BA75">
        <v>0</v>
      </c>
      <c r="BB75">
        <v>2951.69</v>
      </c>
      <c r="BC75">
        <v>0</v>
      </c>
      <c r="BD75">
        <v>1718.91</v>
      </c>
      <c r="BE75">
        <v>204.93</v>
      </c>
      <c r="BF75">
        <v>512.34</v>
      </c>
      <c r="BG75">
        <v>38.42</v>
      </c>
      <c r="BH75">
        <v>148.57</v>
      </c>
      <c r="BI75">
        <v>904.26</v>
      </c>
      <c r="BJ75">
        <v>3855.95</v>
      </c>
    </row>
    <row r="76" spans="1:62" hidden="1" x14ac:dyDescent="0.25">
      <c r="A76" s="46" t="s">
        <v>303</v>
      </c>
      <c r="B76" s="44">
        <v>45778</v>
      </c>
      <c r="C76" t="s">
        <v>78</v>
      </c>
      <c r="D76" t="s">
        <v>291</v>
      </c>
      <c r="E76" t="s">
        <v>292</v>
      </c>
      <c r="F76" t="s">
        <v>81</v>
      </c>
      <c r="G76" t="s">
        <v>82</v>
      </c>
      <c r="H76" s="10">
        <v>44635</v>
      </c>
      <c r="J76" t="s">
        <v>225</v>
      </c>
      <c r="K76" t="s">
        <v>541</v>
      </c>
      <c r="L76">
        <v>1982.7</v>
      </c>
      <c r="M76">
        <v>1982.7</v>
      </c>
      <c r="N76">
        <v>0</v>
      </c>
      <c r="O76">
        <f t="shared" si="1"/>
        <v>1982.7</v>
      </c>
      <c r="P76">
        <v>0</v>
      </c>
      <c r="Q76">
        <v>0</v>
      </c>
      <c r="R76">
        <v>0</v>
      </c>
      <c r="S76">
        <v>0</v>
      </c>
      <c r="T76">
        <v>0</v>
      </c>
      <c r="U76" s="45">
        <v>0</v>
      </c>
      <c r="V76">
        <v>0</v>
      </c>
      <c r="W76">
        <v>105.98</v>
      </c>
      <c r="X76">
        <v>20.38</v>
      </c>
      <c r="Y76">
        <v>0</v>
      </c>
      <c r="Z76">
        <v>0</v>
      </c>
      <c r="AA76">
        <v>0</v>
      </c>
      <c r="AB76">
        <v>99.14</v>
      </c>
      <c r="AC76">
        <v>0</v>
      </c>
      <c r="AD76">
        <v>2208.1999999999998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523.20000000000005</v>
      </c>
      <c r="AL76">
        <v>0</v>
      </c>
      <c r="AM76">
        <v>0</v>
      </c>
      <c r="AN76">
        <v>200</v>
      </c>
      <c r="AO76">
        <v>190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913.2</v>
      </c>
      <c r="AY76">
        <v>0</v>
      </c>
      <c r="AZ76">
        <v>0</v>
      </c>
      <c r="BA76">
        <v>0</v>
      </c>
      <c r="BB76">
        <v>3121.4</v>
      </c>
      <c r="BC76">
        <v>0</v>
      </c>
      <c r="BD76">
        <v>1553.94</v>
      </c>
      <c r="BE76">
        <v>176.65</v>
      </c>
      <c r="BF76">
        <v>441.64</v>
      </c>
      <c r="BG76">
        <v>33.119999999999997</v>
      </c>
      <c r="BH76">
        <v>128.07</v>
      </c>
      <c r="BI76">
        <v>779.48</v>
      </c>
      <c r="BJ76">
        <v>3900.88</v>
      </c>
    </row>
    <row r="77" spans="1:62" hidden="1" x14ac:dyDescent="0.25">
      <c r="A77" s="46" t="s">
        <v>304</v>
      </c>
      <c r="B77" s="44">
        <v>45778</v>
      </c>
      <c r="C77" t="s">
        <v>78</v>
      </c>
      <c r="D77" t="s">
        <v>291</v>
      </c>
      <c r="E77" t="s">
        <v>292</v>
      </c>
      <c r="F77" t="s">
        <v>81</v>
      </c>
      <c r="G77" t="s">
        <v>82</v>
      </c>
      <c r="H77" s="10">
        <v>44783</v>
      </c>
      <c r="J77" t="s">
        <v>211</v>
      </c>
      <c r="K77" t="s">
        <v>305</v>
      </c>
      <c r="L77">
        <v>2940</v>
      </c>
      <c r="M77">
        <v>2940</v>
      </c>
      <c r="N77">
        <v>0</v>
      </c>
      <c r="O77">
        <f t="shared" si="1"/>
        <v>2940</v>
      </c>
      <c r="P77">
        <v>0</v>
      </c>
      <c r="Q77">
        <v>0</v>
      </c>
      <c r="R77">
        <v>0</v>
      </c>
      <c r="S77">
        <v>0</v>
      </c>
      <c r="T77">
        <v>1176</v>
      </c>
      <c r="U77" s="45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4116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200</v>
      </c>
      <c r="AO77">
        <v>190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390</v>
      </c>
      <c r="AY77">
        <v>0</v>
      </c>
      <c r="AZ77">
        <v>0</v>
      </c>
      <c r="BA77">
        <v>0</v>
      </c>
      <c r="BB77">
        <v>4506</v>
      </c>
      <c r="BC77">
        <v>0</v>
      </c>
      <c r="BD77">
        <v>2942.68</v>
      </c>
      <c r="BE77">
        <v>329.28</v>
      </c>
      <c r="BF77">
        <v>823.2</v>
      </c>
      <c r="BG77">
        <v>61.74</v>
      </c>
      <c r="BH77">
        <v>238.72</v>
      </c>
      <c r="BI77">
        <v>1452.94</v>
      </c>
      <c r="BJ77">
        <v>5958.94</v>
      </c>
    </row>
    <row r="78" spans="1:62" hidden="1" x14ac:dyDescent="0.25">
      <c r="A78" s="46" t="s">
        <v>306</v>
      </c>
      <c r="B78" s="44">
        <v>45778</v>
      </c>
      <c r="C78" t="s">
        <v>78</v>
      </c>
      <c r="D78" t="s">
        <v>291</v>
      </c>
      <c r="E78" t="s">
        <v>292</v>
      </c>
      <c r="F78" t="s">
        <v>87</v>
      </c>
      <c r="G78" t="s">
        <v>88</v>
      </c>
      <c r="H78" s="10">
        <v>44942</v>
      </c>
      <c r="J78" t="s">
        <v>101</v>
      </c>
      <c r="K78" t="s">
        <v>547</v>
      </c>
      <c r="L78">
        <v>2799.71</v>
      </c>
      <c r="M78">
        <v>933.24</v>
      </c>
      <c r="N78">
        <v>0</v>
      </c>
      <c r="O78">
        <f t="shared" si="1"/>
        <v>933.24</v>
      </c>
      <c r="P78">
        <v>2621.09</v>
      </c>
      <c r="Q78">
        <v>0</v>
      </c>
      <c r="R78">
        <v>0</v>
      </c>
      <c r="S78">
        <v>0</v>
      </c>
      <c r="T78">
        <v>0</v>
      </c>
      <c r="U78" s="45">
        <v>0</v>
      </c>
      <c r="V78">
        <v>0</v>
      </c>
      <c r="W78">
        <v>386.87</v>
      </c>
      <c r="X78">
        <v>145.08000000000001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4086.28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523.20000000000005</v>
      </c>
      <c r="AL78">
        <v>0</v>
      </c>
      <c r="AM78">
        <v>0</v>
      </c>
      <c r="AN78">
        <v>200</v>
      </c>
      <c r="AO78">
        <v>190</v>
      </c>
      <c r="AP78">
        <v>0</v>
      </c>
      <c r="AQ78">
        <v>0</v>
      </c>
      <c r="AR78">
        <v>0</v>
      </c>
      <c r="AS78">
        <v>0</v>
      </c>
      <c r="AT78">
        <v>917.39</v>
      </c>
      <c r="AU78">
        <v>0</v>
      </c>
      <c r="AV78">
        <v>0</v>
      </c>
      <c r="AW78">
        <v>0</v>
      </c>
      <c r="AX78">
        <v>3697.06</v>
      </c>
      <c r="AY78">
        <v>0</v>
      </c>
      <c r="AZ78">
        <v>0</v>
      </c>
      <c r="BA78">
        <v>0</v>
      </c>
      <c r="BB78">
        <v>7783.34</v>
      </c>
      <c r="BC78">
        <v>0</v>
      </c>
      <c r="BD78">
        <v>2914.23</v>
      </c>
      <c r="BE78">
        <v>326.89999999999998</v>
      </c>
      <c r="BF78">
        <v>817.26</v>
      </c>
      <c r="BG78">
        <v>61.29</v>
      </c>
      <c r="BH78">
        <v>237</v>
      </c>
      <c r="BI78">
        <v>1442.45</v>
      </c>
      <c r="BJ78">
        <v>9225.7900000000009</v>
      </c>
    </row>
    <row r="79" spans="1:62" hidden="1" x14ac:dyDescent="0.25">
      <c r="A79" s="46" t="s">
        <v>307</v>
      </c>
      <c r="B79" s="44">
        <v>45778</v>
      </c>
      <c r="C79" t="s">
        <v>78</v>
      </c>
      <c r="D79" t="s">
        <v>291</v>
      </c>
      <c r="E79" t="s">
        <v>292</v>
      </c>
      <c r="F79" t="s">
        <v>87</v>
      </c>
      <c r="G79" t="s">
        <v>88</v>
      </c>
      <c r="H79" s="10">
        <v>43906</v>
      </c>
      <c r="J79" t="s">
        <v>101</v>
      </c>
      <c r="K79" t="s">
        <v>504</v>
      </c>
      <c r="L79">
        <v>1979.25</v>
      </c>
      <c r="M79">
        <v>1979.25</v>
      </c>
      <c r="N79">
        <v>0</v>
      </c>
      <c r="O79">
        <f t="shared" si="1"/>
        <v>1979.25</v>
      </c>
      <c r="P79">
        <v>0</v>
      </c>
      <c r="Q79">
        <v>0</v>
      </c>
      <c r="R79">
        <v>0</v>
      </c>
      <c r="S79">
        <v>0</v>
      </c>
      <c r="T79">
        <v>0</v>
      </c>
      <c r="U79" s="45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1979.25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523.20000000000005</v>
      </c>
      <c r="AL79">
        <v>200</v>
      </c>
      <c r="AM79">
        <v>0</v>
      </c>
      <c r="AN79">
        <v>200</v>
      </c>
      <c r="AO79">
        <v>190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1113.2</v>
      </c>
      <c r="AY79">
        <v>0</v>
      </c>
      <c r="AZ79">
        <v>0</v>
      </c>
      <c r="BA79">
        <v>0</v>
      </c>
      <c r="BB79">
        <v>3092.45</v>
      </c>
      <c r="BC79">
        <v>0</v>
      </c>
      <c r="BD79">
        <v>1618.64</v>
      </c>
      <c r="BE79">
        <v>158.34</v>
      </c>
      <c r="BF79">
        <v>395.85</v>
      </c>
      <c r="BG79">
        <v>29.68</v>
      </c>
      <c r="BH79">
        <v>114.79</v>
      </c>
      <c r="BI79">
        <v>698.66</v>
      </c>
      <c r="BJ79">
        <v>3791.11</v>
      </c>
    </row>
    <row r="80" spans="1:62" hidden="1" x14ac:dyDescent="0.25">
      <c r="A80" s="46" t="s">
        <v>548</v>
      </c>
      <c r="B80" s="44">
        <v>45778</v>
      </c>
      <c r="C80" t="s">
        <v>78</v>
      </c>
      <c r="D80" t="s">
        <v>291</v>
      </c>
      <c r="E80" t="s">
        <v>292</v>
      </c>
      <c r="F80" t="s">
        <v>87</v>
      </c>
      <c r="G80" t="s">
        <v>88</v>
      </c>
      <c r="H80" s="10">
        <v>40179</v>
      </c>
      <c r="K80" t="s">
        <v>549</v>
      </c>
      <c r="L80">
        <v>1979.25</v>
      </c>
      <c r="M80">
        <v>0</v>
      </c>
      <c r="N80">
        <v>0</v>
      </c>
      <c r="O80">
        <f t="shared" si="1"/>
        <v>0</v>
      </c>
      <c r="P80">
        <v>0</v>
      </c>
      <c r="Q80">
        <v>0</v>
      </c>
      <c r="R80">
        <v>0</v>
      </c>
      <c r="S80">
        <v>0</v>
      </c>
      <c r="T80">
        <v>0</v>
      </c>
      <c r="U80" s="45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158.34</v>
      </c>
      <c r="BF80">
        <v>0</v>
      </c>
      <c r="BG80">
        <v>0</v>
      </c>
      <c r="BH80">
        <v>0</v>
      </c>
      <c r="BI80">
        <v>158.34</v>
      </c>
      <c r="BJ80">
        <v>158.34</v>
      </c>
    </row>
    <row r="81" spans="1:62" hidden="1" x14ac:dyDescent="0.25">
      <c r="A81" s="46" t="s">
        <v>237</v>
      </c>
      <c r="B81" s="44">
        <v>45778</v>
      </c>
      <c r="C81" t="s">
        <v>78</v>
      </c>
      <c r="D81" t="s">
        <v>291</v>
      </c>
      <c r="E81" t="s">
        <v>292</v>
      </c>
      <c r="F81" t="s">
        <v>81</v>
      </c>
      <c r="G81" t="s">
        <v>82</v>
      </c>
      <c r="H81" s="10">
        <v>45748</v>
      </c>
      <c r="J81" t="s">
        <v>225</v>
      </c>
      <c r="K81" t="s">
        <v>541</v>
      </c>
      <c r="L81">
        <v>1979.25</v>
      </c>
      <c r="M81">
        <v>1979.25</v>
      </c>
      <c r="N81">
        <v>0</v>
      </c>
      <c r="O81">
        <f t="shared" si="1"/>
        <v>1979.25</v>
      </c>
      <c r="P81">
        <v>0</v>
      </c>
      <c r="Q81">
        <v>0</v>
      </c>
      <c r="R81">
        <v>0</v>
      </c>
      <c r="S81">
        <v>0</v>
      </c>
      <c r="T81">
        <v>0</v>
      </c>
      <c r="U81" s="45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1979.25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523.20000000000005</v>
      </c>
      <c r="AL81">
        <v>0</v>
      </c>
      <c r="AM81">
        <v>0</v>
      </c>
      <c r="AN81">
        <v>200</v>
      </c>
      <c r="AO81">
        <v>190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913.2</v>
      </c>
      <c r="AY81">
        <v>0</v>
      </c>
      <c r="AZ81">
        <v>0</v>
      </c>
      <c r="BA81">
        <v>0</v>
      </c>
      <c r="BB81">
        <v>2892.45</v>
      </c>
      <c r="BC81">
        <v>0</v>
      </c>
      <c r="BD81">
        <v>1919.36</v>
      </c>
      <c r="BE81">
        <v>158.34</v>
      </c>
      <c r="BF81">
        <v>395.85</v>
      </c>
      <c r="BG81">
        <v>29.68</v>
      </c>
      <c r="BH81">
        <v>114.79</v>
      </c>
      <c r="BI81">
        <v>698.66</v>
      </c>
      <c r="BJ81">
        <v>3591.11</v>
      </c>
    </row>
    <row r="82" spans="1:62" hidden="1" x14ac:dyDescent="0.25">
      <c r="A82" s="46" t="s">
        <v>550</v>
      </c>
      <c r="B82" s="44">
        <v>45778</v>
      </c>
      <c r="C82" t="s">
        <v>123</v>
      </c>
      <c r="D82" t="s">
        <v>291</v>
      </c>
      <c r="E82" t="s">
        <v>292</v>
      </c>
      <c r="F82" t="s">
        <v>81</v>
      </c>
      <c r="G82" t="s">
        <v>537</v>
      </c>
      <c r="H82" s="10">
        <v>45483</v>
      </c>
      <c r="I82" s="10">
        <v>45784</v>
      </c>
      <c r="J82" t="s">
        <v>241</v>
      </c>
      <c r="K82" t="s">
        <v>242</v>
      </c>
      <c r="L82">
        <v>1000</v>
      </c>
      <c r="M82">
        <v>0</v>
      </c>
      <c r="N82">
        <v>0</v>
      </c>
      <c r="O82">
        <f t="shared" si="1"/>
        <v>0</v>
      </c>
      <c r="P82">
        <v>0</v>
      </c>
      <c r="Q82">
        <v>0</v>
      </c>
      <c r="R82">
        <v>0</v>
      </c>
      <c r="S82">
        <v>0</v>
      </c>
      <c r="T82">
        <v>0</v>
      </c>
      <c r="U82" s="45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600</v>
      </c>
      <c r="AZ82">
        <v>0</v>
      </c>
      <c r="BA82">
        <v>600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 hidden="1" x14ac:dyDescent="0.25">
      <c r="A83" s="46" t="s">
        <v>551</v>
      </c>
      <c r="B83" s="44">
        <v>45778</v>
      </c>
      <c r="C83" t="s">
        <v>123</v>
      </c>
      <c r="D83" t="s">
        <v>291</v>
      </c>
      <c r="E83" t="s">
        <v>292</v>
      </c>
      <c r="F83" t="s">
        <v>195</v>
      </c>
      <c r="G83" t="s">
        <v>317</v>
      </c>
      <c r="H83" s="10">
        <v>45691</v>
      </c>
      <c r="I83" s="10">
        <v>45792</v>
      </c>
      <c r="K83" t="s">
        <v>247</v>
      </c>
      <c r="L83">
        <v>1000</v>
      </c>
      <c r="M83">
        <v>0</v>
      </c>
      <c r="N83">
        <v>0</v>
      </c>
      <c r="O83">
        <f t="shared" si="1"/>
        <v>0</v>
      </c>
      <c r="P83">
        <v>0</v>
      </c>
      <c r="Q83">
        <v>0</v>
      </c>
      <c r="R83">
        <v>0</v>
      </c>
      <c r="S83">
        <v>0</v>
      </c>
      <c r="T83">
        <v>0</v>
      </c>
      <c r="U83" s="45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750</v>
      </c>
      <c r="AZ83">
        <v>0</v>
      </c>
      <c r="BA83">
        <v>750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 hidden="1" x14ac:dyDescent="0.25">
      <c r="A84" s="46" t="s">
        <v>310</v>
      </c>
      <c r="B84" s="44">
        <v>45778</v>
      </c>
      <c r="C84" t="s">
        <v>78</v>
      </c>
      <c r="D84" t="s">
        <v>311</v>
      </c>
      <c r="E84" t="s">
        <v>312</v>
      </c>
      <c r="F84" t="s">
        <v>96</v>
      </c>
      <c r="G84" t="s">
        <v>97</v>
      </c>
      <c r="H84" s="10">
        <v>43234</v>
      </c>
      <c r="J84" t="s">
        <v>314</v>
      </c>
      <c r="K84" t="s">
        <v>552</v>
      </c>
      <c r="L84">
        <v>2394.67</v>
      </c>
      <c r="M84">
        <v>1835.91</v>
      </c>
      <c r="N84">
        <v>0</v>
      </c>
      <c r="O84">
        <f t="shared" si="1"/>
        <v>1835.91</v>
      </c>
      <c r="P84">
        <v>1331.78</v>
      </c>
      <c r="Q84">
        <v>367.18</v>
      </c>
      <c r="R84">
        <v>0</v>
      </c>
      <c r="S84">
        <v>0</v>
      </c>
      <c r="T84">
        <v>0</v>
      </c>
      <c r="U84" s="45">
        <v>91.8</v>
      </c>
      <c r="V84">
        <v>0</v>
      </c>
      <c r="W84">
        <v>210.89</v>
      </c>
      <c r="X84">
        <v>30.13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3867.69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200</v>
      </c>
      <c r="AO84">
        <v>190</v>
      </c>
      <c r="AP84">
        <v>0</v>
      </c>
      <c r="AQ84">
        <v>0</v>
      </c>
      <c r="AR84">
        <v>70.5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1131</v>
      </c>
      <c r="AY84">
        <v>0</v>
      </c>
      <c r="AZ84">
        <v>0</v>
      </c>
      <c r="BA84">
        <v>0</v>
      </c>
      <c r="BB84">
        <v>4998.6899999999996</v>
      </c>
      <c r="BC84">
        <v>0</v>
      </c>
      <c r="BD84">
        <v>2427.54</v>
      </c>
      <c r="BE84">
        <v>309.41000000000003</v>
      </c>
      <c r="BF84">
        <v>773.54</v>
      </c>
      <c r="BG84">
        <v>58.01</v>
      </c>
      <c r="BH84">
        <v>224.32</v>
      </c>
      <c r="BI84">
        <v>1365.28</v>
      </c>
      <c r="BJ84">
        <v>6363.97</v>
      </c>
    </row>
    <row r="85" spans="1:62" hidden="1" x14ac:dyDescent="0.25">
      <c r="A85" s="46" t="s">
        <v>316</v>
      </c>
      <c r="B85" s="44">
        <v>45778</v>
      </c>
      <c r="C85" t="s">
        <v>78</v>
      </c>
      <c r="D85" t="s">
        <v>311</v>
      </c>
      <c r="E85" t="s">
        <v>312</v>
      </c>
      <c r="F85" t="s">
        <v>195</v>
      </c>
      <c r="G85" t="s">
        <v>317</v>
      </c>
      <c r="H85" s="10">
        <v>43761</v>
      </c>
      <c r="J85" t="s">
        <v>318</v>
      </c>
      <c r="K85" t="s">
        <v>319</v>
      </c>
      <c r="L85">
        <v>0</v>
      </c>
      <c r="M85">
        <v>0</v>
      </c>
      <c r="N85">
        <v>0</v>
      </c>
      <c r="O85">
        <f t="shared" si="1"/>
        <v>0</v>
      </c>
      <c r="P85">
        <v>0</v>
      </c>
      <c r="Q85">
        <v>0</v>
      </c>
      <c r="R85">
        <v>0</v>
      </c>
      <c r="S85">
        <v>0</v>
      </c>
      <c r="T85">
        <v>0</v>
      </c>
      <c r="U85" s="45">
        <v>0</v>
      </c>
      <c r="V85">
        <v>0</v>
      </c>
      <c r="W85">
        <v>0</v>
      </c>
      <c r="X85">
        <v>0</v>
      </c>
      <c r="Y85">
        <v>2865.39</v>
      </c>
      <c r="Z85">
        <v>551.04</v>
      </c>
      <c r="AA85">
        <v>0</v>
      </c>
      <c r="AB85">
        <v>0</v>
      </c>
      <c r="AC85">
        <v>0</v>
      </c>
      <c r="AD85">
        <v>3416.43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379.6</v>
      </c>
      <c r="AM85">
        <v>0</v>
      </c>
      <c r="AN85">
        <v>200</v>
      </c>
      <c r="AO85">
        <v>190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769.6</v>
      </c>
      <c r="AY85">
        <v>0</v>
      </c>
      <c r="AZ85">
        <v>0</v>
      </c>
      <c r="BA85">
        <v>0</v>
      </c>
      <c r="BB85">
        <v>4186.03</v>
      </c>
      <c r="BC85">
        <v>0</v>
      </c>
      <c r="BD85">
        <v>2958.66</v>
      </c>
      <c r="BE85">
        <v>273.31</v>
      </c>
      <c r="BF85">
        <v>683.29</v>
      </c>
      <c r="BG85">
        <v>51.24</v>
      </c>
      <c r="BH85">
        <v>198.15</v>
      </c>
      <c r="BI85">
        <v>1205.99</v>
      </c>
      <c r="BJ85">
        <v>5392.02</v>
      </c>
    </row>
    <row r="86" spans="1:62" hidden="1" x14ac:dyDescent="0.25">
      <c r="A86" s="46" t="s">
        <v>320</v>
      </c>
      <c r="B86" s="44">
        <v>45778</v>
      </c>
      <c r="C86" t="s">
        <v>78</v>
      </c>
      <c r="D86" t="s">
        <v>311</v>
      </c>
      <c r="E86" t="s">
        <v>312</v>
      </c>
      <c r="F86" t="s">
        <v>96</v>
      </c>
      <c r="G86" t="s">
        <v>97</v>
      </c>
      <c r="H86" s="10">
        <v>43888</v>
      </c>
      <c r="J86" t="s">
        <v>314</v>
      </c>
      <c r="K86" t="s">
        <v>552</v>
      </c>
      <c r="L86">
        <v>2394.67</v>
      </c>
      <c r="M86">
        <v>2394.67</v>
      </c>
      <c r="N86">
        <v>0</v>
      </c>
      <c r="O86">
        <f t="shared" si="1"/>
        <v>2394.67</v>
      </c>
      <c r="P86">
        <v>0</v>
      </c>
      <c r="Q86">
        <v>478.93</v>
      </c>
      <c r="R86">
        <v>0</v>
      </c>
      <c r="S86">
        <v>0</v>
      </c>
      <c r="T86">
        <v>0</v>
      </c>
      <c r="U86" s="45">
        <v>119.73</v>
      </c>
      <c r="V86">
        <v>0</v>
      </c>
      <c r="W86">
        <v>20.41</v>
      </c>
      <c r="X86">
        <v>3.93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3017.67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612</v>
      </c>
      <c r="AM86">
        <v>0</v>
      </c>
      <c r="AN86">
        <v>200</v>
      </c>
      <c r="AO86">
        <v>190</v>
      </c>
      <c r="AP86">
        <v>0</v>
      </c>
      <c r="AQ86">
        <v>0</v>
      </c>
      <c r="AR86">
        <v>568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1570</v>
      </c>
      <c r="AY86">
        <v>0</v>
      </c>
      <c r="AZ86">
        <v>0</v>
      </c>
      <c r="BA86">
        <v>0</v>
      </c>
      <c r="BB86">
        <v>4587.67</v>
      </c>
      <c r="BC86">
        <v>0</v>
      </c>
      <c r="BD86">
        <v>3266.82</v>
      </c>
      <c r="BE86">
        <v>241.41</v>
      </c>
      <c r="BF86">
        <v>603.53</v>
      </c>
      <c r="BG86">
        <v>45.26</v>
      </c>
      <c r="BH86">
        <v>175.02</v>
      </c>
      <c r="BI86">
        <v>1065.22</v>
      </c>
      <c r="BJ86">
        <v>5652.89</v>
      </c>
    </row>
    <row r="87" spans="1:62" hidden="1" x14ac:dyDescent="0.25">
      <c r="A87" s="46" t="s">
        <v>321</v>
      </c>
      <c r="B87" s="44">
        <v>45778</v>
      </c>
      <c r="C87" t="s">
        <v>78</v>
      </c>
      <c r="D87" t="s">
        <v>311</v>
      </c>
      <c r="E87" t="s">
        <v>312</v>
      </c>
      <c r="F87" t="s">
        <v>81</v>
      </c>
      <c r="G87" t="s">
        <v>218</v>
      </c>
      <c r="H87" s="10">
        <v>44267</v>
      </c>
      <c r="J87" t="s">
        <v>322</v>
      </c>
      <c r="K87" t="s">
        <v>323</v>
      </c>
      <c r="L87">
        <v>3000</v>
      </c>
      <c r="M87">
        <v>3000</v>
      </c>
      <c r="N87">
        <v>0</v>
      </c>
      <c r="O87">
        <f t="shared" si="1"/>
        <v>3000</v>
      </c>
      <c r="P87">
        <v>0</v>
      </c>
      <c r="Q87">
        <v>0</v>
      </c>
      <c r="R87">
        <v>0</v>
      </c>
      <c r="S87">
        <v>0</v>
      </c>
      <c r="T87">
        <v>0</v>
      </c>
      <c r="U87" s="45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150</v>
      </c>
      <c r="AC87">
        <v>0</v>
      </c>
      <c r="AD87">
        <v>3150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200</v>
      </c>
      <c r="AO87">
        <v>190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390</v>
      </c>
      <c r="AY87">
        <v>0</v>
      </c>
      <c r="AZ87">
        <v>0</v>
      </c>
      <c r="BA87">
        <v>0</v>
      </c>
      <c r="BB87">
        <v>3540</v>
      </c>
      <c r="BC87">
        <v>0</v>
      </c>
      <c r="BD87">
        <v>2286.8000000000002</v>
      </c>
      <c r="BE87">
        <v>252</v>
      </c>
      <c r="BF87">
        <v>630</v>
      </c>
      <c r="BG87">
        <v>47.25</v>
      </c>
      <c r="BH87">
        <v>182.7</v>
      </c>
      <c r="BI87">
        <v>1111.95</v>
      </c>
      <c r="BJ87">
        <v>4651.95</v>
      </c>
    </row>
    <row r="88" spans="1:62" hidden="1" x14ac:dyDescent="0.25">
      <c r="A88" s="46" t="s">
        <v>324</v>
      </c>
      <c r="B88" s="44">
        <v>45778</v>
      </c>
      <c r="C88" t="s">
        <v>78</v>
      </c>
      <c r="D88" t="s">
        <v>311</v>
      </c>
      <c r="E88" t="s">
        <v>312</v>
      </c>
      <c r="F88" t="s">
        <v>81</v>
      </c>
      <c r="G88" t="s">
        <v>218</v>
      </c>
      <c r="H88" s="10">
        <v>43866</v>
      </c>
      <c r="J88" t="s">
        <v>211</v>
      </c>
      <c r="K88" t="s">
        <v>323</v>
      </c>
      <c r="L88">
        <v>3000</v>
      </c>
      <c r="M88">
        <v>3000</v>
      </c>
      <c r="N88">
        <v>0</v>
      </c>
      <c r="O88">
        <f t="shared" si="1"/>
        <v>3000</v>
      </c>
      <c r="P88">
        <v>0</v>
      </c>
      <c r="Q88">
        <v>0</v>
      </c>
      <c r="R88">
        <v>0</v>
      </c>
      <c r="S88">
        <v>0</v>
      </c>
      <c r="T88">
        <v>0</v>
      </c>
      <c r="U88" s="45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3000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200</v>
      </c>
      <c r="AO88">
        <v>190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390</v>
      </c>
      <c r="AY88">
        <v>0</v>
      </c>
      <c r="AZ88">
        <v>0</v>
      </c>
      <c r="BA88">
        <v>0</v>
      </c>
      <c r="BB88">
        <v>3390</v>
      </c>
      <c r="BC88">
        <v>0</v>
      </c>
      <c r="BD88">
        <v>2176.6</v>
      </c>
      <c r="BE88">
        <v>240</v>
      </c>
      <c r="BF88">
        <v>600</v>
      </c>
      <c r="BG88">
        <v>45</v>
      </c>
      <c r="BH88">
        <v>174</v>
      </c>
      <c r="BI88">
        <v>1059</v>
      </c>
      <c r="BJ88">
        <v>4449</v>
      </c>
    </row>
    <row r="89" spans="1:62" hidden="1" x14ac:dyDescent="0.25">
      <c r="A89" s="46" t="s">
        <v>326</v>
      </c>
      <c r="B89" s="44">
        <v>45778</v>
      </c>
      <c r="C89" t="s">
        <v>78</v>
      </c>
      <c r="D89" t="s">
        <v>311</v>
      </c>
      <c r="E89" t="s">
        <v>312</v>
      </c>
      <c r="F89" t="s">
        <v>87</v>
      </c>
      <c r="G89" t="s">
        <v>88</v>
      </c>
      <c r="H89" s="10">
        <v>44378</v>
      </c>
      <c r="J89" t="s">
        <v>327</v>
      </c>
      <c r="K89" t="s">
        <v>504</v>
      </c>
      <c r="L89">
        <v>1979.25</v>
      </c>
      <c r="M89">
        <v>1979.25</v>
      </c>
      <c r="N89">
        <v>0</v>
      </c>
      <c r="O89">
        <f t="shared" si="1"/>
        <v>1979.25</v>
      </c>
      <c r="P89">
        <v>0</v>
      </c>
      <c r="Q89">
        <v>0</v>
      </c>
      <c r="R89">
        <v>0</v>
      </c>
      <c r="S89">
        <v>0</v>
      </c>
      <c r="T89">
        <v>0</v>
      </c>
      <c r="U89" s="45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1979.25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200</v>
      </c>
      <c r="AO89">
        <v>190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390</v>
      </c>
      <c r="AY89">
        <v>0</v>
      </c>
      <c r="AZ89">
        <v>0</v>
      </c>
      <c r="BA89">
        <v>0</v>
      </c>
      <c r="BB89">
        <v>2369.25</v>
      </c>
      <c r="BC89">
        <v>0</v>
      </c>
      <c r="BD89">
        <v>2188.16</v>
      </c>
      <c r="BE89">
        <v>158.34</v>
      </c>
      <c r="BF89">
        <v>395.85</v>
      </c>
      <c r="BG89">
        <v>29.68</v>
      </c>
      <c r="BH89">
        <v>114.79</v>
      </c>
      <c r="BI89">
        <v>698.66</v>
      </c>
      <c r="BJ89">
        <v>3067.91</v>
      </c>
    </row>
    <row r="90" spans="1:62" hidden="1" x14ac:dyDescent="0.25">
      <c r="A90" s="46" t="s">
        <v>328</v>
      </c>
      <c r="B90" s="44">
        <v>45778</v>
      </c>
      <c r="C90" t="s">
        <v>78</v>
      </c>
      <c r="D90" t="s">
        <v>311</v>
      </c>
      <c r="E90" t="s">
        <v>312</v>
      </c>
      <c r="F90" t="s">
        <v>87</v>
      </c>
      <c r="G90" t="s">
        <v>329</v>
      </c>
      <c r="H90" s="10">
        <v>41786</v>
      </c>
      <c r="J90" t="s">
        <v>330</v>
      </c>
      <c r="K90" t="s">
        <v>331</v>
      </c>
      <c r="L90">
        <v>2883.78</v>
      </c>
      <c r="M90">
        <v>2883.78</v>
      </c>
      <c r="N90">
        <v>0</v>
      </c>
      <c r="O90">
        <f t="shared" si="1"/>
        <v>2883.78</v>
      </c>
      <c r="P90">
        <v>0</v>
      </c>
      <c r="Q90">
        <v>576.76</v>
      </c>
      <c r="R90">
        <v>0</v>
      </c>
      <c r="S90">
        <v>0</v>
      </c>
      <c r="T90">
        <v>0</v>
      </c>
      <c r="U90" s="45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3460.54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200</v>
      </c>
      <c r="AO90">
        <v>190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390</v>
      </c>
      <c r="AY90">
        <v>0</v>
      </c>
      <c r="AZ90">
        <v>0</v>
      </c>
      <c r="BA90">
        <v>0</v>
      </c>
      <c r="BB90">
        <v>3850.54</v>
      </c>
      <c r="BC90">
        <v>0</v>
      </c>
      <c r="BD90">
        <v>2084.29</v>
      </c>
      <c r="BE90">
        <v>276.83999999999997</v>
      </c>
      <c r="BF90">
        <v>692.11</v>
      </c>
      <c r="BG90">
        <v>51.9</v>
      </c>
      <c r="BH90">
        <v>200.71</v>
      </c>
      <c r="BI90">
        <v>1221.56</v>
      </c>
      <c r="BJ90">
        <v>5072.1000000000004</v>
      </c>
    </row>
    <row r="91" spans="1:62" hidden="1" x14ac:dyDescent="0.25">
      <c r="A91" s="46" t="s">
        <v>332</v>
      </c>
      <c r="B91" s="44">
        <v>45778</v>
      </c>
      <c r="C91" t="s">
        <v>78</v>
      </c>
      <c r="D91" t="s">
        <v>311</v>
      </c>
      <c r="E91" t="s">
        <v>312</v>
      </c>
      <c r="F91" t="s">
        <v>87</v>
      </c>
      <c r="G91" t="s">
        <v>88</v>
      </c>
      <c r="H91" s="10">
        <v>45238</v>
      </c>
      <c r="J91" t="s">
        <v>327</v>
      </c>
      <c r="K91" t="s">
        <v>504</v>
      </c>
      <c r="L91">
        <v>1979.25</v>
      </c>
      <c r="M91">
        <v>1913.28</v>
      </c>
      <c r="N91">
        <v>65.98</v>
      </c>
      <c r="O91">
        <f t="shared" si="1"/>
        <v>1979.26</v>
      </c>
      <c r="P91">
        <v>0</v>
      </c>
      <c r="Q91">
        <v>0</v>
      </c>
      <c r="R91">
        <v>0</v>
      </c>
      <c r="S91">
        <v>0</v>
      </c>
      <c r="T91">
        <v>0</v>
      </c>
      <c r="U91" s="45">
        <v>0</v>
      </c>
      <c r="V91">
        <v>0</v>
      </c>
      <c r="W91">
        <v>43.18</v>
      </c>
      <c r="X91">
        <v>8.64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2031.08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215</v>
      </c>
      <c r="AM91">
        <v>0</v>
      </c>
      <c r="AN91">
        <v>200</v>
      </c>
      <c r="AO91">
        <v>190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605</v>
      </c>
      <c r="AY91">
        <v>0</v>
      </c>
      <c r="AZ91">
        <v>0</v>
      </c>
      <c r="BA91">
        <v>0</v>
      </c>
      <c r="BB91">
        <v>2636.08</v>
      </c>
      <c r="BC91">
        <v>0</v>
      </c>
      <c r="BD91">
        <v>1657.66</v>
      </c>
      <c r="BE91">
        <v>162.47999999999999</v>
      </c>
      <c r="BF91">
        <v>406.22</v>
      </c>
      <c r="BG91">
        <v>30.46</v>
      </c>
      <c r="BH91">
        <v>117.8</v>
      </c>
      <c r="BI91">
        <v>716.96</v>
      </c>
      <c r="BJ91">
        <v>3353.04</v>
      </c>
    </row>
    <row r="92" spans="1:62" hidden="1" x14ac:dyDescent="0.25">
      <c r="A92" s="46" t="s">
        <v>334</v>
      </c>
      <c r="B92" s="44">
        <v>45778</v>
      </c>
      <c r="C92" t="s">
        <v>78</v>
      </c>
      <c r="D92" t="s">
        <v>311</v>
      </c>
      <c r="E92" t="s">
        <v>312</v>
      </c>
      <c r="F92" t="s">
        <v>87</v>
      </c>
      <c r="G92" t="s">
        <v>329</v>
      </c>
      <c r="H92" s="10">
        <v>45021</v>
      </c>
      <c r="J92" t="s">
        <v>330</v>
      </c>
      <c r="K92" t="s">
        <v>504</v>
      </c>
      <c r="L92">
        <v>1979.25</v>
      </c>
      <c r="M92">
        <v>1979.25</v>
      </c>
      <c r="N92">
        <v>0</v>
      </c>
      <c r="O92">
        <f t="shared" si="1"/>
        <v>1979.25</v>
      </c>
      <c r="P92">
        <v>0</v>
      </c>
      <c r="Q92">
        <v>0</v>
      </c>
      <c r="R92">
        <v>0</v>
      </c>
      <c r="S92">
        <v>0</v>
      </c>
      <c r="T92">
        <v>0</v>
      </c>
      <c r="U92" s="45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1979.25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215</v>
      </c>
      <c r="AM92">
        <v>0</v>
      </c>
      <c r="AN92">
        <v>200</v>
      </c>
      <c r="AO92">
        <v>190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605</v>
      </c>
      <c r="AY92">
        <v>0</v>
      </c>
      <c r="AZ92">
        <v>0</v>
      </c>
      <c r="BA92">
        <v>0</v>
      </c>
      <c r="BB92">
        <v>2584.25</v>
      </c>
      <c r="BC92">
        <v>0</v>
      </c>
      <c r="BD92">
        <v>1611.16</v>
      </c>
      <c r="BE92">
        <v>158.34</v>
      </c>
      <c r="BF92">
        <v>395.85</v>
      </c>
      <c r="BG92">
        <v>29.68</v>
      </c>
      <c r="BH92">
        <v>114.79</v>
      </c>
      <c r="BI92">
        <v>698.66</v>
      </c>
      <c r="BJ92">
        <v>3282.91</v>
      </c>
    </row>
    <row r="93" spans="1:62" hidden="1" x14ac:dyDescent="0.25">
      <c r="A93" s="46" t="s">
        <v>553</v>
      </c>
      <c r="B93" s="44">
        <v>45778</v>
      </c>
      <c r="C93" t="s">
        <v>78</v>
      </c>
      <c r="D93" t="s">
        <v>311</v>
      </c>
      <c r="E93" t="s">
        <v>312</v>
      </c>
      <c r="F93" t="s">
        <v>87</v>
      </c>
      <c r="G93" t="s">
        <v>88</v>
      </c>
      <c r="H93" s="10">
        <v>44956</v>
      </c>
      <c r="I93" s="10">
        <v>45777</v>
      </c>
      <c r="J93" t="s">
        <v>327</v>
      </c>
      <c r="K93" t="s">
        <v>504</v>
      </c>
      <c r="L93">
        <v>1979.25</v>
      </c>
      <c r="M93">
        <v>0</v>
      </c>
      <c r="N93">
        <v>0</v>
      </c>
      <c r="O93">
        <f t="shared" si="1"/>
        <v>0</v>
      </c>
      <c r="P93">
        <v>0</v>
      </c>
      <c r="Q93">
        <v>0</v>
      </c>
      <c r="R93">
        <v>0</v>
      </c>
      <c r="S93">
        <v>0</v>
      </c>
      <c r="T93">
        <v>0</v>
      </c>
      <c r="U93" s="45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1437.52</v>
      </c>
      <c r="AZ93">
        <v>0</v>
      </c>
      <c r="BA93">
        <v>1437.52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 hidden="1" x14ac:dyDescent="0.25">
      <c r="A94" s="46" t="s">
        <v>335</v>
      </c>
      <c r="B94" s="44">
        <v>45778</v>
      </c>
      <c r="C94" t="s">
        <v>78</v>
      </c>
      <c r="D94" t="s">
        <v>311</v>
      </c>
      <c r="E94" t="s">
        <v>312</v>
      </c>
      <c r="F94" t="s">
        <v>195</v>
      </c>
      <c r="G94" t="s">
        <v>317</v>
      </c>
      <c r="H94" s="10">
        <v>45671</v>
      </c>
      <c r="J94" t="s">
        <v>318</v>
      </c>
      <c r="K94" t="s">
        <v>319</v>
      </c>
      <c r="L94">
        <v>0</v>
      </c>
      <c r="M94">
        <v>2318.4</v>
      </c>
      <c r="N94">
        <v>0</v>
      </c>
      <c r="O94">
        <f t="shared" si="1"/>
        <v>2318.4</v>
      </c>
      <c r="P94">
        <v>0</v>
      </c>
      <c r="Q94">
        <v>0</v>
      </c>
      <c r="R94">
        <v>0</v>
      </c>
      <c r="S94">
        <v>0</v>
      </c>
      <c r="T94">
        <v>0</v>
      </c>
      <c r="U94" s="45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2318.4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181.6</v>
      </c>
      <c r="AM94">
        <v>0</v>
      </c>
      <c r="AN94">
        <v>200</v>
      </c>
      <c r="AO94">
        <v>190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571.6</v>
      </c>
      <c r="AY94">
        <v>0</v>
      </c>
      <c r="AZ94">
        <v>0</v>
      </c>
      <c r="BA94">
        <v>0</v>
      </c>
      <c r="BB94">
        <v>2890</v>
      </c>
      <c r="BC94">
        <v>0</v>
      </c>
      <c r="BD94">
        <v>1789.98</v>
      </c>
      <c r="BE94">
        <v>185.47</v>
      </c>
      <c r="BF94">
        <v>463.68</v>
      </c>
      <c r="BG94">
        <v>34.770000000000003</v>
      </c>
      <c r="BH94">
        <v>134.46</v>
      </c>
      <c r="BI94">
        <v>818.38</v>
      </c>
      <c r="BJ94">
        <v>3708.38</v>
      </c>
    </row>
    <row r="95" spans="1:62" hidden="1" x14ac:dyDescent="0.25">
      <c r="A95" s="46" t="s">
        <v>554</v>
      </c>
      <c r="B95" s="44">
        <v>45778</v>
      </c>
      <c r="C95" t="s">
        <v>78</v>
      </c>
      <c r="D95" t="s">
        <v>311</v>
      </c>
      <c r="E95" t="s">
        <v>312</v>
      </c>
      <c r="F95" t="s">
        <v>87</v>
      </c>
      <c r="G95" t="s">
        <v>329</v>
      </c>
      <c r="H95" s="10">
        <v>45700</v>
      </c>
      <c r="J95" t="s">
        <v>330</v>
      </c>
      <c r="K95" t="s">
        <v>504</v>
      </c>
      <c r="L95">
        <v>1979.25</v>
      </c>
      <c r="M95">
        <v>1715.35</v>
      </c>
      <c r="N95">
        <v>263.91000000000003</v>
      </c>
      <c r="O95">
        <f t="shared" si="1"/>
        <v>1979.26</v>
      </c>
      <c r="P95">
        <v>0</v>
      </c>
      <c r="Q95">
        <v>0</v>
      </c>
      <c r="R95">
        <v>0</v>
      </c>
      <c r="S95">
        <v>0</v>
      </c>
      <c r="T95">
        <v>0</v>
      </c>
      <c r="U95" s="4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1979.26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215</v>
      </c>
      <c r="AM95">
        <v>0</v>
      </c>
      <c r="AN95">
        <v>200</v>
      </c>
      <c r="AO95">
        <v>190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605</v>
      </c>
      <c r="AY95">
        <v>0</v>
      </c>
      <c r="AZ95">
        <v>0</v>
      </c>
      <c r="BA95">
        <v>0</v>
      </c>
      <c r="BB95">
        <v>2584.2600000000002</v>
      </c>
      <c r="BC95">
        <v>0</v>
      </c>
      <c r="BD95">
        <v>1611.17</v>
      </c>
      <c r="BE95">
        <v>158.34</v>
      </c>
      <c r="BF95">
        <v>395.85</v>
      </c>
      <c r="BG95">
        <v>29.68</v>
      </c>
      <c r="BH95">
        <v>114.79</v>
      </c>
      <c r="BI95">
        <v>698.66</v>
      </c>
      <c r="BJ95">
        <v>3282.92</v>
      </c>
    </row>
    <row r="96" spans="1:62" hidden="1" x14ac:dyDescent="0.25">
      <c r="A96" s="46" t="s">
        <v>336</v>
      </c>
      <c r="B96" s="44">
        <v>45778</v>
      </c>
      <c r="C96" t="s">
        <v>78</v>
      </c>
      <c r="D96" t="s">
        <v>311</v>
      </c>
      <c r="E96" t="s">
        <v>312</v>
      </c>
      <c r="F96" t="s">
        <v>96</v>
      </c>
      <c r="G96" t="s">
        <v>97</v>
      </c>
      <c r="H96" s="10">
        <v>45701</v>
      </c>
      <c r="J96" t="s">
        <v>314</v>
      </c>
      <c r="K96" t="s">
        <v>552</v>
      </c>
      <c r="L96">
        <v>2178.12</v>
      </c>
      <c r="M96">
        <v>2178.12</v>
      </c>
      <c r="N96">
        <v>0</v>
      </c>
      <c r="O96">
        <f t="shared" si="1"/>
        <v>2178.12</v>
      </c>
      <c r="P96">
        <v>0</v>
      </c>
      <c r="Q96">
        <v>435.62</v>
      </c>
      <c r="R96">
        <v>0</v>
      </c>
      <c r="S96">
        <v>0</v>
      </c>
      <c r="T96">
        <v>0</v>
      </c>
      <c r="U96" s="45">
        <v>0</v>
      </c>
      <c r="V96">
        <v>0</v>
      </c>
      <c r="W96">
        <v>17.82</v>
      </c>
      <c r="X96">
        <v>3.43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2634.99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200</v>
      </c>
      <c r="AO96">
        <v>190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390</v>
      </c>
      <c r="AY96">
        <v>0</v>
      </c>
      <c r="AZ96">
        <v>0</v>
      </c>
      <c r="BA96">
        <v>0</v>
      </c>
      <c r="BB96">
        <v>3024.99</v>
      </c>
      <c r="BC96">
        <v>0</v>
      </c>
      <c r="BD96">
        <v>1909.22</v>
      </c>
      <c r="BE96">
        <v>210.79</v>
      </c>
      <c r="BF96">
        <v>527</v>
      </c>
      <c r="BG96">
        <v>39.520000000000003</v>
      </c>
      <c r="BH96">
        <v>152.82</v>
      </c>
      <c r="BI96">
        <v>930.13</v>
      </c>
      <c r="BJ96">
        <v>3955.12</v>
      </c>
    </row>
    <row r="97" spans="1:62" hidden="1" x14ac:dyDescent="0.25">
      <c r="A97" s="46" t="s">
        <v>555</v>
      </c>
      <c r="B97" s="44">
        <v>45778</v>
      </c>
      <c r="C97" t="s">
        <v>78</v>
      </c>
      <c r="D97" t="s">
        <v>311</v>
      </c>
      <c r="E97" t="s">
        <v>312</v>
      </c>
      <c r="F97" t="s">
        <v>81</v>
      </c>
      <c r="G97" t="s">
        <v>207</v>
      </c>
      <c r="H97" s="10">
        <v>44980</v>
      </c>
      <c r="J97" t="s">
        <v>208</v>
      </c>
      <c r="K97" t="s">
        <v>556</v>
      </c>
      <c r="L97">
        <v>3000</v>
      </c>
      <c r="M97">
        <v>2400</v>
      </c>
      <c r="N97">
        <v>607.72</v>
      </c>
      <c r="O97">
        <f t="shared" si="1"/>
        <v>3007.7200000000003</v>
      </c>
      <c r="P97">
        <v>0</v>
      </c>
      <c r="Q97">
        <v>0</v>
      </c>
      <c r="R97">
        <v>0</v>
      </c>
      <c r="S97">
        <v>0</v>
      </c>
      <c r="T97">
        <v>0</v>
      </c>
      <c r="U97" s="45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3007.72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475.48</v>
      </c>
      <c r="AM97">
        <v>0</v>
      </c>
      <c r="AN97">
        <v>200</v>
      </c>
      <c r="AO97">
        <v>190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865.48</v>
      </c>
      <c r="AY97">
        <v>0</v>
      </c>
      <c r="AZ97">
        <v>0</v>
      </c>
      <c r="BA97">
        <v>0</v>
      </c>
      <c r="BB97">
        <v>3873.2</v>
      </c>
      <c r="BC97">
        <v>0</v>
      </c>
      <c r="BD97">
        <v>3106.15</v>
      </c>
      <c r="BE97">
        <v>240.61</v>
      </c>
      <c r="BF97">
        <v>601.54</v>
      </c>
      <c r="BG97">
        <v>45.11</v>
      </c>
      <c r="BH97">
        <v>174.44</v>
      </c>
      <c r="BI97">
        <v>1061.7</v>
      </c>
      <c r="BJ97">
        <v>4934.8999999999996</v>
      </c>
    </row>
    <row r="98" spans="1:62" hidden="1" x14ac:dyDescent="0.25">
      <c r="A98" s="46" t="s">
        <v>341</v>
      </c>
      <c r="B98" s="44">
        <v>45778</v>
      </c>
      <c r="C98" t="s">
        <v>123</v>
      </c>
      <c r="D98" t="s">
        <v>311</v>
      </c>
      <c r="E98" t="s">
        <v>312</v>
      </c>
      <c r="F98" t="s">
        <v>81</v>
      </c>
      <c r="G98" t="s">
        <v>218</v>
      </c>
      <c r="H98" s="10">
        <v>45539</v>
      </c>
      <c r="K98" t="s">
        <v>250</v>
      </c>
      <c r="L98">
        <v>1000</v>
      </c>
      <c r="M98">
        <v>0</v>
      </c>
      <c r="N98">
        <v>0</v>
      </c>
      <c r="O98">
        <f t="shared" si="1"/>
        <v>0</v>
      </c>
      <c r="P98">
        <v>0</v>
      </c>
      <c r="Q98">
        <v>0</v>
      </c>
      <c r="R98">
        <v>0</v>
      </c>
      <c r="S98">
        <v>0</v>
      </c>
      <c r="T98">
        <v>0</v>
      </c>
      <c r="U98" s="45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1200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 hidden="1" x14ac:dyDescent="0.25">
      <c r="A99" s="46" t="s">
        <v>352</v>
      </c>
      <c r="B99" s="44">
        <v>45778</v>
      </c>
      <c r="C99" t="s">
        <v>123</v>
      </c>
      <c r="D99" t="s">
        <v>311</v>
      </c>
      <c r="E99" t="s">
        <v>312</v>
      </c>
      <c r="F99" t="s">
        <v>195</v>
      </c>
      <c r="G99" t="s">
        <v>317</v>
      </c>
      <c r="H99" s="10">
        <v>45663</v>
      </c>
      <c r="J99" t="s">
        <v>435</v>
      </c>
      <c r="K99" t="s">
        <v>247</v>
      </c>
      <c r="L99">
        <v>1000</v>
      </c>
      <c r="M99">
        <v>0</v>
      </c>
      <c r="N99">
        <v>0</v>
      </c>
      <c r="O99">
        <f t="shared" si="1"/>
        <v>0</v>
      </c>
      <c r="P99">
        <v>0</v>
      </c>
      <c r="Q99">
        <v>0</v>
      </c>
      <c r="R99">
        <v>0</v>
      </c>
      <c r="S99">
        <v>0</v>
      </c>
      <c r="T99">
        <v>0</v>
      </c>
      <c r="U99" s="45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1200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 hidden="1" x14ac:dyDescent="0.25">
      <c r="A100" s="46" t="s">
        <v>557</v>
      </c>
      <c r="B100" s="44">
        <v>45778</v>
      </c>
      <c r="C100" t="s">
        <v>123</v>
      </c>
      <c r="D100" t="s">
        <v>311</v>
      </c>
      <c r="E100" t="s">
        <v>312</v>
      </c>
      <c r="F100" t="s">
        <v>195</v>
      </c>
      <c r="G100" t="s">
        <v>317</v>
      </c>
      <c r="H100" s="10">
        <v>45693</v>
      </c>
      <c r="K100" t="s">
        <v>247</v>
      </c>
      <c r="L100">
        <v>1000</v>
      </c>
      <c r="M100">
        <v>0</v>
      </c>
      <c r="N100">
        <v>0</v>
      </c>
      <c r="O100">
        <f t="shared" si="1"/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s="45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1200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 hidden="1" x14ac:dyDescent="0.25">
      <c r="A101" s="46" t="s">
        <v>354</v>
      </c>
      <c r="B101" s="44">
        <v>45778</v>
      </c>
      <c r="C101" t="s">
        <v>78</v>
      </c>
      <c r="D101" t="s">
        <v>355</v>
      </c>
      <c r="E101" t="s">
        <v>356</v>
      </c>
      <c r="F101" t="s">
        <v>87</v>
      </c>
      <c r="G101" t="s">
        <v>88</v>
      </c>
      <c r="H101" s="10">
        <v>44067</v>
      </c>
      <c r="J101" t="s">
        <v>132</v>
      </c>
      <c r="K101" t="s">
        <v>90</v>
      </c>
      <c r="L101">
        <v>3465</v>
      </c>
      <c r="M101">
        <v>3465</v>
      </c>
      <c r="N101">
        <v>0</v>
      </c>
      <c r="O101">
        <f t="shared" si="1"/>
        <v>3465</v>
      </c>
      <c r="P101">
        <v>0</v>
      </c>
      <c r="Q101">
        <v>0</v>
      </c>
      <c r="R101">
        <v>0</v>
      </c>
      <c r="S101">
        <v>1039.5</v>
      </c>
      <c r="T101">
        <v>0</v>
      </c>
      <c r="U101" s="45">
        <v>0</v>
      </c>
      <c r="V101">
        <v>0</v>
      </c>
      <c r="W101">
        <v>2120.39</v>
      </c>
      <c r="X101">
        <v>508.89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7133.78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86.23</v>
      </c>
      <c r="AL101">
        <v>0</v>
      </c>
      <c r="AM101">
        <v>0</v>
      </c>
      <c r="AN101">
        <v>200</v>
      </c>
      <c r="AO101">
        <v>190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476.23</v>
      </c>
      <c r="AY101">
        <v>0</v>
      </c>
      <c r="AZ101">
        <v>0</v>
      </c>
      <c r="BA101">
        <v>0</v>
      </c>
      <c r="BB101">
        <v>7610.01</v>
      </c>
      <c r="BC101">
        <v>0</v>
      </c>
      <c r="BD101">
        <v>5045.72</v>
      </c>
      <c r="BE101">
        <v>570.70000000000005</v>
      </c>
      <c r="BF101">
        <v>1426.76</v>
      </c>
      <c r="BG101">
        <v>107</v>
      </c>
      <c r="BH101">
        <v>413.75</v>
      </c>
      <c r="BI101">
        <v>2518.21</v>
      </c>
      <c r="BJ101">
        <v>10128.219999999999</v>
      </c>
    </row>
    <row r="102" spans="1:62" hidden="1" x14ac:dyDescent="0.25">
      <c r="A102" s="46" t="s">
        <v>558</v>
      </c>
      <c r="B102" s="44">
        <v>45778</v>
      </c>
      <c r="C102" t="s">
        <v>78</v>
      </c>
      <c r="D102" t="s">
        <v>355</v>
      </c>
      <c r="E102" t="s">
        <v>356</v>
      </c>
      <c r="F102" t="s">
        <v>81</v>
      </c>
      <c r="G102" t="s">
        <v>82</v>
      </c>
      <c r="H102" s="10">
        <v>44635</v>
      </c>
      <c r="J102" t="s">
        <v>270</v>
      </c>
      <c r="K102" t="s">
        <v>541</v>
      </c>
      <c r="L102">
        <v>2126.3200000000002</v>
      </c>
      <c r="M102">
        <v>1771.93</v>
      </c>
      <c r="N102">
        <v>354.39</v>
      </c>
      <c r="O102">
        <f t="shared" si="1"/>
        <v>2126.3200000000002</v>
      </c>
      <c r="P102">
        <v>0</v>
      </c>
      <c r="Q102">
        <v>0</v>
      </c>
      <c r="R102">
        <v>0</v>
      </c>
      <c r="S102">
        <v>0</v>
      </c>
      <c r="T102">
        <v>0</v>
      </c>
      <c r="U102" s="45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2126.3200000000002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76.14</v>
      </c>
      <c r="AL102">
        <v>0</v>
      </c>
      <c r="AM102">
        <v>0</v>
      </c>
      <c r="AN102">
        <v>200</v>
      </c>
      <c r="AO102">
        <v>190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466.14</v>
      </c>
      <c r="AY102">
        <v>0</v>
      </c>
      <c r="AZ102">
        <v>0</v>
      </c>
      <c r="BA102">
        <v>0</v>
      </c>
      <c r="BB102">
        <v>2592.46</v>
      </c>
      <c r="BC102">
        <v>0</v>
      </c>
      <c r="BD102">
        <v>1572.87</v>
      </c>
      <c r="BE102">
        <v>170.1</v>
      </c>
      <c r="BF102">
        <v>425.26</v>
      </c>
      <c r="BG102">
        <v>31.89</v>
      </c>
      <c r="BH102">
        <v>123.32</v>
      </c>
      <c r="BI102">
        <v>750.57</v>
      </c>
      <c r="BJ102">
        <v>3343.03</v>
      </c>
    </row>
    <row r="103" spans="1:62" hidden="1" x14ac:dyDescent="0.25">
      <c r="A103" s="46" t="s">
        <v>475</v>
      </c>
      <c r="B103" s="44">
        <v>45778</v>
      </c>
      <c r="C103" t="s">
        <v>78</v>
      </c>
      <c r="D103" t="s">
        <v>355</v>
      </c>
      <c r="E103" t="s">
        <v>356</v>
      </c>
      <c r="F103" t="s">
        <v>81</v>
      </c>
      <c r="G103" t="s">
        <v>82</v>
      </c>
      <c r="H103" s="10">
        <v>45323</v>
      </c>
      <c r="J103" t="s">
        <v>270</v>
      </c>
      <c r="K103" t="s">
        <v>541</v>
      </c>
      <c r="L103">
        <v>2126.3200000000002</v>
      </c>
      <c r="M103">
        <v>2126.3200000000002</v>
      </c>
      <c r="N103">
        <v>0</v>
      </c>
      <c r="O103">
        <f t="shared" si="1"/>
        <v>2126.3200000000002</v>
      </c>
      <c r="P103">
        <v>0</v>
      </c>
      <c r="Q103">
        <v>0</v>
      </c>
      <c r="R103">
        <v>0</v>
      </c>
      <c r="S103">
        <v>0</v>
      </c>
      <c r="T103">
        <v>0</v>
      </c>
      <c r="U103" s="45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2126.3200000000002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76.14</v>
      </c>
      <c r="AL103">
        <v>0</v>
      </c>
      <c r="AM103">
        <v>0</v>
      </c>
      <c r="AN103">
        <v>200</v>
      </c>
      <c r="AO103">
        <v>190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466.14</v>
      </c>
      <c r="AY103">
        <v>0</v>
      </c>
      <c r="AZ103">
        <v>0</v>
      </c>
      <c r="BA103">
        <v>0</v>
      </c>
      <c r="BB103">
        <v>2592.46</v>
      </c>
      <c r="BC103">
        <v>0</v>
      </c>
      <c r="BD103">
        <v>2423.87</v>
      </c>
      <c r="BE103">
        <v>170.1</v>
      </c>
      <c r="BF103">
        <v>425.26</v>
      </c>
      <c r="BG103">
        <v>31.89</v>
      </c>
      <c r="BH103">
        <v>123.32</v>
      </c>
      <c r="BI103">
        <v>750.57</v>
      </c>
      <c r="BJ103">
        <v>3343.03</v>
      </c>
    </row>
    <row r="104" spans="1:62" x14ac:dyDescent="0.25">
      <c r="A104" s="46" t="s">
        <v>138</v>
      </c>
      <c r="B104" s="44">
        <v>45778</v>
      </c>
      <c r="C104" t="s">
        <v>78</v>
      </c>
      <c r="D104" t="s">
        <v>355</v>
      </c>
      <c r="E104" t="s">
        <v>356</v>
      </c>
      <c r="F104" t="s">
        <v>87</v>
      </c>
      <c r="G104" t="s">
        <v>88</v>
      </c>
      <c r="H104" s="10">
        <v>45790</v>
      </c>
      <c r="J104" t="s">
        <v>132</v>
      </c>
      <c r="K104" t="s">
        <v>559</v>
      </c>
      <c r="L104">
        <v>2333.09</v>
      </c>
      <c r="M104">
        <v>1477.62</v>
      </c>
      <c r="N104">
        <v>0</v>
      </c>
      <c r="O104">
        <f t="shared" si="1"/>
        <v>1477.62</v>
      </c>
      <c r="P104">
        <v>0</v>
      </c>
      <c r="Q104">
        <v>0</v>
      </c>
      <c r="R104">
        <v>0</v>
      </c>
      <c r="S104">
        <v>0</v>
      </c>
      <c r="T104">
        <v>0</v>
      </c>
      <c r="U104" s="45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1477.62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76.14</v>
      </c>
      <c r="AL104">
        <v>0</v>
      </c>
      <c r="AM104">
        <v>0</v>
      </c>
      <c r="AN104">
        <v>326.67</v>
      </c>
      <c r="AO104">
        <v>190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82.33</v>
      </c>
      <c r="AV104">
        <v>0</v>
      </c>
      <c r="AW104">
        <v>0</v>
      </c>
      <c r="AX104">
        <v>675.14</v>
      </c>
      <c r="AY104">
        <v>0</v>
      </c>
      <c r="AZ104">
        <v>0</v>
      </c>
      <c r="BA104">
        <v>0</v>
      </c>
      <c r="BB104">
        <v>2152.7600000000002</v>
      </c>
      <c r="BC104">
        <v>0</v>
      </c>
      <c r="BD104">
        <v>1415.27</v>
      </c>
      <c r="BE104">
        <v>118.2</v>
      </c>
      <c r="BF104">
        <v>295.52</v>
      </c>
      <c r="BG104">
        <v>22.16</v>
      </c>
      <c r="BH104">
        <v>85.7</v>
      </c>
      <c r="BI104">
        <v>521.58000000000004</v>
      </c>
      <c r="BJ104">
        <v>2674.34</v>
      </c>
    </row>
  </sheetData>
  <autoFilter ref="A1:BJ104" xr:uid="{C248FB63-1435-4956-845C-22098789842E}">
    <filterColumn colId="7">
      <filters>
        <dateGroupItem year="2025" month="5" dateTimeGrouping="month"/>
      </filters>
    </filterColumn>
  </autoFilter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39728-C0E6-43E4-8F03-342888067D34}">
  <dimension ref="A1:BK118"/>
  <sheetViews>
    <sheetView topLeftCell="A92" workbookViewId="0">
      <selection sqref="A1:A118"/>
    </sheetView>
  </sheetViews>
  <sheetFormatPr defaultRowHeight="15" x14ac:dyDescent="0.25"/>
  <cols>
    <col min="1" max="1" width="40.7109375" bestFit="1" customWidth="1"/>
    <col min="2" max="2" width="41.85546875" style="11" bestFit="1" customWidth="1"/>
    <col min="3" max="3" width="8.85546875" style="11"/>
    <col min="4" max="4" width="8.28515625" bestFit="1" customWidth="1"/>
    <col min="10" max="11" width="10.28515625" style="10" bestFit="1" customWidth="1"/>
    <col min="13" max="13" width="41.85546875" bestFit="1" customWidth="1"/>
    <col min="17" max="17" width="9.28515625" style="42" bestFit="1" customWidth="1"/>
    <col min="18" max="20" width="9" style="42" bestFit="1" customWidth="1"/>
    <col min="21" max="21" width="9.28515625" style="42" bestFit="1" customWidth="1"/>
    <col min="22" max="23" width="9" style="42" bestFit="1" customWidth="1"/>
    <col min="24" max="24" width="9.28515625" style="42" bestFit="1" customWidth="1"/>
    <col min="25" max="25" width="9" style="42" bestFit="1" customWidth="1"/>
    <col min="26" max="26" width="9.28515625" style="42" bestFit="1" customWidth="1"/>
    <col min="27" max="29" width="9" style="42" bestFit="1" customWidth="1"/>
    <col min="30" max="30" width="9.28515625" style="42" bestFit="1" customWidth="1"/>
    <col min="31" max="31" width="10.28515625" style="42" bestFit="1" customWidth="1"/>
    <col min="32" max="34" width="9" style="42" bestFit="1" customWidth="1"/>
    <col min="35" max="35" width="9.28515625" style="42" bestFit="1" customWidth="1"/>
    <col min="36" max="36" width="9" style="42" bestFit="1" customWidth="1"/>
    <col min="37" max="37" width="9.28515625" style="42" bestFit="1" customWidth="1"/>
    <col min="38" max="38" width="9" style="42" bestFit="1" customWidth="1"/>
    <col min="39" max="39" width="9.28515625" style="42" bestFit="1" customWidth="1"/>
    <col min="40" max="42" width="9" style="42" bestFit="1" customWidth="1"/>
    <col min="43" max="45" width="9.28515625" style="42" bestFit="1" customWidth="1"/>
    <col min="46" max="48" width="9" style="42" bestFit="1" customWidth="1"/>
    <col min="49" max="49" width="9.28515625" style="42" bestFit="1" customWidth="1"/>
    <col min="50" max="50" width="10.28515625" style="42" bestFit="1" customWidth="1"/>
    <col min="51" max="51" width="9.28515625" style="42" bestFit="1" customWidth="1"/>
    <col min="52" max="52" width="10.28515625" style="42" bestFit="1" customWidth="1"/>
    <col min="53" max="54" width="9.28515625" style="42" bestFit="1" customWidth="1"/>
    <col min="55" max="55" width="9" style="42" bestFit="1" customWidth="1"/>
    <col min="56" max="57" width="9.28515625" style="42" bestFit="1" customWidth="1"/>
    <col min="58" max="60" width="9" style="42" bestFit="1" customWidth="1"/>
    <col min="61" max="61" width="9.28515625" style="42" bestFit="1" customWidth="1"/>
    <col min="62" max="63" width="10.28515625" style="42" bestFit="1" customWidth="1"/>
  </cols>
  <sheetData>
    <row r="1" spans="1:63" x14ac:dyDescent="0.25">
      <c r="A1" t="s">
        <v>420</v>
      </c>
      <c r="B1" s="11">
        <v>45717</v>
      </c>
      <c r="C1" s="11" t="s">
        <v>5</v>
      </c>
      <c r="D1" t="s">
        <v>560</v>
      </c>
      <c r="G1" t="s">
        <v>80</v>
      </c>
      <c r="H1" t="s">
        <v>561</v>
      </c>
      <c r="I1" t="s">
        <v>421</v>
      </c>
      <c r="J1" s="10">
        <v>41883</v>
      </c>
      <c r="M1" t="s">
        <v>523</v>
      </c>
      <c r="N1" t="s">
        <v>508</v>
      </c>
      <c r="O1">
        <v>2925.98</v>
      </c>
      <c r="P1">
        <v>2925.98</v>
      </c>
      <c r="Q1" s="42">
        <v>0</v>
      </c>
      <c r="R1" s="42">
        <v>585.20000000000005</v>
      </c>
      <c r="S1" s="42">
        <v>0</v>
      </c>
      <c r="T1" s="42">
        <v>0</v>
      </c>
      <c r="U1" s="42">
        <v>0</v>
      </c>
      <c r="V1" s="42">
        <v>146.30000000000001</v>
      </c>
      <c r="W1" s="42">
        <v>0</v>
      </c>
      <c r="X1" s="42">
        <v>0</v>
      </c>
      <c r="Y1" s="42">
        <v>0</v>
      </c>
      <c r="Z1" s="42">
        <v>0</v>
      </c>
      <c r="AA1" s="42">
        <v>0</v>
      </c>
      <c r="AB1" s="42">
        <v>0</v>
      </c>
      <c r="AC1" s="42">
        <v>0</v>
      </c>
      <c r="AD1" s="42">
        <v>0</v>
      </c>
      <c r="AE1" s="42">
        <v>3657.4800000000005</v>
      </c>
      <c r="AF1" s="42">
        <v>200</v>
      </c>
      <c r="AG1" s="42">
        <v>190</v>
      </c>
      <c r="AI1" s="42">
        <v>1718</v>
      </c>
      <c r="AJ1" s="42">
        <v>0</v>
      </c>
      <c r="AK1" s="42">
        <v>0</v>
      </c>
      <c r="AL1" s="42">
        <v>0</v>
      </c>
      <c r="AM1" s="42">
        <v>0</v>
      </c>
      <c r="AN1" s="42">
        <v>0</v>
      </c>
      <c r="AO1" s="42">
        <v>0</v>
      </c>
      <c r="AP1" s="42">
        <v>0</v>
      </c>
      <c r="AQ1" s="42">
        <v>2112</v>
      </c>
      <c r="AR1" s="42">
        <v>1200</v>
      </c>
      <c r="AS1" s="42">
        <v>0</v>
      </c>
      <c r="AT1" s="42">
        <v>0</v>
      </c>
      <c r="AU1" s="42">
        <v>0</v>
      </c>
      <c r="AW1" s="42">
        <v>5420</v>
      </c>
      <c r="AX1" s="42">
        <v>9077.48</v>
      </c>
      <c r="AZ1" s="42">
        <v>9077.48</v>
      </c>
      <c r="BA1" s="42">
        <v>304.79000000000002</v>
      </c>
      <c r="BB1" s="42">
        <v>304.79000000000002</v>
      </c>
      <c r="BC1" s="42">
        <v>101.59666666666668</v>
      </c>
      <c r="BD1" s="42">
        <v>711.17666666666673</v>
      </c>
      <c r="BE1" s="42">
        <v>731.5</v>
      </c>
      <c r="BF1" s="42">
        <v>54.86</v>
      </c>
      <c r="BG1" s="42">
        <v>212.13</v>
      </c>
      <c r="BH1" s="42">
        <v>292.58999999999997</v>
      </c>
      <c r="BI1" s="42">
        <v>1291.08</v>
      </c>
      <c r="BJ1" s="42">
        <v>10368.56</v>
      </c>
      <c r="BK1" s="42">
        <v>11079.736666666666</v>
      </c>
    </row>
    <row r="2" spans="1:63" x14ac:dyDescent="0.25">
      <c r="A2" t="s">
        <v>77</v>
      </c>
      <c r="B2" s="11">
        <v>45717</v>
      </c>
      <c r="C2" s="11" t="s">
        <v>5</v>
      </c>
      <c r="D2" t="s">
        <v>560</v>
      </c>
      <c r="G2" t="s">
        <v>80</v>
      </c>
      <c r="H2" t="s">
        <v>83</v>
      </c>
      <c r="I2" t="s">
        <v>81</v>
      </c>
      <c r="J2" s="10">
        <v>43903</v>
      </c>
      <c r="M2" t="s">
        <v>84</v>
      </c>
      <c r="N2" t="s">
        <v>499</v>
      </c>
      <c r="O2">
        <v>2224.59</v>
      </c>
      <c r="P2">
        <v>2224.59</v>
      </c>
      <c r="Q2" s="42">
        <v>0</v>
      </c>
      <c r="R2" s="42">
        <v>0</v>
      </c>
      <c r="S2" s="42">
        <v>0</v>
      </c>
      <c r="T2" s="42">
        <v>0</v>
      </c>
      <c r="U2" s="42">
        <v>0</v>
      </c>
      <c r="V2" s="42">
        <v>0</v>
      </c>
      <c r="W2" s="42">
        <v>0</v>
      </c>
      <c r="X2" s="42">
        <v>118.38</v>
      </c>
      <c r="Y2" s="42">
        <v>22.77</v>
      </c>
      <c r="Z2" s="42">
        <v>0</v>
      </c>
      <c r="AA2" s="42">
        <v>0</v>
      </c>
      <c r="AB2" s="42">
        <v>0</v>
      </c>
      <c r="AC2" s="42">
        <v>0</v>
      </c>
      <c r="AD2" s="42">
        <v>0</v>
      </c>
      <c r="AE2" s="42">
        <v>2365.7400000000002</v>
      </c>
      <c r="AF2" s="42">
        <v>0</v>
      </c>
      <c r="AG2" s="42">
        <v>190</v>
      </c>
      <c r="AI2" s="42">
        <v>0</v>
      </c>
      <c r="AJ2" s="42">
        <v>0</v>
      </c>
      <c r="AK2" s="42">
        <v>0</v>
      </c>
      <c r="AL2" s="42">
        <v>0</v>
      </c>
      <c r="AM2" s="42">
        <v>679</v>
      </c>
      <c r="AN2" s="42">
        <v>0</v>
      </c>
      <c r="AO2" s="42">
        <v>6.43</v>
      </c>
      <c r="AP2" s="42">
        <v>0</v>
      </c>
      <c r="AQ2" s="42">
        <v>0</v>
      </c>
      <c r="AR2" s="42">
        <v>0</v>
      </c>
      <c r="AS2" s="42">
        <v>0</v>
      </c>
      <c r="AT2" s="42">
        <v>0</v>
      </c>
      <c r="AU2" s="42">
        <v>0</v>
      </c>
      <c r="AW2" s="42">
        <v>875.43</v>
      </c>
      <c r="AX2" s="42">
        <v>3241.17</v>
      </c>
      <c r="AZ2" s="42">
        <v>3241.17</v>
      </c>
      <c r="BA2" s="42">
        <v>197.14500000000001</v>
      </c>
      <c r="BB2" s="42">
        <v>197.14500000000001</v>
      </c>
      <c r="BC2" s="42">
        <v>65.715000000000003</v>
      </c>
      <c r="BD2" s="42">
        <v>460.005</v>
      </c>
      <c r="BE2" s="42">
        <v>473.15</v>
      </c>
      <c r="BF2" s="42">
        <v>35.479999999999997</v>
      </c>
      <c r="BG2" s="42">
        <v>137.21</v>
      </c>
      <c r="BH2" s="42">
        <v>189.25</v>
      </c>
      <c r="BI2" s="42">
        <v>835.09</v>
      </c>
      <c r="BJ2" s="42">
        <v>4076.26</v>
      </c>
      <c r="BK2" s="42">
        <v>4536.2650000000003</v>
      </c>
    </row>
    <row r="3" spans="1:63" x14ac:dyDescent="0.25">
      <c r="A3" t="s">
        <v>500</v>
      </c>
      <c r="B3" s="11">
        <v>45717</v>
      </c>
      <c r="C3" s="11" t="s">
        <v>5</v>
      </c>
      <c r="D3" t="s">
        <v>560</v>
      </c>
      <c r="G3" t="s">
        <v>80</v>
      </c>
      <c r="H3" t="s">
        <v>444</v>
      </c>
      <c r="I3" t="s">
        <v>562</v>
      </c>
      <c r="J3" s="10">
        <v>44630</v>
      </c>
      <c r="M3" t="s">
        <v>502</v>
      </c>
      <c r="N3" t="s">
        <v>432</v>
      </c>
      <c r="O3">
        <v>2486.84</v>
      </c>
      <c r="P3">
        <v>2486.84</v>
      </c>
      <c r="Q3" s="42">
        <v>0</v>
      </c>
      <c r="R3" s="42">
        <v>0</v>
      </c>
      <c r="S3" s="42">
        <v>0</v>
      </c>
      <c r="T3" s="42">
        <v>0</v>
      </c>
      <c r="U3" s="42">
        <v>0</v>
      </c>
      <c r="V3" s="42">
        <v>0</v>
      </c>
      <c r="W3" s="42">
        <v>0</v>
      </c>
      <c r="X3" s="42">
        <v>0</v>
      </c>
      <c r="Y3" s="42">
        <v>0</v>
      </c>
      <c r="Z3" s="42">
        <v>0</v>
      </c>
      <c r="AA3" s="42">
        <v>0</v>
      </c>
      <c r="AB3" s="42">
        <v>0</v>
      </c>
      <c r="AC3" s="42">
        <v>0</v>
      </c>
      <c r="AD3" s="42">
        <v>0</v>
      </c>
      <c r="AE3" s="42">
        <v>2486.84</v>
      </c>
      <c r="AF3" s="42">
        <v>400</v>
      </c>
      <c r="AG3" s="42">
        <v>490</v>
      </c>
      <c r="AI3" s="42">
        <v>0</v>
      </c>
      <c r="AJ3" s="42">
        <v>0</v>
      </c>
      <c r="AK3" s="42">
        <v>0</v>
      </c>
      <c r="AL3" s="42">
        <v>0</v>
      </c>
      <c r="AM3" s="42">
        <v>2131.58</v>
      </c>
      <c r="AN3" s="42">
        <v>0</v>
      </c>
      <c r="AO3" s="42">
        <v>0</v>
      </c>
      <c r="AP3" s="42">
        <v>0</v>
      </c>
      <c r="AQ3" s="42">
        <v>800</v>
      </c>
      <c r="AR3" s="42">
        <v>0</v>
      </c>
      <c r="AS3" s="42">
        <v>0</v>
      </c>
      <c r="AT3" s="42">
        <v>0</v>
      </c>
      <c r="AU3" s="42">
        <v>0</v>
      </c>
      <c r="AW3" s="42">
        <v>3821.58</v>
      </c>
      <c r="AX3" s="42">
        <v>6308.42</v>
      </c>
      <c r="AZ3" s="42">
        <v>6308.42</v>
      </c>
      <c r="BA3" s="42">
        <v>207.23666666666668</v>
      </c>
      <c r="BB3" s="42">
        <v>207.23666666666668</v>
      </c>
      <c r="BC3" s="42">
        <v>69.078888888888898</v>
      </c>
      <c r="BD3" s="42">
        <v>483.55222222222227</v>
      </c>
      <c r="BE3" s="42">
        <v>497.37</v>
      </c>
      <c r="BF3" s="42">
        <v>37.299999999999997</v>
      </c>
      <c r="BG3" s="42">
        <v>144.22999999999999</v>
      </c>
      <c r="BH3" s="42">
        <v>198.94</v>
      </c>
      <c r="BI3" s="42">
        <v>877.83999999999992</v>
      </c>
      <c r="BJ3" s="42">
        <v>7186.26</v>
      </c>
      <c r="BK3" s="42">
        <v>7669.8122222222228</v>
      </c>
    </row>
    <row r="4" spans="1:63" x14ac:dyDescent="0.25">
      <c r="A4" t="s">
        <v>86</v>
      </c>
      <c r="B4" s="11">
        <v>45717</v>
      </c>
      <c r="C4" s="11" t="s">
        <v>5</v>
      </c>
      <c r="D4" t="s">
        <v>560</v>
      </c>
      <c r="G4" t="s">
        <v>80</v>
      </c>
      <c r="H4" t="s">
        <v>83</v>
      </c>
      <c r="I4" t="s">
        <v>88</v>
      </c>
      <c r="J4" s="10">
        <v>45027</v>
      </c>
      <c r="M4" t="s">
        <v>89</v>
      </c>
      <c r="N4" t="s">
        <v>563</v>
      </c>
      <c r="O4">
        <v>2883.78</v>
      </c>
      <c r="P4">
        <v>961.26</v>
      </c>
      <c r="Q4" s="42">
        <v>2988.88</v>
      </c>
      <c r="R4" s="42">
        <v>0</v>
      </c>
      <c r="S4" s="42">
        <v>0</v>
      </c>
      <c r="T4" s="42">
        <v>0</v>
      </c>
      <c r="U4" s="42">
        <v>0</v>
      </c>
      <c r="V4" s="42">
        <v>0</v>
      </c>
      <c r="W4" s="42">
        <v>0</v>
      </c>
      <c r="X4" s="42">
        <v>0</v>
      </c>
      <c r="Y4" s="42">
        <v>0</v>
      </c>
      <c r="Z4" s="42">
        <v>0</v>
      </c>
      <c r="AA4" s="42">
        <v>0</v>
      </c>
      <c r="AB4" s="42">
        <v>0</v>
      </c>
      <c r="AC4" s="42">
        <v>0</v>
      </c>
      <c r="AD4" s="42">
        <v>0</v>
      </c>
      <c r="AE4" s="42">
        <v>3950.1400000000003</v>
      </c>
      <c r="AF4" s="42">
        <v>150</v>
      </c>
      <c r="AG4" s="42">
        <v>190</v>
      </c>
      <c r="AI4" s="42">
        <v>0</v>
      </c>
      <c r="AJ4" s="42">
        <v>0</v>
      </c>
      <c r="AK4" s="42">
        <v>0</v>
      </c>
      <c r="AL4" s="42">
        <v>0</v>
      </c>
      <c r="AM4" s="42">
        <v>0</v>
      </c>
      <c r="AN4" s="42">
        <v>0</v>
      </c>
      <c r="AO4" s="42">
        <v>6.43</v>
      </c>
      <c r="AP4" s="42">
        <v>0</v>
      </c>
      <c r="AQ4" s="42">
        <v>0</v>
      </c>
      <c r="AR4" s="42">
        <v>0</v>
      </c>
      <c r="AS4" s="42">
        <v>1494.44</v>
      </c>
      <c r="AT4" s="42">
        <v>0</v>
      </c>
      <c r="AU4" s="42">
        <v>0</v>
      </c>
      <c r="AW4" s="42">
        <v>1840.8700000000001</v>
      </c>
      <c r="AX4" s="42">
        <v>5791.01</v>
      </c>
      <c r="AZ4" s="42">
        <v>5791.01</v>
      </c>
      <c r="BA4" s="42">
        <v>329.17833333333334</v>
      </c>
      <c r="BB4" s="42">
        <v>329.17833333333334</v>
      </c>
      <c r="BC4" s="42">
        <v>109.72611111111111</v>
      </c>
      <c r="BD4" s="42">
        <v>768.08277777777778</v>
      </c>
      <c r="BE4" s="42">
        <v>790.03</v>
      </c>
      <c r="BF4" s="42">
        <v>59.25</v>
      </c>
      <c r="BG4" s="42">
        <v>229.1</v>
      </c>
      <c r="BH4" s="42">
        <v>316.01</v>
      </c>
      <c r="BI4" s="42">
        <v>1394.3899999999999</v>
      </c>
      <c r="BJ4" s="42">
        <v>7185.4</v>
      </c>
      <c r="BK4" s="42">
        <v>7953.4827777777773</v>
      </c>
    </row>
    <row r="5" spans="1:63" x14ac:dyDescent="0.25">
      <c r="A5" t="s">
        <v>503</v>
      </c>
      <c r="B5" s="11">
        <v>45717</v>
      </c>
      <c r="C5" s="11" t="s">
        <v>5</v>
      </c>
      <c r="D5" t="s">
        <v>560</v>
      </c>
      <c r="G5" t="s">
        <v>80</v>
      </c>
      <c r="H5" t="s">
        <v>83</v>
      </c>
      <c r="I5" t="s">
        <v>88</v>
      </c>
      <c r="J5" s="10">
        <v>45119</v>
      </c>
      <c r="M5" t="s">
        <v>89</v>
      </c>
      <c r="N5" t="s">
        <v>504</v>
      </c>
      <c r="O5">
        <v>1828.35</v>
      </c>
      <c r="P5">
        <v>0</v>
      </c>
      <c r="Q5" s="42">
        <v>0</v>
      </c>
      <c r="R5" s="42">
        <v>0</v>
      </c>
      <c r="S5" s="42">
        <v>0</v>
      </c>
      <c r="T5" s="42">
        <v>0</v>
      </c>
      <c r="U5" s="42">
        <v>0</v>
      </c>
      <c r="V5" s="42">
        <v>0</v>
      </c>
      <c r="W5" s="42">
        <v>0</v>
      </c>
      <c r="X5" s="42">
        <v>0</v>
      </c>
      <c r="Y5" s="42">
        <v>0</v>
      </c>
      <c r="Z5" s="42">
        <v>0</v>
      </c>
      <c r="AA5" s="42">
        <v>0</v>
      </c>
      <c r="AB5" s="42">
        <v>0</v>
      </c>
      <c r="AC5" s="42">
        <v>0</v>
      </c>
      <c r="AD5" s="42">
        <v>0</v>
      </c>
      <c r="AE5" s="42">
        <v>0</v>
      </c>
      <c r="AF5" s="42">
        <v>0</v>
      </c>
      <c r="AG5" s="42">
        <v>0</v>
      </c>
      <c r="AI5" s="42">
        <v>0</v>
      </c>
      <c r="AJ5" s="42">
        <v>0</v>
      </c>
      <c r="AK5" s="42">
        <v>0</v>
      </c>
      <c r="AL5" s="42">
        <v>0</v>
      </c>
      <c r="AM5" s="42">
        <v>0</v>
      </c>
      <c r="AN5" s="42">
        <v>0</v>
      </c>
      <c r="AO5" s="42">
        <v>0</v>
      </c>
      <c r="AP5" s="42">
        <v>0</v>
      </c>
      <c r="AQ5" s="42">
        <v>0</v>
      </c>
      <c r="AR5" s="42">
        <v>0</v>
      </c>
      <c r="AS5" s="42">
        <v>0</v>
      </c>
      <c r="AT5" s="42">
        <v>0</v>
      </c>
      <c r="AU5" s="42">
        <v>0</v>
      </c>
      <c r="AW5" s="42">
        <v>0</v>
      </c>
      <c r="AX5" s="42">
        <v>0</v>
      </c>
      <c r="AZ5" s="42">
        <v>0</v>
      </c>
      <c r="BA5" s="42">
        <v>0</v>
      </c>
      <c r="BB5" s="42">
        <v>0</v>
      </c>
      <c r="BC5" s="42">
        <v>0</v>
      </c>
      <c r="BD5" s="42">
        <v>0</v>
      </c>
      <c r="BE5" s="42">
        <v>0</v>
      </c>
      <c r="BF5" s="42">
        <v>0</v>
      </c>
      <c r="BG5" s="42">
        <v>0</v>
      </c>
      <c r="BH5" s="42">
        <v>0</v>
      </c>
      <c r="BI5" s="42">
        <v>0</v>
      </c>
      <c r="BJ5" s="42">
        <v>0</v>
      </c>
      <c r="BK5" s="42">
        <v>0</v>
      </c>
    </row>
    <row r="6" spans="1:63" x14ac:dyDescent="0.25">
      <c r="A6" t="s">
        <v>189</v>
      </c>
      <c r="B6" s="11">
        <v>45717</v>
      </c>
      <c r="C6" s="11" t="s">
        <v>5</v>
      </c>
      <c r="D6" t="s">
        <v>560</v>
      </c>
      <c r="G6" t="s">
        <v>80</v>
      </c>
      <c r="H6" t="s">
        <v>83</v>
      </c>
      <c r="I6" t="s">
        <v>97</v>
      </c>
      <c r="J6" s="10">
        <v>45261</v>
      </c>
      <c r="M6" t="s">
        <v>525</v>
      </c>
      <c r="N6" t="s">
        <v>508</v>
      </c>
      <c r="O6">
        <v>2925.98</v>
      </c>
      <c r="P6">
        <v>2925.98</v>
      </c>
      <c r="Q6" s="42">
        <v>0</v>
      </c>
      <c r="R6" s="42">
        <v>585.20000000000005</v>
      </c>
      <c r="S6" s="42">
        <v>0</v>
      </c>
      <c r="T6" s="42">
        <v>0</v>
      </c>
      <c r="U6" s="42">
        <v>0</v>
      </c>
      <c r="V6" s="42">
        <v>0</v>
      </c>
      <c r="W6" s="42">
        <v>0</v>
      </c>
      <c r="X6" s="42">
        <v>683.09</v>
      </c>
      <c r="Y6" s="42">
        <v>131.36000000000001</v>
      </c>
      <c r="Z6" s="42">
        <v>0</v>
      </c>
      <c r="AA6" s="42">
        <v>0</v>
      </c>
      <c r="AB6" s="42">
        <v>0</v>
      </c>
      <c r="AC6" s="42">
        <v>0</v>
      </c>
      <c r="AD6" s="42">
        <v>0</v>
      </c>
      <c r="AE6" s="42">
        <v>4325.63</v>
      </c>
      <c r="AF6" s="42">
        <v>150</v>
      </c>
      <c r="AG6" s="42">
        <v>190</v>
      </c>
      <c r="AI6" s="42">
        <v>0</v>
      </c>
      <c r="AJ6" s="42">
        <v>141</v>
      </c>
      <c r="AK6" s="42">
        <v>0</v>
      </c>
      <c r="AL6" s="42">
        <v>0</v>
      </c>
      <c r="AM6" s="42">
        <v>0</v>
      </c>
      <c r="AN6" s="42">
        <v>0</v>
      </c>
      <c r="AO6" s="42">
        <v>6.43</v>
      </c>
      <c r="AP6" s="42">
        <v>0</v>
      </c>
      <c r="AQ6" s="42">
        <v>29.21</v>
      </c>
      <c r="AR6" s="42">
        <v>0</v>
      </c>
      <c r="AS6" s="42">
        <v>0</v>
      </c>
      <c r="AT6" s="42">
        <v>0</v>
      </c>
      <c r="AU6" s="42">
        <v>0</v>
      </c>
      <c r="AW6" s="42">
        <v>516.64</v>
      </c>
      <c r="AX6" s="42">
        <v>4842.2700000000004</v>
      </c>
      <c r="AZ6" s="42">
        <v>4842.2700000000004</v>
      </c>
      <c r="BA6" s="42">
        <v>360.46916666666669</v>
      </c>
      <c r="BB6" s="42">
        <v>360.46916666666669</v>
      </c>
      <c r="BC6" s="42">
        <v>120.1563888888889</v>
      </c>
      <c r="BD6" s="42">
        <v>841.09472222222234</v>
      </c>
      <c r="BE6" s="42">
        <v>865.13</v>
      </c>
      <c r="BF6" s="42">
        <v>64.88</v>
      </c>
      <c r="BG6" s="42">
        <v>250.88</v>
      </c>
      <c r="BH6" s="42">
        <v>346.05</v>
      </c>
      <c r="BI6" s="42">
        <v>1526.9399999999998</v>
      </c>
      <c r="BJ6" s="42">
        <v>6369.21</v>
      </c>
      <c r="BK6" s="42">
        <v>7210.3047222222222</v>
      </c>
    </row>
    <row r="7" spans="1:63" x14ac:dyDescent="0.25">
      <c r="A7" t="s">
        <v>186</v>
      </c>
      <c r="B7" s="11">
        <v>45717</v>
      </c>
      <c r="C7" s="11" t="s">
        <v>5</v>
      </c>
      <c r="D7" t="s">
        <v>560</v>
      </c>
      <c r="G7" t="s">
        <v>80</v>
      </c>
      <c r="J7" s="10">
        <v>45532</v>
      </c>
      <c r="N7" t="s">
        <v>92</v>
      </c>
      <c r="O7">
        <v>1828.35</v>
      </c>
      <c r="P7">
        <v>1828.35</v>
      </c>
      <c r="Q7" s="42">
        <v>0</v>
      </c>
      <c r="R7" s="42">
        <v>365.67</v>
      </c>
      <c r="S7" s="42">
        <v>0</v>
      </c>
      <c r="T7" s="42">
        <v>0</v>
      </c>
      <c r="U7" s="42">
        <v>0</v>
      </c>
      <c r="V7" s="42">
        <v>0</v>
      </c>
      <c r="W7" s="42">
        <v>0</v>
      </c>
      <c r="X7" s="42">
        <v>1236.6300000000001</v>
      </c>
      <c r="Y7" s="42">
        <v>237.81</v>
      </c>
      <c r="Z7" s="42">
        <v>0</v>
      </c>
      <c r="AA7" s="42">
        <v>0</v>
      </c>
      <c r="AB7" s="42">
        <v>0</v>
      </c>
      <c r="AC7" s="42">
        <v>0</v>
      </c>
      <c r="AD7" s="42">
        <v>0</v>
      </c>
      <c r="AE7" s="42">
        <v>3668.46</v>
      </c>
      <c r="AF7" s="42">
        <v>150</v>
      </c>
      <c r="AG7" s="42">
        <v>190</v>
      </c>
      <c r="AI7" s="42">
        <v>0</v>
      </c>
      <c r="AJ7" s="42">
        <v>0</v>
      </c>
      <c r="AK7" s="42">
        <v>0</v>
      </c>
      <c r="AL7" s="42">
        <v>0</v>
      </c>
      <c r="AM7" s="42">
        <v>0</v>
      </c>
      <c r="AN7" s="42">
        <v>0</v>
      </c>
      <c r="AO7" s="42">
        <v>6.43</v>
      </c>
      <c r="AP7" s="42">
        <v>0</v>
      </c>
      <c r="AQ7" s="42">
        <v>0</v>
      </c>
      <c r="AR7" s="42">
        <v>0</v>
      </c>
      <c r="AS7" s="42">
        <v>0</v>
      </c>
      <c r="AT7" s="42">
        <v>0</v>
      </c>
      <c r="AU7" s="42">
        <v>0</v>
      </c>
      <c r="AW7" s="42">
        <v>346.43</v>
      </c>
      <c r="AX7" s="42">
        <v>4014.89</v>
      </c>
      <c r="AZ7" s="42">
        <v>4014.89</v>
      </c>
      <c r="BA7" s="42">
        <v>305.70499999999998</v>
      </c>
      <c r="BB7" s="42">
        <v>305.70499999999998</v>
      </c>
      <c r="BC7" s="42">
        <v>101.90166666666666</v>
      </c>
      <c r="BD7" s="42">
        <v>713.31166666666661</v>
      </c>
      <c r="BE7" s="42">
        <v>733.69</v>
      </c>
      <c r="BF7" s="42">
        <v>55.02</v>
      </c>
      <c r="BG7" s="42">
        <v>212.77</v>
      </c>
      <c r="BH7" s="42">
        <v>293.47000000000003</v>
      </c>
      <c r="BI7" s="42">
        <v>1294.95</v>
      </c>
      <c r="BJ7" s="42">
        <v>5309.84</v>
      </c>
      <c r="BK7" s="42">
        <v>6023.1516666666666</v>
      </c>
    </row>
    <row r="8" spans="1:63" x14ac:dyDescent="0.25">
      <c r="A8" t="s">
        <v>191</v>
      </c>
      <c r="B8" s="11">
        <v>45717</v>
      </c>
      <c r="C8" s="11" t="s">
        <v>5</v>
      </c>
      <c r="D8" t="s">
        <v>560</v>
      </c>
      <c r="G8" t="s">
        <v>80</v>
      </c>
      <c r="J8" s="10">
        <v>45594</v>
      </c>
      <c r="N8" t="s">
        <v>505</v>
      </c>
      <c r="O8">
        <v>1932</v>
      </c>
      <c r="P8">
        <v>1932</v>
      </c>
      <c r="Q8" s="42">
        <v>0</v>
      </c>
      <c r="R8" s="42">
        <v>0</v>
      </c>
      <c r="S8" s="42">
        <v>0</v>
      </c>
      <c r="T8" s="42">
        <v>0</v>
      </c>
      <c r="U8" s="42">
        <v>0</v>
      </c>
      <c r="V8" s="42">
        <v>0</v>
      </c>
      <c r="W8" s="42">
        <v>0</v>
      </c>
      <c r="X8" s="42">
        <v>109.83</v>
      </c>
      <c r="Y8" s="42">
        <v>21.12</v>
      </c>
      <c r="Z8" s="42">
        <v>0</v>
      </c>
      <c r="AA8" s="42">
        <v>0</v>
      </c>
      <c r="AB8" s="42">
        <v>0</v>
      </c>
      <c r="AC8" s="42">
        <v>0</v>
      </c>
      <c r="AD8" s="42">
        <v>0</v>
      </c>
      <c r="AE8" s="42">
        <v>2062.9499999999998</v>
      </c>
      <c r="AF8" s="42">
        <v>150</v>
      </c>
      <c r="AG8" s="42">
        <v>190</v>
      </c>
      <c r="AI8" s="42">
        <v>0</v>
      </c>
      <c r="AJ8" s="42">
        <v>0</v>
      </c>
      <c r="AK8" s="42">
        <v>0</v>
      </c>
      <c r="AL8" s="42">
        <v>0</v>
      </c>
      <c r="AM8" s="42">
        <v>0</v>
      </c>
      <c r="AN8" s="42">
        <v>0</v>
      </c>
      <c r="AO8" s="42">
        <v>6.43</v>
      </c>
      <c r="AP8" s="42">
        <v>0</v>
      </c>
      <c r="AQ8" s="42">
        <v>0</v>
      </c>
      <c r="AR8" s="42">
        <v>0</v>
      </c>
      <c r="AS8" s="42">
        <v>0</v>
      </c>
      <c r="AT8" s="42">
        <v>0</v>
      </c>
      <c r="AU8" s="42">
        <v>0</v>
      </c>
      <c r="AW8" s="42">
        <v>346.43</v>
      </c>
      <c r="AX8" s="42">
        <v>2409.3799999999997</v>
      </c>
      <c r="AZ8" s="42">
        <v>2409.3799999999997</v>
      </c>
      <c r="BA8" s="42">
        <v>171.91249999999999</v>
      </c>
      <c r="BB8" s="42">
        <v>171.91249999999999</v>
      </c>
      <c r="BC8" s="42">
        <v>57.304166666666667</v>
      </c>
      <c r="BD8" s="42">
        <v>401.12916666666666</v>
      </c>
      <c r="BE8" s="42">
        <v>412.59</v>
      </c>
      <c r="BF8" s="42">
        <v>30.94</v>
      </c>
      <c r="BG8" s="42">
        <v>119.65</v>
      </c>
      <c r="BH8" s="42">
        <v>165.03</v>
      </c>
      <c r="BI8" s="42">
        <v>728.20999999999992</v>
      </c>
      <c r="BJ8" s="42">
        <v>3137.5899999999997</v>
      </c>
      <c r="BK8" s="42">
        <v>3538.7191666666663</v>
      </c>
    </row>
    <row r="9" spans="1:63" x14ac:dyDescent="0.25">
      <c r="A9" t="s">
        <v>93</v>
      </c>
      <c r="B9" s="11">
        <v>45717</v>
      </c>
      <c r="C9" s="11" t="s">
        <v>5</v>
      </c>
      <c r="D9" t="s">
        <v>564</v>
      </c>
      <c r="G9" t="s">
        <v>95</v>
      </c>
      <c r="J9" s="10">
        <v>41883</v>
      </c>
      <c r="N9" t="s">
        <v>99</v>
      </c>
      <c r="O9">
        <v>1710</v>
      </c>
      <c r="P9">
        <v>0</v>
      </c>
      <c r="Q9" s="42">
        <v>0</v>
      </c>
      <c r="R9" s="42">
        <v>0</v>
      </c>
      <c r="S9" s="42">
        <v>0</v>
      </c>
      <c r="T9" s="42">
        <v>0</v>
      </c>
      <c r="U9" s="42">
        <v>0</v>
      </c>
      <c r="V9" s="42">
        <v>0</v>
      </c>
      <c r="W9" s="42">
        <v>0</v>
      </c>
      <c r="X9" s="42">
        <v>0</v>
      </c>
      <c r="Y9" s="42">
        <v>0</v>
      </c>
      <c r="Z9" s="42">
        <v>0</v>
      </c>
      <c r="AA9" s="42">
        <v>0</v>
      </c>
      <c r="AB9" s="42">
        <v>0</v>
      </c>
      <c r="AC9" s="42">
        <v>0</v>
      </c>
      <c r="AD9" s="42">
        <v>0</v>
      </c>
      <c r="AE9" s="42">
        <v>0</v>
      </c>
      <c r="AF9" s="42">
        <v>0</v>
      </c>
      <c r="AG9" s="42">
        <v>0</v>
      </c>
      <c r="AI9" s="42">
        <v>0</v>
      </c>
      <c r="AJ9" s="42">
        <v>0</v>
      </c>
      <c r="AK9" s="42">
        <v>0</v>
      </c>
      <c r="AL9" s="42">
        <v>0</v>
      </c>
      <c r="AM9" s="42">
        <v>0</v>
      </c>
      <c r="AN9" s="42">
        <v>0</v>
      </c>
      <c r="AO9" s="42">
        <v>0</v>
      </c>
      <c r="AP9" s="42">
        <v>0</v>
      </c>
      <c r="AQ9" s="42">
        <v>0</v>
      </c>
      <c r="AR9" s="42">
        <v>0</v>
      </c>
      <c r="AS9" s="42">
        <v>0</v>
      </c>
      <c r="AT9" s="42">
        <v>0</v>
      </c>
      <c r="AU9" s="42">
        <v>0</v>
      </c>
      <c r="AW9" s="42">
        <v>0</v>
      </c>
      <c r="AX9" s="42">
        <v>0</v>
      </c>
      <c r="AZ9" s="42">
        <v>0</v>
      </c>
      <c r="BA9" s="42">
        <v>0</v>
      </c>
      <c r="BB9" s="42">
        <v>0</v>
      </c>
      <c r="BC9" s="42">
        <v>0</v>
      </c>
      <c r="BD9" s="42">
        <v>0</v>
      </c>
      <c r="BE9" s="42">
        <v>0</v>
      </c>
      <c r="BF9" s="42">
        <v>0</v>
      </c>
      <c r="BG9" s="42">
        <v>0</v>
      </c>
      <c r="BH9" s="42">
        <v>0</v>
      </c>
      <c r="BI9" s="42">
        <v>0</v>
      </c>
      <c r="BJ9" s="42">
        <v>0</v>
      </c>
      <c r="BK9" s="42">
        <v>0</v>
      </c>
    </row>
    <row r="10" spans="1:63" x14ac:dyDescent="0.25">
      <c r="A10" t="s">
        <v>91</v>
      </c>
      <c r="B10" s="11">
        <v>45717</v>
      </c>
      <c r="C10" s="11" t="s">
        <v>5</v>
      </c>
      <c r="D10" t="s">
        <v>564</v>
      </c>
      <c r="G10" t="s">
        <v>95</v>
      </c>
      <c r="J10" s="10">
        <v>42205</v>
      </c>
      <c r="N10" t="s">
        <v>506</v>
      </c>
      <c r="O10">
        <v>1828</v>
      </c>
      <c r="P10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  <c r="Y10" s="42">
        <v>0</v>
      </c>
      <c r="Z10" s="42">
        <v>0</v>
      </c>
      <c r="AA10" s="42">
        <v>0</v>
      </c>
      <c r="AB10" s="42">
        <v>0</v>
      </c>
      <c r="AC10" s="42">
        <v>0</v>
      </c>
      <c r="AD10" s="42">
        <v>0</v>
      </c>
      <c r="AE10" s="42">
        <v>0</v>
      </c>
      <c r="AF10" s="42">
        <v>0</v>
      </c>
      <c r="AG10" s="42">
        <v>0</v>
      </c>
      <c r="AI10" s="42">
        <v>0</v>
      </c>
      <c r="AJ10" s="42">
        <v>0</v>
      </c>
      <c r="AK10" s="42">
        <v>0</v>
      </c>
      <c r="AL10" s="42">
        <v>0</v>
      </c>
      <c r="AM10" s="42">
        <v>0</v>
      </c>
      <c r="AN10" s="42">
        <v>0</v>
      </c>
      <c r="AO10" s="42">
        <v>0</v>
      </c>
      <c r="AP10" s="42">
        <v>0</v>
      </c>
      <c r="AQ10" s="42">
        <v>0</v>
      </c>
      <c r="AR10" s="42">
        <v>0</v>
      </c>
      <c r="AS10" s="42">
        <v>0</v>
      </c>
      <c r="AT10" s="42">
        <v>0</v>
      </c>
      <c r="AU10" s="42">
        <v>0</v>
      </c>
      <c r="AW10" s="42">
        <v>0</v>
      </c>
      <c r="AX10" s="42">
        <v>0</v>
      </c>
      <c r="AZ10" s="42">
        <v>0</v>
      </c>
      <c r="BA10" s="42">
        <v>0</v>
      </c>
      <c r="BB10" s="42">
        <v>0</v>
      </c>
      <c r="BC10" s="42">
        <v>0</v>
      </c>
      <c r="BD10" s="42">
        <v>0</v>
      </c>
      <c r="BE10" s="42">
        <v>0</v>
      </c>
      <c r="BF10" s="42">
        <v>0</v>
      </c>
      <c r="BG10" s="42">
        <v>0</v>
      </c>
      <c r="BH10" s="42">
        <v>0</v>
      </c>
      <c r="BI10" s="42">
        <v>0</v>
      </c>
      <c r="BJ10" s="42">
        <v>0</v>
      </c>
      <c r="BK10" s="42">
        <v>0</v>
      </c>
    </row>
    <row r="11" spans="1:63" x14ac:dyDescent="0.25">
      <c r="A11" t="s">
        <v>469</v>
      </c>
      <c r="B11" s="11">
        <v>45717</v>
      </c>
      <c r="C11" s="11" t="s">
        <v>5</v>
      </c>
      <c r="D11" t="s">
        <v>564</v>
      </c>
      <c r="G11" t="s">
        <v>95</v>
      </c>
      <c r="H11" t="s">
        <v>561</v>
      </c>
      <c r="I11" t="s">
        <v>421</v>
      </c>
      <c r="J11" s="10">
        <v>42826</v>
      </c>
      <c r="M11" t="s">
        <v>470</v>
      </c>
      <c r="N11" t="s">
        <v>439</v>
      </c>
      <c r="O11">
        <v>2462.25</v>
      </c>
      <c r="P11">
        <v>2216.0300000000002</v>
      </c>
      <c r="Q11" s="42">
        <v>410.37</v>
      </c>
      <c r="R11" s="42">
        <v>443.21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  <c r="Y11" s="42">
        <v>0</v>
      </c>
      <c r="Z11" s="42">
        <v>0</v>
      </c>
      <c r="AA11" s="42">
        <v>0</v>
      </c>
      <c r="AB11" s="42">
        <v>0</v>
      </c>
      <c r="AC11" s="42">
        <v>0</v>
      </c>
      <c r="AD11" s="42">
        <v>0</v>
      </c>
      <c r="AE11" s="42">
        <v>3069.61</v>
      </c>
      <c r="AF11" s="42">
        <v>0</v>
      </c>
      <c r="AG11" s="42">
        <v>190</v>
      </c>
      <c r="AI11" s="42">
        <v>770</v>
      </c>
      <c r="AJ11" s="42">
        <v>0</v>
      </c>
      <c r="AK11" s="42">
        <v>0</v>
      </c>
      <c r="AL11" s="42">
        <v>0</v>
      </c>
      <c r="AM11" s="42">
        <v>1000</v>
      </c>
      <c r="AN11" s="42">
        <v>0</v>
      </c>
      <c r="AO11" s="42">
        <v>0</v>
      </c>
      <c r="AP11" s="42">
        <v>0</v>
      </c>
      <c r="AQ11" s="42">
        <v>2331</v>
      </c>
      <c r="AR11" s="42">
        <v>2600</v>
      </c>
      <c r="AS11" s="42">
        <v>1367.92</v>
      </c>
      <c r="AT11" s="42">
        <v>0</v>
      </c>
      <c r="AU11" s="42">
        <v>0</v>
      </c>
      <c r="AW11" s="42">
        <v>8258.92</v>
      </c>
      <c r="AX11" s="42">
        <v>11328.53</v>
      </c>
      <c r="AZ11" s="42">
        <v>11328.53</v>
      </c>
      <c r="BA11" s="42">
        <v>255.80083333333334</v>
      </c>
      <c r="BB11" s="42">
        <v>255.80083333333334</v>
      </c>
      <c r="BC11" s="42">
        <v>85.266944444444448</v>
      </c>
      <c r="BD11" s="42">
        <v>596.86861111111114</v>
      </c>
      <c r="BE11" s="42">
        <v>636.08000000000004</v>
      </c>
      <c r="BF11" s="42">
        <v>47.7</v>
      </c>
      <c r="BG11" s="42">
        <v>184.46</v>
      </c>
      <c r="BH11" s="42">
        <v>254.43</v>
      </c>
      <c r="BI11" s="42">
        <v>1122.67</v>
      </c>
      <c r="BJ11" s="42">
        <v>12451.2</v>
      </c>
      <c r="BK11" s="42">
        <v>13048.068611111112</v>
      </c>
    </row>
    <row r="12" spans="1:63" x14ac:dyDescent="0.25">
      <c r="A12" t="s">
        <v>157</v>
      </c>
      <c r="B12" s="11">
        <v>45717</v>
      </c>
      <c r="C12" s="11" t="s">
        <v>5</v>
      </c>
      <c r="D12" t="s">
        <v>564</v>
      </c>
      <c r="G12" t="s">
        <v>95</v>
      </c>
      <c r="H12" t="s">
        <v>561</v>
      </c>
      <c r="I12" t="s">
        <v>565</v>
      </c>
      <c r="J12" s="10">
        <v>42826</v>
      </c>
      <c r="M12" t="s">
        <v>517</v>
      </c>
      <c r="N12" t="s">
        <v>92</v>
      </c>
      <c r="O12">
        <v>2462.25</v>
      </c>
      <c r="P12">
        <v>2462.25</v>
      </c>
      <c r="Q12" s="42">
        <v>0</v>
      </c>
      <c r="R12" s="42">
        <v>492.45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188.87</v>
      </c>
      <c r="Y12" s="42">
        <v>36.32</v>
      </c>
      <c r="Z12" s="42">
        <v>0</v>
      </c>
      <c r="AA12" s="42">
        <v>0</v>
      </c>
      <c r="AB12" s="42">
        <v>0</v>
      </c>
      <c r="AC12" s="42">
        <v>0</v>
      </c>
      <c r="AD12" s="42">
        <v>0</v>
      </c>
      <c r="AE12" s="42">
        <v>3179.89</v>
      </c>
      <c r="AF12" s="42">
        <v>0</v>
      </c>
      <c r="AG12" s="42">
        <v>190</v>
      </c>
      <c r="AI12" s="42">
        <v>0</v>
      </c>
      <c r="AJ12" s="42">
        <v>0</v>
      </c>
      <c r="AK12" s="42">
        <v>0</v>
      </c>
      <c r="AL12" s="42">
        <v>0</v>
      </c>
      <c r="AM12" s="42">
        <v>0</v>
      </c>
      <c r="AN12" s="42">
        <v>0</v>
      </c>
      <c r="AO12" s="42">
        <v>256.42</v>
      </c>
      <c r="AP12" s="42">
        <v>0</v>
      </c>
      <c r="AQ12" s="42">
        <v>2081.1999999999998</v>
      </c>
      <c r="AR12" s="42">
        <v>0</v>
      </c>
      <c r="AS12" s="42">
        <v>0</v>
      </c>
      <c r="AT12" s="42">
        <v>0</v>
      </c>
      <c r="AU12" s="42">
        <v>0</v>
      </c>
      <c r="AW12" s="42">
        <v>2527.62</v>
      </c>
      <c r="AX12" s="42">
        <v>5707.51</v>
      </c>
      <c r="AZ12" s="42">
        <v>5707.51</v>
      </c>
      <c r="BA12" s="42">
        <v>264.99083333333334</v>
      </c>
      <c r="BB12" s="42">
        <v>264.99083333333334</v>
      </c>
      <c r="BC12" s="42">
        <v>88.330277777777781</v>
      </c>
      <c r="BD12" s="42">
        <v>618.31194444444441</v>
      </c>
      <c r="BE12" s="42">
        <v>660.6</v>
      </c>
      <c r="BF12" s="42">
        <v>49.54</v>
      </c>
      <c r="BG12" s="42">
        <v>191.57</v>
      </c>
      <c r="BH12" s="42">
        <v>264.24</v>
      </c>
      <c r="BI12" s="42">
        <v>1165.95</v>
      </c>
      <c r="BJ12" s="42">
        <v>6873.46</v>
      </c>
      <c r="BK12" s="42">
        <v>7491.7719444444447</v>
      </c>
    </row>
    <row r="13" spans="1:63" x14ac:dyDescent="0.25">
      <c r="A13" t="s">
        <v>161</v>
      </c>
      <c r="B13" s="11">
        <v>45717</v>
      </c>
      <c r="C13" s="11" t="s">
        <v>5</v>
      </c>
      <c r="D13" t="s">
        <v>564</v>
      </c>
      <c r="G13" t="s">
        <v>95</v>
      </c>
      <c r="H13" t="s">
        <v>561</v>
      </c>
      <c r="I13" t="s">
        <v>565</v>
      </c>
      <c r="J13" s="10">
        <v>44167</v>
      </c>
      <c r="M13" t="s">
        <v>517</v>
      </c>
      <c r="N13" t="s">
        <v>92</v>
      </c>
      <c r="O13">
        <v>2873.33</v>
      </c>
      <c r="P13">
        <v>2873.33</v>
      </c>
      <c r="Q13" s="42">
        <v>0</v>
      </c>
      <c r="R13" s="42">
        <v>574.66999999999996</v>
      </c>
      <c r="S13" s="42">
        <v>0</v>
      </c>
      <c r="T13" s="42">
        <v>0</v>
      </c>
      <c r="U13" s="42">
        <v>0</v>
      </c>
      <c r="V13" s="42">
        <v>0</v>
      </c>
      <c r="W13" s="42">
        <v>3.87</v>
      </c>
      <c r="X13" s="42">
        <v>1198.96</v>
      </c>
      <c r="Y13" s="42">
        <v>230.57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4881.3999999999996</v>
      </c>
      <c r="AF13" s="42">
        <v>300</v>
      </c>
      <c r="AG13" s="42">
        <v>190</v>
      </c>
      <c r="AI13" s="42">
        <v>750</v>
      </c>
      <c r="AJ13" s="42">
        <v>0</v>
      </c>
      <c r="AK13" s="42">
        <v>0</v>
      </c>
      <c r="AL13" s="42">
        <v>0</v>
      </c>
      <c r="AM13" s="42">
        <v>645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W13" s="42">
        <v>1885</v>
      </c>
      <c r="AX13" s="42">
        <v>6766.4</v>
      </c>
      <c r="AZ13" s="42">
        <v>6766.4</v>
      </c>
      <c r="BA13" s="42">
        <v>406.7833333333333</v>
      </c>
      <c r="BB13" s="42">
        <v>406.7833333333333</v>
      </c>
      <c r="BC13" s="42">
        <v>135.59444444444443</v>
      </c>
      <c r="BD13" s="42">
        <v>949.16111111111104</v>
      </c>
      <c r="BE13" s="42">
        <v>976.43</v>
      </c>
      <c r="BF13" s="42">
        <v>73.23</v>
      </c>
      <c r="BG13" s="42">
        <v>283.16000000000003</v>
      </c>
      <c r="BH13" s="42">
        <v>390.57</v>
      </c>
      <c r="BI13" s="42">
        <v>1723.3899999999999</v>
      </c>
      <c r="BJ13" s="42">
        <v>8489.7899999999991</v>
      </c>
      <c r="BK13" s="42">
        <v>9438.9511111111096</v>
      </c>
    </row>
    <row r="14" spans="1:63" x14ac:dyDescent="0.25">
      <c r="A14" t="s">
        <v>100</v>
      </c>
      <c r="B14" s="11">
        <v>45717</v>
      </c>
      <c r="C14" s="11" t="s">
        <v>5</v>
      </c>
      <c r="D14" t="s">
        <v>564</v>
      </c>
      <c r="G14" t="s">
        <v>95</v>
      </c>
      <c r="H14" t="s">
        <v>566</v>
      </c>
      <c r="I14" t="s">
        <v>88</v>
      </c>
      <c r="J14" s="10">
        <v>40269</v>
      </c>
      <c r="M14" t="s">
        <v>89</v>
      </c>
      <c r="N14" t="s">
        <v>92</v>
      </c>
      <c r="O14">
        <v>2462.25</v>
      </c>
      <c r="P14">
        <v>2462.25</v>
      </c>
      <c r="Q14" s="42">
        <v>0</v>
      </c>
      <c r="R14" s="42">
        <v>492.45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861.66</v>
      </c>
      <c r="Y14" s="42">
        <v>165.7</v>
      </c>
      <c r="Z14" s="42">
        <v>0</v>
      </c>
      <c r="AA14" s="42">
        <v>0</v>
      </c>
      <c r="AB14" s="42">
        <v>0</v>
      </c>
      <c r="AC14" s="42">
        <v>0</v>
      </c>
      <c r="AD14" s="42">
        <v>0</v>
      </c>
      <c r="AE14" s="42">
        <v>3982.0599999999995</v>
      </c>
      <c r="AF14" s="42">
        <v>0</v>
      </c>
      <c r="AG14" s="42">
        <v>190</v>
      </c>
      <c r="AI14" s="42">
        <v>0</v>
      </c>
      <c r="AJ14" s="42">
        <v>0</v>
      </c>
      <c r="AK14" s="42">
        <v>0</v>
      </c>
      <c r="AL14" s="42">
        <v>0</v>
      </c>
      <c r="AM14" s="42">
        <v>0</v>
      </c>
      <c r="AN14" s="42">
        <v>0</v>
      </c>
      <c r="AO14" s="42">
        <v>412.13</v>
      </c>
      <c r="AP14" s="42">
        <v>0</v>
      </c>
      <c r="AQ14" s="42">
        <v>1042.8</v>
      </c>
      <c r="AR14" s="42">
        <v>0</v>
      </c>
      <c r="AS14" s="42">
        <v>0</v>
      </c>
      <c r="AT14" s="42">
        <v>0</v>
      </c>
      <c r="AU14" s="42">
        <v>0</v>
      </c>
      <c r="AW14" s="42">
        <v>1644.9299999999998</v>
      </c>
      <c r="AX14" s="42">
        <v>5626.99</v>
      </c>
      <c r="AZ14" s="42">
        <v>5626.99</v>
      </c>
      <c r="BA14" s="42">
        <v>331.83833333333331</v>
      </c>
      <c r="BB14" s="42">
        <v>331.83833333333331</v>
      </c>
      <c r="BC14" s="42">
        <v>110.61277777777777</v>
      </c>
      <c r="BD14" s="42">
        <v>774.28944444444437</v>
      </c>
      <c r="BE14" s="42">
        <v>821.03</v>
      </c>
      <c r="BF14" s="42">
        <v>61.57</v>
      </c>
      <c r="BG14" s="42">
        <v>238.09</v>
      </c>
      <c r="BH14" s="42">
        <v>328.41</v>
      </c>
      <c r="BI14" s="42">
        <v>1449.1000000000001</v>
      </c>
      <c r="BJ14" s="42">
        <v>7076.09</v>
      </c>
      <c r="BK14" s="42">
        <v>7850.3794444444447</v>
      </c>
    </row>
    <row r="15" spans="1:63" x14ac:dyDescent="0.25">
      <c r="A15" t="s">
        <v>166</v>
      </c>
      <c r="B15" s="11">
        <v>45717</v>
      </c>
      <c r="C15" s="11" t="s">
        <v>5</v>
      </c>
      <c r="D15" t="s">
        <v>564</v>
      </c>
      <c r="G15" t="s">
        <v>95</v>
      </c>
      <c r="H15" t="s">
        <v>444</v>
      </c>
      <c r="I15" t="s">
        <v>170</v>
      </c>
      <c r="J15" s="10">
        <v>44238</v>
      </c>
      <c r="M15" t="s">
        <v>519</v>
      </c>
      <c r="N15" t="s">
        <v>508</v>
      </c>
      <c r="O15">
        <v>2394.67</v>
      </c>
      <c r="P15">
        <v>2394.67</v>
      </c>
      <c r="Q15" s="42">
        <v>0</v>
      </c>
      <c r="R15" s="42">
        <v>478.93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548.6</v>
      </c>
      <c r="Y15" s="42">
        <v>105.5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  <c r="AE15" s="42">
        <v>3527.7</v>
      </c>
      <c r="AF15" s="42">
        <v>200</v>
      </c>
      <c r="AG15" s="42">
        <v>190</v>
      </c>
      <c r="AI15" s="42">
        <v>0</v>
      </c>
      <c r="AJ15" s="42">
        <v>0</v>
      </c>
      <c r="AK15" s="42">
        <v>1995.9</v>
      </c>
      <c r="AL15" s="42">
        <v>0</v>
      </c>
      <c r="AM15" s="42">
        <v>300</v>
      </c>
      <c r="AN15" s="42">
        <v>0</v>
      </c>
      <c r="AO15" s="42">
        <v>0</v>
      </c>
      <c r="AP15" s="42">
        <v>0</v>
      </c>
      <c r="AQ15" s="42">
        <v>2020.2</v>
      </c>
      <c r="AR15" s="42">
        <v>0</v>
      </c>
      <c r="AS15" s="42">
        <v>0</v>
      </c>
      <c r="AT15" s="42">
        <v>0</v>
      </c>
      <c r="AU15" s="42">
        <v>0</v>
      </c>
      <c r="AW15" s="42">
        <v>4706.1000000000004</v>
      </c>
      <c r="AX15" s="42">
        <v>8233.7999999999993</v>
      </c>
      <c r="AZ15" s="42">
        <v>8233.7999999999993</v>
      </c>
      <c r="BA15" s="42">
        <v>293.97499999999997</v>
      </c>
      <c r="BB15" s="42">
        <v>293.97499999999997</v>
      </c>
      <c r="BC15" s="42">
        <v>97.99166666666666</v>
      </c>
      <c r="BD15" s="42">
        <v>685.94166666666661</v>
      </c>
      <c r="BE15" s="42">
        <v>705.54</v>
      </c>
      <c r="BF15" s="42">
        <v>52.91</v>
      </c>
      <c r="BG15" s="42">
        <v>204.6</v>
      </c>
      <c r="BH15" s="42">
        <v>282.20999999999998</v>
      </c>
      <c r="BI15" s="42">
        <v>1245.26</v>
      </c>
      <c r="BJ15" s="42">
        <v>9479.06</v>
      </c>
      <c r="BK15" s="42">
        <v>10165.001666666667</v>
      </c>
    </row>
    <row r="16" spans="1:63" x14ac:dyDescent="0.25">
      <c r="A16" t="s">
        <v>103</v>
      </c>
      <c r="B16" s="11">
        <v>45717</v>
      </c>
      <c r="C16" s="11" t="s">
        <v>5</v>
      </c>
      <c r="D16" t="s">
        <v>564</v>
      </c>
      <c r="G16" t="s">
        <v>95</v>
      </c>
      <c r="H16" t="s">
        <v>566</v>
      </c>
      <c r="I16" t="s">
        <v>97</v>
      </c>
      <c r="J16" s="10">
        <v>44153</v>
      </c>
      <c r="M16" t="s">
        <v>507</v>
      </c>
      <c r="N16" t="s">
        <v>508</v>
      </c>
      <c r="O16">
        <v>2394.67</v>
      </c>
      <c r="P16">
        <v>2394.67</v>
      </c>
      <c r="Q16" s="42">
        <v>0</v>
      </c>
      <c r="R16" s="42">
        <v>478.93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862.08</v>
      </c>
      <c r="Y16" s="42">
        <v>165.78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  <c r="AE16" s="42">
        <v>3901.46</v>
      </c>
      <c r="AF16" s="42">
        <v>200</v>
      </c>
      <c r="AG16" s="42">
        <v>190</v>
      </c>
      <c r="AI16" s="42">
        <v>0</v>
      </c>
      <c r="AJ16" s="42">
        <v>519.45000000000005</v>
      </c>
      <c r="AK16" s="42">
        <v>0</v>
      </c>
      <c r="AL16" s="42">
        <v>0</v>
      </c>
      <c r="AM16" s="42">
        <v>0</v>
      </c>
      <c r="AN16" s="42">
        <v>0</v>
      </c>
      <c r="AO16" s="42">
        <v>412.13</v>
      </c>
      <c r="AP16" s="42">
        <v>0</v>
      </c>
      <c r="AQ16" s="42">
        <v>798.8</v>
      </c>
      <c r="AR16" s="42">
        <v>0</v>
      </c>
      <c r="AS16" s="42">
        <v>0</v>
      </c>
      <c r="AT16" s="42">
        <v>0</v>
      </c>
      <c r="AU16" s="42">
        <v>0</v>
      </c>
      <c r="AW16" s="42">
        <v>2120.38</v>
      </c>
      <c r="AX16" s="42">
        <v>6021.84</v>
      </c>
      <c r="AZ16" s="42">
        <v>6021.84</v>
      </c>
      <c r="BA16" s="42">
        <v>325.12166666666667</v>
      </c>
      <c r="BB16" s="42">
        <v>325.12166666666667</v>
      </c>
      <c r="BC16" s="42">
        <v>108.37388888888889</v>
      </c>
      <c r="BD16" s="42">
        <v>758.61722222222227</v>
      </c>
      <c r="BE16" s="42">
        <v>780.29</v>
      </c>
      <c r="BF16" s="42">
        <v>58.52</v>
      </c>
      <c r="BG16" s="42">
        <v>226.28</v>
      </c>
      <c r="BH16" s="42">
        <v>312.11</v>
      </c>
      <c r="BI16" s="42">
        <v>1377.1999999999998</v>
      </c>
      <c r="BJ16" s="42">
        <v>7399.04</v>
      </c>
      <c r="BK16" s="42">
        <v>8157.6572222222221</v>
      </c>
    </row>
    <row r="17" spans="1:63" x14ac:dyDescent="0.25">
      <c r="A17" t="s">
        <v>168</v>
      </c>
      <c r="B17" s="11">
        <v>45717</v>
      </c>
      <c r="C17" s="11" t="s">
        <v>5</v>
      </c>
      <c r="D17" t="s">
        <v>564</v>
      </c>
      <c r="G17" t="s">
        <v>95</v>
      </c>
      <c r="H17" t="s">
        <v>561</v>
      </c>
      <c r="I17" t="s">
        <v>567</v>
      </c>
      <c r="J17" s="10">
        <v>44876</v>
      </c>
      <c r="M17" t="s">
        <v>174</v>
      </c>
      <c r="N17" t="s">
        <v>92</v>
      </c>
      <c r="O17">
        <v>2462.25</v>
      </c>
      <c r="P17">
        <v>2462.25</v>
      </c>
      <c r="Q17" s="42">
        <v>0</v>
      </c>
      <c r="R17" s="42">
        <v>492.45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201.46</v>
      </c>
      <c r="Y17" s="42">
        <v>38.74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3194.8999999999996</v>
      </c>
      <c r="AF17" s="42">
        <v>500</v>
      </c>
      <c r="AG17" s="42">
        <v>190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500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W17" s="42">
        <v>1190</v>
      </c>
      <c r="AX17" s="42">
        <v>4384.8999999999996</v>
      </c>
      <c r="AZ17" s="42">
        <v>4384.8999999999996</v>
      </c>
      <c r="BA17" s="42">
        <v>266.24166666666662</v>
      </c>
      <c r="BB17" s="42">
        <v>266.24166666666662</v>
      </c>
      <c r="BC17" s="42">
        <v>88.747222222222206</v>
      </c>
      <c r="BD17" s="42">
        <v>621.23055555555538</v>
      </c>
      <c r="BE17" s="42">
        <v>638.98</v>
      </c>
      <c r="BF17" s="42">
        <v>47.92</v>
      </c>
      <c r="BG17" s="42">
        <v>185.3</v>
      </c>
      <c r="BH17" s="42">
        <v>255.59</v>
      </c>
      <c r="BI17" s="42">
        <v>1127.79</v>
      </c>
      <c r="BJ17" s="42">
        <v>5512.69</v>
      </c>
      <c r="BK17" s="42">
        <v>6133.9205555555545</v>
      </c>
    </row>
    <row r="18" spans="1:63" x14ac:dyDescent="0.25">
      <c r="A18" t="s">
        <v>153</v>
      </c>
      <c r="B18" s="11">
        <v>45717</v>
      </c>
      <c r="C18" s="11" t="s">
        <v>5</v>
      </c>
      <c r="D18" t="s">
        <v>564</v>
      </c>
      <c r="G18" t="s">
        <v>95</v>
      </c>
      <c r="H18" t="s">
        <v>561</v>
      </c>
      <c r="I18" t="s">
        <v>565</v>
      </c>
      <c r="J18" s="10">
        <v>45026</v>
      </c>
      <c r="M18" t="s">
        <v>517</v>
      </c>
      <c r="N18" t="s">
        <v>92</v>
      </c>
      <c r="O18">
        <v>2462.25</v>
      </c>
      <c r="P18">
        <v>2462.25</v>
      </c>
      <c r="Q18" s="42">
        <v>0</v>
      </c>
      <c r="R18" s="42">
        <v>492.45</v>
      </c>
      <c r="S18" s="42">
        <v>0</v>
      </c>
      <c r="T18" s="42">
        <v>0</v>
      </c>
      <c r="U18" s="42">
        <v>0</v>
      </c>
      <c r="V18" s="42">
        <v>0</v>
      </c>
      <c r="W18" s="42">
        <v>11.37</v>
      </c>
      <c r="X18" s="42">
        <v>473.65</v>
      </c>
      <c r="Y18" s="42">
        <v>91.09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  <c r="AE18" s="42">
        <v>3530.81</v>
      </c>
      <c r="AF18" s="42">
        <v>200</v>
      </c>
      <c r="AG18" s="42">
        <v>190</v>
      </c>
      <c r="AI18" s="42">
        <v>0</v>
      </c>
      <c r="AJ18" s="42">
        <v>0</v>
      </c>
      <c r="AK18" s="42">
        <v>0</v>
      </c>
      <c r="AL18" s="42">
        <v>0</v>
      </c>
      <c r="AM18" s="42">
        <v>0</v>
      </c>
      <c r="AN18" s="42">
        <v>618.79999999999995</v>
      </c>
      <c r="AO18" s="42">
        <v>0</v>
      </c>
      <c r="AP18" s="42">
        <v>0</v>
      </c>
      <c r="AQ18" s="42">
        <v>0</v>
      </c>
      <c r="AR18" s="42">
        <v>0</v>
      </c>
      <c r="AS18" s="42">
        <v>0</v>
      </c>
      <c r="AT18" s="42">
        <v>0</v>
      </c>
      <c r="AU18" s="42">
        <v>0</v>
      </c>
      <c r="AW18" s="42">
        <v>1008.8</v>
      </c>
      <c r="AX18" s="42">
        <v>4539.6099999999997</v>
      </c>
      <c r="AZ18" s="42">
        <v>4539.6099999999997</v>
      </c>
      <c r="BA18" s="42">
        <v>294.23416666666668</v>
      </c>
      <c r="BB18" s="42">
        <v>294.23416666666668</v>
      </c>
      <c r="BC18" s="42">
        <v>98.078055555555565</v>
      </c>
      <c r="BD18" s="42">
        <v>686.54638888888894</v>
      </c>
      <c r="BE18" s="42">
        <v>706.6</v>
      </c>
      <c r="BF18" s="42">
        <v>52.99</v>
      </c>
      <c r="BG18" s="42">
        <v>204.91</v>
      </c>
      <c r="BH18" s="42">
        <v>282.64</v>
      </c>
      <c r="BI18" s="42">
        <v>1247.1399999999999</v>
      </c>
      <c r="BJ18" s="42">
        <v>5786.75</v>
      </c>
      <c r="BK18" s="42">
        <v>6473.2963888888889</v>
      </c>
    </row>
    <row r="19" spans="1:63" x14ac:dyDescent="0.25">
      <c r="A19" t="s">
        <v>518</v>
      </c>
      <c r="B19" s="11">
        <v>45717</v>
      </c>
      <c r="C19" s="11" t="s">
        <v>5</v>
      </c>
      <c r="D19" t="s">
        <v>564</v>
      </c>
      <c r="G19" t="s">
        <v>95</v>
      </c>
      <c r="H19" t="s">
        <v>561</v>
      </c>
      <c r="I19" t="s">
        <v>565</v>
      </c>
      <c r="J19" s="10">
        <v>45327</v>
      </c>
      <c r="M19" t="s">
        <v>517</v>
      </c>
      <c r="N19" t="s">
        <v>92</v>
      </c>
      <c r="O19">
        <v>2462.25</v>
      </c>
      <c r="P19">
        <v>2462.25</v>
      </c>
      <c r="Q19" s="42">
        <v>0</v>
      </c>
      <c r="R19" s="42">
        <v>492.45</v>
      </c>
      <c r="S19" s="42">
        <v>0</v>
      </c>
      <c r="T19" s="42">
        <v>0</v>
      </c>
      <c r="U19" s="42">
        <v>0</v>
      </c>
      <c r="V19" s="42">
        <v>0</v>
      </c>
      <c r="W19" s="42">
        <v>82.91</v>
      </c>
      <c r="X19" s="42">
        <v>851.49</v>
      </c>
      <c r="Y19" s="42">
        <v>163.75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  <c r="AE19" s="42">
        <v>4052.8499999999995</v>
      </c>
      <c r="AF19" s="42">
        <v>200</v>
      </c>
      <c r="AG19" s="42">
        <v>190</v>
      </c>
      <c r="AI19" s="42">
        <v>0</v>
      </c>
      <c r="AJ19" s="42">
        <v>0</v>
      </c>
      <c r="AK19" s="42">
        <v>0</v>
      </c>
      <c r="AL19" s="42">
        <v>0</v>
      </c>
      <c r="AM19" s="42">
        <v>0</v>
      </c>
      <c r="AN19" s="42">
        <v>784</v>
      </c>
      <c r="AO19" s="42">
        <v>0</v>
      </c>
      <c r="AP19" s="42">
        <v>0</v>
      </c>
      <c r="AQ19" s="42">
        <v>0</v>
      </c>
      <c r="AR19" s="42">
        <v>0</v>
      </c>
      <c r="AS19" s="42">
        <v>0</v>
      </c>
      <c r="AT19" s="42">
        <v>0</v>
      </c>
      <c r="AU19" s="42">
        <v>0</v>
      </c>
      <c r="AW19" s="42">
        <v>1174</v>
      </c>
      <c r="AX19" s="42">
        <v>5226.8499999999995</v>
      </c>
      <c r="AZ19" s="42">
        <v>5226.8499999999995</v>
      </c>
      <c r="BA19" s="42">
        <v>337.73749999999995</v>
      </c>
      <c r="BB19" s="42">
        <v>337.73749999999995</v>
      </c>
      <c r="BC19" s="42">
        <v>112.57916666666665</v>
      </c>
      <c r="BD19" s="42">
        <v>788.05416666666656</v>
      </c>
      <c r="BE19" s="42">
        <v>813.76</v>
      </c>
      <c r="BF19" s="42">
        <v>61.03</v>
      </c>
      <c r="BG19" s="42">
        <v>235.98</v>
      </c>
      <c r="BH19" s="42">
        <v>325.5</v>
      </c>
      <c r="BI19" s="42">
        <v>1436.27</v>
      </c>
      <c r="BJ19" s="42">
        <v>6663.119999999999</v>
      </c>
      <c r="BK19" s="42">
        <v>7451.1741666666658</v>
      </c>
    </row>
    <row r="20" spans="1:63" x14ac:dyDescent="0.25">
      <c r="A20" t="s">
        <v>162</v>
      </c>
      <c r="B20" s="11">
        <v>45717</v>
      </c>
      <c r="C20" s="11" t="s">
        <v>5</v>
      </c>
      <c r="D20" t="s">
        <v>564</v>
      </c>
      <c r="G20" t="s">
        <v>95</v>
      </c>
      <c r="H20" t="s">
        <v>561</v>
      </c>
      <c r="I20" t="s">
        <v>567</v>
      </c>
      <c r="J20" s="10">
        <v>45520</v>
      </c>
      <c r="M20" t="s">
        <v>174</v>
      </c>
      <c r="N20" t="s">
        <v>92</v>
      </c>
      <c r="O20">
        <v>2462.25</v>
      </c>
      <c r="P20">
        <v>2462.2600000000002</v>
      </c>
      <c r="Q20" s="42">
        <v>0</v>
      </c>
      <c r="R20" s="42">
        <v>410.38</v>
      </c>
      <c r="S20" s="42">
        <v>0</v>
      </c>
      <c r="T20" s="42">
        <v>0</v>
      </c>
      <c r="U20" s="42">
        <v>0</v>
      </c>
      <c r="V20" s="42">
        <v>0</v>
      </c>
      <c r="W20" s="42">
        <v>41.9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2914.5400000000004</v>
      </c>
      <c r="AF20" s="42">
        <v>500</v>
      </c>
      <c r="AG20" s="42">
        <v>190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500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W20" s="42">
        <v>1190</v>
      </c>
      <c r="AX20" s="42">
        <v>4104.5400000000009</v>
      </c>
      <c r="AZ20" s="42">
        <v>4104.5400000000009</v>
      </c>
      <c r="BA20" s="42">
        <v>242.87833333333336</v>
      </c>
      <c r="BB20" s="42">
        <v>242.87833333333336</v>
      </c>
      <c r="BC20" s="42">
        <v>80.959444444444458</v>
      </c>
      <c r="BD20" s="42">
        <v>566.71611111111122</v>
      </c>
      <c r="BE20" s="42">
        <v>584.42999999999995</v>
      </c>
      <c r="BF20" s="42">
        <v>43.83</v>
      </c>
      <c r="BG20" s="42">
        <v>169.48</v>
      </c>
      <c r="BH20" s="42">
        <v>233.77</v>
      </c>
      <c r="BI20" s="42">
        <v>1031.51</v>
      </c>
      <c r="BJ20" s="42">
        <v>5136.0500000000011</v>
      </c>
      <c r="BK20" s="42">
        <v>5702.766111111112</v>
      </c>
    </row>
    <row r="21" spans="1:63" x14ac:dyDescent="0.25">
      <c r="A21" t="s">
        <v>509</v>
      </c>
      <c r="B21" s="11">
        <v>45717</v>
      </c>
      <c r="C21" s="11" t="s">
        <v>5</v>
      </c>
      <c r="D21" t="s">
        <v>564</v>
      </c>
      <c r="G21" t="s">
        <v>95</v>
      </c>
      <c r="H21" t="s">
        <v>566</v>
      </c>
      <c r="I21" t="s">
        <v>97</v>
      </c>
      <c r="J21" s="10">
        <v>44365</v>
      </c>
      <c r="M21" t="s">
        <v>507</v>
      </c>
      <c r="N21" t="s">
        <v>508</v>
      </c>
      <c r="O21">
        <v>2394.67</v>
      </c>
      <c r="P21">
        <v>2394.67</v>
      </c>
      <c r="Q21" s="42">
        <v>0</v>
      </c>
      <c r="R21" s="42">
        <v>478.93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>
        <v>828.77</v>
      </c>
      <c r="Y21" s="42">
        <v>159.38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  <c r="AE21" s="42">
        <v>3861.75</v>
      </c>
      <c r="AF21" s="42">
        <v>200</v>
      </c>
      <c r="AG21" s="42">
        <v>190</v>
      </c>
      <c r="AI21" s="42">
        <v>0</v>
      </c>
      <c r="AJ21" s="42">
        <v>256.14</v>
      </c>
      <c r="AK21" s="42">
        <v>0</v>
      </c>
      <c r="AL21" s="42">
        <v>0</v>
      </c>
      <c r="AM21" s="42">
        <v>0</v>
      </c>
      <c r="AN21" s="42">
        <v>0</v>
      </c>
      <c r="AO21" s="42">
        <v>412.13</v>
      </c>
      <c r="AP21" s="42">
        <v>0</v>
      </c>
      <c r="AQ21" s="42">
        <v>748.7</v>
      </c>
      <c r="AR21" s="42">
        <v>0</v>
      </c>
      <c r="AS21" s="42">
        <v>0</v>
      </c>
      <c r="AT21" s="42">
        <v>0</v>
      </c>
      <c r="AU21" s="42">
        <v>0</v>
      </c>
      <c r="AW21" s="42">
        <v>1806.97</v>
      </c>
      <c r="AX21" s="42">
        <v>5668.72</v>
      </c>
      <c r="AZ21" s="42">
        <v>5668.72</v>
      </c>
      <c r="BA21" s="42">
        <v>321.8125</v>
      </c>
      <c r="BB21" s="42">
        <v>321.8125</v>
      </c>
      <c r="BC21" s="42">
        <v>107.27083333333333</v>
      </c>
      <c r="BD21" s="42">
        <v>750.89583333333337</v>
      </c>
      <c r="BE21" s="42">
        <v>772.35</v>
      </c>
      <c r="BF21" s="42">
        <v>57.92</v>
      </c>
      <c r="BG21" s="42">
        <v>223.98</v>
      </c>
      <c r="BH21" s="42">
        <v>308.94</v>
      </c>
      <c r="BI21" s="42">
        <v>1363.19</v>
      </c>
      <c r="BJ21" s="42">
        <v>7031.91</v>
      </c>
      <c r="BK21" s="42">
        <v>7782.8058333333329</v>
      </c>
    </row>
    <row r="22" spans="1:63" x14ac:dyDescent="0.25">
      <c r="A22" t="s">
        <v>466</v>
      </c>
      <c r="B22" s="11">
        <v>45717</v>
      </c>
      <c r="C22" s="11" t="s">
        <v>5</v>
      </c>
      <c r="D22" t="s">
        <v>564</v>
      </c>
      <c r="G22" t="s">
        <v>95</v>
      </c>
      <c r="H22" t="s">
        <v>203</v>
      </c>
      <c r="I22" t="s">
        <v>244</v>
      </c>
      <c r="J22" s="10">
        <v>44650</v>
      </c>
      <c r="M22" t="s">
        <v>245</v>
      </c>
      <c r="N22" t="s">
        <v>468</v>
      </c>
      <c r="O22">
        <v>2972.34</v>
      </c>
      <c r="P22">
        <v>1188.94</v>
      </c>
      <c r="Q22" s="42">
        <v>3818.38</v>
      </c>
      <c r="R22" s="42">
        <v>0</v>
      </c>
      <c r="S22" s="42">
        <v>0</v>
      </c>
      <c r="T22" s="42">
        <v>0</v>
      </c>
      <c r="U22" s="42">
        <v>475.57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  <c r="AE22" s="42">
        <v>5482.8899999999994</v>
      </c>
      <c r="AF22" s="42">
        <v>200</v>
      </c>
      <c r="AG22" s="42">
        <v>190</v>
      </c>
      <c r="AI22" s="42">
        <v>0</v>
      </c>
      <c r="AJ22" s="42">
        <v>0</v>
      </c>
      <c r="AK22" s="42">
        <v>0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0</v>
      </c>
      <c r="AR22" s="42">
        <v>0</v>
      </c>
      <c r="AS22" s="42">
        <v>2121.33</v>
      </c>
      <c r="AT22" s="42">
        <v>0</v>
      </c>
      <c r="AU22" s="42">
        <v>0</v>
      </c>
      <c r="AW22" s="42">
        <v>2511.33</v>
      </c>
      <c r="AX22" s="42">
        <v>7994.2199999999993</v>
      </c>
      <c r="AZ22" s="42">
        <v>7994.2199999999993</v>
      </c>
      <c r="BA22" s="42">
        <v>456.90749999999997</v>
      </c>
      <c r="BB22" s="42">
        <v>456.90749999999997</v>
      </c>
      <c r="BC22" s="42">
        <v>152.30249999999998</v>
      </c>
      <c r="BD22" s="42">
        <v>1066.1174999999998</v>
      </c>
      <c r="BE22" s="42">
        <v>1096.58</v>
      </c>
      <c r="BF22" s="42">
        <v>82.24</v>
      </c>
      <c r="BG22" s="42">
        <v>318</v>
      </c>
      <c r="BH22" s="42">
        <v>438.63</v>
      </c>
      <c r="BI22" s="42">
        <v>1935.4499999999998</v>
      </c>
      <c r="BJ22" s="42">
        <v>9929.6699999999983</v>
      </c>
      <c r="BK22" s="42">
        <v>10995.787499999999</v>
      </c>
    </row>
    <row r="23" spans="1:63" x14ac:dyDescent="0.25">
      <c r="A23" t="s">
        <v>165</v>
      </c>
      <c r="B23" s="11">
        <v>45717</v>
      </c>
      <c r="C23" s="11" t="s">
        <v>5</v>
      </c>
      <c r="D23" t="s">
        <v>564</v>
      </c>
      <c r="G23" t="s">
        <v>95</v>
      </c>
      <c r="H23" t="s">
        <v>561</v>
      </c>
      <c r="I23" t="s">
        <v>567</v>
      </c>
      <c r="J23" s="10">
        <v>45728</v>
      </c>
      <c r="M23" t="s">
        <v>174</v>
      </c>
      <c r="N23" t="s">
        <v>92</v>
      </c>
      <c r="O23">
        <v>2462.25</v>
      </c>
      <c r="P23">
        <v>1641.5</v>
      </c>
      <c r="Q23" s="42">
        <v>0</v>
      </c>
      <c r="R23" s="42">
        <v>328.3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  <c r="AE23" s="42">
        <v>1969.8</v>
      </c>
      <c r="AF23" s="42">
        <v>0</v>
      </c>
      <c r="AG23" s="42">
        <v>190</v>
      </c>
      <c r="AI23" s="42">
        <v>0</v>
      </c>
      <c r="AJ23" s="42">
        <v>0</v>
      </c>
      <c r="AK23" s="42">
        <v>0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457.5</v>
      </c>
      <c r="AR23" s="42">
        <v>0</v>
      </c>
      <c r="AS23" s="42">
        <v>0</v>
      </c>
      <c r="AT23" s="42">
        <v>0</v>
      </c>
      <c r="AU23" s="42">
        <v>0</v>
      </c>
      <c r="AW23" s="42">
        <v>647.5</v>
      </c>
      <c r="AX23" s="42">
        <v>2617.3000000000002</v>
      </c>
      <c r="AZ23" s="42">
        <v>2617.3000000000002</v>
      </c>
      <c r="BA23" s="42">
        <v>164.15</v>
      </c>
      <c r="BB23" s="42">
        <v>164.15</v>
      </c>
      <c r="BC23" s="42">
        <v>54.716666666666669</v>
      </c>
      <c r="BD23" s="42">
        <v>383.01666666666665</v>
      </c>
      <c r="BE23" s="42">
        <v>393.96</v>
      </c>
      <c r="BF23" s="42">
        <v>29.54</v>
      </c>
      <c r="BG23" s="42">
        <v>114.24</v>
      </c>
      <c r="BH23" s="42">
        <v>157.58000000000001</v>
      </c>
      <c r="BI23" s="42">
        <v>695.32</v>
      </c>
      <c r="BJ23" s="42">
        <v>3312.6200000000003</v>
      </c>
      <c r="BK23" s="42">
        <v>3695.6366666666672</v>
      </c>
    </row>
    <row r="24" spans="1:63" x14ac:dyDescent="0.25">
      <c r="A24" t="s">
        <v>158</v>
      </c>
      <c r="B24" s="11">
        <v>45717</v>
      </c>
      <c r="C24" s="11" t="s">
        <v>5</v>
      </c>
      <c r="D24" t="s">
        <v>564</v>
      </c>
      <c r="G24" t="s">
        <v>95</v>
      </c>
      <c r="H24" t="s">
        <v>561</v>
      </c>
      <c r="I24" t="s">
        <v>568</v>
      </c>
      <c r="J24" s="10">
        <v>45742</v>
      </c>
      <c r="M24" t="s">
        <v>514</v>
      </c>
      <c r="N24" t="s">
        <v>92</v>
      </c>
      <c r="O24">
        <v>2600</v>
      </c>
      <c r="P24">
        <v>520</v>
      </c>
      <c r="Q24" s="42">
        <v>0</v>
      </c>
      <c r="R24" s="42">
        <v>104</v>
      </c>
      <c r="S24" s="42">
        <v>0</v>
      </c>
      <c r="T24" s="42">
        <v>0</v>
      </c>
      <c r="U24" s="42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  <c r="AE24" s="42">
        <v>624</v>
      </c>
      <c r="AF24" s="42">
        <v>0</v>
      </c>
      <c r="AG24" s="42">
        <v>0</v>
      </c>
      <c r="AI24" s="42">
        <v>0</v>
      </c>
      <c r="AJ24" s="42">
        <v>0</v>
      </c>
      <c r="AK24" s="42">
        <v>0</v>
      </c>
      <c r="AL24" s="42">
        <v>0</v>
      </c>
      <c r="AM24" s="42">
        <v>0</v>
      </c>
      <c r="AN24" s="42">
        <v>0</v>
      </c>
      <c r="AO24" s="42">
        <v>0</v>
      </c>
      <c r="AP24" s="42">
        <v>0</v>
      </c>
      <c r="AQ24" s="42">
        <v>396.5</v>
      </c>
      <c r="AR24" s="42">
        <v>0</v>
      </c>
      <c r="AS24" s="42">
        <v>0</v>
      </c>
      <c r="AT24" s="42">
        <v>0</v>
      </c>
      <c r="AU24" s="42">
        <v>0</v>
      </c>
      <c r="AW24" s="42">
        <v>396.5</v>
      </c>
      <c r="AX24" s="42">
        <v>1020.5</v>
      </c>
      <c r="AZ24" s="42">
        <v>1020.5</v>
      </c>
      <c r="BA24" s="42">
        <v>52</v>
      </c>
      <c r="BB24" s="42">
        <v>52</v>
      </c>
      <c r="BC24" s="42">
        <v>17.333333333333332</v>
      </c>
      <c r="BD24" s="42">
        <v>121.33333333333333</v>
      </c>
      <c r="BE24" s="42">
        <v>124.8</v>
      </c>
      <c r="BF24" s="42">
        <v>9.36</v>
      </c>
      <c r="BG24" s="42">
        <v>36.19</v>
      </c>
      <c r="BH24" s="42">
        <v>49.92</v>
      </c>
      <c r="BI24" s="42">
        <v>220.26999999999998</v>
      </c>
      <c r="BJ24" s="42">
        <v>1240.77</v>
      </c>
      <c r="BK24" s="42">
        <v>1362.1033333333332</v>
      </c>
    </row>
    <row r="25" spans="1:63" x14ac:dyDescent="0.25">
      <c r="A25" t="s">
        <v>534</v>
      </c>
      <c r="B25" s="11">
        <v>45717</v>
      </c>
      <c r="C25" s="11" t="s">
        <v>6</v>
      </c>
      <c r="D25" t="s">
        <v>564</v>
      </c>
      <c r="G25" t="s">
        <v>95</v>
      </c>
      <c r="H25" t="s">
        <v>109</v>
      </c>
      <c r="I25" t="s">
        <v>96</v>
      </c>
      <c r="J25" s="10">
        <v>45733</v>
      </c>
      <c r="M25" t="s">
        <v>535</v>
      </c>
      <c r="N25" t="s">
        <v>536</v>
      </c>
      <c r="O25">
        <v>1000</v>
      </c>
      <c r="P25">
        <v>0</v>
      </c>
      <c r="Q25" s="42">
        <v>0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  <c r="AE25" s="42">
        <v>0</v>
      </c>
      <c r="AF25" s="42">
        <v>0</v>
      </c>
      <c r="AG25" s="42">
        <v>0</v>
      </c>
      <c r="AI25" s="42">
        <v>0</v>
      </c>
      <c r="AJ25" s="42">
        <v>0</v>
      </c>
      <c r="AK25" s="42">
        <v>0</v>
      </c>
      <c r="AL25" s="42">
        <v>0</v>
      </c>
      <c r="AM25" s="42">
        <v>0</v>
      </c>
      <c r="AN25" s="42">
        <v>0</v>
      </c>
      <c r="AO25" s="42">
        <v>0</v>
      </c>
      <c r="AP25" s="42">
        <v>0</v>
      </c>
      <c r="AQ25" s="42">
        <v>0</v>
      </c>
      <c r="AR25" s="42">
        <v>0</v>
      </c>
      <c r="AS25" s="42">
        <v>0</v>
      </c>
      <c r="AT25" s="42">
        <v>0</v>
      </c>
      <c r="AU25" s="42">
        <v>0</v>
      </c>
      <c r="AW25" s="42">
        <v>0</v>
      </c>
      <c r="AX25" s="42">
        <v>0</v>
      </c>
      <c r="AZ25" s="42">
        <v>0</v>
      </c>
      <c r="BA25" s="42">
        <v>0</v>
      </c>
      <c r="BB25" s="42">
        <v>0</v>
      </c>
      <c r="BC25" s="42">
        <v>0</v>
      </c>
      <c r="BD25" s="42">
        <v>0</v>
      </c>
      <c r="BE25" s="42">
        <v>0</v>
      </c>
      <c r="BF25" s="42">
        <v>0</v>
      </c>
      <c r="BG25" s="42">
        <v>0</v>
      </c>
      <c r="BH25" s="42">
        <v>0</v>
      </c>
      <c r="BI25" s="42">
        <v>0</v>
      </c>
      <c r="BJ25" s="42">
        <v>0</v>
      </c>
      <c r="BK25" s="42">
        <v>0</v>
      </c>
    </row>
    <row r="26" spans="1:63" x14ac:dyDescent="0.25">
      <c r="A26" t="s">
        <v>148</v>
      </c>
      <c r="B26" s="11">
        <v>45717</v>
      </c>
      <c r="C26" s="11" t="s">
        <v>5</v>
      </c>
      <c r="D26" t="s">
        <v>569</v>
      </c>
      <c r="G26" t="s">
        <v>150</v>
      </c>
      <c r="H26" t="s">
        <v>561</v>
      </c>
      <c r="I26" t="s">
        <v>568</v>
      </c>
      <c r="J26" s="10">
        <v>44617</v>
      </c>
      <c r="M26" t="s">
        <v>514</v>
      </c>
      <c r="N26" t="s">
        <v>508</v>
      </c>
      <c r="O26">
        <v>2631.88</v>
      </c>
      <c r="P26">
        <v>2631.88</v>
      </c>
      <c r="Q26" s="42">
        <v>0</v>
      </c>
      <c r="R26" s="42">
        <v>526.38</v>
      </c>
      <c r="S26" s="42">
        <v>0</v>
      </c>
      <c r="T26" s="42">
        <v>0</v>
      </c>
      <c r="U26" s="42">
        <v>0</v>
      </c>
      <c r="V26" s="42">
        <v>0</v>
      </c>
      <c r="W26" s="42">
        <v>0</v>
      </c>
      <c r="X26" s="42">
        <v>459.38</v>
      </c>
      <c r="Y26" s="42">
        <v>88.34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  <c r="AE26" s="42">
        <v>3705.9800000000005</v>
      </c>
      <c r="AF26" s="42">
        <v>200</v>
      </c>
      <c r="AG26" s="42">
        <v>190</v>
      </c>
      <c r="AI26" s="42">
        <v>0</v>
      </c>
      <c r="AJ26" s="42">
        <v>0</v>
      </c>
      <c r="AK26" s="42">
        <v>1471.35</v>
      </c>
      <c r="AL26" s="42">
        <v>0</v>
      </c>
      <c r="AM26" s="42">
        <v>0</v>
      </c>
      <c r="AN26" s="42">
        <v>0</v>
      </c>
      <c r="AO26" s="42">
        <v>0</v>
      </c>
      <c r="AP26" s="42">
        <v>0</v>
      </c>
      <c r="AQ26" s="42">
        <v>2020.2</v>
      </c>
      <c r="AR26" s="42">
        <v>0</v>
      </c>
      <c r="AS26" s="42">
        <v>0</v>
      </c>
      <c r="AT26" s="42">
        <v>0</v>
      </c>
      <c r="AU26" s="42">
        <v>0</v>
      </c>
      <c r="AW26" s="42">
        <v>3881.55</v>
      </c>
      <c r="AX26" s="42">
        <v>7587.5300000000007</v>
      </c>
      <c r="AZ26" s="42">
        <v>7587.5300000000007</v>
      </c>
      <c r="BA26" s="42">
        <v>308.83166666666671</v>
      </c>
      <c r="BB26" s="42">
        <v>308.83166666666671</v>
      </c>
      <c r="BC26" s="42">
        <v>102.94388888888891</v>
      </c>
      <c r="BD26" s="42">
        <v>720.60722222222228</v>
      </c>
      <c r="BE26" s="42">
        <v>741.2</v>
      </c>
      <c r="BF26" s="42">
        <v>111.17</v>
      </c>
      <c r="BG26" s="42">
        <v>214.94</v>
      </c>
      <c r="BH26" s="42">
        <v>296.47000000000003</v>
      </c>
      <c r="BI26" s="42">
        <v>1363.78</v>
      </c>
      <c r="BJ26" s="42">
        <v>8951.3100000000013</v>
      </c>
      <c r="BK26" s="42">
        <v>9671.9172222222242</v>
      </c>
    </row>
    <row r="27" spans="1:63" x14ac:dyDescent="0.25">
      <c r="A27" t="s">
        <v>570</v>
      </c>
      <c r="B27" s="11">
        <v>45717</v>
      </c>
      <c r="C27" s="11" t="s">
        <v>5</v>
      </c>
      <c r="D27" t="s">
        <v>571</v>
      </c>
      <c r="G27" t="s">
        <v>572</v>
      </c>
      <c r="H27" t="s">
        <v>573</v>
      </c>
      <c r="I27" t="s">
        <v>574</v>
      </c>
      <c r="J27" s="10">
        <v>45345</v>
      </c>
      <c r="M27" t="s">
        <v>575</v>
      </c>
      <c r="N27" t="s">
        <v>576</v>
      </c>
      <c r="O27">
        <v>1905.29</v>
      </c>
      <c r="P27">
        <v>1905.29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  <c r="AE27" s="42">
        <v>1905.29</v>
      </c>
      <c r="AF27" s="42">
        <v>0</v>
      </c>
      <c r="AG27" s="42">
        <v>340.8</v>
      </c>
      <c r="AI27" s="42">
        <v>0</v>
      </c>
      <c r="AJ27" s="42">
        <v>0</v>
      </c>
      <c r="AK27" s="42">
        <v>0</v>
      </c>
      <c r="AL27" s="42">
        <v>0</v>
      </c>
      <c r="AM27" s="42">
        <v>0</v>
      </c>
      <c r="AN27" s="42">
        <v>0</v>
      </c>
      <c r="AO27" s="42">
        <v>0</v>
      </c>
      <c r="AP27" s="42">
        <v>0</v>
      </c>
      <c r="AQ27" s="42">
        <v>0</v>
      </c>
      <c r="AR27" s="42">
        <v>0</v>
      </c>
      <c r="AS27" s="42">
        <v>0</v>
      </c>
      <c r="AT27" s="42">
        <v>0</v>
      </c>
      <c r="AU27" s="42">
        <v>0</v>
      </c>
      <c r="AW27" s="42">
        <v>340.8</v>
      </c>
      <c r="AX27" s="42">
        <v>2246.09</v>
      </c>
      <c r="AZ27" s="42">
        <v>2246.09</v>
      </c>
      <c r="BA27" s="42">
        <v>158.77416666666667</v>
      </c>
      <c r="BB27" s="42">
        <v>158.77416666666667</v>
      </c>
      <c r="BC27" s="42">
        <v>52.924722222222222</v>
      </c>
      <c r="BD27" s="42">
        <v>370.47305555555556</v>
      </c>
      <c r="BE27" s="42">
        <v>384.87</v>
      </c>
      <c r="BF27" s="42">
        <v>57.73</v>
      </c>
      <c r="BG27" s="42">
        <v>111.61</v>
      </c>
      <c r="BH27" s="42">
        <v>153.94</v>
      </c>
      <c r="BI27" s="42">
        <v>708.15000000000009</v>
      </c>
      <c r="BJ27" s="42">
        <v>2954.2400000000002</v>
      </c>
      <c r="BK27" s="42">
        <v>3324.7130555555559</v>
      </c>
    </row>
    <row r="28" spans="1:63" x14ac:dyDescent="0.25">
      <c r="A28" t="s">
        <v>526</v>
      </c>
      <c r="B28" s="11">
        <v>45717</v>
      </c>
      <c r="C28" s="11" t="s">
        <v>5</v>
      </c>
      <c r="D28" t="s">
        <v>193</v>
      </c>
      <c r="G28" t="s">
        <v>194</v>
      </c>
      <c r="J28" s="10">
        <v>45580</v>
      </c>
      <c r="N28" t="s">
        <v>197</v>
      </c>
      <c r="O28">
        <v>2208</v>
      </c>
      <c r="P28">
        <v>2208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2208</v>
      </c>
      <c r="AF28" s="42">
        <v>200</v>
      </c>
      <c r="AG28" s="42">
        <v>190</v>
      </c>
      <c r="AI28" s="42">
        <v>0</v>
      </c>
      <c r="AJ28" s="42">
        <v>0</v>
      </c>
      <c r="AK28" s="42">
        <v>0</v>
      </c>
      <c r="AL28" s="42">
        <v>350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W28" s="42">
        <v>740</v>
      </c>
      <c r="AX28" s="42">
        <v>2948</v>
      </c>
      <c r="AZ28" s="42">
        <v>2948</v>
      </c>
      <c r="BA28" s="42">
        <v>184</v>
      </c>
      <c r="BB28" s="42">
        <v>184</v>
      </c>
      <c r="BC28" s="42">
        <v>61.333333333333336</v>
      </c>
      <c r="BD28" s="42">
        <v>429.33333333333331</v>
      </c>
      <c r="BE28" s="42">
        <v>441.6</v>
      </c>
      <c r="BF28" s="42">
        <v>33.119999999999997</v>
      </c>
      <c r="BG28" s="42">
        <v>128.06</v>
      </c>
      <c r="BH28" s="42">
        <v>176.64</v>
      </c>
      <c r="BI28" s="42">
        <v>779.42</v>
      </c>
      <c r="BJ28" s="42">
        <v>3727.42</v>
      </c>
      <c r="BK28" s="42">
        <v>4156.7533333333331</v>
      </c>
    </row>
    <row r="29" spans="1:63" x14ac:dyDescent="0.25">
      <c r="A29" t="s">
        <v>183</v>
      </c>
      <c r="B29" s="11">
        <v>45717</v>
      </c>
      <c r="C29" s="11" t="s">
        <v>5</v>
      </c>
      <c r="D29" t="s">
        <v>577</v>
      </c>
      <c r="G29" t="s">
        <v>273</v>
      </c>
      <c r="H29" t="s">
        <v>178</v>
      </c>
      <c r="I29" t="s">
        <v>97</v>
      </c>
      <c r="J29" s="10">
        <v>44698</v>
      </c>
      <c r="M29" t="s">
        <v>184</v>
      </c>
      <c r="N29" t="s">
        <v>511</v>
      </c>
      <c r="O29">
        <v>2063.3200000000002</v>
      </c>
      <c r="P29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0</v>
      </c>
      <c r="AG29" s="42">
        <v>0</v>
      </c>
      <c r="AI29" s="42">
        <v>0</v>
      </c>
      <c r="AJ29" s="42">
        <v>0</v>
      </c>
      <c r="AK29" s="42">
        <v>0</v>
      </c>
      <c r="AL29" s="42">
        <v>0</v>
      </c>
      <c r="AM29" s="42">
        <v>0</v>
      </c>
      <c r="AN29" s="42">
        <v>0</v>
      </c>
      <c r="AO29" s="42">
        <v>0</v>
      </c>
      <c r="AP29" s="42">
        <v>0</v>
      </c>
      <c r="AQ29" s="42">
        <v>0</v>
      </c>
      <c r="AR29" s="42">
        <v>0</v>
      </c>
      <c r="AS29" s="42">
        <v>0</v>
      </c>
      <c r="AT29" s="42">
        <v>0</v>
      </c>
      <c r="AU29" s="42">
        <v>0</v>
      </c>
      <c r="AW29" s="42">
        <v>0</v>
      </c>
      <c r="AX29" s="42">
        <v>0</v>
      </c>
      <c r="AZ29" s="42">
        <v>0</v>
      </c>
      <c r="BA29" s="42">
        <v>0</v>
      </c>
      <c r="BB29" s="42">
        <v>0</v>
      </c>
      <c r="BC29" s="42">
        <v>0</v>
      </c>
      <c r="BD29" s="42">
        <v>0</v>
      </c>
      <c r="BE29" s="42">
        <v>0</v>
      </c>
      <c r="BF29" s="42">
        <v>0</v>
      </c>
      <c r="BG29" s="42">
        <v>0</v>
      </c>
      <c r="BH29" s="42">
        <v>0</v>
      </c>
      <c r="BI29" s="42">
        <v>0</v>
      </c>
      <c r="BJ29" s="42">
        <v>0</v>
      </c>
      <c r="BK29" s="42">
        <v>0</v>
      </c>
    </row>
    <row r="30" spans="1:63" x14ac:dyDescent="0.25">
      <c r="A30" t="s">
        <v>181</v>
      </c>
      <c r="B30" s="11">
        <v>45717</v>
      </c>
      <c r="C30" s="11" t="s">
        <v>5</v>
      </c>
      <c r="D30" t="s">
        <v>577</v>
      </c>
      <c r="G30" t="s">
        <v>273</v>
      </c>
      <c r="H30" t="s">
        <v>178</v>
      </c>
      <c r="I30" t="s">
        <v>97</v>
      </c>
      <c r="J30" s="10">
        <v>44698</v>
      </c>
      <c r="M30" t="s">
        <v>524</v>
      </c>
      <c r="N30" t="s">
        <v>508</v>
      </c>
      <c r="O30">
        <v>2591</v>
      </c>
      <c r="P30">
        <v>2591</v>
      </c>
      <c r="Q30" s="42">
        <v>0</v>
      </c>
      <c r="R30" s="42">
        <v>518.20000000000005</v>
      </c>
      <c r="S30" s="42">
        <v>0</v>
      </c>
      <c r="T30" s="42">
        <v>0</v>
      </c>
      <c r="U30" s="42">
        <v>0</v>
      </c>
      <c r="V30" s="42">
        <v>0</v>
      </c>
      <c r="W30" s="42">
        <v>1.37</v>
      </c>
      <c r="X30" s="42">
        <v>599.23</v>
      </c>
      <c r="Y30" s="42">
        <v>115.24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3825.0399999999995</v>
      </c>
      <c r="AF30" s="42">
        <v>200</v>
      </c>
      <c r="AG30" s="42">
        <v>0</v>
      </c>
      <c r="AH30" s="42">
        <v>230</v>
      </c>
      <c r="AI30" s="42">
        <v>0</v>
      </c>
      <c r="AJ30" s="42">
        <v>143.54</v>
      </c>
      <c r="AK30" s="42">
        <v>0</v>
      </c>
      <c r="AL30" s="42">
        <v>0</v>
      </c>
      <c r="AM30" s="42">
        <v>0</v>
      </c>
      <c r="AN30" s="42">
        <v>0</v>
      </c>
      <c r="AO30" s="42">
        <v>99.56</v>
      </c>
      <c r="AP30" s="42">
        <v>0</v>
      </c>
      <c r="AQ30" s="42">
        <v>314</v>
      </c>
      <c r="AR30" s="42">
        <v>0</v>
      </c>
      <c r="AS30" s="42">
        <v>0</v>
      </c>
      <c r="AT30" s="42">
        <v>0</v>
      </c>
      <c r="AU30" s="42">
        <v>0</v>
      </c>
      <c r="AV30" s="42">
        <v>90.75</v>
      </c>
      <c r="AW30" s="42">
        <v>1077.8499999999999</v>
      </c>
      <c r="AX30" s="42">
        <v>4902.8899999999994</v>
      </c>
      <c r="AZ30" s="42">
        <v>4902.8899999999994</v>
      </c>
      <c r="BA30" s="42">
        <v>318.75333333333327</v>
      </c>
      <c r="BB30" s="42">
        <v>318.75333333333327</v>
      </c>
      <c r="BC30" s="42">
        <v>106.25111111111109</v>
      </c>
      <c r="BD30" s="42">
        <v>743.75777777777762</v>
      </c>
      <c r="BE30" s="42">
        <v>765.06</v>
      </c>
      <c r="BF30" s="42">
        <v>180.86</v>
      </c>
      <c r="BG30" s="42">
        <v>221.86</v>
      </c>
      <c r="BH30" s="42">
        <v>306.02</v>
      </c>
      <c r="BI30" s="42">
        <v>1473.8</v>
      </c>
      <c r="BJ30" s="42">
        <v>6376.69</v>
      </c>
      <c r="BK30" s="42">
        <v>7120.4477777777774</v>
      </c>
    </row>
    <row r="31" spans="1:63" x14ac:dyDescent="0.25">
      <c r="A31" t="s">
        <v>271</v>
      </c>
      <c r="B31" s="11">
        <v>45717</v>
      </c>
      <c r="C31" s="11" t="s">
        <v>5</v>
      </c>
      <c r="D31" t="s">
        <v>577</v>
      </c>
      <c r="G31" t="s">
        <v>273</v>
      </c>
      <c r="H31" t="s">
        <v>178</v>
      </c>
      <c r="I31" t="s">
        <v>88</v>
      </c>
      <c r="J31" s="10">
        <v>45237</v>
      </c>
      <c r="M31" t="s">
        <v>184</v>
      </c>
      <c r="N31" t="s">
        <v>504</v>
      </c>
      <c r="O31">
        <v>1856.8</v>
      </c>
      <c r="P31">
        <v>1856.8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1856.8</v>
      </c>
      <c r="AF31" s="42">
        <v>200</v>
      </c>
      <c r="AG31" s="42">
        <v>0</v>
      </c>
      <c r="AH31" s="42">
        <v>230</v>
      </c>
      <c r="AI31" s="42">
        <v>0</v>
      </c>
      <c r="AJ31" s="42">
        <v>0</v>
      </c>
      <c r="AK31" s="42">
        <v>0</v>
      </c>
      <c r="AL31" s="42">
        <v>0</v>
      </c>
      <c r="AM31" s="42">
        <v>0</v>
      </c>
      <c r="AN31" s="42">
        <v>0</v>
      </c>
      <c r="AO31" s="42">
        <v>99.56</v>
      </c>
      <c r="AP31" s="42">
        <v>0</v>
      </c>
      <c r="AQ31" s="42">
        <v>0</v>
      </c>
      <c r="AR31" s="42">
        <v>0</v>
      </c>
      <c r="AS31" s="42">
        <v>0</v>
      </c>
      <c r="AT31" s="42">
        <v>0</v>
      </c>
      <c r="AU31" s="42">
        <v>0</v>
      </c>
      <c r="AW31" s="42">
        <v>529.55999999999995</v>
      </c>
      <c r="AX31" s="42">
        <v>2386.3599999999997</v>
      </c>
      <c r="AZ31" s="42">
        <v>2386.3599999999997</v>
      </c>
      <c r="BA31" s="42">
        <v>154.73333333333332</v>
      </c>
      <c r="BB31" s="42">
        <v>154.73333333333332</v>
      </c>
      <c r="BC31" s="42">
        <v>51.577777777777776</v>
      </c>
      <c r="BD31" s="42">
        <v>361.04444444444442</v>
      </c>
      <c r="BE31" s="42">
        <v>371.36</v>
      </c>
      <c r="BF31" s="42">
        <v>87.78</v>
      </c>
      <c r="BG31" s="42">
        <v>107.69</v>
      </c>
      <c r="BH31" s="42">
        <v>148.54</v>
      </c>
      <c r="BI31" s="42">
        <v>715.36999999999989</v>
      </c>
      <c r="BJ31" s="42">
        <v>3101.7299999999996</v>
      </c>
      <c r="BK31" s="42">
        <v>3462.7744444444438</v>
      </c>
    </row>
    <row r="32" spans="1:63" x14ac:dyDescent="0.25">
      <c r="A32" t="s">
        <v>175</v>
      </c>
      <c r="B32" s="11">
        <v>45717</v>
      </c>
      <c r="C32" s="11" t="s">
        <v>5</v>
      </c>
      <c r="D32" t="s">
        <v>577</v>
      </c>
      <c r="G32" t="s">
        <v>273</v>
      </c>
      <c r="I32" t="s">
        <v>97</v>
      </c>
      <c r="J32" s="10">
        <v>45597</v>
      </c>
      <c r="M32" t="s">
        <v>524</v>
      </c>
      <c r="N32" t="s">
        <v>508</v>
      </c>
      <c r="O32">
        <v>2400</v>
      </c>
      <c r="P32">
        <v>2400</v>
      </c>
      <c r="Q32" s="42">
        <v>0</v>
      </c>
      <c r="R32" s="42">
        <v>480</v>
      </c>
      <c r="S32" s="42">
        <v>0</v>
      </c>
      <c r="T32" s="42">
        <v>0</v>
      </c>
      <c r="U32" s="42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  <c r="AE32" s="42">
        <v>2880</v>
      </c>
      <c r="AF32" s="42">
        <v>200</v>
      </c>
      <c r="AG32" s="42">
        <v>0</v>
      </c>
      <c r="AH32" s="42">
        <v>230</v>
      </c>
      <c r="AI32" s="42">
        <v>0</v>
      </c>
      <c r="AJ32" s="42">
        <v>28.48</v>
      </c>
      <c r="AK32" s="42">
        <v>0</v>
      </c>
      <c r="AL32" s="42">
        <v>0</v>
      </c>
      <c r="AM32" s="42">
        <v>0</v>
      </c>
      <c r="AN32" s="42">
        <v>0</v>
      </c>
      <c r="AO32" s="42">
        <v>99.56</v>
      </c>
      <c r="AP32" s="42">
        <v>0</v>
      </c>
      <c r="AQ32" s="42">
        <v>0</v>
      </c>
      <c r="AR32" s="42">
        <v>0</v>
      </c>
      <c r="AS32" s="42">
        <v>0</v>
      </c>
      <c r="AT32" s="42">
        <v>0</v>
      </c>
      <c r="AU32" s="42">
        <v>0</v>
      </c>
      <c r="AV32" s="42">
        <v>90.75</v>
      </c>
      <c r="AW32" s="42">
        <v>648.79</v>
      </c>
      <c r="AX32" s="42">
        <v>3528.79</v>
      </c>
      <c r="AZ32" s="42">
        <v>3528.79</v>
      </c>
      <c r="BA32" s="42">
        <v>240</v>
      </c>
      <c r="BB32" s="42">
        <v>240</v>
      </c>
      <c r="BC32" s="42">
        <v>80</v>
      </c>
      <c r="BD32" s="42">
        <v>560</v>
      </c>
      <c r="BE32" s="42">
        <v>576</v>
      </c>
      <c r="BF32" s="42">
        <v>136.16</v>
      </c>
      <c r="BG32" s="42">
        <v>167.04</v>
      </c>
      <c r="BH32" s="42">
        <v>230.4</v>
      </c>
      <c r="BI32" s="42">
        <v>1109.5999999999999</v>
      </c>
      <c r="BJ32" s="42">
        <v>4638.3899999999994</v>
      </c>
      <c r="BK32" s="42">
        <v>5198.3899999999994</v>
      </c>
    </row>
    <row r="33" spans="1:63" x14ac:dyDescent="0.25">
      <c r="A33" t="s">
        <v>578</v>
      </c>
      <c r="B33" s="11">
        <v>45717</v>
      </c>
      <c r="C33" s="11" t="s">
        <v>5</v>
      </c>
      <c r="D33" t="s">
        <v>577</v>
      </c>
      <c r="G33" t="s">
        <v>273</v>
      </c>
      <c r="H33" t="s">
        <v>178</v>
      </c>
      <c r="I33" t="s">
        <v>88</v>
      </c>
      <c r="J33" s="10">
        <v>45670</v>
      </c>
      <c r="M33" t="s">
        <v>184</v>
      </c>
      <c r="N33" t="s">
        <v>511</v>
      </c>
      <c r="O33">
        <v>1995</v>
      </c>
      <c r="P33">
        <v>1995</v>
      </c>
      <c r="Q33" s="42">
        <v>0</v>
      </c>
      <c r="R33" s="42">
        <v>399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26.71</v>
      </c>
      <c r="Y33" s="42">
        <v>5.14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2425.85</v>
      </c>
      <c r="AF33" s="42">
        <v>200</v>
      </c>
      <c r="AG33" s="42">
        <v>0</v>
      </c>
      <c r="AH33" s="42">
        <v>230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99.56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W33" s="42">
        <v>529.55999999999995</v>
      </c>
      <c r="AX33" s="42">
        <v>2955.41</v>
      </c>
      <c r="AZ33" s="42">
        <v>2955.41</v>
      </c>
      <c r="BA33" s="42">
        <v>202.15416666666667</v>
      </c>
      <c r="BB33" s="42">
        <v>202.15416666666667</v>
      </c>
      <c r="BC33" s="42">
        <v>67.384722222222223</v>
      </c>
      <c r="BD33" s="42">
        <v>471.69305555555559</v>
      </c>
      <c r="BE33" s="42">
        <v>485.17</v>
      </c>
      <c r="BF33" s="42">
        <v>114.69</v>
      </c>
      <c r="BG33" s="42">
        <v>140.69</v>
      </c>
      <c r="BH33" s="42">
        <v>194.06</v>
      </c>
      <c r="BI33" s="42">
        <v>934.6099999999999</v>
      </c>
      <c r="BJ33" s="42">
        <v>3890.0199999999995</v>
      </c>
      <c r="BK33" s="42">
        <v>4361.713055555555</v>
      </c>
    </row>
    <row r="34" spans="1:63" x14ac:dyDescent="0.25">
      <c r="A34" t="s">
        <v>275</v>
      </c>
      <c r="B34" s="11">
        <v>45717</v>
      </c>
      <c r="C34" s="11" t="s">
        <v>5</v>
      </c>
      <c r="D34" t="s">
        <v>577</v>
      </c>
      <c r="G34" t="s">
        <v>273</v>
      </c>
      <c r="H34" t="s">
        <v>178</v>
      </c>
      <c r="I34" t="s">
        <v>81</v>
      </c>
      <c r="J34" s="10">
        <v>45733</v>
      </c>
      <c r="M34" t="s">
        <v>276</v>
      </c>
      <c r="N34" t="s">
        <v>538</v>
      </c>
      <c r="O34">
        <v>2025.07</v>
      </c>
      <c r="P34">
        <v>1012.54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>
        <v>28.06</v>
      </c>
      <c r="Y34" s="42">
        <v>4.32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1044.9199999999998</v>
      </c>
      <c r="AF34" s="42">
        <v>300</v>
      </c>
      <c r="AG34" s="42">
        <v>0</v>
      </c>
      <c r="AH34" s="42">
        <v>230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99.56</v>
      </c>
      <c r="AP34" s="42">
        <v>0</v>
      </c>
      <c r="AQ34" s="42">
        <v>0</v>
      </c>
      <c r="AR34" s="42">
        <v>0</v>
      </c>
      <c r="AS34" s="42">
        <v>0</v>
      </c>
      <c r="AT34" s="42">
        <v>32.5</v>
      </c>
      <c r="AU34" s="42">
        <v>0</v>
      </c>
      <c r="AW34" s="42">
        <v>662.06</v>
      </c>
      <c r="AX34" s="42">
        <v>1706.9799999999998</v>
      </c>
      <c r="AZ34" s="42">
        <v>1706.9799999999998</v>
      </c>
      <c r="BA34" s="42">
        <v>87.076666666666654</v>
      </c>
      <c r="BB34" s="42">
        <v>87.076666666666654</v>
      </c>
      <c r="BC34" s="42">
        <v>29.025555555555552</v>
      </c>
      <c r="BD34" s="42">
        <v>203.17888888888885</v>
      </c>
      <c r="BE34" s="42">
        <v>208.98</v>
      </c>
      <c r="BF34" s="42">
        <v>49.4</v>
      </c>
      <c r="BG34" s="42">
        <v>60.6</v>
      </c>
      <c r="BH34" s="42">
        <v>83.59</v>
      </c>
      <c r="BI34" s="42">
        <v>402.57000000000005</v>
      </c>
      <c r="BJ34" s="42">
        <v>2109.5499999999997</v>
      </c>
      <c r="BK34" s="42">
        <v>2312.7288888888884</v>
      </c>
    </row>
    <row r="35" spans="1:63" x14ac:dyDescent="0.25">
      <c r="A35" t="s">
        <v>139</v>
      </c>
      <c r="B35" s="11">
        <v>45717</v>
      </c>
      <c r="C35" s="11" t="s">
        <v>5</v>
      </c>
      <c r="D35" t="s">
        <v>579</v>
      </c>
      <c r="G35" t="s">
        <v>283</v>
      </c>
      <c r="H35" t="s">
        <v>142</v>
      </c>
      <c r="I35" t="s">
        <v>97</v>
      </c>
      <c r="J35" s="10">
        <v>43521</v>
      </c>
      <c r="M35" t="s">
        <v>535</v>
      </c>
      <c r="N35" t="s">
        <v>508</v>
      </c>
      <c r="O35">
        <v>2538.36</v>
      </c>
      <c r="P35">
        <v>2538.36</v>
      </c>
      <c r="Q35" s="42">
        <v>0</v>
      </c>
      <c r="R35" s="42">
        <v>507.67</v>
      </c>
      <c r="S35" s="42">
        <v>0</v>
      </c>
      <c r="T35" s="42">
        <v>0</v>
      </c>
      <c r="U35" s="42">
        <v>0</v>
      </c>
      <c r="V35" s="42">
        <v>0</v>
      </c>
      <c r="W35" s="42">
        <v>0.92</v>
      </c>
      <c r="X35" s="42">
        <v>551.4</v>
      </c>
      <c r="Y35" s="42">
        <v>106.04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3704.3900000000003</v>
      </c>
      <c r="AF35" s="42">
        <v>0</v>
      </c>
      <c r="AG35" s="42">
        <v>0</v>
      </c>
      <c r="AH35" s="42">
        <v>230</v>
      </c>
      <c r="AI35" s="42">
        <v>0</v>
      </c>
      <c r="AJ35" s="42">
        <v>292.56</v>
      </c>
      <c r="AK35" s="42">
        <v>0</v>
      </c>
      <c r="AL35" s="42">
        <v>0</v>
      </c>
      <c r="AM35" s="42">
        <v>0</v>
      </c>
      <c r="AN35" s="42">
        <v>0</v>
      </c>
      <c r="AO35" s="42">
        <v>600</v>
      </c>
      <c r="AP35" s="42">
        <v>0</v>
      </c>
      <c r="AQ35" s="42">
        <v>1220</v>
      </c>
      <c r="AR35" s="42">
        <v>0</v>
      </c>
      <c r="AS35" s="42">
        <v>0</v>
      </c>
      <c r="AT35" s="42">
        <v>0</v>
      </c>
      <c r="AU35" s="42">
        <v>0</v>
      </c>
      <c r="AV35" s="42">
        <v>90.75</v>
      </c>
      <c r="AW35" s="42">
        <v>2433.31</v>
      </c>
      <c r="AX35" s="42">
        <v>6137.7000000000007</v>
      </c>
      <c r="AZ35" s="42">
        <v>6137.7000000000007</v>
      </c>
      <c r="BA35" s="42">
        <v>308.69916666666671</v>
      </c>
      <c r="BB35" s="42">
        <v>308.69916666666671</v>
      </c>
      <c r="BC35" s="42">
        <v>102.89972222222224</v>
      </c>
      <c r="BD35" s="42">
        <v>720.29805555555572</v>
      </c>
      <c r="BE35" s="42">
        <v>740.91</v>
      </c>
      <c r="BF35" s="42">
        <v>55.56</v>
      </c>
      <c r="BG35" s="42">
        <v>214.86</v>
      </c>
      <c r="BH35" s="42">
        <v>296.36</v>
      </c>
      <c r="BI35" s="42">
        <v>1307.69</v>
      </c>
      <c r="BJ35" s="42">
        <v>7445.3900000000012</v>
      </c>
      <c r="BK35" s="42">
        <v>8165.6880555555572</v>
      </c>
    </row>
    <row r="36" spans="1:63" x14ac:dyDescent="0.25">
      <c r="A36" t="s">
        <v>278</v>
      </c>
      <c r="B36" s="11">
        <v>45717</v>
      </c>
      <c r="C36" s="11" t="s">
        <v>5</v>
      </c>
      <c r="D36" t="s">
        <v>579</v>
      </c>
      <c r="G36" t="s">
        <v>283</v>
      </c>
      <c r="H36" t="s">
        <v>178</v>
      </c>
      <c r="I36" t="s">
        <v>88</v>
      </c>
      <c r="J36" s="10">
        <v>44630</v>
      </c>
      <c r="M36" t="s">
        <v>184</v>
      </c>
      <c r="N36" t="s">
        <v>580</v>
      </c>
      <c r="O36">
        <v>2027.42</v>
      </c>
      <c r="P36">
        <v>2027.42</v>
      </c>
      <c r="Q36" s="42">
        <v>0</v>
      </c>
      <c r="R36" s="42">
        <v>0</v>
      </c>
      <c r="S36" s="42">
        <v>0</v>
      </c>
      <c r="T36" s="42">
        <v>0</v>
      </c>
      <c r="U36" s="42">
        <v>0</v>
      </c>
      <c r="V36" s="42">
        <v>0</v>
      </c>
      <c r="W36" s="42">
        <v>0</v>
      </c>
      <c r="X36" s="42">
        <v>171.07</v>
      </c>
      <c r="Y36" s="42">
        <v>32.9</v>
      </c>
      <c r="Z36" s="42">
        <v>0</v>
      </c>
      <c r="AA36" s="42">
        <v>0</v>
      </c>
      <c r="AB36" s="42">
        <v>0</v>
      </c>
      <c r="AC36" s="42">
        <v>0</v>
      </c>
      <c r="AD36" s="42">
        <v>0</v>
      </c>
      <c r="AE36" s="42">
        <v>2231.3900000000003</v>
      </c>
      <c r="AF36" s="42">
        <v>0</v>
      </c>
      <c r="AG36" s="42">
        <v>0</v>
      </c>
      <c r="AH36" s="42">
        <v>230</v>
      </c>
      <c r="AI36" s="42">
        <v>0</v>
      </c>
      <c r="AJ36" s="42">
        <v>0</v>
      </c>
      <c r="AK36" s="42">
        <v>0</v>
      </c>
      <c r="AL36" s="42">
        <v>0</v>
      </c>
      <c r="AM36" s="42">
        <v>900</v>
      </c>
      <c r="AN36" s="42">
        <v>0</v>
      </c>
      <c r="AO36" s="42">
        <v>99.56</v>
      </c>
      <c r="AP36" s="42">
        <v>0</v>
      </c>
      <c r="AQ36" s="42">
        <v>1709.4</v>
      </c>
      <c r="AR36" s="42">
        <v>0</v>
      </c>
      <c r="AS36" s="42">
        <v>0</v>
      </c>
      <c r="AT36" s="42">
        <v>0</v>
      </c>
      <c r="AU36" s="42">
        <v>0</v>
      </c>
      <c r="AW36" s="42">
        <v>2938.96</v>
      </c>
      <c r="AX36" s="42">
        <v>5170.3500000000004</v>
      </c>
      <c r="AZ36" s="42">
        <v>5170.3500000000004</v>
      </c>
      <c r="BA36" s="42">
        <v>185.94916666666668</v>
      </c>
      <c r="BB36" s="42">
        <v>185.94916666666668</v>
      </c>
      <c r="BC36" s="42">
        <v>61.983055555555559</v>
      </c>
      <c r="BD36" s="42">
        <v>433.88138888888892</v>
      </c>
      <c r="BE36" s="42">
        <v>446.28</v>
      </c>
      <c r="BF36" s="42">
        <v>33.47</v>
      </c>
      <c r="BG36" s="42">
        <v>129.41999999999999</v>
      </c>
      <c r="BH36" s="42">
        <v>178.51</v>
      </c>
      <c r="BI36" s="42">
        <v>787.68</v>
      </c>
      <c r="BJ36" s="42">
        <v>5958.0300000000007</v>
      </c>
      <c r="BK36" s="42">
        <v>6391.9113888888896</v>
      </c>
    </row>
    <row r="37" spans="1:63" x14ac:dyDescent="0.25">
      <c r="A37" t="s">
        <v>281</v>
      </c>
      <c r="B37" s="11">
        <v>45717</v>
      </c>
      <c r="C37" s="11" t="s">
        <v>5</v>
      </c>
      <c r="D37" t="s">
        <v>579</v>
      </c>
      <c r="G37" t="s">
        <v>283</v>
      </c>
      <c r="H37" t="s">
        <v>142</v>
      </c>
      <c r="I37" t="s">
        <v>88</v>
      </c>
      <c r="J37" s="10">
        <v>44700</v>
      </c>
      <c r="M37" t="s">
        <v>147</v>
      </c>
      <c r="N37" t="s">
        <v>92</v>
      </c>
      <c r="O37">
        <v>2964.89</v>
      </c>
      <c r="P37">
        <v>2964.89</v>
      </c>
      <c r="Q37" s="42">
        <v>0</v>
      </c>
      <c r="R37" s="42">
        <v>592.98</v>
      </c>
      <c r="S37" s="42">
        <v>0</v>
      </c>
      <c r="T37" s="42">
        <v>0</v>
      </c>
      <c r="U37" s="42">
        <v>0</v>
      </c>
      <c r="V37" s="42">
        <v>0</v>
      </c>
      <c r="W37" s="42">
        <v>0</v>
      </c>
      <c r="X37" s="42">
        <v>323.17</v>
      </c>
      <c r="Y37" s="42">
        <v>62.15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  <c r="AE37" s="42">
        <v>3943.19</v>
      </c>
      <c r="AF37" s="42">
        <v>0</v>
      </c>
      <c r="AG37" s="42">
        <v>0</v>
      </c>
      <c r="AH37" s="42">
        <v>230</v>
      </c>
      <c r="AI37" s="42">
        <v>0</v>
      </c>
      <c r="AJ37" s="42">
        <v>0</v>
      </c>
      <c r="AK37" s="42">
        <v>0</v>
      </c>
      <c r="AL37" s="42">
        <v>0</v>
      </c>
      <c r="AM37" s="42">
        <v>0</v>
      </c>
      <c r="AN37" s="42">
        <v>0</v>
      </c>
      <c r="AO37" s="42">
        <v>350.77</v>
      </c>
      <c r="AP37" s="42">
        <v>0</v>
      </c>
      <c r="AQ37" s="42">
        <v>0</v>
      </c>
      <c r="AR37" s="42">
        <v>0</v>
      </c>
      <c r="AS37" s="42">
        <v>0</v>
      </c>
      <c r="AT37" s="42">
        <v>0</v>
      </c>
      <c r="AU37" s="42">
        <v>0</v>
      </c>
      <c r="AW37" s="42">
        <v>580.77</v>
      </c>
      <c r="AX37" s="42">
        <v>4523.96</v>
      </c>
      <c r="AZ37" s="42">
        <v>4523.96</v>
      </c>
      <c r="BA37" s="42">
        <v>328.59916666666669</v>
      </c>
      <c r="BB37" s="42">
        <v>328.59916666666669</v>
      </c>
      <c r="BC37" s="42">
        <v>109.53305555555556</v>
      </c>
      <c r="BD37" s="42">
        <v>766.73138888888889</v>
      </c>
      <c r="BE37" s="42">
        <v>788.64</v>
      </c>
      <c r="BF37" s="42">
        <v>59.14</v>
      </c>
      <c r="BG37" s="42">
        <v>228.7</v>
      </c>
      <c r="BH37" s="42">
        <v>315.45</v>
      </c>
      <c r="BI37" s="42">
        <v>1391.93</v>
      </c>
      <c r="BJ37" s="42">
        <v>5915.89</v>
      </c>
      <c r="BK37" s="42">
        <v>6682.6213888888888</v>
      </c>
    </row>
    <row r="38" spans="1:63" x14ac:dyDescent="0.25">
      <c r="A38" t="s">
        <v>540</v>
      </c>
      <c r="B38" s="11">
        <v>45717</v>
      </c>
      <c r="C38" s="11" t="s">
        <v>5</v>
      </c>
      <c r="D38" t="s">
        <v>579</v>
      </c>
      <c r="G38" t="s">
        <v>283</v>
      </c>
      <c r="H38" t="s">
        <v>142</v>
      </c>
      <c r="I38" t="s">
        <v>81</v>
      </c>
      <c r="J38" s="10">
        <v>44769</v>
      </c>
      <c r="M38" t="s">
        <v>285</v>
      </c>
      <c r="N38" t="s">
        <v>541</v>
      </c>
      <c r="O38">
        <v>2006.73</v>
      </c>
      <c r="P38">
        <v>2006.73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0</v>
      </c>
      <c r="AE38" s="42">
        <v>2006.73</v>
      </c>
      <c r="AF38" s="42">
        <v>0</v>
      </c>
      <c r="AG38" s="42">
        <v>0</v>
      </c>
      <c r="AH38" s="42">
        <v>230</v>
      </c>
      <c r="AI38" s="42">
        <v>0</v>
      </c>
      <c r="AJ38" s="42">
        <v>0</v>
      </c>
      <c r="AK38" s="42">
        <v>0</v>
      </c>
      <c r="AL38" s="42">
        <v>0</v>
      </c>
      <c r="AM38" s="42">
        <v>0</v>
      </c>
      <c r="AN38" s="42">
        <v>0</v>
      </c>
      <c r="AO38" s="42">
        <v>350.77</v>
      </c>
      <c r="AP38" s="42">
        <v>0</v>
      </c>
      <c r="AQ38" s="42">
        <v>0</v>
      </c>
      <c r="AR38" s="42">
        <v>0</v>
      </c>
      <c r="AS38" s="42">
        <v>0</v>
      </c>
      <c r="AT38" s="42">
        <v>0</v>
      </c>
      <c r="AU38" s="42">
        <v>0</v>
      </c>
      <c r="AW38" s="42">
        <v>580.77</v>
      </c>
      <c r="AX38" s="42">
        <v>2587.5</v>
      </c>
      <c r="AZ38" s="42">
        <v>2587.5</v>
      </c>
      <c r="BA38" s="42">
        <v>167.22749999999999</v>
      </c>
      <c r="BB38" s="42">
        <v>167.22749999999999</v>
      </c>
      <c r="BC38" s="42">
        <v>55.7425</v>
      </c>
      <c r="BD38" s="42">
        <v>390.19749999999999</v>
      </c>
      <c r="BE38" s="42">
        <v>441.48</v>
      </c>
      <c r="BF38" s="42">
        <v>33.11</v>
      </c>
      <c r="BG38" s="42">
        <v>128.02000000000001</v>
      </c>
      <c r="BH38" s="42">
        <v>176.59</v>
      </c>
      <c r="BI38" s="42">
        <v>779.2</v>
      </c>
      <c r="BJ38" s="42">
        <v>3366.7</v>
      </c>
      <c r="BK38" s="42">
        <v>3756.8975</v>
      </c>
    </row>
    <row r="39" spans="1:63" x14ac:dyDescent="0.25">
      <c r="A39" t="s">
        <v>146</v>
      </c>
      <c r="B39" s="11">
        <v>45717</v>
      </c>
      <c r="C39" s="11" t="s">
        <v>5</v>
      </c>
      <c r="D39" t="s">
        <v>579</v>
      </c>
      <c r="G39" t="s">
        <v>283</v>
      </c>
      <c r="H39" t="s">
        <v>142</v>
      </c>
      <c r="I39" t="s">
        <v>88</v>
      </c>
      <c r="J39" s="10">
        <v>44964</v>
      </c>
      <c r="M39" t="s">
        <v>147</v>
      </c>
      <c r="N39" t="s">
        <v>505</v>
      </c>
      <c r="O39">
        <v>2078.4299999999998</v>
      </c>
      <c r="P39">
        <v>2078.4299999999998</v>
      </c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>
        <v>211.62</v>
      </c>
      <c r="Y39" s="42">
        <v>40.700000000000003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  <c r="AE39" s="42">
        <v>2330.7499999999995</v>
      </c>
      <c r="AF39" s="42">
        <v>0</v>
      </c>
      <c r="AG39" s="42">
        <v>0</v>
      </c>
      <c r="AH39" s="42">
        <v>230</v>
      </c>
      <c r="AI39" s="42">
        <v>0</v>
      </c>
      <c r="AJ39" s="42">
        <v>0</v>
      </c>
      <c r="AK39" s="42">
        <v>0</v>
      </c>
      <c r="AL39" s="42">
        <v>0</v>
      </c>
      <c r="AM39" s="42">
        <v>0</v>
      </c>
      <c r="AN39" s="42">
        <v>0</v>
      </c>
      <c r="AO39" s="42">
        <v>350.77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W39" s="42">
        <v>580.77</v>
      </c>
      <c r="AX39" s="42">
        <v>2911.5199999999995</v>
      </c>
      <c r="AZ39" s="42">
        <v>2911.5199999999995</v>
      </c>
      <c r="BA39" s="42">
        <v>194.22916666666663</v>
      </c>
      <c r="BB39" s="42">
        <v>194.22916666666663</v>
      </c>
      <c r="BC39" s="42">
        <v>64.743055555555543</v>
      </c>
      <c r="BD39" s="42">
        <v>453.2013888888888</v>
      </c>
      <c r="BE39" s="42">
        <v>466.15</v>
      </c>
      <c r="BF39" s="42">
        <v>34.96</v>
      </c>
      <c r="BG39" s="42">
        <v>135.18</v>
      </c>
      <c r="BH39" s="42">
        <v>186.46</v>
      </c>
      <c r="BI39" s="42">
        <v>822.75</v>
      </c>
      <c r="BJ39" s="42">
        <v>3734.2699999999995</v>
      </c>
      <c r="BK39" s="42">
        <v>4187.4713888888882</v>
      </c>
    </row>
    <row r="40" spans="1:63" x14ac:dyDescent="0.25">
      <c r="A40" t="s">
        <v>144</v>
      </c>
      <c r="B40" s="11">
        <v>45717</v>
      </c>
      <c r="C40" s="11" t="s">
        <v>5</v>
      </c>
      <c r="D40" t="s">
        <v>579</v>
      </c>
      <c r="G40" t="s">
        <v>283</v>
      </c>
      <c r="H40" t="s">
        <v>142</v>
      </c>
      <c r="I40" t="s">
        <v>97</v>
      </c>
      <c r="J40" s="10">
        <v>45103</v>
      </c>
      <c r="M40" t="s">
        <v>535</v>
      </c>
      <c r="N40" t="s">
        <v>508</v>
      </c>
      <c r="O40">
        <v>2538.36</v>
      </c>
      <c r="P40">
        <v>2538.36</v>
      </c>
      <c r="Q40" s="42">
        <v>0</v>
      </c>
      <c r="R40" s="42">
        <v>507.67</v>
      </c>
      <c r="S40" s="42">
        <v>0</v>
      </c>
      <c r="T40" s="42">
        <v>0</v>
      </c>
      <c r="U40" s="42">
        <v>0</v>
      </c>
      <c r="V40" s="42">
        <v>0</v>
      </c>
      <c r="W40" s="42">
        <v>0</v>
      </c>
      <c r="X40" s="42">
        <v>280.37</v>
      </c>
      <c r="Y40" s="42">
        <v>53.92</v>
      </c>
      <c r="Z40" s="42">
        <v>0</v>
      </c>
      <c r="AA40" s="42">
        <v>0</v>
      </c>
      <c r="AB40" s="42">
        <v>0</v>
      </c>
      <c r="AC40" s="42">
        <v>0</v>
      </c>
      <c r="AD40" s="42">
        <v>0</v>
      </c>
      <c r="AE40" s="42">
        <v>3380.32</v>
      </c>
      <c r="AF40" s="42">
        <v>0</v>
      </c>
      <c r="AG40" s="42">
        <v>0</v>
      </c>
      <c r="AH40" s="42">
        <v>230</v>
      </c>
      <c r="AI40" s="42">
        <v>0</v>
      </c>
      <c r="AJ40" s="42">
        <v>121.8</v>
      </c>
      <c r="AK40" s="42">
        <v>0</v>
      </c>
      <c r="AL40" s="42">
        <v>0</v>
      </c>
      <c r="AM40" s="42">
        <v>0</v>
      </c>
      <c r="AN40" s="42">
        <v>0</v>
      </c>
      <c r="AO40" s="42">
        <v>600</v>
      </c>
      <c r="AP40" s="42">
        <v>0</v>
      </c>
      <c r="AQ40" s="42">
        <v>427</v>
      </c>
      <c r="AR40" s="42">
        <v>0</v>
      </c>
      <c r="AS40" s="42">
        <v>0</v>
      </c>
      <c r="AT40" s="42">
        <v>0</v>
      </c>
      <c r="AU40" s="42">
        <v>0</v>
      </c>
      <c r="AV40" s="42">
        <v>90.75</v>
      </c>
      <c r="AW40" s="42">
        <v>1469.55</v>
      </c>
      <c r="AX40" s="42">
        <v>4849.87</v>
      </c>
      <c r="AZ40" s="42">
        <v>4849.87</v>
      </c>
      <c r="BA40" s="42">
        <v>281.69333333333333</v>
      </c>
      <c r="BB40" s="42">
        <v>281.69333333333333</v>
      </c>
      <c r="BC40" s="42">
        <v>93.897777777777776</v>
      </c>
      <c r="BD40" s="42">
        <v>657.28444444444449</v>
      </c>
      <c r="BE40" s="42">
        <v>676.06</v>
      </c>
      <c r="BF40" s="42">
        <v>50.7</v>
      </c>
      <c r="BG40" s="42">
        <v>196.05</v>
      </c>
      <c r="BH40" s="42">
        <v>270.42</v>
      </c>
      <c r="BI40" s="42">
        <v>1193.23</v>
      </c>
      <c r="BJ40" s="42">
        <v>6043.1</v>
      </c>
      <c r="BK40" s="42">
        <v>6700.3844444444449</v>
      </c>
    </row>
    <row r="41" spans="1:63" x14ac:dyDescent="0.25">
      <c r="A41" t="s">
        <v>581</v>
      </c>
      <c r="B41" s="11">
        <v>45717</v>
      </c>
      <c r="C41" s="11" t="s">
        <v>5</v>
      </c>
      <c r="D41" t="s">
        <v>579</v>
      </c>
      <c r="G41" t="s">
        <v>283</v>
      </c>
      <c r="H41" t="s">
        <v>142</v>
      </c>
      <c r="I41" t="s">
        <v>88</v>
      </c>
      <c r="J41" s="10">
        <v>45327</v>
      </c>
      <c r="K41" s="10">
        <v>45736</v>
      </c>
      <c r="M41" t="s">
        <v>147</v>
      </c>
      <c r="N41" t="s">
        <v>92</v>
      </c>
      <c r="O41">
        <v>1922.8</v>
      </c>
      <c r="P41">
        <v>0</v>
      </c>
      <c r="Q41" s="42">
        <v>0</v>
      </c>
      <c r="R41" s="42">
        <v>0</v>
      </c>
      <c r="S41" s="42">
        <v>0</v>
      </c>
      <c r="T41" s="42">
        <v>0</v>
      </c>
      <c r="U41" s="42">
        <v>0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v>0</v>
      </c>
      <c r="AB41" s="42">
        <v>0</v>
      </c>
      <c r="AC41" s="42">
        <v>0</v>
      </c>
      <c r="AD41" s="42">
        <v>0</v>
      </c>
      <c r="AE41" s="42">
        <v>0</v>
      </c>
      <c r="AF41" s="42">
        <v>0</v>
      </c>
      <c r="AG41" s="42">
        <v>0</v>
      </c>
      <c r="AH41" s="42">
        <v>0</v>
      </c>
      <c r="AI41" s="42">
        <v>0</v>
      </c>
      <c r="AJ41" s="42">
        <v>0</v>
      </c>
      <c r="AK41" s="42">
        <v>0</v>
      </c>
      <c r="AL41" s="42">
        <v>0</v>
      </c>
      <c r="AM41" s="42">
        <v>0</v>
      </c>
      <c r="AN41" s="42">
        <v>0</v>
      </c>
      <c r="AO41" s="42">
        <v>0</v>
      </c>
      <c r="AP41" s="42">
        <v>0</v>
      </c>
      <c r="AQ41" s="42">
        <v>0</v>
      </c>
      <c r="AR41" s="42">
        <v>0</v>
      </c>
      <c r="AS41" s="42">
        <v>0</v>
      </c>
      <c r="AT41" s="42">
        <v>0</v>
      </c>
      <c r="AU41" s="42">
        <v>0</v>
      </c>
      <c r="AW41" s="42">
        <v>0</v>
      </c>
      <c r="AX41" s="42">
        <v>0</v>
      </c>
      <c r="AZ41" s="42">
        <v>0</v>
      </c>
      <c r="BA41" s="42">
        <v>0</v>
      </c>
      <c r="BB41" s="42">
        <v>0</v>
      </c>
      <c r="BC41" s="42">
        <v>0</v>
      </c>
      <c r="BD41" s="42">
        <v>0</v>
      </c>
      <c r="BE41" s="42">
        <v>0</v>
      </c>
      <c r="BF41" s="42">
        <v>0</v>
      </c>
      <c r="BG41" s="42">
        <v>0</v>
      </c>
      <c r="BH41" s="42">
        <v>0</v>
      </c>
      <c r="BI41" s="42">
        <v>0</v>
      </c>
      <c r="BJ41" s="42">
        <v>0</v>
      </c>
      <c r="BK41" s="42">
        <v>0</v>
      </c>
    </row>
    <row r="42" spans="1:63" x14ac:dyDescent="0.25">
      <c r="A42" t="s">
        <v>286</v>
      </c>
      <c r="B42" s="11">
        <v>45717</v>
      </c>
      <c r="C42" s="11" t="s">
        <v>5</v>
      </c>
      <c r="D42" t="s">
        <v>579</v>
      </c>
      <c r="G42" t="s">
        <v>283</v>
      </c>
      <c r="H42" t="s">
        <v>142</v>
      </c>
      <c r="I42" t="s">
        <v>81</v>
      </c>
      <c r="J42" s="10">
        <v>45376</v>
      </c>
      <c r="M42" t="s">
        <v>285</v>
      </c>
      <c r="N42" t="s">
        <v>541</v>
      </c>
      <c r="O42">
        <v>2006.73</v>
      </c>
      <c r="P42">
        <v>2006.73</v>
      </c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  <c r="AE42" s="42">
        <v>2006.73</v>
      </c>
      <c r="AF42" s="42">
        <v>67</v>
      </c>
      <c r="AG42" s="42">
        <v>0</v>
      </c>
      <c r="AH42" s="42">
        <v>230</v>
      </c>
      <c r="AI42" s="42">
        <v>0</v>
      </c>
      <c r="AJ42" s="42">
        <v>0</v>
      </c>
      <c r="AK42" s="42">
        <v>0</v>
      </c>
      <c r="AL42" s="42">
        <v>0</v>
      </c>
      <c r="AM42" s="42">
        <v>0</v>
      </c>
      <c r="AN42" s="42">
        <v>0</v>
      </c>
      <c r="AO42" s="42">
        <v>350.77</v>
      </c>
      <c r="AP42" s="42">
        <v>0</v>
      </c>
      <c r="AQ42" s="42">
        <v>549</v>
      </c>
      <c r="AR42" s="42">
        <v>0</v>
      </c>
      <c r="AS42" s="42">
        <v>0</v>
      </c>
      <c r="AT42" s="42">
        <v>0</v>
      </c>
      <c r="AU42" s="42">
        <v>0</v>
      </c>
      <c r="AW42" s="42">
        <v>1196.77</v>
      </c>
      <c r="AX42" s="42">
        <v>3203.5</v>
      </c>
      <c r="AZ42" s="42">
        <v>3203.5</v>
      </c>
      <c r="BA42" s="42">
        <v>167.22749999999999</v>
      </c>
      <c r="BB42" s="42">
        <v>167.22749999999999</v>
      </c>
      <c r="BC42" s="42">
        <v>55.7425</v>
      </c>
      <c r="BD42" s="42">
        <v>390.19749999999999</v>
      </c>
      <c r="BE42" s="42">
        <v>401.35</v>
      </c>
      <c r="BF42" s="42">
        <v>30.1</v>
      </c>
      <c r="BG42" s="42">
        <v>116.39</v>
      </c>
      <c r="BH42" s="42">
        <v>160.53</v>
      </c>
      <c r="BI42" s="42">
        <v>708.37</v>
      </c>
      <c r="BJ42" s="42">
        <v>3911.87</v>
      </c>
      <c r="BK42" s="42">
        <v>4302.0675000000001</v>
      </c>
    </row>
    <row r="43" spans="1:63" x14ac:dyDescent="0.25">
      <c r="A43" t="s">
        <v>145</v>
      </c>
      <c r="B43" s="11">
        <v>45717</v>
      </c>
      <c r="C43" s="11" t="s">
        <v>5</v>
      </c>
      <c r="D43" t="s">
        <v>579</v>
      </c>
      <c r="G43" t="s">
        <v>283</v>
      </c>
      <c r="H43" t="s">
        <v>142</v>
      </c>
      <c r="I43" t="s">
        <v>97</v>
      </c>
      <c r="J43" s="10">
        <v>45440</v>
      </c>
      <c r="M43" t="s">
        <v>535</v>
      </c>
      <c r="N43" t="s">
        <v>508</v>
      </c>
      <c r="O43">
        <v>2538.36</v>
      </c>
      <c r="P43">
        <v>2538.36</v>
      </c>
      <c r="Q43" s="42">
        <v>0</v>
      </c>
      <c r="R43" s="42">
        <v>507.67</v>
      </c>
      <c r="S43" s="42">
        <v>0</v>
      </c>
      <c r="T43" s="42">
        <v>0</v>
      </c>
      <c r="U43" s="42">
        <v>0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42">
        <v>0</v>
      </c>
      <c r="AB43" s="42">
        <v>0</v>
      </c>
      <c r="AC43" s="42">
        <v>0</v>
      </c>
      <c r="AD43" s="42">
        <v>0</v>
      </c>
      <c r="AE43" s="42">
        <v>3046.03</v>
      </c>
      <c r="AF43" s="42">
        <v>0</v>
      </c>
      <c r="AG43" s="42">
        <v>0</v>
      </c>
      <c r="AH43" s="42">
        <v>230</v>
      </c>
      <c r="AI43" s="42">
        <v>0</v>
      </c>
      <c r="AJ43" s="42">
        <v>71.69</v>
      </c>
      <c r="AK43" s="42">
        <v>0</v>
      </c>
      <c r="AL43" s="42">
        <v>0</v>
      </c>
      <c r="AM43" s="42">
        <v>0</v>
      </c>
      <c r="AN43" s="42">
        <v>0</v>
      </c>
      <c r="AO43" s="42">
        <v>600</v>
      </c>
      <c r="AP43" s="42">
        <v>0</v>
      </c>
      <c r="AQ43" s="42">
        <v>274.5</v>
      </c>
      <c r="AR43" s="42">
        <v>0</v>
      </c>
      <c r="AS43" s="42">
        <v>0</v>
      </c>
      <c r="AT43" s="42">
        <v>0</v>
      </c>
      <c r="AU43" s="42">
        <v>0</v>
      </c>
      <c r="AV43" s="42">
        <v>90.75</v>
      </c>
      <c r="AW43" s="42">
        <v>1266.94</v>
      </c>
      <c r="AX43" s="42">
        <v>4312.97</v>
      </c>
      <c r="AZ43" s="42">
        <v>4312.97</v>
      </c>
      <c r="BA43" s="42">
        <v>253.83583333333334</v>
      </c>
      <c r="BB43" s="42">
        <v>253.83583333333334</v>
      </c>
      <c r="BC43" s="42">
        <v>84.611944444444447</v>
      </c>
      <c r="BD43" s="42">
        <v>592.2836111111111</v>
      </c>
      <c r="BE43" s="42">
        <v>609.21</v>
      </c>
      <c r="BF43" s="42">
        <v>45.69</v>
      </c>
      <c r="BG43" s="42">
        <v>176.66</v>
      </c>
      <c r="BH43" s="42">
        <v>243.68</v>
      </c>
      <c r="BI43" s="42">
        <v>1075.24</v>
      </c>
      <c r="BJ43" s="42">
        <v>5388.21</v>
      </c>
      <c r="BK43" s="42">
        <v>5980.493611111111</v>
      </c>
    </row>
    <row r="44" spans="1:63" x14ac:dyDescent="0.25">
      <c r="A44" t="s">
        <v>287</v>
      </c>
      <c r="B44" s="11">
        <v>45717</v>
      </c>
      <c r="C44" s="11" t="s">
        <v>5</v>
      </c>
      <c r="D44" t="s">
        <v>579</v>
      </c>
      <c r="G44" t="s">
        <v>283</v>
      </c>
      <c r="H44" t="s">
        <v>142</v>
      </c>
      <c r="I44" t="s">
        <v>81</v>
      </c>
      <c r="J44" s="10">
        <v>45733</v>
      </c>
      <c r="M44" t="s">
        <v>147</v>
      </c>
      <c r="N44" t="s">
        <v>542</v>
      </c>
      <c r="O44">
        <v>1746.88</v>
      </c>
      <c r="P44">
        <v>873.44</v>
      </c>
      <c r="Q44" s="42">
        <v>0</v>
      </c>
      <c r="R44" s="42">
        <v>0</v>
      </c>
      <c r="S44" s="42">
        <v>0</v>
      </c>
      <c r="T44" s="42">
        <v>0</v>
      </c>
      <c r="U44" s="42">
        <v>0</v>
      </c>
      <c r="V44" s="42">
        <v>0</v>
      </c>
      <c r="W44" s="42">
        <v>0</v>
      </c>
      <c r="X44" s="42">
        <v>0</v>
      </c>
      <c r="Y44" s="42">
        <v>0</v>
      </c>
      <c r="Z44" s="42">
        <v>0</v>
      </c>
      <c r="AA44" s="42">
        <v>0</v>
      </c>
      <c r="AB44" s="42">
        <v>0</v>
      </c>
      <c r="AC44" s="42">
        <v>0</v>
      </c>
      <c r="AD44" s="42">
        <v>0</v>
      </c>
      <c r="AE44" s="42">
        <v>873.44</v>
      </c>
      <c r="AF44" s="42">
        <v>0</v>
      </c>
      <c r="AG44" s="42">
        <v>0</v>
      </c>
      <c r="AH44" s="42">
        <v>230</v>
      </c>
      <c r="AI44" s="42">
        <v>0</v>
      </c>
      <c r="AJ44" s="42">
        <v>0</v>
      </c>
      <c r="AK44" s="42">
        <v>0</v>
      </c>
      <c r="AL44" s="42">
        <v>0</v>
      </c>
      <c r="AM44" s="42">
        <v>0</v>
      </c>
      <c r="AN44" s="42">
        <v>0</v>
      </c>
      <c r="AO44" s="42">
        <v>350.77</v>
      </c>
      <c r="AP44" s="42">
        <v>0</v>
      </c>
      <c r="AQ44" s="42">
        <v>0</v>
      </c>
      <c r="AR44" s="42">
        <v>0</v>
      </c>
      <c r="AS44" s="42">
        <v>0</v>
      </c>
      <c r="AT44" s="42">
        <v>0</v>
      </c>
      <c r="AU44" s="42">
        <v>0</v>
      </c>
      <c r="AW44" s="42">
        <v>580.77</v>
      </c>
      <c r="AX44" s="42">
        <v>1454.21</v>
      </c>
      <c r="AZ44" s="42">
        <v>1454.21</v>
      </c>
      <c r="BA44" s="42">
        <v>72.786666666666676</v>
      </c>
      <c r="BB44" s="42">
        <v>72.786666666666676</v>
      </c>
      <c r="BC44" s="42">
        <v>24.262222222222224</v>
      </c>
      <c r="BD44" s="42">
        <v>169.83555555555557</v>
      </c>
      <c r="BE44" s="42">
        <v>174.69</v>
      </c>
      <c r="BF44" s="42">
        <v>13.1</v>
      </c>
      <c r="BG44" s="42">
        <v>50.65</v>
      </c>
      <c r="BH44" s="42">
        <v>69.87</v>
      </c>
      <c r="BI44" s="42">
        <v>308.31</v>
      </c>
      <c r="BJ44" s="42">
        <v>1762.52</v>
      </c>
      <c r="BK44" s="42">
        <v>1932.3555555555556</v>
      </c>
    </row>
    <row r="45" spans="1:63" x14ac:dyDescent="0.25">
      <c r="A45" t="s">
        <v>290</v>
      </c>
      <c r="B45" s="11">
        <v>45717</v>
      </c>
      <c r="C45" s="11" t="s">
        <v>5</v>
      </c>
      <c r="D45" t="s">
        <v>582</v>
      </c>
      <c r="G45" t="s">
        <v>292</v>
      </c>
      <c r="J45" s="10">
        <v>40672</v>
      </c>
      <c r="N45" t="s">
        <v>294</v>
      </c>
      <c r="O45">
        <v>1979.25</v>
      </c>
      <c r="P45">
        <v>0</v>
      </c>
      <c r="Q45" s="42">
        <v>0</v>
      </c>
      <c r="R45" s="42">
        <v>0</v>
      </c>
      <c r="S45" s="42">
        <v>0</v>
      </c>
      <c r="T45" s="42">
        <v>0</v>
      </c>
      <c r="U45" s="42">
        <v>0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42">
        <v>0</v>
      </c>
      <c r="AB45" s="42">
        <v>0</v>
      </c>
      <c r="AC45" s="42">
        <v>0</v>
      </c>
      <c r="AD45" s="42">
        <v>0</v>
      </c>
      <c r="AE45" s="42">
        <v>0</v>
      </c>
      <c r="AF45" s="42">
        <v>0</v>
      </c>
      <c r="AG45" s="42">
        <v>0</v>
      </c>
      <c r="AI45" s="42">
        <v>0</v>
      </c>
      <c r="AJ45" s="42">
        <v>0</v>
      </c>
      <c r="AK45" s="42">
        <v>0</v>
      </c>
      <c r="AL45" s="42">
        <v>0</v>
      </c>
      <c r="AM45" s="42">
        <v>0</v>
      </c>
      <c r="AN45" s="42">
        <v>0</v>
      </c>
      <c r="AO45" s="42">
        <v>0</v>
      </c>
      <c r="AP45" s="42">
        <v>0</v>
      </c>
      <c r="AQ45" s="42">
        <v>0</v>
      </c>
      <c r="AR45" s="42">
        <v>0</v>
      </c>
      <c r="AS45" s="42">
        <v>0</v>
      </c>
      <c r="AT45" s="42">
        <v>0</v>
      </c>
      <c r="AU45" s="42">
        <v>0</v>
      </c>
      <c r="AW45" s="42">
        <v>0</v>
      </c>
      <c r="AX45" s="42">
        <v>0</v>
      </c>
      <c r="AZ45" s="42">
        <v>0</v>
      </c>
      <c r="BA45" s="42">
        <v>0</v>
      </c>
      <c r="BB45" s="42">
        <v>0</v>
      </c>
      <c r="BC45" s="42">
        <v>0</v>
      </c>
      <c r="BD45" s="42">
        <v>0</v>
      </c>
      <c r="BE45" s="42">
        <v>0</v>
      </c>
      <c r="BF45" s="42">
        <v>0</v>
      </c>
      <c r="BG45" s="42">
        <v>0</v>
      </c>
      <c r="BH45" s="42">
        <v>0</v>
      </c>
      <c r="BI45" s="42">
        <v>0</v>
      </c>
      <c r="BJ45" s="42">
        <v>0</v>
      </c>
      <c r="BK45" s="42">
        <v>0</v>
      </c>
    </row>
    <row r="46" spans="1:63" x14ac:dyDescent="0.25">
      <c r="A46" t="s">
        <v>295</v>
      </c>
      <c r="B46" s="11">
        <v>45717</v>
      </c>
      <c r="C46" s="11" t="s">
        <v>5</v>
      </c>
      <c r="D46" t="s">
        <v>582</v>
      </c>
      <c r="G46" t="s">
        <v>292</v>
      </c>
      <c r="J46" s="10">
        <v>41074</v>
      </c>
      <c r="N46" t="s">
        <v>543</v>
      </c>
      <c r="O46">
        <v>2394.67</v>
      </c>
      <c r="P46">
        <v>0</v>
      </c>
      <c r="Q46" s="42">
        <v>0</v>
      </c>
      <c r="R46" s="42">
        <v>0</v>
      </c>
      <c r="S46" s="42">
        <v>0</v>
      </c>
      <c r="T46" s="42">
        <v>0</v>
      </c>
      <c r="U46" s="42">
        <v>0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  <c r="AE46" s="42">
        <v>0</v>
      </c>
      <c r="AF46" s="42">
        <v>0</v>
      </c>
      <c r="AG46" s="42">
        <v>0</v>
      </c>
      <c r="AI46" s="42">
        <v>0</v>
      </c>
      <c r="AJ46" s="42">
        <v>0</v>
      </c>
      <c r="AK46" s="42">
        <v>0</v>
      </c>
      <c r="AL46" s="42">
        <v>0</v>
      </c>
      <c r="AM46" s="42">
        <v>0</v>
      </c>
      <c r="AN46" s="42">
        <v>0</v>
      </c>
      <c r="AO46" s="42">
        <v>0</v>
      </c>
      <c r="AP46" s="42">
        <v>0</v>
      </c>
      <c r="AQ46" s="42">
        <v>0</v>
      </c>
      <c r="AR46" s="42">
        <v>0</v>
      </c>
      <c r="AS46" s="42">
        <v>0</v>
      </c>
      <c r="AT46" s="42">
        <v>0</v>
      </c>
      <c r="AU46" s="42">
        <v>0</v>
      </c>
      <c r="AW46" s="42">
        <v>0</v>
      </c>
      <c r="AX46" s="42">
        <v>0</v>
      </c>
      <c r="AZ46" s="42">
        <v>0</v>
      </c>
      <c r="BA46" s="42">
        <v>0</v>
      </c>
      <c r="BB46" s="42">
        <v>0</v>
      </c>
      <c r="BC46" s="42">
        <v>0</v>
      </c>
      <c r="BD46" s="42">
        <v>0</v>
      </c>
      <c r="BE46" s="42">
        <v>0</v>
      </c>
      <c r="BF46" s="42">
        <v>0</v>
      </c>
      <c r="BG46" s="42">
        <v>0</v>
      </c>
      <c r="BH46" s="42">
        <v>0</v>
      </c>
      <c r="BI46" s="42">
        <v>0</v>
      </c>
      <c r="BJ46" s="42">
        <v>0</v>
      </c>
      <c r="BK46" s="42">
        <v>0</v>
      </c>
    </row>
    <row r="47" spans="1:63" x14ac:dyDescent="0.25">
      <c r="A47" t="s">
        <v>106</v>
      </c>
      <c r="B47" s="11">
        <v>45717</v>
      </c>
      <c r="C47" s="11" t="s">
        <v>5</v>
      </c>
      <c r="D47" t="s">
        <v>582</v>
      </c>
      <c r="G47" t="s">
        <v>292</v>
      </c>
      <c r="H47" t="s">
        <v>444</v>
      </c>
      <c r="I47" t="s">
        <v>97</v>
      </c>
      <c r="J47" s="10">
        <v>42217</v>
      </c>
      <c r="M47" t="s">
        <v>211</v>
      </c>
      <c r="N47" t="s">
        <v>508</v>
      </c>
      <c r="O47">
        <v>2394.67</v>
      </c>
      <c r="P47">
        <v>2394.67</v>
      </c>
      <c r="Q47" s="42">
        <v>0</v>
      </c>
      <c r="R47" s="42">
        <v>478.93</v>
      </c>
      <c r="S47" s="42">
        <v>0</v>
      </c>
      <c r="T47" s="42">
        <v>0</v>
      </c>
      <c r="U47" s="42">
        <v>0</v>
      </c>
      <c r="V47" s="42">
        <v>0</v>
      </c>
      <c r="W47" s="42">
        <v>0</v>
      </c>
      <c r="X47" s="42">
        <v>1142.9100000000001</v>
      </c>
      <c r="Y47" s="42">
        <v>219.79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4236.3</v>
      </c>
      <c r="AF47" s="42">
        <v>200</v>
      </c>
      <c r="AG47" s="42">
        <v>190</v>
      </c>
      <c r="AI47" s="42">
        <v>0</v>
      </c>
      <c r="AJ47" s="42">
        <v>0</v>
      </c>
      <c r="AK47" s="42">
        <v>0</v>
      </c>
      <c r="AL47" s="42">
        <v>0</v>
      </c>
      <c r="AM47" s="42">
        <v>0</v>
      </c>
      <c r="AN47" s="42">
        <v>0</v>
      </c>
      <c r="AO47" s="42">
        <v>412.13</v>
      </c>
      <c r="AP47" s="42">
        <v>0</v>
      </c>
      <c r="AQ47" s="42">
        <v>1920</v>
      </c>
      <c r="AR47" s="42">
        <v>800</v>
      </c>
      <c r="AS47" s="42">
        <v>0</v>
      </c>
      <c r="AT47" s="42">
        <v>0</v>
      </c>
      <c r="AU47" s="42">
        <v>0</v>
      </c>
      <c r="AW47" s="42">
        <v>3522.13</v>
      </c>
      <c r="AX47" s="42">
        <v>7758.43</v>
      </c>
      <c r="AZ47" s="42">
        <v>7758.43</v>
      </c>
      <c r="BA47" s="42">
        <v>353.02500000000003</v>
      </c>
      <c r="BB47" s="42">
        <v>353.02500000000003</v>
      </c>
      <c r="BC47" s="42">
        <v>117.67500000000001</v>
      </c>
      <c r="BD47" s="42">
        <v>823.72500000000014</v>
      </c>
      <c r="BE47" s="42">
        <v>871.21</v>
      </c>
      <c r="BF47" s="42">
        <v>65.34</v>
      </c>
      <c r="BG47" s="42">
        <v>252.64</v>
      </c>
      <c r="BH47" s="42">
        <v>348.48</v>
      </c>
      <c r="BI47" s="42">
        <v>1537.67</v>
      </c>
      <c r="BJ47" s="42">
        <v>9296.1</v>
      </c>
      <c r="BK47" s="42">
        <v>10119.825000000001</v>
      </c>
    </row>
    <row r="48" spans="1:63" x14ac:dyDescent="0.25">
      <c r="A48" t="s">
        <v>213</v>
      </c>
      <c r="B48" s="11">
        <v>45717</v>
      </c>
      <c r="C48" s="11" t="s">
        <v>5</v>
      </c>
      <c r="D48" t="s">
        <v>582</v>
      </c>
      <c r="G48" t="s">
        <v>292</v>
      </c>
      <c r="H48" t="s">
        <v>203</v>
      </c>
      <c r="I48" t="s">
        <v>207</v>
      </c>
      <c r="J48" s="10">
        <v>43678</v>
      </c>
      <c r="M48" t="s">
        <v>208</v>
      </c>
      <c r="N48" t="s">
        <v>583</v>
      </c>
      <c r="O48">
        <v>2646</v>
      </c>
      <c r="P48">
        <v>2646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2646</v>
      </c>
      <c r="AF48" s="42">
        <v>200</v>
      </c>
      <c r="AG48" s="42">
        <v>190</v>
      </c>
      <c r="AI48" s="42">
        <v>0</v>
      </c>
      <c r="AJ48" s="42">
        <v>0</v>
      </c>
      <c r="AK48" s="42">
        <v>0</v>
      </c>
      <c r="AL48" s="42">
        <v>0</v>
      </c>
      <c r="AM48" s="42">
        <v>100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W48" s="42">
        <v>490</v>
      </c>
      <c r="AX48" s="42">
        <v>3136</v>
      </c>
      <c r="AZ48" s="42">
        <v>3136</v>
      </c>
      <c r="BA48" s="42">
        <v>220.5</v>
      </c>
      <c r="BB48" s="42">
        <v>220.5</v>
      </c>
      <c r="BC48" s="42">
        <v>73.5</v>
      </c>
      <c r="BD48" s="42">
        <v>514.5</v>
      </c>
      <c r="BE48" s="42">
        <v>529.20000000000005</v>
      </c>
      <c r="BF48" s="42">
        <v>39.69</v>
      </c>
      <c r="BG48" s="42">
        <v>153.46</v>
      </c>
      <c r="BH48" s="42">
        <v>211.68</v>
      </c>
      <c r="BI48" s="42">
        <v>934.0300000000002</v>
      </c>
      <c r="BJ48" s="42">
        <v>4070.03</v>
      </c>
      <c r="BK48" s="42">
        <v>4584.5300000000007</v>
      </c>
    </row>
    <row r="49" spans="1:63" x14ac:dyDescent="0.25">
      <c r="A49" t="s">
        <v>198</v>
      </c>
      <c r="B49" s="11">
        <v>45717</v>
      </c>
      <c r="C49" s="11" t="s">
        <v>5</v>
      </c>
      <c r="D49" t="s">
        <v>582</v>
      </c>
      <c r="G49" t="s">
        <v>292</v>
      </c>
      <c r="H49" t="s">
        <v>203</v>
      </c>
      <c r="I49" t="s">
        <v>202</v>
      </c>
      <c r="J49" s="10">
        <v>43692</v>
      </c>
      <c r="M49" t="s">
        <v>204</v>
      </c>
      <c r="N49" t="s">
        <v>527</v>
      </c>
      <c r="O49">
        <v>3435.55</v>
      </c>
      <c r="P49">
        <v>3435.55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3435.55</v>
      </c>
      <c r="AF49" s="42">
        <v>200</v>
      </c>
      <c r="AG49" s="42">
        <v>190</v>
      </c>
      <c r="AI49" s="42">
        <v>0</v>
      </c>
      <c r="AJ49" s="42">
        <v>0</v>
      </c>
      <c r="AK49" s="42">
        <v>0</v>
      </c>
      <c r="AL49" s="42">
        <v>0</v>
      </c>
      <c r="AM49" s="42">
        <v>0</v>
      </c>
      <c r="AN49" s="42">
        <v>0</v>
      </c>
      <c r="AO49" s="42">
        <v>0</v>
      </c>
      <c r="AP49" s="42">
        <v>0</v>
      </c>
      <c r="AQ49" s="42">
        <v>0</v>
      </c>
      <c r="AR49" s="42">
        <v>0</v>
      </c>
      <c r="AS49" s="42">
        <v>0</v>
      </c>
      <c r="AT49" s="42">
        <v>0</v>
      </c>
      <c r="AU49" s="42">
        <v>0</v>
      </c>
      <c r="AW49" s="42">
        <v>390</v>
      </c>
      <c r="AX49" s="42">
        <v>3825.55</v>
      </c>
      <c r="AY49" s="42">
        <v>815</v>
      </c>
      <c r="AZ49" s="42">
        <v>4640.55</v>
      </c>
      <c r="BA49" s="42">
        <v>286.29583333333335</v>
      </c>
      <c r="BB49" s="42">
        <v>286.29583333333335</v>
      </c>
      <c r="BC49" s="42">
        <v>95.431944444444454</v>
      </c>
      <c r="BD49" s="42">
        <v>668.02361111111111</v>
      </c>
      <c r="BE49" s="42">
        <v>687.11</v>
      </c>
      <c r="BF49" s="42">
        <v>51.53</v>
      </c>
      <c r="BG49" s="42">
        <v>199.26</v>
      </c>
      <c r="BH49" s="42">
        <v>274.83999999999997</v>
      </c>
      <c r="BI49" s="42">
        <v>1212.74</v>
      </c>
      <c r="BJ49" s="42">
        <v>5853.29</v>
      </c>
      <c r="BK49" s="42">
        <v>6521.3136111111107</v>
      </c>
    </row>
    <row r="50" spans="1:63" x14ac:dyDescent="0.25">
      <c r="A50" t="s">
        <v>118</v>
      </c>
      <c r="B50" s="11">
        <v>45717</v>
      </c>
      <c r="C50" s="11" t="s">
        <v>5</v>
      </c>
      <c r="D50" t="s">
        <v>582</v>
      </c>
      <c r="G50" t="s">
        <v>292</v>
      </c>
      <c r="H50" t="s">
        <v>566</v>
      </c>
      <c r="I50" t="s">
        <v>88</v>
      </c>
      <c r="J50" s="10">
        <v>43790</v>
      </c>
      <c r="M50" t="s">
        <v>119</v>
      </c>
      <c r="N50" t="s">
        <v>92</v>
      </c>
      <c r="O50">
        <v>2462.25</v>
      </c>
      <c r="P50">
        <v>2462.25</v>
      </c>
      <c r="Q50" s="42">
        <v>0</v>
      </c>
      <c r="R50" s="42">
        <v>492.45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1170.27</v>
      </c>
      <c r="Y50" s="42">
        <v>225.05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4350.0199999999995</v>
      </c>
      <c r="AF50" s="42">
        <v>200</v>
      </c>
      <c r="AG50" s="42">
        <v>190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0</v>
      </c>
      <c r="AO50" s="42">
        <v>412.13</v>
      </c>
      <c r="AP50" s="42">
        <v>0</v>
      </c>
      <c r="AQ50" s="42">
        <v>543.9</v>
      </c>
      <c r="AR50" s="42">
        <v>0</v>
      </c>
      <c r="AS50" s="42">
        <v>0</v>
      </c>
      <c r="AT50" s="42">
        <v>0</v>
      </c>
      <c r="AU50" s="42">
        <v>0</v>
      </c>
      <c r="AW50" s="42">
        <v>1346.03</v>
      </c>
      <c r="AX50" s="42">
        <v>5696.0499999999993</v>
      </c>
      <c r="AZ50" s="42">
        <v>5696.0499999999993</v>
      </c>
      <c r="BA50" s="42">
        <v>362.50166666666661</v>
      </c>
      <c r="BB50" s="42">
        <v>362.50166666666661</v>
      </c>
      <c r="BC50" s="42">
        <v>120.83388888888886</v>
      </c>
      <c r="BD50" s="42">
        <v>845.83722222222207</v>
      </c>
      <c r="BE50" s="42">
        <v>894.63</v>
      </c>
      <c r="BF50" s="42">
        <v>67.09</v>
      </c>
      <c r="BG50" s="42">
        <v>259.44</v>
      </c>
      <c r="BH50" s="42">
        <v>357.85</v>
      </c>
      <c r="BI50" s="42">
        <v>1579.0100000000002</v>
      </c>
      <c r="BJ50" s="42">
        <v>7275.0599999999995</v>
      </c>
      <c r="BK50" s="42">
        <v>8120.8972222222219</v>
      </c>
    </row>
    <row r="51" spans="1:63" x14ac:dyDescent="0.25">
      <c r="A51" t="s">
        <v>169</v>
      </c>
      <c r="B51" s="11">
        <v>45717</v>
      </c>
      <c r="C51" s="11" t="s">
        <v>5</v>
      </c>
      <c r="D51" t="s">
        <v>582</v>
      </c>
      <c r="G51" t="s">
        <v>292</v>
      </c>
      <c r="H51" t="s">
        <v>444</v>
      </c>
      <c r="I51" t="s">
        <v>521</v>
      </c>
      <c r="J51" s="10">
        <v>43858</v>
      </c>
      <c r="M51" t="s">
        <v>522</v>
      </c>
      <c r="N51" t="s">
        <v>508</v>
      </c>
      <c r="O51">
        <v>2394.67</v>
      </c>
      <c r="P51">
        <v>2394.67</v>
      </c>
      <c r="Q51" s="42">
        <v>0</v>
      </c>
      <c r="R51" s="42">
        <v>478.93</v>
      </c>
      <c r="S51" s="42">
        <v>0</v>
      </c>
      <c r="T51" s="42">
        <v>0</v>
      </c>
      <c r="U51" s="42">
        <v>0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  <c r="AE51" s="42">
        <v>2873.6</v>
      </c>
      <c r="AF51" s="42">
        <v>0</v>
      </c>
      <c r="AG51" s="42">
        <v>190</v>
      </c>
      <c r="AI51" s="42">
        <v>2205</v>
      </c>
      <c r="AJ51" s="42">
        <v>0</v>
      </c>
      <c r="AK51" s="42">
        <v>0</v>
      </c>
      <c r="AL51" s="42">
        <v>0</v>
      </c>
      <c r="AM51" s="42">
        <v>500</v>
      </c>
      <c r="AN51" s="42">
        <v>0</v>
      </c>
      <c r="AO51" s="42">
        <v>0</v>
      </c>
      <c r="AP51" s="42">
        <v>0</v>
      </c>
      <c r="AQ51" s="42">
        <v>2880</v>
      </c>
      <c r="AR51" s="42">
        <v>0</v>
      </c>
      <c r="AS51" s="42">
        <v>0</v>
      </c>
      <c r="AT51" s="42">
        <v>0</v>
      </c>
      <c r="AU51" s="42">
        <v>0</v>
      </c>
      <c r="AW51" s="42">
        <v>5775</v>
      </c>
      <c r="AX51" s="42">
        <v>8648.6</v>
      </c>
      <c r="AZ51" s="42">
        <v>8648.6</v>
      </c>
      <c r="BA51" s="42">
        <v>239.46666666666667</v>
      </c>
      <c r="BB51" s="42">
        <v>239.46666666666667</v>
      </c>
      <c r="BC51" s="42">
        <v>79.822222222222223</v>
      </c>
      <c r="BD51" s="42">
        <v>558.75555555555559</v>
      </c>
      <c r="BE51" s="42">
        <v>598.66999999999996</v>
      </c>
      <c r="BF51" s="42">
        <v>44.89</v>
      </c>
      <c r="BG51" s="42">
        <v>173.61</v>
      </c>
      <c r="BH51" s="42">
        <v>239.46</v>
      </c>
      <c r="BI51" s="42">
        <v>1056.6299999999999</v>
      </c>
      <c r="BJ51" s="42">
        <v>9705.23</v>
      </c>
      <c r="BK51" s="42">
        <v>10263.985555555555</v>
      </c>
    </row>
    <row r="52" spans="1:63" x14ac:dyDescent="0.25">
      <c r="A52" t="s">
        <v>296</v>
      </c>
      <c r="B52" s="11">
        <v>45717</v>
      </c>
      <c r="C52" s="11" t="s">
        <v>5</v>
      </c>
      <c r="D52" t="s">
        <v>582</v>
      </c>
      <c r="G52" t="s">
        <v>292</v>
      </c>
      <c r="H52" t="s">
        <v>566</v>
      </c>
      <c r="I52" t="s">
        <v>88</v>
      </c>
      <c r="J52" s="10">
        <v>44166</v>
      </c>
      <c r="M52" t="s">
        <v>101</v>
      </c>
      <c r="N52" t="s">
        <v>563</v>
      </c>
      <c r="O52">
        <v>2576.75</v>
      </c>
      <c r="P52">
        <v>2576.75</v>
      </c>
      <c r="Q52" s="42">
        <v>0</v>
      </c>
      <c r="R52" s="42">
        <v>0</v>
      </c>
      <c r="S52" s="42">
        <v>0</v>
      </c>
      <c r="T52" s="42">
        <v>773.03</v>
      </c>
      <c r="U52" s="42">
        <v>0</v>
      </c>
      <c r="V52" s="42">
        <v>0</v>
      </c>
      <c r="W52" s="42">
        <v>0</v>
      </c>
      <c r="X52" s="42">
        <v>1152.32</v>
      </c>
      <c r="Y52" s="42">
        <v>221.6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4723.7</v>
      </c>
      <c r="AF52" s="42">
        <v>200</v>
      </c>
      <c r="AG52" s="42">
        <v>190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412.13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W52" s="42">
        <v>802.13</v>
      </c>
      <c r="AX52" s="42">
        <v>5525.83</v>
      </c>
      <c r="AY52" s="42">
        <v>711</v>
      </c>
      <c r="AZ52" s="42">
        <v>6236.83</v>
      </c>
      <c r="BA52" s="42">
        <v>393.64166666666665</v>
      </c>
      <c r="BB52" s="42">
        <v>393.64166666666665</v>
      </c>
      <c r="BC52" s="42">
        <v>131.21388888888887</v>
      </c>
      <c r="BD52" s="42">
        <v>918.49722222222215</v>
      </c>
      <c r="BE52" s="42">
        <v>944.74</v>
      </c>
      <c r="BF52" s="42">
        <v>70.849999999999994</v>
      </c>
      <c r="BG52" s="42">
        <v>273.97000000000003</v>
      </c>
      <c r="BH52" s="42">
        <v>377.89</v>
      </c>
      <c r="BI52" s="42">
        <v>1667.4499999999998</v>
      </c>
      <c r="BJ52" s="42">
        <v>7904.28</v>
      </c>
      <c r="BK52" s="42">
        <v>8822.7772222222211</v>
      </c>
    </row>
    <row r="53" spans="1:63" x14ac:dyDescent="0.25">
      <c r="A53" t="s">
        <v>108</v>
      </c>
      <c r="B53" s="11">
        <v>45717</v>
      </c>
      <c r="C53" s="11" t="s">
        <v>5</v>
      </c>
      <c r="D53" t="s">
        <v>582</v>
      </c>
      <c r="G53" t="s">
        <v>292</v>
      </c>
      <c r="H53" t="s">
        <v>444</v>
      </c>
      <c r="I53" t="s">
        <v>81</v>
      </c>
      <c r="J53" s="10">
        <v>44274</v>
      </c>
      <c r="M53" t="s">
        <v>211</v>
      </c>
      <c r="N53" t="s">
        <v>510</v>
      </c>
      <c r="O53">
        <v>2399.6999999999998</v>
      </c>
      <c r="P53">
        <v>2399.6999999999998</v>
      </c>
      <c r="Q53" s="42">
        <v>0</v>
      </c>
      <c r="R53" s="42">
        <v>0</v>
      </c>
      <c r="S53" s="42">
        <v>0</v>
      </c>
      <c r="T53" s="42">
        <v>0</v>
      </c>
      <c r="U53" s="42">
        <v>0</v>
      </c>
      <c r="V53" s="42">
        <v>0</v>
      </c>
      <c r="W53" s="42">
        <v>0</v>
      </c>
      <c r="X53" s="42">
        <v>449.69</v>
      </c>
      <c r="Y53" s="42">
        <v>86.48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  <c r="AE53" s="42">
        <v>2935.87</v>
      </c>
      <c r="AF53" s="42">
        <v>0</v>
      </c>
      <c r="AG53" s="42">
        <v>190</v>
      </c>
      <c r="AI53" s="42">
        <v>1200</v>
      </c>
      <c r="AJ53" s="42">
        <v>0</v>
      </c>
      <c r="AK53" s="42">
        <v>0</v>
      </c>
      <c r="AL53" s="42">
        <v>0</v>
      </c>
      <c r="AM53" s="42">
        <v>400</v>
      </c>
      <c r="AN53" s="42">
        <v>0</v>
      </c>
      <c r="AO53" s="42">
        <v>0</v>
      </c>
      <c r="AP53" s="42">
        <v>0</v>
      </c>
      <c r="AQ53" s="42">
        <v>0</v>
      </c>
      <c r="AR53" s="42">
        <v>0</v>
      </c>
      <c r="AS53" s="42">
        <v>0</v>
      </c>
      <c r="AT53" s="42">
        <v>0</v>
      </c>
      <c r="AU53" s="42">
        <v>0</v>
      </c>
      <c r="AW53" s="42">
        <v>1790</v>
      </c>
      <c r="AX53" s="42">
        <v>4725.87</v>
      </c>
      <c r="AZ53" s="42">
        <v>4725.87</v>
      </c>
      <c r="BA53" s="42">
        <v>244.65583333333333</v>
      </c>
      <c r="BB53" s="42">
        <v>244.65583333333333</v>
      </c>
      <c r="BC53" s="42">
        <v>81.551944444444445</v>
      </c>
      <c r="BD53" s="42">
        <v>570.86361111111114</v>
      </c>
      <c r="BE53" s="42">
        <v>587.16999999999996</v>
      </c>
      <c r="BF53" s="42">
        <v>44.03</v>
      </c>
      <c r="BG53" s="42">
        <v>170.28</v>
      </c>
      <c r="BH53" s="42">
        <v>234.86</v>
      </c>
      <c r="BI53" s="42">
        <v>1036.3399999999999</v>
      </c>
      <c r="BJ53" s="42">
        <v>5762.21</v>
      </c>
      <c r="BK53" s="42">
        <v>6333.0736111111109</v>
      </c>
    </row>
    <row r="54" spans="1:63" x14ac:dyDescent="0.25">
      <c r="A54" t="s">
        <v>555</v>
      </c>
      <c r="B54" s="11">
        <v>45717</v>
      </c>
      <c r="C54" s="11" t="s">
        <v>5</v>
      </c>
      <c r="D54" t="s">
        <v>582</v>
      </c>
      <c r="G54" t="s">
        <v>292</v>
      </c>
      <c r="H54" t="s">
        <v>203</v>
      </c>
      <c r="I54" t="s">
        <v>207</v>
      </c>
      <c r="J54" s="10">
        <v>44980</v>
      </c>
      <c r="M54" t="s">
        <v>208</v>
      </c>
      <c r="N54" t="s">
        <v>584</v>
      </c>
      <c r="O54">
        <v>2377.38</v>
      </c>
      <c r="P54">
        <v>2377.38</v>
      </c>
      <c r="Q54" s="42">
        <v>0</v>
      </c>
      <c r="R54" s="42">
        <v>0</v>
      </c>
      <c r="S54" s="42">
        <v>0</v>
      </c>
      <c r="T54" s="42">
        <v>0</v>
      </c>
      <c r="U54" s="42">
        <v>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  <c r="AE54" s="42">
        <v>2377.38</v>
      </c>
      <c r="AF54" s="42">
        <v>200</v>
      </c>
      <c r="AG54" s="42">
        <v>190</v>
      </c>
      <c r="AI54" s="42">
        <v>0</v>
      </c>
      <c r="AJ54" s="42">
        <v>0</v>
      </c>
      <c r="AK54" s="42">
        <v>0</v>
      </c>
      <c r="AL54" s="42">
        <v>0</v>
      </c>
      <c r="AM54" s="42">
        <v>0</v>
      </c>
      <c r="AN54" s="42">
        <v>0</v>
      </c>
      <c r="AO54" s="42">
        <v>0</v>
      </c>
      <c r="AP54" s="42">
        <v>0</v>
      </c>
      <c r="AQ54" s="42">
        <v>0</v>
      </c>
      <c r="AR54" s="42">
        <v>0</v>
      </c>
      <c r="AS54" s="42">
        <v>0</v>
      </c>
      <c r="AT54" s="42">
        <v>0</v>
      </c>
      <c r="AU54" s="42">
        <v>0</v>
      </c>
      <c r="AW54" s="42">
        <v>390</v>
      </c>
      <c r="AX54" s="42">
        <v>2767.38</v>
      </c>
      <c r="AZ54" s="42">
        <v>2767.38</v>
      </c>
      <c r="BA54" s="42">
        <v>198.11500000000001</v>
      </c>
      <c r="BB54" s="42">
        <v>198.11500000000001</v>
      </c>
      <c r="BC54" s="42">
        <v>66.038333333333341</v>
      </c>
      <c r="BD54" s="42">
        <v>462.26833333333337</v>
      </c>
      <c r="BE54" s="42">
        <v>475.48</v>
      </c>
      <c r="BF54" s="42">
        <v>35.659999999999997</v>
      </c>
      <c r="BG54" s="42">
        <v>137.88</v>
      </c>
      <c r="BH54" s="42">
        <v>190.19</v>
      </c>
      <c r="BI54" s="42">
        <v>839.21</v>
      </c>
      <c r="BJ54" s="42">
        <v>3606.59</v>
      </c>
      <c r="BK54" s="42">
        <v>4068.8583333333336</v>
      </c>
    </row>
    <row r="55" spans="1:63" x14ac:dyDescent="0.25">
      <c r="A55" t="s">
        <v>298</v>
      </c>
      <c r="B55" s="11">
        <v>45717</v>
      </c>
      <c r="C55" s="11" t="s">
        <v>5</v>
      </c>
      <c r="D55" t="s">
        <v>582</v>
      </c>
      <c r="G55" t="s">
        <v>292</v>
      </c>
      <c r="J55" s="10">
        <v>45600</v>
      </c>
      <c r="N55" t="s">
        <v>299</v>
      </c>
      <c r="O55">
        <v>1745.1</v>
      </c>
      <c r="P55">
        <v>1745.1</v>
      </c>
      <c r="Q55" s="42">
        <v>0</v>
      </c>
      <c r="R55" s="42">
        <v>0</v>
      </c>
      <c r="S55" s="42">
        <v>0</v>
      </c>
      <c r="T55" s="42">
        <v>0</v>
      </c>
      <c r="U55" s="42">
        <v>0</v>
      </c>
      <c r="V55" s="42">
        <v>0</v>
      </c>
      <c r="W55" s="42">
        <v>0</v>
      </c>
      <c r="X55" s="42">
        <v>0</v>
      </c>
      <c r="Y55" s="42">
        <v>0</v>
      </c>
      <c r="Z55" s="42">
        <v>0</v>
      </c>
      <c r="AA55" s="42">
        <v>0</v>
      </c>
      <c r="AB55" s="42">
        <v>0</v>
      </c>
      <c r="AC55" s="42">
        <v>0</v>
      </c>
      <c r="AD55" s="42">
        <v>0</v>
      </c>
      <c r="AE55" s="42">
        <v>1745.1</v>
      </c>
      <c r="AF55" s="42">
        <v>200</v>
      </c>
      <c r="AG55" s="42">
        <v>190</v>
      </c>
      <c r="AI55" s="42">
        <v>0</v>
      </c>
      <c r="AJ55" s="42">
        <v>0</v>
      </c>
      <c r="AK55" s="42">
        <v>0</v>
      </c>
      <c r="AL55" s="42">
        <v>0</v>
      </c>
      <c r="AM55" s="42">
        <v>0</v>
      </c>
      <c r="AN55" s="42">
        <v>0</v>
      </c>
      <c r="AO55" s="42">
        <v>0</v>
      </c>
      <c r="AP55" s="42">
        <v>0</v>
      </c>
      <c r="AQ55" s="42">
        <v>0</v>
      </c>
      <c r="AR55" s="42">
        <v>0</v>
      </c>
      <c r="AS55" s="42">
        <v>0</v>
      </c>
      <c r="AT55" s="42">
        <v>0</v>
      </c>
      <c r="AU55" s="42">
        <v>0</v>
      </c>
      <c r="AW55" s="42">
        <v>390</v>
      </c>
      <c r="AX55" s="42">
        <v>2135.1</v>
      </c>
      <c r="AZ55" s="42">
        <v>2135.1</v>
      </c>
      <c r="BA55" s="42">
        <v>145.42499999999998</v>
      </c>
      <c r="BB55" s="42">
        <v>145.42499999999998</v>
      </c>
      <c r="BC55" s="42">
        <v>48.474999999999994</v>
      </c>
      <c r="BD55" s="42">
        <v>339.32499999999993</v>
      </c>
      <c r="BE55" s="42">
        <v>349.02</v>
      </c>
      <c r="BF55" s="42">
        <v>26.17</v>
      </c>
      <c r="BG55" s="42">
        <v>101.21</v>
      </c>
      <c r="BH55" s="42">
        <v>139.6</v>
      </c>
      <c r="BI55" s="42">
        <v>616</v>
      </c>
      <c r="BJ55" s="42">
        <v>2751.1</v>
      </c>
      <c r="BK55" s="42">
        <v>3090.4249999999997</v>
      </c>
    </row>
    <row r="56" spans="1:63" x14ac:dyDescent="0.25">
      <c r="A56" t="s">
        <v>300</v>
      </c>
      <c r="B56" s="11">
        <v>45717</v>
      </c>
      <c r="C56" s="11" t="s">
        <v>5</v>
      </c>
      <c r="D56" t="s">
        <v>582</v>
      </c>
      <c r="G56" t="s">
        <v>292</v>
      </c>
      <c r="H56" t="s">
        <v>566</v>
      </c>
      <c r="I56" t="s">
        <v>88</v>
      </c>
      <c r="J56" s="10">
        <v>40118</v>
      </c>
      <c r="M56" t="s">
        <v>101</v>
      </c>
      <c r="N56" t="s">
        <v>504</v>
      </c>
      <c r="O56">
        <v>2265.4499999999998</v>
      </c>
      <c r="P56">
        <v>2265.4499999999998</v>
      </c>
      <c r="Q56" s="42">
        <v>0</v>
      </c>
      <c r="R56" s="42">
        <v>0</v>
      </c>
      <c r="S56" s="42">
        <v>0</v>
      </c>
      <c r="T56" s="42">
        <v>0</v>
      </c>
      <c r="U56" s="42">
        <v>200</v>
      </c>
      <c r="V56" s="42">
        <v>0</v>
      </c>
      <c r="W56" s="42">
        <v>0</v>
      </c>
      <c r="X56" s="42">
        <v>0</v>
      </c>
      <c r="Y56" s="42">
        <v>0</v>
      </c>
      <c r="Z56" s="42">
        <v>0</v>
      </c>
      <c r="AA56" s="42">
        <v>0</v>
      </c>
      <c r="AB56" s="42">
        <v>0</v>
      </c>
      <c r="AC56" s="42">
        <v>0</v>
      </c>
      <c r="AD56" s="42">
        <v>0</v>
      </c>
      <c r="AE56" s="42">
        <v>2465.4499999999998</v>
      </c>
      <c r="AF56" s="42">
        <v>600</v>
      </c>
      <c r="AG56" s="42">
        <v>190</v>
      </c>
      <c r="AI56" s="42">
        <v>0</v>
      </c>
      <c r="AJ56" s="42">
        <v>0</v>
      </c>
      <c r="AK56" s="42">
        <v>0</v>
      </c>
      <c r="AL56" s="42">
        <v>0</v>
      </c>
      <c r="AM56" s="42">
        <v>0</v>
      </c>
      <c r="AN56" s="42">
        <v>0</v>
      </c>
      <c r="AO56" s="42">
        <v>412.13</v>
      </c>
      <c r="AP56" s="42">
        <v>0</v>
      </c>
      <c r="AQ56" s="42">
        <v>0</v>
      </c>
      <c r="AR56" s="42">
        <v>0</v>
      </c>
      <c r="AS56" s="42">
        <v>0</v>
      </c>
      <c r="AT56" s="42">
        <v>0</v>
      </c>
      <c r="AU56" s="42">
        <v>0</v>
      </c>
      <c r="AW56" s="42">
        <v>1202.1300000000001</v>
      </c>
      <c r="AX56" s="42">
        <v>3667.58</v>
      </c>
      <c r="AY56" s="42">
        <v>1264.67</v>
      </c>
      <c r="AZ56" s="42">
        <v>4932.25</v>
      </c>
      <c r="BA56" s="42">
        <v>205.45416666666665</v>
      </c>
      <c r="BB56" s="42">
        <v>205.45416666666665</v>
      </c>
      <c r="BC56" s="42">
        <v>68.484722222222217</v>
      </c>
      <c r="BD56" s="42">
        <v>479.39305555555552</v>
      </c>
      <c r="BE56" s="42">
        <v>493.09</v>
      </c>
      <c r="BF56" s="42">
        <v>36.979999999999997</v>
      </c>
      <c r="BG56" s="42">
        <v>142.99</v>
      </c>
      <c r="BH56" s="42">
        <v>197.23</v>
      </c>
      <c r="BI56" s="42">
        <v>870.29</v>
      </c>
      <c r="BJ56" s="42">
        <v>5802.54</v>
      </c>
      <c r="BK56" s="42">
        <v>6281.9330555555553</v>
      </c>
    </row>
    <row r="57" spans="1:63" x14ac:dyDescent="0.25">
      <c r="A57" t="s">
        <v>301</v>
      </c>
      <c r="B57" s="11">
        <v>45717</v>
      </c>
      <c r="C57" s="11" t="s">
        <v>5</v>
      </c>
      <c r="D57" t="s">
        <v>582</v>
      </c>
      <c r="G57" t="s">
        <v>292</v>
      </c>
      <c r="H57" t="s">
        <v>566</v>
      </c>
      <c r="I57" t="s">
        <v>88</v>
      </c>
      <c r="J57" s="10">
        <v>44228</v>
      </c>
      <c r="M57" t="s">
        <v>101</v>
      </c>
      <c r="N57" t="s">
        <v>302</v>
      </c>
      <c r="O57">
        <v>2730</v>
      </c>
      <c r="P57">
        <v>2730</v>
      </c>
      <c r="Q57" s="42">
        <v>0</v>
      </c>
      <c r="R57" s="42">
        <v>0</v>
      </c>
      <c r="S57" s="42">
        <v>303.60000000000002</v>
      </c>
      <c r="T57" s="42">
        <v>0</v>
      </c>
      <c r="U57" s="42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  <c r="AE57" s="42">
        <v>3033.6</v>
      </c>
      <c r="AF57" s="42">
        <v>200</v>
      </c>
      <c r="AG57" s="42">
        <v>190</v>
      </c>
      <c r="AI57" s="42">
        <v>0</v>
      </c>
      <c r="AJ57" s="42">
        <v>0</v>
      </c>
      <c r="AK57" s="42">
        <v>0</v>
      </c>
      <c r="AL57" s="42">
        <v>0</v>
      </c>
      <c r="AM57" s="42">
        <v>515</v>
      </c>
      <c r="AN57" s="42">
        <v>0</v>
      </c>
      <c r="AO57" s="42">
        <v>256.42</v>
      </c>
      <c r="AP57" s="42">
        <v>0</v>
      </c>
      <c r="AQ57" s="42">
        <v>2072.1</v>
      </c>
      <c r="AR57" s="42">
        <v>0</v>
      </c>
      <c r="AS57" s="42">
        <v>0</v>
      </c>
      <c r="AT57" s="42">
        <v>0</v>
      </c>
      <c r="AU57" s="42">
        <v>0</v>
      </c>
      <c r="AW57" s="42">
        <v>3233.52</v>
      </c>
      <c r="AX57" s="42">
        <v>6267.12</v>
      </c>
      <c r="AZ57" s="42">
        <v>6267.12</v>
      </c>
      <c r="BA57" s="42">
        <v>252.79999999999998</v>
      </c>
      <c r="BB57" s="42">
        <v>252.79999999999998</v>
      </c>
      <c r="BC57" s="42">
        <v>84.266666666666666</v>
      </c>
      <c r="BD57" s="42">
        <v>589.86666666666667</v>
      </c>
      <c r="BE57" s="42">
        <v>606.72</v>
      </c>
      <c r="BF57" s="42">
        <v>45.5</v>
      </c>
      <c r="BG57" s="42">
        <v>175.94</v>
      </c>
      <c r="BH57" s="42">
        <v>242.68</v>
      </c>
      <c r="BI57" s="42">
        <v>1070.8400000000001</v>
      </c>
      <c r="BJ57" s="42">
        <v>7337.96</v>
      </c>
      <c r="BK57" s="42">
        <v>7927.8266666666668</v>
      </c>
    </row>
    <row r="58" spans="1:63" x14ac:dyDescent="0.25">
      <c r="A58" t="s">
        <v>215</v>
      </c>
      <c r="B58" s="11">
        <v>45717</v>
      </c>
      <c r="C58" s="11" t="s">
        <v>5</v>
      </c>
      <c r="D58" t="s">
        <v>582</v>
      </c>
      <c r="G58" t="s">
        <v>292</v>
      </c>
      <c r="H58" t="s">
        <v>444</v>
      </c>
      <c r="I58" t="s">
        <v>195</v>
      </c>
      <c r="J58" s="10">
        <v>44397</v>
      </c>
      <c r="M58" t="s">
        <v>211</v>
      </c>
      <c r="N58" t="s">
        <v>216</v>
      </c>
      <c r="O58">
        <v>3360</v>
      </c>
      <c r="P58">
        <v>3360</v>
      </c>
      <c r="Q58" s="42">
        <v>0</v>
      </c>
      <c r="R58" s="42">
        <v>0</v>
      </c>
      <c r="S58" s="42">
        <v>0</v>
      </c>
      <c r="T58" s="42">
        <v>0</v>
      </c>
      <c r="U58" s="42">
        <v>0</v>
      </c>
      <c r="V58" s="42">
        <v>0</v>
      </c>
      <c r="W58" s="42">
        <v>0</v>
      </c>
      <c r="X58" s="42">
        <v>0</v>
      </c>
      <c r="Y58" s="42">
        <v>0</v>
      </c>
      <c r="Z58" s="42">
        <v>0</v>
      </c>
      <c r="AA58" s="42">
        <v>0</v>
      </c>
      <c r="AB58" s="42">
        <v>0</v>
      </c>
      <c r="AC58" s="42">
        <v>0</v>
      </c>
      <c r="AD58" s="42">
        <v>0</v>
      </c>
      <c r="AE58" s="42">
        <v>3360</v>
      </c>
      <c r="AF58" s="42">
        <v>200</v>
      </c>
      <c r="AG58" s="42">
        <v>190</v>
      </c>
      <c r="AI58" s="42">
        <v>0</v>
      </c>
      <c r="AJ58" s="42">
        <v>0</v>
      </c>
      <c r="AK58" s="42">
        <v>0</v>
      </c>
      <c r="AL58" s="42">
        <v>0</v>
      </c>
      <c r="AM58" s="42">
        <v>0</v>
      </c>
      <c r="AN58" s="42">
        <v>0</v>
      </c>
      <c r="AO58" s="42">
        <v>0</v>
      </c>
      <c r="AP58" s="42">
        <v>494.76</v>
      </c>
      <c r="AQ58" s="42">
        <v>0</v>
      </c>
      <c r="AR58" s="42">
        <v>0</v>
      </c>
      <c r="AS58" s="42">
        <v>0</v>
      </c>
      <c r="AT58" s="42">
        <v>0</v>
      </c>
      <c r="AU58" s="42">
        <v>0</v>
      </c>
      <c r="AW58" s="42">
        <v>884.76</v>
      </c>
      <c r="AX58" s="42">
        <v>4244.76</v>
      </c>
      <c r="AZ58" s="42">
        <v>4244.76</v>
      </c>
      <c r="BA58" s="42">
        <v>280</v>
      </c>
      <c r="BB58" s="42">
        <v>280</v>
      </c>
      <c r="BC58" s="42">
        <v>93.333333333333329</v>
      </c>
      <c r="BD58" s="42">
        <v>653.33333333333337</v>
      </c>
      <c r="BE58" s="42">
        <v>672</v>
      </c>
      <c r="BF58" s="42">
        <v>50.4</v>
      </c>
      <c r="BG58" s="42">
        <v>194.88</v>
      </c>
      <c r="BH58" s="42">
        <v>268.8</v>
      </c>
      <c r="BI58" s="42">
        <v>1186.08</v>
      </c>
      <c r="BJ58" s="42">
        <v>5430.84</v>
      </c>
      <c r="BK58" s="42">
        <v>6084.1733333333332</v>
      </c>
    </row>
    <row r="59" spans="1:63" x14ac:dyDescent="0.25">
      <c r="A59" t="s">
        <v>221</v>
      </c>
      <c r="B59" s="11">
        <v>45717</v>
      </c>
      <c r="C59" s="11" t="s">
        <v>5</v>
      </c>
      <c r="D59" t="s">
        <v>582</v>
      </c>
      <c r="G59" t="s">
        <v>292</v>
      </c>
      <c r="H59" t="s">
        <v>203</v>
      </c>
      <c r="I59" t="s">
        <v>222</v>
      </c>
      <c r="J59" s="10">
        <v>44271</v>
      </c>
      <c r="M59" t="s">
        <v>204</v>
      </c>
      <c r="N59" t="s">
        <v>584</v>
      </c>
      <c r="O59">
        <v>2999.63</v>
      </c>
      <c r="P59">
        <v>2999.63</v>
      </c>
      <c r="Q59" s="42">
        <v>0</v>
      </c>
      <c r="R59" s="42">
        <v>0</v>
      </c>
      <c r="S59" s="42">
        <v>0</v>
      </c>
      <c r="T59" s="42">
        <v>0</v>
      </c>
      <c r="U59" s="42">
        <v>0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42">
        <v>0</v>
      </c>
      <c r="AB59" s="42">
        <v>0</v>
      </c>
      <c r="AC59" s="42">
        <v>0</v>
      </c>
      <c r="AD59" s="42">
        <v>0</v>
      </c>
      <c r="AE59" s="42">
        <v>2999.63</v>
      </c>
      <c r="AF59" s="42">
        <v>200</v>
      </c>
      <c r="AG59" s="42">
        <v>190</v>
      </c>
      <c r="AI59" s="42">
        <v>0</v>
      </c>
      <c r="AJ59" s="42">
        <v>0</v>
      </c>
      <c r="AK59" s="42">
        <v>0</v>
      </c>
      <c r="AL59" s="42">
        <v>0</v>
      </c>
      <c r="AM59" s="42">
        <v>0</v>
      </c>
      <c r="AN59" s="42">
        <v>0</v>
      </c>
      <c r="AO59" s="42">
        <v>0</v>
      </c>
      <c r="AP59" s="42">
        <v>0</v>
      </c>
      <c r="AQ59" s="42">
        <v>0</v>
      </c>
      <c r="AR59" s="42">
        <v>0</v>
      </c>
      <c r="AS59" s="42">
        <v>0</v>
      </c>
      <c r="AT59" s="42">
        <v>0</v>
      </c>
      <c r="AU59" s="42">
        <v>0</v>
      </c>
      <c r="AW59" s="42">
        <v>390</v>
      </c>
      <c r="AX59" s="42">
        <v>3389.63</v>
      </c>
      <c r="AZ59" s="42">
        <v>3389.63</v>
      </c>
      <c r="BA59" s="42">
        <v>249.96916666666667</v>
      </c>
      <c r="BB59" s="42">
        <v>249.96916666666667</v>
      </c>
      <c r="BC59" s="42">
        <v>83.323055555555555</v>
      </c>
      <c r="BD59" s="42">
        <v>583.26138888888886</v>
      </c>
      <c r="BE59" s="42">
        <v>599.92999999999995</v>
      </c>
      <c r="BF59" s="42">
        <v>44.99</v>
      </c>
      <c r="BG59" s="42">
        <v>173.97</v>
      </c>
      <c r="BH59" s="42">
        <v>239.97</v>
      </c>
      <c r="BI59" s="42">
        <v>1058.8599999999999</v>
      </c>
      <c r="BJ59" s="42">
        <v>4448.49</v>
      </c>
      <c r="BK59" s="42">
        <v>5031.7513888888889</v>
      </c>
    </row>
    <row r="60" spans="1:63" x14ac:dyDescent="0.25">
      <c r="A60" t="s">
        <v>545</v>
      </c>
      <c r="B60" s="11">
        <v>45717</v>
      </c>
      <c r="C60" s="11" t="s">
        <v>5</v>
      </c>
      <c r="D60" t="s">
        <v>582</v>
      </c>
      <c r="G60" t="s">
        <v>292</v>
      </c>
      <c r="H60" t="s">
        <v>203</v>
      </c>
      <c r="I60" t="s">
        <v>233</v>
      </c>
      <c r="J60" s="10">
        <v>42912</v>
      </c>
      <c r="M60" t="s">
        <v>234</v>
      </c>
      <c r="N60" t="s">
        <v>546</v>
      </c>
      <c r="O60">
        <v>2561.69</v>
      </c>
      <c r="P60">
        <v>2561.69</v>
      </c>
      <c r="Q60" s="42">
        <v>0</v>
      </c>
      <c r="R60" s="42">
        <v>0</v>
      </c>
      <c r="S60" s="42">
        <v>0</v>
      </c>
      <c r="T60" s="42">
        <v>0</v>
      </c>
      <c r="U60" s="42">
        <v>0</v>
      </c>
      <c r="V60" s="42">
        <v>0</v>
      </c>
      <c r="W60" s="42">
        <v>0</v>
      </c>
      <c r="X60" s="42">
        <v>0</v>
      </c>
      <c r="Y60" s="42">
        <v>0</v>
      </c>
      <c r="Z60" s="42">
        <v>0</v>
      </c>
      <c r="AA60" s="42">
        <v>0</v>
      </c>
      <c r="AB60" s="42">
        <v>0</v>
      </c>
      <c r="AC60" s="42">
        <v>0</v>
      </c>
      <c r="AD60" s="42">
        <v>0</v>
      </c>
      <c r="AE60" s="42">
        <v>2561.69</v>
      </c>
      <c r="AF60" s="42">
        <v>200</v>
      </c>
      <c r="AG60" s="42">
        <v>190</v>
      </c>
      <c r="AI60" s="42">
        <v>0</v>
      </c>
      <c r="AJ60" s="42">
        <v>0</v>
      </c>
      <c r="AK60" s="42">
        <v>0</v>
      </c>
      <c r="AL60" s="42">
        <v>0</v>
      </c>
      <c r="AM60" s="42">
        <v>0</v>
      </c>
      <c r="AN60" s="42">
        <v>0</v>
      </c>
      <c r="AO60" s="42">
        <v>0</v>
      </c>
      <c r="AP60" s="42">
        <v>0</v>
      </c>
      <c r="AQ60" s="42">
        <v>0</v>
      </c>
      <c r="AR60" s="42">
        <v>0</v>
      </c>
      <c r="AS60" s="42">
        <v>0</v>
      </c>
      <c r="AT60" s="42">
        <v>0</v>
      </c>
      <c r="AU60" s="42">
        <v>0</v>
      </c>
      <c r="AW60" s="42">
        <v>390</v>
      </c>
      <c r="AX60" s="42">
        <v>2951.69</v>
      </c>
      <c r="AY60" s="42">
        <v>500</v>
      </c>
      <c r="AZ60" s="42">
        <v>3451.69</v>
      </c>
      <c r="BA60" s="42">
        <v>213.47416666666666</v>
      </c>
      <c r="BB60" s="42">
        <v>213.47416666666666</v>
      </c>
      <c r="BC60" s="42">
        <v>71.158055555555549</v>
      </c>
      <c r="BD60" s="42">
        <v>498.10638888888889</v>
      </c>
      <c r="BE60" s="42">
        <v>512.34</v>
      </c>
      <c r="BF60" s="42">
        <v>38.42</v>
      </c>
      <c r="BG60" s="42">
        <v>148.57</v>
      </c>
      <c r="BH60" s="42">
        <v>204.93</v>
      </c>
      <c r="BI60" s="42">
        <v>904.26</v>
      </c>
      <c r="BJ60" s="42">
        <v>4355.95</v>
      </c>
      <c r="BK60" s="42">
        <v>4854.0563888888883</v>
      </c>
    </row>
    <row r="61" spans="1:63" x14ac:dyDescent="0.25">
      <c r="A61" t="s">
        <v>303</v>
      </c>
      <c r="B61" s="11">
        <v>45717</v>
      </c>
      <c r="C61" s="11" t="s">
        <v>5</v>
      </c>
      <c r="D61" t="s">
        <v>582</v>
      </c>
      <c r="G61" t="s">
        <v>292</v>
      </c>
      <c r="H61" t="s">
        <v>566</v>
      </c>
      <c r="I61" t="s">
        <v>81</v>
      </c>
      <c r="J61" s="10">
        <v>44635</v>
      </c>
      <c r="M61" t="s">
        <v>225</v>
      </c>
      <c r="N61" t="s">
        <v>541</v>
      </c>
      <c r="O61">
        <v>1982.7</v>
      </c>
      <c r="P61">
        <v>1982.7</v>
      </c>
      <c r="Q61" s="42">
        <v>0</v>
      </c>
      <c r="R61" s="42">
        <v>0</v>
      </c>
      <c r="S61" s="42">
        <v>0</v>
      </c>
      <c r="T61" s="42">
        <v>0</v>
      </c>
      <c r="U61" s="42">
        <v>0</v>
      </c>
      <c r="V61" s="42">
        <v>0</v>
      </c>
      <c r="W61" s="42">
        <v>0</v>
      </c>
      <c r="X61" s="42">
        <v>218.78</v>
      </c>
      <c r="Y61" s="42">
        <v>42.07</v>
      </c>
      <c r="Z61" s="42">
        <v>0</v>
      </c>
      <c r="AA61" s="42">
        <v>0</v>
      </c>
      <c r="AB61" s="42">
        <v>0</v>
      </c>
      <c r="AC61" s="42">
        <v>0</v>
      </c>
      <c r="AD61" s="42">
        <v>0</v>
      </c>
      <c r="AE61" s="42">
        <v>2243.5500000000002</v>
      </c>
      <c r="AF61" s="42">
        <v>200</v>
      </c>
      <c r="AG61" s="42">
        <v>190</v>
      </c>
      <c r="AI61" s="42">
        <v>0</v>
      </c>
      <c r="AJ61" s="42">
        <v>0</v>
      </c>
      <c r="AK61" s="42">
        <v>0</v>
      </c>
      <c r="AL61" s="42">
        <v>0</v>
      </c>
      <c r="AM61" s="42">
        <v>0</v>
      </c>
      <c r="AN61" s="42">
        <v>0</v>
      </c>
      <c r="AO61" s="42">
        <v>412.13</v>
      </c>
      <c r="AP61" s="42">
        <v>0</v>
      </c>
      <c r="AQ61" s="42">
        <v>0</v>
      </c>
      <c r="AR61" s="42">
        <v>0</v>
      </c>
      <c r="AS61" s="42">
        <v>0</v>
      </c>
      <c r="AT61" s="42">
        <v>0</v>
      </c>
      <c r="AU61" s="42">
        <v>0</v>
      </c>
      <c r="AW61" s="42">
        <v>802.13</v>
      </c>
      <c r="AX61" s="42">
        <v>3045.6800000000003</v>
      </c>
      <c r="AZ61" s="42">
        <v>3045.6800000000003</v>
      </c>
      <c r="BA61" s="42">
        <v>186.96250000000001</v>
      </c>
      <c r="BB61" s="42">
        <v>186.96250000000001</v>
      </c>
      <c r="BC61" s="42">
        <v>62.320833333333333</v>
      </c>
      <c r="BD61" s="42">
        <v>436.24583333333334</v>
      </c>
      <c r="BE61" s="42">
        <v>468.54</v>
      </c>
      <c r="BF61" s="42">
        <v>35.14</v>
      </c>
      <c r="BG61" s="42">
        <v>135.87</v>
      </c>
      <c r="BH61" s="42">
        <v>187.41</v>
      </c>
      <c r="BI61" s="42">
        <v>826.95999999999992</v>
      </c>
      <c r="BJ61" s="42">
        <v>3872.6400000000003</v>
      </c>
      <c r="BK61" s="42">
        <v>4308.8858333333337</v>
      </c>
    </row>
    <row r="62" spans="1:63" x14ac:dyDescent="0.25">
      <c r="A62" t="s">
        <v>304</v>
      </c>
      <c r="B62" s="11">
        <v>45717</v>
      </c>
      <c r="C62" s="11" t="s">
        <v>5</v>
      </c>
      <c r="D62" t="s">
        <v>582</v>
      </c>
      <c r="G62" t="s">
        <v>292</v>
      </c>
      <c r="H62" t="s">
        <v>444</v>
      </c>
      <c r="I62" t="s">
        <v>81</v>
      </c>
      <c r="J62" s="10">
        <v>44783</v>
      </c>
      <c r="M62" t="s">
        <v>211</v>
      </c>
      <c r="N62" t="s">
        <v>305</v>
      </c>
      <c r="O62">
        <v>2940</v>
      </c>
      <c r="P62">
        <v>2940</v>
      </c>
      <c r="Q62" s="42">
        <v>0</v>
      </c>
      <c r="R62" s="42">
        <v>0</v>
      </c>
      <c r="S62" s="42">
        <v>0</v>
      </c>
      <c r="T62" s="42">
        <v>0</v>
      </c>
      <c r="U62" s="42">
        <v>1176</v>
      </c>
      <c r="V62" s="42">
        <v>0</v>
      </c>
      <c r="W62" s="42">
        <v>0</v>
      </c>
      <c r="X62" s="42">
        <v>0</v>
      </c>
      <c r="Y62" s="42">
        <v>0</v>
      </c>
      <c r="Z62" s="42">
        <v>0</v>
      </c>
      <c r="AA62" s="42">
        <v>0</v>
      </c>
      <c r="AB62" s="42">
        <v>0</v>
      </c>
      <c r="AC62" s="42">
        <v>0</v>
      </c>
      <c r="AD62" s="42">
        <v>0</v>
      </c>
      <c r="AE62" s="42">
        <v>4116</v>
      </c>
      <c r="AF62" s="42">
        <v>200</v>
      </c>
      <c r="AG62" s="42">
        <v>190</v>
      </c>
      <c r="AI62" s="42">
        <v>0</v>
      </c>
      <c r="AJ62" s="42">
        <v>0</v>
      </c>
      <c r="AK62" s="42">
        <v>0</v>
      </c>
      <c r="AL62" s="42">
        <v>0</v>
      </c>
      <c r="AM62" s="42">
        <v>0</v>
      </c>
      <c r="AN62" s="42">
        <v>0</v>
      </c>
      <c r="AO62" s="42">
        <v>0</v>
      </c>
      <c r="AP62" s="42">
        <v>0</v>
      </c>
      <c r="AQ62" s="42">
        <v>0</v>
      </c>
      <c r="AR62" s="42">
        <v>0</v>
      </c>
      <c r="AS62" s="42">
        <v>0</v>
      </c>
      <c r="AT62" s="42">
        <v>0</v>
      </c>
      <c r="AU62" s="42">
        <v>0</v>
      </c>
      <c r="AW62" s="42">
        <v>390</v>
      </c>
      <c r="AX62" s="42">
        <v>4506</v>
      </c>
      <c r="AZ62" s="42">
        <v>4506</v>
      </c>
      <c r="BA62" s="42">
        <v>343</v>
      </c>
      <c r="BB62" s="42">
        <v>343</v>
      </c>
      <c r="BC62" s="42">
        <v>114.33333333333333</v>
      </c>
      <c r="BD62" s="42">
        <v>800.33333333333337</v>
      </c>
      <c r="BE62" s="42">
        <v>823.2</v>
      </c>
      <c r="BF62" s="42">
        <v>61.74</v>
      </c>
      <c r="BG62" s="42">
        <v>238.72</v>
      </c>
      <c r="BH62" s="42">
        <v>329.28</v>
      </c>
      <c r="BI62" s="42">
        <v>1452.94</v>
      </c>
      <c r="BJ62" s="42">
        <v>5958.9400000000005</v>
      </c>
      <c r="BK62" s="42">
        <v>6759.2733333333335</v>
      </c>
    </row>
    <row r="63" spans="1:63" x14ac:dyDescent="0.25">
      <c r="A63" t="s">
        <v>306</v>
      </c>
      <c r="B63" s="11">
        <v>45717</v>
      </c>
      <c r="C63" s="11" t="s">
        <v>5</v>
      </c>
      <c r="D63" t="s">
        <v>582</v>
      </c>
      <c r="G63" t="s">
        <v>292</v>
      </c>
      <c r="H63" t="s">
        <v>566</v>
      </c>
      <c r="I63" t="s">
        <v>88</v>
      </c>
      <c r="J63" s="10">
        <v>44942</v>
      </c>
      <c r="M63" t="s">
        <v>101</v>
      </c>
      <c r="N63" t="s">
        <v>559</v>
      </c>
      <c r="O63">
        <v>2333.09</v>
      </c>
      <c r="P63">
        <v>2333.09</v>
      </c>
      <c r="Q63" s="42">
        <v>0</v>
      </c>
      <c r="R63" s="42">
        <v>0</v>
      </c>
      <c r="S63" s="42">
        <v>0</v>
      </c>
      <c r="T63" s="42">
        <v>0</v>
      </c>
      <c r="U63" s="42">
        <v>0</v>
      </c>
      <c r="V63" s="42">
        <v>0</v>
      </c>
      <c r="W63" s="42">
        <v>0</v>
      </c>
      <c r="X63" s="42">
        <v>37.89</v>
      </c>
      <c r="Y63" s="42">
        <v>7.29</v>
      </c>
      <c r="Z63" s="42">
        <v>0</v>
      </c>
      <c r="AA63" s="42">
        <v>0</v>
      </c>
      <c r="AB63" s="42">
        <v>0</v>
      </c>
      <c r="AC63" s="42">
        <v>0</v>
      </c>
      <c r="AD63" s="42">
        <v>0</v>
      </c>
      <c r="AE63" s="42">
        <v>2378.27</v>
      </c>
      <c r="AF63" s="42">
        <v>200</v>
      </c>
      <c r="AG63" s="42">
        <v>190</v>
      </c>
      <c r="AI63" s="42">
        <v>0</v>
      </c>
      <c r="AJ63" s="42">
        <v>0</v>
      </c>
      <c r="AK63" s="42">
        <v>0</v>
      </c>
      <c r="AL63" s="42">
        <v>0</v>
      </c>
      <c r="AM63" s="42">
        <v>0</v>
      </c>
      <c r="AN63" s="42">
        <v>0</v>
      </c>
      <c r="AO63" s="42">
        <v>412.13</v>
      </c>
      <c r="AP63" s="42">
        <v>0</v>
      </c>
      <c r="AQ63" s="42">
        <v>0</v>
      </c>
      <c r="AR63" s="42">
        <v>0</v>
      </c>
      <c r="AS63" s="42">
        <v>0</v>
      </c>
      <c r="AT63" s="42">
        <v>0</v>
      </c>
      <c r="AU63" s="42">
        <v>0</v>
      </c>
      <c r="AW63" s="42">
        <v>802.13</v>
      </c>
      <c r="AX63" s="42">
        <v>3180.4</v>
      </c>
      <c r="AZ63" s="42">
        <v>3180.4</v>
      </c>
      <c r="BA63" s="42">
        <v>198.18916666666667</v>
      </c>
      <c r="BB63" s="42">
        <v>198.18916666666667</v>
      </c>
      <c r="BC63" s="42">
        <v>66.06305555555555</v>
      </c>
      <c r="BD63" s="42">
        <v>462.44138888888887</v>
      </c>
      <c r="BE63" s="42">
        <v>475.65</v>
      </c>
      <c r="BF63" s="42">
        <v>35.67</v>
      </c>
      <c r="BG63" s="42">
        <v>137.93</v>
      </c>
      <c r="BH63" s="42">
        <v>190.26</v>
      </c>
      <c r="BI63" s="42">
        <v>839.51</v>
      </c>
      <c r="BJ63" s="42">
        <v>4019.91</v>
      </c>
      <c r="BK63" s="42">
        <v>4482.3513888888883</v>
      </c>
    </row>
    <row r="64" spans="1:63" x14ac:dyDescent="0.25">
      <c r="A64" t="s">
        <v>307</v>
      </c>
      <c r="B64" s="11">
        <v>45717</v>
      </c>
      <c r="C64" s="11" t="s">
        <v>5</v>
      </c>
      <c r="D64" t="s">
        <v>582</v>
      </c>
      <c r="G64" t="s">
        <v>292</v>
      </c>
      <c r="H64" t="s">
        <v>566</v>
      </c>
      <c r="I64" t="s">
        <v>88</v>
      </c>
      <c r="J64" s="10">
        <v>43906</v>
      </c>
      <c r="M64" t="s">
        <v>101</v>
      </c>
      <c r="N64" t="s">
        <v>504</v>
      </c>
      <c r="O64">
        <v>1979.25</v>
      </c>
      <c r="P64">
        <v>1979.25</v>
      </c>
      <c r="Q64" s="42">
        <v>0</v>
      </c>
      <c r="R64" s="42">
        <v>0</v>
      </c>
      <c r="S64" s="42">
        <v>0</v>
      </c>
      <c r="T64" s="42">
        <v>0</v>
      </c>
      <c r="U64" s="42">
        <v>0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42">
        <v>0</v>
      </c>
      <c r="AB64" s="42">
        <v>0</v>
      </c>
      <c r="AC64" s="42">
        <v>0</v>
      </c>
      <c r="AD64" s="42">
        <v>0</v>
      </c>
      <c r="AE64" s="42">
        <v>1979.25</v>
      </c>
      <c r="AF64" s="42">
        <v>200</v>
      </c>
      <c r="AG64" s="42">
        <v>190</v>
      </c>
      <c r="AI64" s="42">
        <v>0</v>
      </c>
      <c r="AJ64" s="42">
        <v>0</v>
      </c>
      <c r="AK64" s="42">
        <v>0</v>
      </c>
      <c r="AL64" s="42">
        <v>0</v>
      </c>
      <c r="AM64" s="42">
        <v>200</v>
      </c>
      <c r="AN64" s="42">
        <v>0</v>
      </c>
      <c r="AO64" s="42">
        <v>412.13</v>
      </c>
      <c r="AP64" s="42">
        <v>0</v>
      </c>
      <c r="AQ64" s="42">
        <v>0</v>
      </c>
      <c r="AR64" s="42">
        <v>0</v>
      </c>
      <c r="AS64" s="42">
        <v>0</v>
      </c>
      <c r="AT64" s="42">
        <v>0</v>
      </c>
      <c r="AU64" s="42">
        <v>0</v>
      </c>
      <c r="AW64" s="42">
        <v>1002.13</v>
      </c>
      <c r="AX64" s="42">
        <v>2981.38</v>
      </c>
      <c r="AZ64" s="42">
        <v>2981.38</v>
      </c>
      <c r="BA64" s="42">
        <v>164.9375</v>
      </c>
      <c r="BB64" s="42">
        <v>164.9375</v>
      </c>
      <c r="BC64" s="42">
        <v>54.979166666666664</v>
      </c>
      <c r="BD64" s="42">
        <v>384.85416666666669</v>
      </c>
      <c r="BE64" s="42">
        <v>395.85</v>
      </c>
      <c r="BF64" s="42">
        <v>29.68</v>
      </c>
      <c r="BG64" s="42">
        <v>114.79</v>
      </c>
      <c r="BH64" s="42">
        <v>158.34</v>
      </c>
      <c r="BI64" s="42">
        <v>698.66000000000008</v>
      </c>
      <c r="BJ64" s="42">
        <v>3680.04</v>
      </c>
      <c r="BK64" s="42">
        <v>4064.8941666666665</v>
      </c>
    </row>
    <row r="65" spans="1:63" x14ac:dyDescent="0.25">
      <c r="A65" t="s">
        <v>224</v>
      </c>
      <c r="B65" s="11">
        <v>45717</v>
      </c>
      <c r="C65" s="11" t="s">
        <v>5</v>
      </c>
      <c r="D65" t="s">
        <v>582</v>
      </c>
      <c r="G65" t="s">
        <v>292</v>
      </c>
      <c r="H65" t="s">
        <v>566</v>
      </c>
      <c r="I65" t="s">
        <v>195</v>
      </c>
      <c r="J65" s="10">
        <v>45301</v>
      </c>
      <c r="M65" t="s">
        <v>447</v>
      </c>
      <c r="N65" t="s">
        <v>212</v>
      </c>
      <c r="O65">
        <v>1979.25</v>
      </c>
      <c r="P65">
        <v>1979.25</v>
      </c>
      <c r="Q65" s="42">
        <v>0</v>
      </c>
      <c r="R65" s="42">
        <v>0</v>
      </c>
      <c r="S65" s="42">
        <v>0</v>
      </c>
      <c r="T65" s="42">
        <v>0</v>
      </c>
      <c r="U65" s="42">
        <v>0</v>
      </c>
      <c r="V65" s="42">
        <v>0</v>
      </c>
      <c r="W65" s="42">
        <v>0</v>
      </c>
      <c r="X65" s="42">
        <v>0</v>
      </c>
      <c r="Y65" s="42">
        <v>0</v>
      </c>
      <c r="Z65" s="42">
        <v>0</v>
      </c>
      <c r="AA65" s="42">
        <v>0</v>
      </c>
      <c r="AB65" s="42">
        <v>0</v>
      </c>
      <c r="AC65" s="42">
        <v>0</v>
      </c>
      <c r="AD65" s="42">
        <v>0</v>
      </c>
      <c r="AE65" s="42">
        <v>1979.25</v>
      </c>
      <c r="AF65" s="42">
        <v>200</v>
      </c>
      <c r="AG65" s="42">
        <v>190</v>
      </c>
      <c r="AI65" s="42">
        <v>0</v>
      </c>
      <c r="AJ65" s="42">
        <v>0</v>
      </c>
      <c r="AK65" s="42">
        <v>0</v>
      </c>
      <c r="AL65" s="42">
        <v>0</v>
      </c>
      <c r="AM65" s="42">
        <v>0</v>
      </c>
      <c r="AN65" s="42">
        <v>0</v>
      </c>
      <c r="AO65" s="42">
        <v>0</v>
      </c>
      <c r="AP65" s="42">
        <v>494.76</v>
      </c>
      <c r="AQ65" s="42">
        <v>0</v>
      </c>
      <c r="AR65" s="42">
        <v>0</v>
      </c>
      <c r="AS65" s="42">
        <v>0</v>
      </c>
      <c r="AT65" s="42">
        <v>0</v>
      </c>
      <c r="AU65" s="42">
        <v>0</v>
      </c>
      <c r="AW65" s="42">
        <v>884.76</v>
      </c>
      <c r="AX65" s="42">
        <v>2864.01</v>
      </c>
      <c r="AZ65" s="42">
        <v>2864.01</v>
      </c>
      <c r="BA65" s="42">
        <v>164.9375</v>
      </c>
      <c r="BB65" s="42">
        <v>164.9375</v>
      </c>
      <c r="BC65" s="42">
        <v>54.979166666666664</v>
      </c>
      <c r="BD65" s="42">
        <v>384.85416666666669</v>
      </c>
      <c r="BE65" s="42">
        <v>395.85</v>
      </c>
      <c r="BF65" s="42">
        <v>29.68</v>
      </c>
      <c r="BG65" s="42">
        <v>114.79</v>
      </c>
      <c r="BH65" s="42">
        <v>158.34</v>
      </c>
      <c r="BI65" s="42">
        <v>698.66000000000008</v>
      </c>
      <c r="BJ65" s="42">
        <v>3562.67</v>
      </c>
      <c r="BK65" s="42">
        <v>3947.5241666666666</v>
      </c>
    </row>
    <row r="66" spans="1:63" x14ac:dyDescent="0.25">
      <c r="A66" t="s">
        <v>217</v>
      </c>
      <c r="B66" s="11">
        <v>45717</v>
      </c>
      <c r="C66" s="11" t="s">
        <v>5</v>
      </c>
      <c r="D66" t="s">
        <v>582</v>
      </c>
      <c r="G66" t="s">
        <v>292</v>
      </c>
      <c r="H66" t="s">
        <v>203</v>
      </c>
      <c r="I66" t="s">
        <v>218</v>
      </c>
      <c r="J66" s="10">
        <v>44410</v>
      </c>
      <c r="M66" t="s">
        <v>219</v>
      </c>
      <c r="N66" t="s">
        <v>585</v>
      </c>
      <c r="O66">
        <v>2399.6999999999998</v>
      </c>
      <c r="P66">
        <v>2399.6999999999998</v>
      </c>
      <c r="Q66" s="42">
        <v>0</v>
      </c>
      <c r="R66" s="42">
        <v>0</v>
      </c>
      <c r="S66" s="42">
        <v>0</v>
      </c>
      <c r="T66" s="42">
        <v>0</v>
      </c>
      <c r="U66" s="42">
        <v>0</v>
      </c>
      <c r="V66" s="42">
        <v>0</v>
      </c>
      <c r="W66" s="42">
        <v>0</v>
      </c>
      <c r="X66" s="42">
        <v>0</v>
      </c>
      <c r="Y66" s="42">
        <v>0</v>
      </c>
      <c r="Z66" s="42">
        <v>0</v>
      </c>
      <c r="AA66" s="42">
        <v>0</v>
      </c>
      <c r="AB66" s="42">
        <v>0</v>
      </c>
      <c r="AC66" s="42">
        <v>0</v>
      </c>
      <c r="AD66" s="42">
        <v>0</v>
      </c>
      <c r="AE66" s="42">
        <v>2399.6999999999998</v>
      </c>
      <c r="AF66" s="42">
        <v>200</v>
      </c>
      <c r="AG66" s="42">
        <v>190</v>
      </c>
      <c r="AI66" s="42">
        <v>0</v>
      </c>
      <c r="AJ66" s="42">
        <v>0</v>
      </c>
      <c r="AK66" s="42">
        <v>0</v>
      </c>
      <c r="AL66" s="42">
        <v>0</v>
      </c>
      <c r="AM66" s="42">
        <v>0</v>
      </c>
      <c r="AN66" s="42">
        <v>0</v>
      </c>
      <c r="AO66" s="42">
        <v>0</v>
      </c>
      <c r="AP66" s="42">
        <v>0</v>
      </c>
      <c r="AQ66" s="42">
        <v>0</v>
      </c>
      <c r="AR66" s="42">
        <v>0</v>
      </c>
      <c r="AS66" s="42">
        <v>0</v>
      </c>
      <c r="AT66" s="42">
        <v>0</v>
      </c>
      <c r="AU66" s="42">
        <v>0</v>
      </c>
      <c r="AW66" s="42">
        <v>390</v>
      </c>
      <c r="AX66" s="42">
        <v>2789.7</v>
      </c>
      <c r="AZ66" s="42">
        <v>2789.7</v>
      </c>
      <c r="BA66" s="42">
        <v>199.97499999999999</v>
      </c>
      <c r="BB66" s="42">
        <v>199.97499999999999</v>
      </c>
      <c r="BC66" s="42">
        <v>66.658333333333331</v>
      </c>
      <c r="BD66" s="42">
        <v>466.60833333333335</v>
      </c>
      <c r="BE66" s="42">
        <v>479.94</v>
      </c>
      <c r="BF66" s="42">
        <v>35.99</v>
      </c>
      <c r="BG66" s="42">
        <v>139.18</v>
      </c>
      <c r="BH66" s="42">
        <v>191.97</v>
      </c>
      <c r="BI66" s="42">
        <v>847.07999999999993</v>
      </c>
      <c r="BJ66" s="42">
        <v>3636.7799999999997</v>
      </c>
      <c r="BK66" s="42">
        <v>4103.3883333333333</v>
      </c>
    </row>
    <row r="67" spans="1:63" x14ac:dyDescent="0.25">
      <c r="A67" t="s">
        <v>548</v>
      </c>
      <c r="B67" s="11">
        <v>45717</v>
      </c>
      <c r="C67" s="11" t="s">
        <v>5</v>
      </c>
      <c r="D67" t="s">
        <v>582</v>
      </c>
      <c r="G67" t="s">
        <v>292</v>
      </c>
      <c r="J67" s="10">
        <v>40179</v>
      </c>
      <c r="N67" t="s">
        <v>549</v>
      </c>
      <c r="O67">
        <v>1979.25</v>
      </c>
      <c r="P67">
        <v>0</v>
      </c>
      <c r="Q67" s="42">
        <v>0</v>
      </c>
      <c r="R67" s="42">
        <v>0</v>
      </c>
      <c r="S67" s="42">
        <v>0</v>
      </c>
      <c r="T67" s="42">
        <v>0</v>
      </c>
      <c r="U67" s="42">
        <v>0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42">
        <v>0</v>
      </c>
      <c r="AB67" s="42">
        <v>0</v>
      </c>
      <c r="AC67" s="42">
        <v>0</v>
      </c>
      <c r="AD67" s="42">
        <v>0</v>
      </c>
      <c r="AE67" s="42">
        <v>0</v>
      </c>
      <c r="AF67" s="42">
        <v>0</v>
      </c>
      <c r="AG67" s="42">
        <v>0</v>
      </c>
      <c r="AI67" s="42">
        <v>0</v>
      </c>
      <c r="AJ67" s="42">
        <v>0</v>
      </c>
      <c r="AK67" s="42">
        <v>0</v>
      </c>
      <c r="AL67" s="42">
        <v>0</v>
      </c>
      <c r="AM67" s="42">
        <v>0</v>
      </c>
      <c r="AN67" s="42">
        <v>0</v>
      </c>
      <c r="AO67" s="42">
        <v>0</v>
      </c>
      <c r="AP67" s="42">
        <v>0</v>
      </c>
      <c r="AQ67" s="42">
        <v>0</v>
      </c>
      <c r="AR67" s="42">
        <v>0</v>
      </c>
      <c r="AS67" s="42">
        <v>0</v>
      </c>
      <c r="AT67" s="42">
        <v>0</v>
      </c>
      <c r="AU67" s="42">
        <v>0</v>
      </c>
      <c r="AW67" s="42">
        <v>0</v>
      </c>
      <c r="AX67" s="42">
        <v>0</v>
      </c>
      <c r="AZ67" s="42">
        <v>0</v>
      </c>
      <c r="BA67" s="42">
        <v>0</v>
      </c>
      <c r="BB67" s="42">
        <v>0</v>
      </c>
      <c r="BC67" s="42">
        <v>0</v>
      </c>
      <c r="BD67" s="42">
        <v>0</v>
      </c>
      <c r="BE67" s="42">
        <v>0</v>
      </c>
      <c r="BF67" s="42">
        <v>0</v>
      </c>
      <c r="BG67" s="42">
        <v>0</v>
      </c>
      <c r="BH67" s="42">
        <v>158.34</v>
      </c>
      <c r="BI67" s="42">
        <v>158.34</v>
      </c>
      <c r="BJ67" s="42">
        <v>158.34</v>
      </c>
      <c r="BK67" s="42">
        <v>158.34</v>
      </c>
    </row>
    <row r="68" spans="1:63" x14ac:dyDescent="0.25">
      <c r="A68" t="s">
        <v>206</v>
      </c>
      <c r="B68" s="11">
        <v>45717</v>
      </c>
      <c r="C68" s="11" t="s">
        <v>5</v>
      </c>
      <c r="D68" t="s">
        <v>582</v>
      </c>
      <c r="G68" t="s">
        <v>292</v>
      </c>
      <c r="J68" s="10">
        <v>45552</v>
      </c>
      <c r="N68" t="s">
        <v>351</v>
      </c>
      <c r="O68">
        <v>1979.25</v>
      </c>
      <c r="P68">
        <v>1979.25</v>
      </c>
      <c r="Q68" s="42">
        <v>0</v>
      </c>
      <c r="R68" s="42">
        <v>0</v>
      </c>
      <c r="S68" s="42">
        <v>0</v>
      </c>
      <c r="T68" s="42">
        <v>0</v>
      </c>
      <c r="U68" s="42">
        <v>0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  <c r="AE68" s="42">
        <v>1979.25</v>
      </c>
      <c r="AF68" s="42">
        <v>200</v>
      </c>
      <c r="AG68" s="42">
        <v>190</v>
      </c>
      <c r="AI68" s="42">
        <v>0</v>
      </c>
      <c r="AJ68" s="42">
        <v>0</v>
      </c>
      <c r="AK68" s="42">
        <v>0</v>
      </c>
      <c r="AL68" s="42">
        <v>0</v>
      </c>
      <c r="AM68" s="42">
        <v>0</v>
      </c>
      <c r="AN68" s="42">
        <v>0</v>
      </c>
      <c r="AO68" s="42">
        <v>0</v>
      </c>
      <c r="AP68" s="42">
        <v>0</v>
      </c>
      <c r="AQ68" s="42">
        <v>0</v>
      </c>
      <c r="AR68" s="42">
        <v>0</v>
      </c>
      <c r="AS68" s="42">
        <v>0</v>
      </c>
      <c r="AT68" s="42">
        <v>0</v>
      </c>
      <c r="AU68" s="42">
        <v>0</v>
      </c>
      <c r="AW68" s="42">
        <v>390</v>
      </c>
      <c r="AX68" s="42">
        <v>2369.25</v>
      </c>
      <c r="AZ68" s="42">
        <v>2369.25</v>
      </c>
      <c r="BA68" s="42">
        <v>164.9375</v>
      </c>
      <c r="BB68" s="42">
        <v>164.9375</v>
      </c>
      <c r="BC68" s="42">
        <v>54.979166666666664</v>
      </c>
      <c r="BD68" s="42">
        <v>384.85416666666669</v>
      </c>
      <c r="BE68" s="42">
        <v>395.85</v>
      </c>
      <c r="BF68" s="42">
        <v>29.68</v>
      </c>
      <c r="BG68" s="42">
        <v>114.79</v>
      </c>
      <c r="BH68" s="42">
        <v>158.34</v>
      </c>
      <c r="BI68" s="42">
        <v>698.66000000000008</v>
      </c>
      <c r="BJ68" s="42">
        <v>3067.91</v>
      </c>
      <c r="BK68" s="42">
        <v>3452.7641666666664</v>
      </c>
    </row>
    <row r="69" spans="1:63" x14ac:dyDescent="0.25">
      <c r="A69" t="s">
        <v>528</v>
      </c>
      <c r="B69" s="11">
        <v>45717</v>
      </c>
      <c r="C69" s="11" t="s">
        <v>5</v>
      </c>
      <c r="D69" t="s">
        <v>582</v>
      </c>
      <c r="G69" t="s">
        <v>292</v>
      </c>
      <c r="J69" s="10">
        <v>45561</v>
      </c>
      <c r="N69" t="s">
        <v>212</v>
      </c>
      <c r="O69">
        <v>1979.25</v>
      </c>
      <c r="P69">
        <v>1979.25</v>
      </c>
      <c r="Q69" s="42">
        <v>0</v>
      </c>
      <c r="R69" s="42">
        <v>0</v>
      </c>
      <c r="S69" s="42">
        <v>0</v>
      </c>
      <c r="T69" s="42">
        <v>0</v>
      </c>
      <c r="U69" s="42">
        <v>0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42">
        <v>0</v>
      </c>
      <c r="AB69" s="42">
        <v>0</v>
      </c>
      <c r="AC69" s="42">
        <v>0</v>
      </c>
      <c r="AD69" s="42">
        <v>0</v>
      </c>
      <c r="AE69" s="42">
        <v>1979.25</v>
      </c>
      <c r="AF69" s="42">
        <v>200</v>
      </c>
      <c r="AG69" s="42">
        <v>190</v>
      </c>
      <c r="AI69" s="42">
        <v>0</v>
      </c>
      <c r="AJ69" s="42">
        <v>0</v>
      </c>
      <c r="AK69" s="42">
        <v>0</v>
      </c>
      <c r="AL69" s="42">
        <v>0</v>
      </c>
      <c r="AM69" s="42">
        <v>0</v>
      </c>
      <c r="AN69" s="42">
        <v>0</v>
      </c>
      <c r="AO69" s="42">
        <v>0</v>
      </c>
      <c r="AP69" s="42">
        <v>494.76</v>
      </c>
      <c r="AQ69" s="42">
        <v>0</v>
      </c>
      <c r="AR69" s="42">
        <v>0</v>
      </c>
      <c r="AS69" s="42">
        <v>0</v>
      </c>
      <c r="AT69" s="42">
        <v>0</v>
      </c>
      <c r="AU69" s="42">
        <v>0</v>
      </c>
      <c r="AW69" s="42">
        <v>884.76</v>
      </c>
      <c r="AX69" s="42">
        <v>2864.01</v>
      </c>
      <c r="AZ69" s="42">
        <v>2864.01</v>
      </c>
      <c r="BA69" s="42">
        <v>164.9375</v>
      </c>
      <c r="BB69" s="42">
        <v>164.9375</v>
      </c>
      <c r="BC69" s="42">
        <v>54.979166666666664</v>
      </c>
      <c r="BD69" s="42">
        <v>384.85416666666669</v>
      </c>
      <c r="BE69" s="42">
        <v>395.85</v>
      </c>
      <c r="BF69" s="42">
        <v>29.68</v>
      </c>
      <c r="BG69" s="42">
        <v>114.79</v>
      </c>
      <c r="BH69" s="42">
        <v>158.34</v>
      </c>
      <c r="BI69" s="42">
        <v>698.66000000000008</v>
      </c>
      <c r="BJ69" s="42">
        <v>3562.67</v>
      </c>
      <c r="BK69" s="42">
        <v>3947.5241666666666</v>
      </c>
    </row>
    <row r="70" spans="1:63" x14ac:dyDescent="0.25">
      <c r="A70" t="s">
        <v>227</v>
      </c>
      <c r="B70" s="11">
        <v>45717</v>
      </c>
      <c r="C70" s="11" t="s">
        <v>5</v>
      </c>
      <c r="D70" t="s">
        <v>582</v>
      </c>
      <c r="G70" t="s">
        <v>292</v>
      </c>
      <c r="J70" s="10">
        <v>45562</v>
      </c>
      <c r="N70" t="s">
        <v>342</v>
      </c>
      <c r="O70">
        <v>1979.25</v>
      </c>
      <c r="P70">
        <v>1979.25</v>
      </c>
      <c r="Q70" s="42">
        <v>0</v>
      </c>
      <c r="R70" s="42">
        <v>0</v>
      </c>
      <c r="S70" s="42">
        <v>0</v>
      </c>
      <c r="T70" s="42">
        <v>0</v>
      </c>
      <c r="U70" s="42">
        <v>0</v>
      </c>
      <c r="V70" s="42">
        <v>0</v>
      </c>
      <c r="W70" s="42">
        <v>0</v>
      </c>
      <c r="X70" s="42">
        <v>0</v>
      </c>
      <c r="Y70" s="42">
        <v>0</v>
      </c>
      <c r="Z70" s="42">
        <v>0</v>
      </c>
      <c r="AA70" s="42">
        <v>0</v>
      </c>
      <c r="AB70" s="42">
        <v>0</v>
      </c>
      <c r="AC70" s="42">
        <v>0</v>
      </c>
      <c r="AD70" s="42">
        <v>0</v>
      </c>
      <c r="AE70" s="42">
        <v>1979.25</v>
      </c>
      <c r="AF70" s="42">
        <v>200</v>
      </c>
      <c r="AG70" s="42">
        <v>190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0</v>
      </c>
      <c r="AU70" s="42">
        <v>0</v>
      </c>
      <c r="AW70" s="42">
        <v>390</v>
      </c>
      <c r="AX70" s="42">
        <v>2369.25</v>
      </c>
      <c r="AZ70" s="42">
        <v>2369.25</v>
      </c>
      <c r="BA70" s="42">
        <v>164.9375</v>
      </c>
      <c r="BB70" s="42">
        <v>164.9375</v>
      </c>
      <c r="BC70" s="42">
        <v>54.979166666666664</v>
      </c>
      <c r="BD70" s="42">
        <v>384.85416666666669</v>
      </c>
      <c r="BE70" s="42">
        <v>395.85</v>
      </c>
      <c r="BF70" s="42">
        <v>29.68</v>
      </c>
      <c r="BG70" s="42">
        <v>114.79</v>
      </c>
      <c r="BH70" s="42">
        <v>158.34</v>
      </c>
      <c r="BI70" s="42">
        <v>698.66000000000008</v>
      </c>
      <c r="BJ70" s="42">
        <v>3067.91</v>
      </c>
      <c r="BK70" s="42">
        <v>3452.7641666666664</v>
      </c>
    </row>
    <row r="71" spans="1:63" x14ac:dyDescent="0.25">
      <c r="A71" t="s">
        <v>210</v>
      </c>
      <c r="B71" s="11">
        <v>45717</v>
      </c>
      <c r="C71" s="11" t="s">
        <v>5</v>
      </c>
      <c r="D71" t="s">
        <v>582</v>
      </c>
      <c r="G71" t="s">
        <v>292</v>
      </c>
      <c r="H71" t="s">
        <v>566</v>
      </c>
      <c r="I71" t="s">
        <v>317</v>
      </c>
      <c r="J71" s="10">
        <v>45628</v>
      </c>
      <c r="M71" t="s">
        <v>211</v>
      </c>
      <c r="N71" t="s">
        <v>212</v>
      </c>
      <c r="O71">
        <v>1979.25</v>
      </c>
      <c r="P71">
        <v>1979.25</v>
      </c>
      <c r="Q71" s="42">
        <v>0</v>
      </c>
      <c r="R71" s="42">
        <v>0</v>
      </c>
      <c r="S71" s="42">
        <v>0</v>
      </c>
      <c r="T71" s="42">
        <v>0</v>
      </c>
      <c r="U71" s="42">
        <v>0</v>
      </c>
      <c r="V71" s="42">
        <v>0</v>
      </c>
      <c r="W71" s="42">
        <v>0</v>
      </c>
      <c r="X71" s="42">
        <v>0</v>
      </c>
      <c r="Y71" s="42">
        <v>0</v>
      </c>
      <c r="Z71" s="42">
        <v>0</v>
      </c>
      <c r="AA71" s="42">
        <v>0</v>
      </c>
      <c r="AB71" s="42">
        <v>0</v>
      </c>
      <c r="AC71" s="42">
        <v>0</v>
      </c>
      <c r="AD71" s="42">
        <v>0</v>
      </c>
      <c r="AE71" s="42">
        <v>1979.25</v>
      </c>
      <c r="AF71" s="42">
        <v>200</v>
      </c>
      <c r="AG71" s="42">
        <v>190</v>
      </c>
      <c r="AI71" s="42">
        <v>0</v>
      </c>
      <c r="AJ71" s="42">
        <v>0</v>
      </c>
      <c r="AK71" s="42">
        <v>0</v>
      </c>
      <c r="AL71" s="42">
        <v>0</v>
      </c>
      <c r="AM71" s="42">
        <v>0</v>
      </c>
      <c r="AN71" s="42">
        <v>0</v>
      </c>
      <c r="AO71" s="42">
        <v>0</v>
      </c>
      <c r="AP71" s="42">
        <v>494.76</v>
      </c>
      <c r="AQ71" s="42">
        <v>0</v>
      </c>
      <c r="AR71" s="42">
        <v>0</v>
      </c>
      <c r="AS71" s="42">
        <v>0</v>
      </c>
      <c r="AT71" s="42">
        <v>0</v>
      </c>
      <c r="AU71" s="42">
        <v>0</v>
      </c>
      <c r="AW71" s="42">
        <v>884.76</v>
      </c>
      <c r="AX71" s="42">
        <v>2864.01</v>
      </c>
      <c r="AZ71" s="42">
        <v>2864.01</v>
      </c>
      <c r="BA71" s="42">
        <v>164.9375</v>
      </c>
      <c r="BB71" s="42">
        <v>164.9375</v>
      </c>
      <c r="BC71" s="42">
        <v>54.979166666666664</v>
      </c>
      <c r="BD71" s="42">
        <v>384.85416666666669</v>
      </c>
      <c r="BE71" s="42">
        <v>395.85</v>
      </c>
      <c r="BF71" s="42">
        <v>29.68</v>
      </c>
      <c r="BG71" s="42">
        <v>114.79</v>
      </c>
      <c r="BH71" s="42">
        <v>158.34</v>
      </c>
      <c r="BI71" s="42">
        <v>698.66000000000008</v>
      </c>
      <c r="BJ71" s="42">
        <v>3562.67</v>
      </c>
      <c r="BK71" s="42">
        <v>3947.5241666666666</v>
      </c>
    </row>
    <row r="72" spans="1:63" x14ac:dyDescent="0.25">
      <c r="A72" t="s">
        <v>586</v>
      </c>
      <c r="B72" s="11">
        <v>45717</v>
      </c>
      <c r="C72" s="11" t="s">
        <v>5</v>
      </c>
      <c r="D72" t="s">
        <v>582</v>
      </c>
      <c r="G72" t="s">
        <v>292</v>
      </c>
      <c r="H72" t="s">
        <v>566</v>
      </c>
      <c r="I72" t="s">
        <v>88</v>
      </c>
      <c r="J72" s="10">
        <v>45726</v>
      </c>
      <c r="K72" s="10">
        <v>45734</v>
      </c>
      <c r="M72" t="s">
        <v>101</v>
      </c>
      <c r="N72" t="s">
        <v>505</v>
      </c>
      <c r="O72">
        <v>2100</v>
      </c>
      <c r="P72">
        <v>70</v>
      </c>
      <c r="Q72" s="42">
        <v>0</v>
      </c>
      <c r="R72" s="42">
        <v>0</v>
      </c>
      <c r="S72" s="42">
        <v>0</v>
      </c>
      <c r="T72" s="42">
        <v>0</v>
      </c>
      <c r="U72" s="42">
        <v>0</v>
      </c>
      <c r="V72" s="42">
        <v>0</v>
      </c>
      <c r="W72" s="42">
        <v>0</v>
      </c>
      <c r="X72" s="42">
        <v>0</v>
      </c>
      <c r="Y72" s="42">
        <v>0</v>
      </c>
      <c r="Z72" s="42">
        <v>0</v>
      </c>
      <c r="AA72" s="42">
        <v>0</v>
      </c>
      <c r="AB72" s="42">
        <v>0</v>
      </c>
      <c r="AC72" s="42">
        <v>0</v>
      </c>
      <c r="AD72" s="42">
        <v>0</v>
      </c>
      <c r="AE72" s="42">
        <v>70</v>
      </c>
      <c r="AF72" s="42">
        <v>54</v>
      </c>
      <c r="AG72" s="42">
        <v>0</v>
      </c>
      <c r="AI72" s="42">
        <v>0</v>
      </c>
      <c r="AJ72" s="42">
        <v>0</v>
      </c>
      <c r="AK72" s="42">
        <v>0</v>
      </c>
      <c r="AL72" s="42">
        <v>0</v>
      </c>
      <c r="AM72" s="42">
        <v>0</v>
      </c>
      <c r="AN72" s="42">
        <v>0</v>
      </c>
      <c r="AO72" s="42">
        <v>0</v>
      </c>
      <c r="AP72" s="42">
        <v>0</v>
      </c>
      <c r="AQ72" s="42">
        <v>0</v>
      </c>
      <c r="AR72" s="42">
        <v>0</v>
      </c>
      <c r="AS72" s="42">
        <v>0</v>
      </c>
      <c r="AT72" s="42">
        <v>0</v>
      </c>
      <c r="AU72" s="42">
        <v>0</v>
      </c>
      <c r="AW72" s="42">
        <v>54</v>
      </c>
      <c r="AX72" s="42">
        <v>124</v>
      </c>
      <c r="AZ72" s="42">
        <v>124</v>
      </c>
      <c r="BA72" s="42">
        <v>5.833333333333333</v>
      </c>
      <c r="BB72" s="42">
        <v>5.833333333333333</v>
      </c>
      <c r="BC72" s="42">
        <v>1.9444444444444444</v>
      </c>
      <c r="BD72" s="42">
        <v>13.611111111111111</v>
      </c>
      <c r="BE72" s="42">
        <v>126</v>
      </c>
      <c r="BF72" s="42">
        <v>9.4499999999999993</v>
      </c>
      <c r="BG72" s="42">
        <v>36.54</v>
      </c>
      <c r="BH72" s="42">
        <v>50.4</v>
      </c>
      <c r="BI72" s="42">
        <v>222.39</v>
      </c>
      <c r="BJ72" s="42">
        <v>346.39</v>
      </c>
      <c r="BK72" s="42">
        <v>360.00111111111107</v>
      </c>
    </row>
    <row r="73" spans="1:63" x14ac:dyDescent="0.25">
      <c r="A73" t="s">
        <v>530</v>
      </c>
      <c r="B73" s="11">
        <v>45717</v>
      </c>
      <c r="C73" s="11" t="s">
        <v>6</v>
      </c>
      <c r="D73" t="s">
        <v>582</v>
      </c>
      <c r="G73" t="s">
        <v>292</v>
      </c>
      <c r="J73" s="10">
        <v>45496</v>
      </c>
      <c r="N73" t="s">
        <v>125</v>
      </c>
      <c r="O73">
        <v>1000</v>
      </c>
      <c r="P73">
        <v>0</v>
      </c>
      <c r="Q73" s="42">
        <v>0</v>
      </c>
      <c r="R73" s="42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42">
        <v>0</v>
      </c>
      <c r="AD73" s="42">
        <v>0</v>
      </c>
      <c r="AE73" s="42">
        <v>0</v>
      </c>
      <c r="AF73" s="42">
        <v>0</v>
      </c>
      <c r="AG73" s="42">
        <v>0</v>
      </c>
      <c r="AI73" s="42">
        <v>0</v>
      </c>
      <c r="AJ73" s="42">
        <v>0</v>
      </c>
      <c r="AK73" s="42">
        <v>0</v>
      </c>
      <c r="AL73" s="42">
        <v>0</v>
      </c>
      <c r="AM73" s="42">
        <v>0</v>
      </c>
      <c r="AN73" s="42">
        <v>0</v>
      </c>
      <c r="AO73" s="42">
        <v>0</v>
      </c>
      <c r="AP73" s="42">
        <v>0</v>
      </c>
      <c r="AQ73" s="42">
        <v>0</v>
      </c>
      <c r="AR73" s="42">
        <v>0</v>
      </c>
      <c r="AS73" s="42">
        <v>0</v>
      </c>
      <c r="AT73" s="42">
        <v>0</v>
      </c>
      <c r="AU73" s="42">
        <v>0</v>
      </c>
      <c r="AW73" s="42">
        <v>0</v>
      </c>
      <c r="AX73" s="42">
        <v>0</v>
      </c>
      <c r="AZ73" s="42">
        <v>0</v>
      </c>
      <c r="BA73" s="42">
        <v>0</v>
      </c>
      <c r="BB73" s="42">
        <v>0</v>
      </c>
      <c r="BC73" s="42">
        <v>0</v>
      </c>
      <c r="BD73" s="42">
        <v>0</v>
      </c>
      <c r="BE73" s="42">
        <v>0</v>
      </c>
      <c r="BF73" s="42">
        <v>0</v>
      </c>
      <c r="BG73" s="42">
        <v>0</v>
      </c>
      <c r="BH73" s="42">
        <v>0</v>
      </c>
      <c r="BI73" s="42">
        <v>0</v>
      </c>
      <c r="BJ73" s="42">
        <v>0</v>
      </c>
      <c r="BK73" s="42">
        <v>0</v>
      </c>
    </row>
    <row r="74" spans="1:63" x14ac:dyDescent="0.25">
      <c r="A74" t="s">
        <v>237</v>
      </c>
      <c r="B74" s="11">
        <v>45717</v>
      </c>
      <c r="C74" s="11" t="s">
        <v>6</v>
      </c>
      <c r="D74" t="s">
        <v>582</v>
      </c>
      <c r="G74" t="s">
        <v>292</v>
      </c>
      <c r="J74" s="10">
        <v>45524</v>
      </c>
      <c r="K74" s="10">
        <v>45747</v>
      </c>
      <c r="N74" t="s">
        <v>242</v>
      </c>
      <c r="O74">
        <v>1000</v>
      </c>
      <c r="P74">
        <v>0</v>
      </c>
      <c r="Q74" s="42">
        <v>0</v>
      </c>
      <c r="R74" s="42">
        <v>0</v>
      </c>
      <c r="S74" s="42">
        <v>0</v>
      </c>
      <c r="T74" s="42">
        <v>0</v>
      </c>
      <c r="U74" s="42">
        <v>0</v>
      </c>
      <c r="V74" s="42">
        <v>0</v>
      </c>
      <c r="W74" s="42">
        <v>0</v>
      </c>
      <c r="X74" s="42">
        <v>0</v>
      </c>
      <c r="Y74" s="42">
        <v>0</v>
      </c>
      <c r="Z74" s="42">
        <v>0</v>
      </c>
      <c r="AA74" s="42">
        <v>0</v>
      </c>
      <c r="AB74" s="42">
        <v>0</v>
      </c>
      <c r="AC74" s="42">
        <v>0</v>
      </c>
      <c r="AD74" s="42">
        <v>0</v>
      </c>
      <c r="AE74" s="42">
        <v>0</v>
      </c>
      <c r="AF74" s="42">
        <v>0</v>
      </c>
      <c r="AG74" s="42">
        <v>0</v>
      </c>
      <c r="AI74" s="42">
        <v>0</v>
      </c>
      <c r="AJ74" s="42">
        <v>0</v>
      </c>
      <c r="AK74" s="42">
        <v>0</v>
      </c>
      <c r="AL74" s="42">
        <v>0</v>
      </c>
      <c r="AM74" s="42">
        <v>0</v>
      </c>
      <c r="AN74" s="42">
        <v>0</v>
      </c>
      <c r="AO74" s="42">
        <v>0</v>
      </c>
      <c r="AP74" s="42">
        <v>0</v>
      </c>
      <c r="AQ74" s="42">
        <v>0</v>
      </c>
      <c r="AR74" s="42">
        <v>0</v>
      </c>
      <c r="AS74" s="42">
        <v>0</v>
      </c>
      <c r="AT74" s="42">
        <v>0</v>
      </c>
      <c r="AU74" s="42">
        <v>0</v>
      </c>
      <c r="AW74" s="42">
        <v>0</v>
      </c>
      <c r="AX74" s="42">
        <v>0</v>
      </c>
      <c r="AZ74" s="42">
        <v>0</v>
      </c>
      <c r="BA74" s="42">
        <v>0</v>
      </c>
      <c r="BB74" s="42">
        <v>0</v>
      </c>
      <c r="BC74" s="42">
        <v>0</v>
      </c>
      <c r="BD74" s="42">
        <v>0</v>
      </c>
      <c r="BE74" s="42">
        <v>0</v>
      </c>
      <c r="BF74" s="42">
        <v>0</v>
      </c>
      <c r="BG74" s="42">
        <v>0</v>
      </c>
      <c r="BH74" s="42">
        <v>0</v>
      </c>
      <c r="BI74" s="42">
        <v>0</v>
      </c>
      <c r="BJ74" s="42">
        <v>0</v>
      </c>
      <c r="BK74" s="42">
        <v>0</v>
      </c>
    </row>
    <row r="75" spans="1:63" x14ac:dyDescent="0.25">
      <c r="A75" t="s">
        <v>532</v>
      </c>
      <c r="B75" s="11">
        <v>45717</v>
      </c>
      <c r="C75" s="11" t="s">
        <v>6</v>
      </c>
      <c r="D75" t="s">
        <v>582</v>
      </c>
      <c r="G75" t="s">
        <v>292</v>
      </c>
      <c r="J75" s="10">
        <v>45597</v>
      </c>
      <c r="N75" t="s">
        <v>247</v>
      </c>
      <c r="O75">
        <v>1000</v>
      </c>
      <c r="P75">
        <v>0</v>
      </c>
      <c r="Q75" s="42">
        <v>0</v>
      </c>
      <c r="R75" s="42">
        <v>0</v>
      </c>
      <c r="S75" s="42">
        <v>0</v>
      </c>
      <c r="T75" s="42">
        <v>0</v>
      </c>
      <c r="U75" s="42">
        <v>0</v>
      </c>
      <c r="V75" s="42">
        <v>0</v>
      </c>
      <c r="W75" s="42">
        <v>0</v>
      </c>
      <c r="X75" s="42">
        <v>0</v>
      </c>
      <c r="Y75" s="42">
        <v>0</v>
      </c>
      <c r="Z75" s="42">
        <v>0</v>
      </c>
      <c r="AA75" s="42">
        <v>0</v>
      </c>
      <c r="AB75" s="42">
        <v>0</v>
      </c>
      <c r="AC75" s="42">
        <v>0</v>
      </c>
      <c r="AD75" s="42">
        <v>0</v>
      </c>
      <c r="AE75" s="42">
        <v>0</v>
      </c>
      <c r="AF75" s="42">
        <v>0</v>
      </c>
      <c r="AG75" s="42">
        <v>0</v>
      </c>
      <c r="AI75" s="42">
        <v>0</v>
      </c>
      <c r="AJ75" s="42">
        <v>0</v>
      </c>
      <c r="AK75" s="42">
        <v>0</v>
      </c>
      <c r="AL75" s="42">
        <v>0</v>
      </c>
      <c r="AM75" s="42">
        <v>0</v>
      </c>
      <c r="AN75" s="42">
        <v>0</v>
      </c>
      <c r="AO75" s="42">
        <v>0</v>
      </c>
      <c r="AP75" s="42">
        <v>0</v>
      </c>
      <c r="AQ75" s="42">
        <v>0</v>
      </c>
      <c r="AR75" s="42">
        <v>0</v>
      </c>
      <c r="AS75" s="42">
        <v>0</v>
      </c>
      <c r="AT75" s="42">
        <v>0</v>
      </c>
      <c r="AU75" s="42">
        <v>0</v>
      </c>
      <c r="AW75" s="42">
        <v>0</v>
      </c>
      <c r="AX75" s="42">
        <v>0</v>
      </c>
      <c r="AZ75" s="42">
        <v>0</v>
      </c>
      <c r="BA75" s="42">
        <v>0</v>
      </c>
      <c r="BB75" s="42">
        <v>0</v>
      </c>
      <c r="BC75" s="42">
        <v>0</v>
      </c>
      <c r="BD75" s="42">
        <v>0</v>
      </c>
      <c r="BE75" s="42">
        <v>0</v>
      </c>
      <c r="BF75" s="42">
        <v>0</v>
      </c>
      <c r="BG75" s="42">
        <v>0</v>
      </c>
      <c r="BH75" s="42">
        <v>0</v>
      </c>
      <c r="BI75" s="42">
        <v>0</v>
      </c>
      <c r="BJ75" s="42">
        <v>0</v>
      </c>
      <c r="BK75" s="42">
        <v>0</v>
      </c>
    </row>
    <row r="76" spans="1:63" x14ac:dyDescent="0.25">
      <c r="A76" t="s">
        <v>531</v>
      </c>
      <c r="B76" s="11">
        <v>45717</v>
      </c>
      <c r="C76" s="11" t="s">
        <v>6</v>
      </c>
      <c r="D76" t="s">
        <v>582</v>
      </c>
      <c r="G76" t="s">
        <v>292</v>
      </c>
      <c r="J76" s="10">
        <v>45566</v>
      </c>
      <c r="N76" t="s">
        <v>250</v>
      </c>
      <c r="O76">
        <v>1000</v>
      </c>
      <c r="P76">
        <v>0</v>
      </c>
      <c r="Q76" s="42">
        <v>0</v>
      </c>
      <c r="R76" s="42">
        <v>0</v>
      </c>
      <c r="S76" s="42">
        <v>0</v>
      </c>
      <c r="T76" s="42">
        <v>0</v>
      </c>
      <c r="U76" s="42">
        <v>0</v>
      </c>
      <c r="V76" s="42">
        <v>0</v>
      </c>
      <c r="W76" s="42">
        <v>0</v>
      </c>
      <c r="X76" s="42">
        <v>0</v>
      </c>
      <c r="Y76" s="42">
        <v>0</v>
      </c>
      <c r="Z76" s="42">
        <v>0</v>
      </c>
      <c r="AA76" s="42">
        <v>0</v>
      </c>
      <c r="AB76" s="42">
        <v>0</v>
      </c>
      <c r="AC76" s="42">
        <v>0</v>
      </c>
      <c r="AD76" s="42">
        <v>0</v>
      </c>
      <c r="AE76" s="42">
        <v>0</v>
      </c>
      <c r="AF76" s="42">
        <v>0</v>
      </c>
      <c r="AG76" s="42">
        <v>0</v>
      </c>
      <c r="AI76" s="42">
        <v>0</v>
      </c>
      <c r="AJ76" s="42">
        <v>0</v>
      </c>
      <c r="AK76" s="42">
        <v>0</v>
      </c>
      <c r="AL76" s="42">
        <v>0</v>
      </c>
      <c r="AM76" s="42">
        <v>0</v>
      </c>
      <c r="AN76" s="42">
        <v>0</v>
      </c>
      <c r="AO76" s="42">
        <v>0</v>
      </c>
      <c r="AP76" s="42">
        <v>0</v>
      </c>
      <c r="AQ76" s="42">
        <v>0</v>
      </c>
      <c r="AR76" s="42">
        <v>0</v>
      </c>
      <c r="AS76" s="42">
        <v>0</v>
      </c>
      <c r="AT76" s="42">
        <v>0</v>
      </c>
      <c r="AU76" s="42">
        <v>0</v>
      </c>
      <c r="AW76" s="42">
        <v>0</v>
      </c>
      <c r="AX76" s="42">
        <v>0</v>
      </c>
      <c r="AZ76" s="42">
        <v>0</v>
      </c>
      <c r="BA76" s="42">
        <v>0</v>
      </c>
      <c r="BB76" s="42">
        <v>0</v>
      </c>
      <c r="BC76" s="42">
        <v>0</v>
      </c>
      <c r="BD76" s="42">
        <v>0</v>
      </c>
      <c r="BE76" s="42">
        <v>0</v>
      </c>
      <c r="BF76" s="42">
        <v>0</v>
      </c>
      <c r="BG76" s="42">
        <v>0</v>
      </c>
      <c r="BH76" s="42">
        <v>0</v>
      </c>
      <c r="BI76" s="42">
        <v>0</v>
      </c>
      <c r="BJ76" s="42">
        <v>0</v>
      </c>
      <c r="BK76" s="42">
        <v>0</v>
      </c>
    </row>
    <row r="77" spans="1:63" x14ac:dyDescent="0.25">
      <c r="A77" t="s">
        <v>550</v>
      </c>
      <c r="B77" s="11">
        <v>45717</v>
      </c>
      <c r="C77" s="11" t="s">
        <v>6</v>
      </c>
      <c r="D77" t="s">
        <v>582</v>
      </c>
      <c r="G77" t="s">
        <v>292</v>
      </c>
      <c r="J77" s="10">
        <v>45483</v>
      </c>
      <c r="N77" t="s">
        <v>242</v>
      </c>
      <c r="O77">
        <v>1000</v>
      </c>
      <c r="P77">
        <v>0</v>
      </c>
      <c r="Q77" s="42">
        <v>0</v>
      </c>
      <c r="R77" s="42">
        <v>0</v>
      </c>
      <c r="S77" s="42">
        <v>0</v>
      </c>
      <c r="T77" s="42">
        <v>0</v>
      </c>
      <c r="U77" s="42">
        <v>0</v>
      </c>
      <c r="V77" s="42">
        <v>0</v>
      </c>
      <c r="W77" s="42">
        <v>0</v>
      </c>
      <c r="X77" s="42">
        <v>0</v>
      </c>
      <c r="Y77" s="42">
        <v>0</v>
      </c>
      <c r="Z77" s="42">
        <v>0</v>
      </c>
      <c r="AA77" s="42">
        <v>0</v>
      </c>
      <c r="AB77" s="42">
        <v>0</v>
      </c>
      <c r="AC77" s="42">
        <v>0</v>
      </c>
      <c r="AD77" s="42">
        <v>0</v>
      </c>
      <c r="AE77" s="42">
        <v>0</v>
      </c>
      <c r="AF77" s="42">
        <v>0</v>
      </c>
      <c r="AG77" s="42">
        <v>0</v>
      </c>
      <c r="AI77" s="42">
        <v>0</v>
      </c>
      <c r="AJ77" s="42">
        <v>0</v>
      </c>
      <c r="AK77" s="42">
        <v>0</v>
      </c>
      <c r="AL77" s="42">
        <v>0</v>
      </c>
      <c r="AM77" s="42">
        <v>0</v>
      </c>
      <c r="AN77" s="42">
        <v>0</v>
      </c>
      <c r="AO77" s="42">
        <v>0</v>
      </c>
      <c r="AP77" s="42">
        <v>0</v>
      </c>
      <c r="AQ77" s="42">
        <v>0</v>
      </c>
      <c r="AR77" s="42">
        <v>0</v>
      </c>
      <c r="AS77" s="42">
        <v>0</v>
      </c>
      <c r="AT77" s="42">
        <v>0</v>
      </c>
      <c r="AU77" s="42">
        <v>0</v>
      </c>
      <c r="AW77" s="42">
        <v>0</v>
      </c>
      <c r="AX77" s="42">
        <v>0</v>
      </c>
      <c r="AZ77" s="42">
        <v>0</v>
      </c>
      <c r="BA77" s="42">
        <v>0</v>
      </c>
      <c r="BB77" s="42">
        <v>0</v>
      </c>
      <c r="BC77" s="42">
        <v>0</v>
      </c>
      <c r="BD77" s="42">
        <v>0</v>
      </c>
      <c r="BE77" s="42">
        <v>0</v>
      </c>
      <c r="BF77" s="42">
        <v>0</v>
      </c>
      <c r="BG77" s="42">
        <v>0</v>
      </c>
      <c r="BH77" s="42">
        <v>0</v>
      </c>
      <c r="BI77" s="42">
        <v>0</v>
      </c>
      <c r="BJ77" s="42">
        <v>0</v>
      </c>
      <c r="BK77" s="42">
        <v>0</v>
      </c>
    </row>
    <row r="78" spans="1:63" x14ac:dyDescent="0.25">
      <c r="A78" t="s">
        <v>587</v>
      </c>
      <c r="B78" s="11">
        <v>45717</v>
      </c>
      <c r="C78" s="11" t="s">
        <v>6</v>
      </c>
      <c r="D78" t="s">
        <v>582</v>
      </c>
      <c r="G78" t="s">
        <v>292</v>
      </c>
      <c r="H78" t="s">
        <v>566</v>
      </c>
      <c r="I78" t="s">
        <v>244</v>
      </c>
      <c r="J78" s="10">
        <v>45663</v>
      </c>
      <c r="M78" t="s">
        <v>245</v>
      </c>
      <c r="N78" t="s">
        <v>242</v>
      </c>
      <c r="O78">
        <v>1000</v>
      </c>
      <c r="P78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W78" s="42">
        <v>0</v>
      </c>
      <c r="AX78" s="42">
        <v>0</v>
      </c>
      <c r="AZ78" s="42">
        <v>0</v>
      </c>
      <c r="BA78" s="42">
        <v>0</v>
      </c>
      <c r="BB78" s="42">
        <v>0</v>
      </c>
      <c r="BC78" s="42">
        <v>0</v>
      </c>
      <c r="BD78" s="42">
        <v>0</v>
      </c>
      <c r="BE78" s="42">
        <v>0</v>
      </c>
      <c r="BF78" s="42">
        <v>0</v>
      </c>
      <c r="BG78" s="42">
        <v>0</v>
      </c>
      <c r="BH78" s="42">
        <v>0</v>
      </c>
      <c r="BI78" s="42">
        <v>0</v>
      </c>
      <c r="BJ78" s="42">
        <v>0</v>
      </c>
      <c r="BK78" s="42">
        <v>0</v>
      </c>
    </row>
    <row r="79" spans="1:63" x14ac:dyDescent="0.25">
      <c r="A79" t="s">
        <v>551</v>
      </c>
      <c r="B79" s="11">
        <v>45717</v>
      </c>
      <c r="C79" s="11" t="s">
        <v>6</v>
      </c>
      <c r="D79" t="s">
        <v>582</v>
      </c>
      <c r="G79" t="s">
        <v>292</v>
      </c>
      <c r="J79" s="10">
        <v>45691</v>
      </c>
      <c r="N79" t="s">
        <v>247</v>
      </c>
      <c r="O79">
        <v>1000</v>
      </c>
      <c r="P79">
        <v>0</v>
      </c>
      <c r="Q79" s="42">
        <v>0</v>
      </c>
      <c r="R79" s="42">
        <v>0</v>
      </c>
      <c r="S79" s="42">
        <v>0</v>
      </c>
      <c r="T79" s="42">
        <v>0</v>
      </c>
      <c r="U79" s="42">
        <v>0</v>
      </c>
      <c r="V79" s="42">
        <v>0</v>
      </c>
      <c r="W79" s="42">
        <v>0</v>
      </c>
      <c r="X79" s="42">
        <v>0</v>
      </c>
      <c r="Y79" s="42">
        <v>0</v>
      </c>
      <c r="Z79" s="42">
        <v>0</v>
      </c>
      <c r="AA79" s="42">
        <v>0</v>
      </c>
      <c r="AB79" s="42">
        <v>0</v>
      </c>
      <c r="AC79" s="42">
        <v>0</v>
      </c>
      <c r="AD79" s="42">
        <v>0</v>
      </c>
      <c r="AE79" s="42">
        <v>0</v>
      </c>
      <c r="AF79" s="42">
        <v>0</v>
      </c>
      <c r="AG79" s="42">
        <v>0</v>
      </c>
      <c r="AI79" s="42">
        <v>0</v>
      </c>
      <c r="AJ79" s="42">
        <v>0</v>
      </c>
      <c r="AK79" s="42">
        <v>0</v>
      </c>
      <c r="AL79" s="42">
        <v>0</v>
      </c>
      <c r="AM79" s="42">
        <v>0</v>
      </c>
      <c r="AN79" s="42">
        <v>0</v>
      </c>
      <c r="AO79" s="42">
        <v>0</v>
      </c>
      <c r="AP79" s="42">
        <v>0</v>
      </c>
      <c r="AQ79" s="42">
        <v>0</v>
      </c>
      <c r="AR79" s="42">
        <v>0</v>
      </c>
      <c r="AS79" s="42">
        <v>0</v>
      </c>
      <c r="AT79" s="42">
        <v>0</v>
      </c>
      <c r="AU79" s="42">
        <v>0</v>
      </c>
      <c r="AW79" s="42">
        <v>0</v>
      </c>
      <c r="AX79" s="42">
        <v>0</v>
      </c>
      <c r="AZ79" s="42">
        <v>0</v>
      </c>
      <c r="BA79" s="42">
        <v>0</v>
      </c>
      <c r="BB79" s="42">
        <v>0</v>
      </c>
      <c r="BC79" s="42">
        <v>0</v>
      </c>
      <c r="BD79" s="42">
        <v>0</v>
      </c>
      <c r="BE79" s="42">
        <v>0</v>
      </c>
      <c r="BF79" s="42">
        <v>0</v>
      </c>
      <c r="BG79" s="42">
        <v>0</v>
      </c>
      <c r="BH79" s="42">
        <v>0</v>
      </c>
      <c r="BI79" s="42">
        <v>0</v>
      </c>
      <c r="BJ79" s="42">
        <v>0</v>
      </c>
      <c r="BK79" s="42">
        <v>0</v>
      </c>
    </row>
    <row r="80" spans="1:63" x14ac:dyDescent="0.25">
      <c r="A80" t="s">
        <v>557</v>
      </c>
      <c r="B80" s="11">
        <v>45717</v>
      </c>
      <c r="C80" s="11" t="s">
        <v>6</v>
      </c>
      <c r="D80" t="s">
        <v>582</v>
      </c>
      <c r="G80" t="s">
        <v>292</v>
      </c>
      <c r="J80" s="10">
        <v>45693</v>
      </c>
      <c r="N80" t="s">
        <v>247</v>
      </c>
      <c r="O80">
        <v>1000</v>
      </c>
      <c r="P80">
        <v>0</v>
      </c>
      <c r="Q80" s="42">
        <v>0</v>
      </c>
      <c r="R80" s="42">
        <v>0</v>
      </c>
      <c r="S80" s="42">
        <v>0</v>
      </c>
      <c r="T80" s="42">
        <v>0</v>
      </c>
      <c r="U80" s="42">
        <v>0</v>
      </c>
      <c r="V80" s="42">
        <v>0</v>
      </c>
      <c r="W80" s="42">
        <v>0</v>
      </c>
      <c r="X80" s="42">
        <v>0</v>
      </c>
      <c r="Y80" s="42">
        <v>0</v>
      </c>
      <c r="Z80" s="42">
        <v>0</v>
      </c>
      <c r="AA80" s="42">
        <v>0</v>
      </c>
      <c r="AB80" s="42">
        <v>0</v>
      </c>
      <c r="AC80" s="42">
        <v>0</v>
      </c>
      <c r="AD80" s="42">
        <v>0</v>
      </c>
      <c r="AE80" s="42">
        <v>0</v>
      </c>
      <c r="AF80" s="42">
        <v>0</v>
      </c>
      <c r="AG80" s="42">
        <v>0</v>
      </c>
      <c r="AI80" s="42">
        <v>0</v>
      </c>
      <c r="AJ80" s="42">
        <v>0</v>
      </c>
      <c r="AK80" s="42">
        <v>0</v>
      </c>
      <c r="AL80" s="42">
        <v>0</v>
      </c>
      <c r="AM80" s="42">
        <v>0</v>
      </c>
      <c r="AN80" s="42">
        <v>0</v>
      </c>
      <c r="AO80" s="42">
        <v>0</v>
      </c>
      <c r="AP80" s="42">
        <v>0</v>
      </c>
      <c r="AQ80" s="42">
        <v>0</v>
      </c>
      <c r="AR80" s="42">
        <v>0</v>
      </c>
      <c r="AS80" s="42">
        <v>0</v>
      </c>
      <c r="AT80" s="42">
        <v>0</v>
      </c>
      <c r="AU80" s="42">
        <v>0</v>
      </c>
      <c r="AW80" s="42">
        <v>0</v>
      </c>
      <c r="AX80" s="42">
        <v>0</v>
      </c>
      <c r="AZ80" s="42">
        <v>0</v>
      </c>
      <c r="BA80" s="42">
        <v>0</v>
      </c>
      <c r="BB80" s="42">
        <v>0</v>
      </c>
      <c r="BC80" s="42">
        <v>0</v>
      </c>
      <c r="BD80" s="42">
        <v>0</v>
      </c>
      <c r="BE80" s="42">
        <v>0</v>
      </c>
      <c r="BF80" s="42">
        <v>0</v>
      </c>
      <c r="BG80" s="42">
        <v>0</v>
      </c>
      <c r="BH80" s="42">
        <v>0</v>
      </c>
      <c r="BI80" s="42">
        <v>0</v>
      </c>
      <c r="BJ80" s="42">
        <v>0</v>
      </c>
      <c r="BK80" s="42">
        <v>0</v>
      </c>
    </row>
    <row r="81" spans="1:63" x14ac:dyDescent="0.25">
      <c r="A81" t="s">
        <v>310</v>
      </c>
      <c r="B81" s="11">
        <v>45717</v>
      </c>
      <c r="C81" s="11" t="s">
        <v>5</v>
      </c>
      <c r="D81" t="s">
        <v>588</v>
      </c>
      <c r="G81" t="s">
        <v>312</v>
      </c>
      <c r="H81" t="s">
        <v>313</v>
      </c>
      <c r="I81" t="s">
        <v>97</v>
      </c>
      <c r="J81" s="10">
        <v>43234</v>
      </c>
      <c r="M81" t="s">
        <v>314</v>
      </c>
      <c r="N81" t="s">
        <v>552</v>
      </c>
      <c r="O81">
        <v>2394.67</v>
      </c>
      <c r="P81">
        <v>2394.67</v>
      </c>
      <c r="Q81" s="42">
        <v>0</v>
      </c>
      <c r="R81" s="42">
        <v>478.93</v>
      </c>
      <c r="S81" s="42">
        <v>0</v>
      </c>
      <c r="T81" s="42">
        <v>0</v>
      </c>
      <c r="U81" s="42">
        <v>0</v>
      </c>
      <c r="V81" s="42">
        <v>0</v>
      </c>
      <c r="W81" s="42">
        <v>0</v>
      </c>
      <c r="X81" s="42">
        <v>735.41</v>
      </c>
      <c r="Y81" s="42">
        <v>141.43</v>
      </c>
      <c r="Z81" s="42">
        <v>0</v>
      </c>
      <c r="AA81" s="42">
        <v>0</v>
      </c>
      <c r="AB81" s="42">
        <v>0</v>
      </c>
      <c r="AC81" s="42">
        <v>0</v>
      </c>
      <c r="AD81" s="42">
        <v>0</v>
      </c>
      <c r="AE81" s="42">
        <v>3750.4399999999996</v>
      </c>
      <c r="AF81" s="42">
        <v>200</v>
      </c>
      <c r="AG81" s="42">
        <v>190</v>
      </c>
      <c r="AI81" s="42">
        <v>0</v>
      </c>
      <c r="AJ81" s="42">
        <v>0</v>
      </c>
      <c r="AK81" s="42">
        <v>0</v>
      </c>
      <c r="AL81" s="42">
        <v>0</v>
      </c>
      <c r="AM81" s="42">
        <v>0</v>
      </c>
      <c r="AN81" s="42">
        <v>0</v>
      </c>
      <c r="AO81" s="42">
        <v>0</v>
      </c>
      <c r="AP81" s="42">
        <v>0</v>
      </c>
      <c r="AQ81" s="42">
        <v>620</v>
      </c>
      <c r="AR81" s="42">
        <v>0</v>
      </c>
      <c r="AS81" s="42">
        <v>0</v>
      </c>
      <c r="AT81" s="42">
        <v>0</v>
      </c>
      <c r="AU81" s="42">
        <v>0</v>
      </c>
      <c r="AW81" s="42">
        <v>1010</v>
      </c>
      <c r="AX81" s="42">
        <v>4760.4399999999996</v>
      </c>
      <c r="AZ81" s="42">
        <v>4760.4399999999996</v>
      </c>
      <c r="BA81" s="42">
        <v>312.53666666666663</v>
      </c>
      <c r="BB81" s="42">
        <v>312.53666666666663</v>
      </c>
      <c r="BC81" s="42">
        <v>104.17888888888888</v>
      </c>
      <c r="BD81" s="42">
        <v>729.25222222222214</v>
      </c>
      <c r="BE81" s="42">
        <v>774.03</v>
      </c>
      <c r="BF81" s="42">
        <v>58.05</v>
      </c>
      <c r="BG81" s="42">
        <v>224.46</v>
      </c>
      <c r="BH81" s="42">
        <v>309.61</v>
      </c>
      <c r="BI81" s="42">
        <v>1366.15</v>
      </c>
      <c r="BJ81" s="42">
        <v>6126.59</v>
      </c>
      <c r="BK81" s="42">
        <v>6855.8422222222225</v>
      </c>
    </row>
    <row r="82" spans="1:63" x14ac:dyDescent="0.25">
      <c r="A82" t="s">
        <v>316</v>
      </c>
      <c r="B82" s="11">
        <v>45717</v>
      </c>
      <c r="C82" s="11" t="s">
        <v>5</v>
      </c>
      <c r="D82" t="s">
        <v>588</v>
      </c>
      <c r="G82" t="s">
        <v>312</v>
      </c>
      <c r="H82" t="s">
        <v>313</v>
      </c>
      <c r="I82" t="s">
        <v>317</v>
      </c>
      <c r="J82" s="10">
        <v>43761</v>
      </c>
      <c r="M82" t="s">
        <v>318</v>
      </c>
      <c r="N82" t="s">
        <v>319</v>
      </c>
      <c r="O82">
        <v>0</v>
      </c>
      <c r="P82">
        <v>0</v>
      </c>
      <c r="Q82" s="42">
        <v>4004.29</v>
      </c>
      <c r="R82" s="42">
        <v>0</v>
      </c>
      <c r="S82" s="42">
        <v>0</v>
      </c>
      <c r="T82" s="42">
        <v>0</v>
      </c>
      <c r="U82" s="42">
        <v>0</v>
      </c>
      <c r="V82" s="42">
        <v>0</v>
      </c>
      <c r="W82" s="42">
        <v>0</v>
      </c>
      <c r="X82" s="42">
        <v>0</v>
      </c>
      <c r="Y82" s="42">
        <v>0</v>
      </c>
      <c r="Z82" s="42">
        <v>3286.81</v>
      </c>
      <c r="AA82" s="42">
        <v>657.36</v>
      </c>
      <c r="AB82" s="42">
        <v>0</v>
      </c>
      <c r="AC82" s="42">
        <v>0</v>
      </c>
      <c r="AD82" s="42">
        <v>0</v>
      </c>
      <c r="AE82" s="42">
        <v>7948.46</v>
      </c>
      <c r="AF82" s="42">
        <v>200</v>
      </c>
      <c r="AG82" s="42">
        <v>190</v>
      </c>
      <c r="AI82" s="42">
        <v>0</v>
      </c>
      <c r="AJ82" s="42">
        <v>0</v>
      </c>
      <c r="AK82" s="42">
        <v>0</v>
      </c>
      <c r="AL82" s="42">
        <v>0</v>
      </c>
      <c r="AM82" s="42">
        <v>438.24</v>
      </c>
      <c r="AN82" s="42">
        <v>0</v>
      </c>
      <c r="AO82" s="42">
        <v>0</v>
      </c>
      <c r="AP82" s="42">
        <v>0</v>
      </c>
      <c r="AQ82" s="42">
        <v>0</v>
      </c>
      <c r="AR82" s="42">
        <v>0</v>
      </c>
      <c r="AS82" s="42">
        <v>0</v>
      </c>
      <c r="AT82" s="42">
        <v>0</v>
      </c>
      <c r="AU82" s="42">
        <v>0</v>
      </c>
      <c r="AW82" s="42">
        <v>828.24</v>
      </c>
      <c r="AX82" s="42">
        <v>8776.7000000000007</v>
      </c>
      <c r="AZ82" s="42">
        <v>8776.7000000000007</v>
      </c>
      <c r="BA82" s="42">
        <v>662.37166666666667</v>
      </c>
      <c r="BB82" s="42">
        <v>662.37166666666667</v>
      </c>
      <c r="BC82" s="42">
        <v>220.79055555555556</v>
      </c>
      <c r="BD82" s="42">
        <v>1545.5338888888889</v>
      </c>
      <c r="BE82" s="42">
        <v>1601.43</v>
      </c>
      <c r="BF82" s="42">
        <v>120.1</v>
      </c>
      <c r="BG82" s="42">
        <v>464.41</v>
      </c>
      <c r="BH82" s="42">
        <v>640.57000000000005</v>
      </c>
      <c r="BI82" s="42">
        <v>2826.51</v>
      </c>
      <c r="BJ82" s="42">
        <v>11603.210000000001</v>
      </c>
      <c r="BK82" s="42">
        <v>13148.74388888889</v>
      </c>
    </row>
    <row r="83" spans="1:63" x14ac:dyDescent="0.25">
      <c r="A83" t="s">
        <v>320</v>
      </c>
      <c r="B83" s="11">
        <v>45717</v>
      </c>
      <c r="C83" s="11" t="s">
        <v>5</v>
      </c>
      <c r="D83" t="s">
        <v>588</v>
      </c>
      <c r="G83" t="s">
        <v>312</v>
      </c>
      <c r="H83" t="s">
        <v>313</v>
      </c>
      <c r="I83" t="s">
        <v>97</v>
      </c>
      <c r="J83" s="10">
        <v>43888</v>
      </c>
      <c r="M83" t="s">
        <v>314</v>
      </c>
      <c r="N83" t="s">
        <v>552</v>
      </c>
      <c r="O83">
        <v>2394.67</v>
      </c>
      <c r="P83">
        <v>2394.67</v>
      </c>
      <c r="Q83" s="42">
        <v>0</v>
      </c>
      <c r="R83" s="42">
        <v>478.93</v>
      </c>
      <c r="S83" s="42">
        <v>0</v>
      </c>
      <c r="T83" s="42">
        <v>0</v>
      </c>
      <c r="U83" s="42">
        <v>0</v>
      </c>
      <c r="V83" s="42">
        <v>0</v>
      </c>
      <c r="W83" s="42">
        <v>0</v>
      </c>
      <c r="X83" s="42">
        <v>0</v>
      </c>
      <c r="Y83" s="42">
        <v>0</v>
      </c>
      <c r="Z83" s="42">
        <v>0</v>
      </c>
      <c r="AA83" s="42">
        <v>0</v>
      </c>
      <c r="AB83" s="42">
        <v>0</v>
      </c>
      <c r="AC83" s="42">
        <v>0</v>
      </c>
      <c r="AD83" s="42">
        <v>0</v>
      </c>
      <c r="AE83" s="42">
        <v>2873.6</v>
      </c>
      <c r="AF83" s="42">
        <v>200</v>
      </c>
      <c r="AG83" s="42">
        <v>190</v>
      </c>
      <c r="AI83" s="42">
        <v>0</v>
      </c>
      <c r="AJ83" s="42">
        <v>0</v>
      </c>
      <c r="AK83" s="42">
        <v>0</v>
      </c>
      <c r="AL83" s="42">
        <v>0</v>
      </c>
      <c r="AM83" s="42">
        <v>612</v>
      </c>
      <c r="AN83" s="42">
        <v>0</v>
      </c>
      <c r="AO83" s="42">
        <v>0</v>
      </c>
      <c r="AP83" s="42">
        <v>0</v>
      </c>
      <c r="AQ83" s="42">
        <v>1050</v>
      </c>
      <c r="AR83" s="42">
        <v>0</v>
      </c>
      <c r="AS83" s="42">
        <v>0</v>
      </c>
      <c r="AT83" s="42">
        <v>0</v>
      </c>
      <c r="AU83" s="42">
        <v>0</v>
      </c>
      <c r="AW83" s="42">
        <v>2052</v>
      </c>
      <c r="AX83" s="42">
        <v>4925.6000000000004</v>
      </c>
      <c r="AZ83" s="42">
        <v>4925.6000000000004</v>
      </c>
      <c r="BA83" s="42">
        <v>239.46666666666667</v>
      </c>
      <c r="BB83" s="42">
        <v>239.46666666666667</v>
      </c>
      <c r="BC83" s="42">
        <v>79.822222222222223</v>
      </c>
      <c r="BD83" s="42">
        <v>558.75555555555559</v>
      </c>
      <c r="BE83" s="42">
        <v>598.66999999999996</v>
      </c>
      <c r="BF83" s="42">
        <v>44.89</v>
      </c>
      <c r="BG83" s="42">
        <v>173.61</v>
      </c>
      <c r="BH83" s="42">
        <v>239.46</v>
      </c>
      <c r="BI83" s="42">
        <v>1056.6299999999999</v>
      </c>
      <c r="BJ83" s="42">
        <v>5982.2300000000005</v>
      </c>
      <c r="BK83" s="42">
        <v>6540.9855555555559</v>
      </c>
    </row>
    <row r="84" spans="1:63" x14ac:dyDescent="0.25">
      <c r="A84" t="s">
        <v>321</v>
      </c>
      <c r="B84" s="11">
        <v>45717</v>
      </c>
      <c r="C84" s="11" t="s">
        <v>5</v>
      </c>
      <c r="D84" t="s">
        <v>588</v>
      </c>
      <c r="G84" t="s">
        <v>312</v>
      </c>
      <c r="H84" t="s">
        <v>313</v>
      </c>
      <c r="I84" t="s">
        <v>218</v>
      </c>
      <c r="J84" s="10">
        <v>44267</v>
      </c>
      <c r="M84" t="s">
        <v>322</v>
      </c>
      <c r="N84" t="s">
        <v>342</v>
      </c>
      <c r="O84">
        <v>2231.46</v>
      </c>
      <c r="P84">
        <v>2231.46</v>
      </c>
      <c r="Q84" s="42">
        <v>0</v>
      </c>
      <c r="R84" s="42">
        <v>0</v>
      </c>
      <c r="S84" s="42">
        <v>0</v>
      </c>
      <c r="T84" s="42">
        <v>0</v>
      </c>
      <c r="U84" s="42">
        <v>0</v>
      </c>
      <c r="V84" s="42">
        <v>0</v>
      </c>
      <c r="W84" s="42">
        <v>0</v>
      </c>
      <c r="X84" s="42">
        <v>0</v>
      </c>
      <c r="Y84" s="42">
        <v>0</v>
      </c>
      <c r="Z84" s="42">
        <v>0</v>
      </c>
      <c r="AA84" s="42">
        <v>0</v>
      </c>
      <c r="AB84" s="42">
        <v>0</v>
      </c>
      <c r="AC84" s="42">
        <v>0</v>
      </c>
      <c r="AD84" s="42">
        <v>0</v>
      </c>
      <c r="AE84" s="42">
        <v>2231.46</v>
      </c>
      <c r="AF84" s="42">
        <v>200</v>
      </c>
      <c r="AG84" s="42">
        <v>190</v>
      </c>
      <c r="AI84" s="42">
        <v>0</v>
      </c>
      <c r="AJ84" s="42">
        <v>0</v>
      </c>
      <c r="AK84" s="42">
        <v>0</v>
      </c>
      <c r="AL84" s="42">
        <v>0</v>
      </c>
      <c r="AM84" s="42">
        <v>0</v>
      </c>
      <c r="AN84" s="42">
        <v>0</v>
      </c>
      <c r="AO84" s="42">
        <v>0</v>
      </c>
      <c r="AP84" s="42">
        <v>0</v>
      </c>
      <c r="AQ84" s="42">
        <v>0</v>
      </c>
      <c r="AR84" s="42">
        <v>0</v>
      </c>
      <c r="AS84" s="42">
        <v>0</v>
      </c>
      <c r="AT84" s="42">
        <v>0</v>
      </c>
      <c r="AU84" s="42">
        <v>0</v>
      </c>
      <c r="AW84" s="42">
        <v>390</v>
      </c>
      <c r="AX84" s="42">
        <v>2621.46</v>
      </c>
      <c r="AZ84" s="42">
        <v>2621.46</v>
      </c>
      <c r="BA84" s="42">
        <v>185.95500000000001</v>
      </c>
      <c r="BB84" s="42">
        <v>185.95500000000001</v>
      </c>
      <c r="BC84" s="42">
        <v>61.985000000000007</v>
      </c>
      <c r="BD84" s="42">
        <v>433.89500000000004</v>
      </c>
      <c r="BE84" s="42">
        <v>468.61</v>
      </c>
      <c r="BF84" s="42">
        <v>35.14</v>
      </c>
      <c r="BG84" s="42">
        <v>135.88999999999999</v>
      </c>
      <c r="BH84" s="42">
        <v>187.44</v>
      </c>
      <c r="BI84" s="42">
        <v>827.07999999999993</v>
      </c>
      <c r="BJ84" s="42">
        <v>3448.54</v>
      </c>
      <c r="BK84" s="42">
        <v>3882.4349999999999</v>
      </c>
    </row>
    <row r="85" spans="1:63" x14ac:dyDescent="0.25">
      <c r="A85" t="s">
        <v>324</v>
      </c>
      <c r="B85" s="11">
        <v>45717</v>
      </c>
      <c r="C85" s="11" t="s">
        <v>5</v>
      </c>
      <c r="D85" t="s">
        <v>588</v>
      </c>
      <c r="G85" t="s">
        <v>312</v>
      </c>
      <c r="H85" t="s">
        <v>444</v>
      </c>
      <c r="I85" t="s">
        <v>218</v>
      </c>
      <c r="J85" s="10">
        <v>43866</v>
      </c>
      <c r="M85" t="s">
        <v>211</v>
      </c>
      <c r="N85" t="s">
        <v>589</v>
      </c>
      <c r="O85">
        <v>2399.6999999999998</v>
      </c>
      <c r="P85">
        <v>2399.6999999999998</v>
      </c>
      <c r="Q85" s="42">
        <v>0</v>
      </c>
      <c r="R85" s="42">
        <v>0</v>
      </c>
      <c r="S85" s="42">
        <v>0</v>
      </c>
      <c r="T85" s="42">
        <v>0</v>
      </c>
      <c r="U85" s="42">
        <v>0</v>
      </c>
      <c r="V85" s="42">
        <v>0</v>
      </c>
      <c r="W85" s="42">
        <v>0</v>
      </c>
      <c r="X85" s="42">
        <v>0</v>
      </c>
      <c r="Y85" s="42">
        <v>0</v>
      </c>
      <c r="Z85" s="42">
        <v>0</v>
      </c>
      <c r="AA85" s="42">
        <v>0</v>
      </c>
      <c r="AB85" s="42">
        <v>0</v>
      </c>
      <c r="AC85" s="42">
        <v>0</v>
      </c>
      <c r="AD85" s="42">
        <v>0</v>
      </c>
      <c r="AE85" s="42">
        <v>2399.6999999999998</v>
      </c>
      <c r="AF85" s="42">
        <v>200</v>
      </c>
      <c r="AG85" s="42">
        <v>190</v>
      </c>
      <c r="AI85" s="42">
        <v>0</v>
      </c>
      <c r="AJ85" s="42">
        <v>0</v>
      </c>
      <c r="AK85" s="42">
        <v>0</v>
      </c>
      <c r="AL85" s="42">
        <v>0</v>
      </c>
      <c r="AM85" s="42">
        <v>0</v>
      </c>
      <c r="AN85" s="42">
        <v>0</v>
      </c>
      <c r="AO85" s="42">
        <v>0</v>
      </c>
      <c r="AP85" s="42">
        <v>0</v>
      </c>
      <c r="AQ85" s="42">
        <v>0</v>
      </c>
      <c r="AR85" s="42">
        <v>0</v>
      </c>
      <c r="AS85" s="42">
        <v>0</v>
      </c>
      <c r="AT85" s="42">
        <v>0</v>
      </c>
      <c r="AU85" s="42">
        <v>0</v>
      </c>
      <c r="AW85" s="42">
        <v>390</v>
      </c>
      <c r="AX85" s="42">
        <v>2789.7</v>
      </c>
      <c r="AZ85" s="42">
        <v>2789.7</v>
      </c>
      <c r="BA85" s="42">
        <v>199.97499999999999</v>
      </c>
      <c r="BB85" s="42">
        <v>199.97499999999999</v>
      </c>
      <c r="BC85" s="42">
        <v>66.658333333333331</v>
      </c>
      <c r="BD85" s="42">
        <v>466.60833333333335</v>
      </c>
      <c r="BE85" s="42">
        <v>479.94</v>
      </c>
      <c r="BF85" s="42">
        <v>35.99</v>
      </c>
      <c r="BG85" s="42">
        <v>139.18</v>
      </c>
      <c r="BH85" s="42">
        <v>191.97</v>
      </c>
      <c r="BI85" s="42">
        <v>847.07999999999993</v>
      </c>
      <c r="BJ85" s="42">
        <v>3636.7799999999997</v>
      </c>
      <c r="BK85" s="42">
        <v>4103.3883333333333</v>
      </c>
    </row>
    <row r="86" spans="1:63" x14ac:dyDescent="0.25">
      <c r="A86" t="s">
        <v>590</v>
      </c>
      <c r="B86" s="11">
        <v>45717</v>
      </c>
      <c r="C86" s="11" t="s">
        <v>5</v>
      </c>
      <c r="D86" t="s">
        <v>588</v>
      </c>
      <c r="G86" t="s">
        <v>312</v>
      </c>
      <c r="H86" t="s">
        <v>313</v>
      </c>
      <c r="I86" t="s">
        <v>329</v>
      </c>
      <c r="J86" s="10">
        <v>44868</v>
      </c>
      <c r="M86" t="s">
        <v>330</v>
      </c>
      <c r="N86" t="s">
        <v>591</v>
      </c>
      <c r="O86">
        <v>2205</v>
      </c>
      <c r="P86">
        <v>2205</v>
      </c>
      <c r="Q86" s="42">
        <v>0</v>
      </c>
      <c r="R86" s="42">
        <v>0</v>
      </c>
      <c r="S86" s="42">
        <v>0</v>
      </c>
      <c r="T86" s="42">
        <v>0</v>
      </c>
      <c r="U86" s="42">
        <v>0</v>
      </c>
      <c r="V86" s="42">
        <v>0</v>
      </c>
      <c r="W86" s="42">
        <v>0</v>
      </c>
      <c r="X86" s="42">
        <v>0</v>
      </c>
      <c r="Y86" s="42">
        <v>0</v>
      </c>
      <c r="Z86" s="42">
        <v>1199.31</v>
      </c>
      <c r="AA86" s="42">
        <v>230.64</v>
      </c>
      <c r="AB86" s="42">
        <v>0</v>
      </c>
      <c r="AC86" s="42">
        <v>0</v>
      </c>
      <c r="AD86" s="42">
        <v>0</v>
      </c>
      <c r="AE86" s="42">
        <v>3634.95</v>
      </c>
      <c r="AF86" s="42">
        <v>200</v>
      </c>
      <c r="AG86" s="42">
        <v>190</v>
      </c>
      <c r="AI86" s="42">
        <v>0</v>
      </c>
      <c r="AJ86" s="42">
        <v>0</v>
      </c>
      <c r="AK86" s="42">
        <v>0</v>
      </c>
      <c r="AL86" s="42">
        <v>0</v>
      </c>
      <c r="AM86" s="42">
        <v>158.88</v>
      </c>
      <c r="AN86" s="42">
        <v>0</v>
      </c>
      <c r="AO86" s="42">
        <v>0</v>
      </c>
      <c r="AP86" s="42">
        <v>0</v>
      </c>
      <c r="AQ86" s="42">
        <v>0</v>
      </c>
      <c r="AR86" s="42">
        <v>0</v>
      </c>
      <c r="AS86" s="42">
        <v>0</v>
      </c>
      <c r="AT86" s="42">
        <v>0</v>
      </c>
      <c r="AU86" s="42">
        <v>0</v>
      </c>
      <c r="AW86" s="42">
        <v>548.88</v>
      </c>
      <c r="AX86" s="42">
        <v>4183.83</v>
      </c>
      <c r="AZ86" s="42">
        <v>4183.83</v>
      </c>
      <c r="BA86" s="42">
        <v>302.91249999999997</v>
      </c>
      <c r="BB86" s="42">
        <v>302.91249999999997</v>
      </c>
      <c r="BC86" s="42">
        <v>100.97083333333332</v>
      </c>
      <c r="BD86" s="42">
        <v>706.79583333333323</v>
      </c>
      <c r="BE86" s="42">
        <v>726.99</v>
      </c>
      <c r="BF86" s="42">
        <v>54.52</v>
      </c>
      <c r="BG86" s="42">
        <v>210.82</v>
      </c>
      <c r="BH86" s="42">
        <v>290.79000000000002</v>
      </c>
      <c r="BI86" s="42">
        <v>1283.1199999999999</v>
      </c>
      <c r="BJ86" s="42">
        <v>5466.95</v>
      </c>
      <c r="BK86" s="42">
        <v>6173.7458333333334</v>
      </c>
    </row>
    <row r="87" spans="1:63" x14ac:dyDescent="0.25">
      <c r="A87" t="s">
        <v>592</v>
      </c>
      <c r="B87" s="11">
        <v>45717</v>
      </c>
      <c r="C87" s="11" t="s">
        <v>5</v>
      </c>
      <c r="D87" t="s">
        <v>588</v>
      </c>
      <c r="G87" t="s">
        <v>312</v>
      </c>
      <c r="H87" t="s">
        <v>313</v>
      </c>
      <c r="I87" t="s">
        <v>317</v>
      </c>
      <c r="J87" s="10">
        <v>42982</v>
      </c>
      <c r="K87" s="10">
        <v>45730</v>
      </c>
      <c r="M87" t="s">
        <v>318</v>
      </c>
      <c r="N87" t="s">
        <v>593</v>
      </c>
      <c r="O87">
        <v>4099.97</v>
      </c>
      <c r="P87">
        <v>0</v>
      </c>
      <c r="Q87" s="42">
        <v>0</v>
      </c>
      <c r="R87" s="42">
        <v>0</v>
      </c>
      <c r="S87" s="42">
        <v>0</v>
      </c>
      <c r="T87" s="42">
        <v>0</v>
      </c>
      <c r="U87" s="42">
        <v>0</v>
      </c>
      <c r="V87" s="42">
        <v>0</v>
      </c>
      <c r="W87" s="42">
        <v>0</v>
      </c>
      <c r="X87" s="42">
        <v>0</v>
      </c>
      <c r="Y87" s="42">
        <v>0</v>
      </c>
      <c r="Z87" s="42">
        <v>0</v>
      </c>
      <c r="AA87" s="42">
        <v>0</v>
      </c>
      <c r="AB87" s="42">
        <v>0</v>
      </c>
      <c r="AC87" s="42">
        <v>0</v>
      </c>
      <c r="AD87" s="42">
        <v>0</v>
      </c>
      <c r="AE87" s="42">
        <v>0</v>
      </c>
      <c r="AF87" s="42">
        <v>0</v>
      </c>
      <c r="AG87" s="42">
        <v>190</v>
      </c>
      <c r="AI87" s="42">
        <v>0</v>
      </c>
      <c r="AJ87" s="42">
        <v>0</v>
      </c>
      <c r="AK87" s="42">
        <v>0</v>
      </c>
      <c r="AL87" s="42">
        <v>0</v>
      </c>
      <c r="AM87" s="42">
        <v>0</v>
      </c>
      <c r="AN87" s="42">
        <v>0</v>
      </c>
      <c r="AO87" s="42">
        <v>0</v>
      </c>
      <c r="AP87" s="42">
        <v>0</v>
      </c>
      <c r="AQ87" s="42">
        <v>0</v>
      </c>
      <c r="AR87" s="42">
        <v>0</v>
      </c>
      <c r="AS87" s="42">
        <v>0</v>
      </c>
      <c r="AT87" s="42">
        <v>0</v>
      </c>
      <c r="AU87" s="42">
        <v>0</v>
      </c>
      <c r="AW87" s="42">
        <v>190</v>
      </c>
      <c r="AX87" s="42">
        <v>190</v>
      </c>
      <c r="AZ87" s="42">
        <v>190</v>
      </c>
      <c r="BA87" s="42">
        <v>0</v>
      </c>
      <c r="BB87" s="42">
        <v>0</v>
      </c>
      <c r="BC87" s="42">
        <v>0</v>
      </c>
      <c r="BD87" s="42">
        <v>0</v>
      </c>
      <c r="BE87" s="42">
        <v>382.66</v>
      </c>
      <c r="BF87" s="42">
        <v>28.69</v>
      </c>
      <c r="BG87" s="42">
        <v>110.97</v>
      </c>
      <c r="BH87" s="42">
        <v>153.06</v>
      </c>
      <c r="BI87" s="42">
        <v>675.38000000000011</v>
      </c>
      <c r="BJ87" s="42">
        <v>865.38000000000011</v>
      </c>
      <c r="BK87" s="42">
        <v>865.38000000000011</v>
      </c>
    </row>
    <row r="88" spans="1:63" x14ac:dyDescent="0.25">
      <c r="A88" t="s">
        <v>326</v>
      </c>
      <c r="B88" s="11">
        <v>45717</v>
      </c>
      <c r="C88" s="11" t="s">
        <v>5</v>
      </c>
      <c r="D88" t="s">
        <v>588</v>
      </c>
      <c r="G88" t="s">
        <v>312</v>
      </c>
      <c r="H88" t="s">
        <v>313</v>
      </c>
      <c r="I88" t="s">
        <v>88</v>
      </c>
      <c r="J88" s="10">
        <v>44378</v>
      </c>
      <c r="M88" t="s">
        <v>327</v>
      </c>
      <c r="N88" t="s">
        <v>504</v>
      </c>
      <c r="O88">
        <v>1979.25</v>
      </c>
      <c r="P88">
        <v>1979.25</v>
      </c>
      <c r="Q88" s="42">
        <v>0</v>
      </c>
      <c r="R88" s="42">
        <v>0</v>
      </c>
      <c r="S88" s="42">
        <v>0</v>
      </c>
      <c r="T88" s="42">
        <v>0</v>
      </c>
      <c r="U88" s="42">
        <v>0</v>
      </c>
      <c r="V88" s="42">
        <v>0</v>
      </c>
      <c r="W88" s="42">
        <v>0</v>
      </c>
      <c r="X88" s="42">
        <v>0</v>
      </c>
      <c r="Y88" s="42">
        <v>0</v>
      </c>
      <c r="Z88" s="42">
        <v>0</v>
      </c>
      <c r="AA88" s="42">
        <v>0</v>
      </c>
      <c r="AB88" s="42">
        <v>0</v>
      </c>
      <c r="AC88" s="42">
        <v>0</v>
      </c>
      <c r="AD88" s="42">
        <v>0</v>
      </c>
      <c r="AE88" s="42">
        <v>1979.25</v>
      </c>
      <c r="AF88" s="42">
        <v>200</v>
      </c>
      <c r="AG88" s="42">
        <v>190</v>
      </c>
      <c r="AI88" s="42">
        <v>0</v>
      </c>
      <c r="AJ88" s="42">
        <v>0</v>
      </c>
      <c r="AK88" s="42">
        <v>0</v>
      </c>
      <c r="AL88" s="42">
        <v>0</v>
      </c>
      <c r="AM88" s="42">
        <v>0</v>
      </c>
      <c r="AN88" s="42">
        <v>0</v>
      </c>
      <c r="AO88" s="42">
        <v>0</v>
      </c>
      <c r="AP88" s="42">
        <v>0</v>
      </c>
      <c r="AQ88" s="42">
        <v>0</v>
      </c>
      <c r="AR88" s="42">
        <v>0</v>
      </c>
      <c r="AS88" s="42">
        <v>0</v>
      </c>
      <c r="AT88" s="42">
        <v>0</v>
      </c>
      <c r="AU88" s="42">
        <v>0</v>
      </c>
      <c r="AW88" s="42">
        <v>390</v>
      </c>
      <c r="AX88" s="42">
        <v>2369.25</v>
      </c>
      <c r="AY88" s="42">
        <v>2097</v>
      </c>
      <c r="AZ88" s="42">
        <v>4466.25</v>
      </c>
      <c r="BA88" s="42">
        <v>164.9375</v>
      </c>
      <c r="BB88" s="42">
        <v>164.9375</v>
      </c>
      <c r="BC88" s="42">
        <v>54.979166666666664</v>
      </c>
      <c r="BD88" s="42">
        <v>384.85416666666669</v>
      </c>
      <c r="BE88" s="42">
        <v>395.85</v>
      </c>
      <c r="BF88" s="42">
        <v>29.68</v>
      </c>
      <c r="BG88" s="42">
        <v>114.79</v>
      </c>
      <c r="BH88" s="42">
        <v>158.34</v>
      </c>
      <c r="BI88" s="42">
        <v>698.66000000000008</v>
      </c>
      <c r="BJ88" s="42">
        <v>5164.91</v>
      </c>
      <c r="BK88" s="42">
        <v>5549.7641666666668</v>
      </c>
    </row>
    <row r="89" spans="1:63" x14ac:dyDescent="0.25">
      <c r="A89" t="s">
        <v>328</v>
      </c>
      <c r="B89" s="11">
        <v>45717</v>
      </c>
      <c r="C89" s="11" t="s">
        <v>5</v>
      </c>
      <c r="D89" t="s">
        <v>588</v>
      </c>
      <c r="G89" t="s">
        <v>312</v>
      </c>
      <c r="H89" t="s">
        <v>313</v>
      </c>
      <c r="I89" t="s">
        <v>329</v>
      </c>
      <c r="J89" s="10">
        <v>41786</v>
      </c>
      <c r="M89" t="s">
        <v>330</v>
      </c>
      <c r="N89" t="s">
        <v>506</v>
      </c>
      <c r="O89">
        <v>2236.4899999999998</v>
      </c>
      <c r="P89">
        <v>2087.39</v>
      </c>
      <c r="Q89" s="42">
        <v>245.55</v>
      </c>
      <c r="R89" s="42">
        <v>417.48</v>
      </c>
      <c r="S89" s="42">
        <v>0</v>
      </c>
      <c r="T89" s="42">
        <v>0</v>
      </c>
      <c r="U89" s="42">
        <v>0</v>
      </c>
      <c r="V89" s="42">
        <v>0</v>
      </c>
      <c r="W89" s="42">
        <v>0</v>
      </c>
      <c r="X89" s="42">
        <v>78.069999999999993</v>
      </c>
      <c r="Y89" s="42">
        <v>12.49</v>
      </c>
      <c r="Z89" s="42">
        <v>0</v>
      </c>
      <c r="AA89" s="42">
        <v>0</v>
      </c>
      <c r="AB89" s="42">
        <v>0</v>
      </c>
      <c r="AC89" s="42">
        <v>0</v>
      </c>
      <c r="AD89" s="42">
        <v>0</v>
      </c>
      <c r="AE89" s="42">
        <v>2840.98</v>
      </c>
      <c r="AF89" s="42">
        <v>200</v>
      </c>
      <c r="AG89" s="42">
        <v>190</v>
      </c>
      <c r="AI89" s="42">
        <v>0</v>
      </c>
      <c r="AJ89" s="42">
        <v>0</v>
      </c>
      <c r="AK89" s="42">
        <v>0</v>
      </c>
      <c r="AL89" s="42">
        <v>0</v>
      </c>
      <c r="AM89" s="42">
        <v>0</v>
      </c>
      <c r="AN89" s="42">
        <v>0</v>
      </c>
      <c r="AO89" s="42">
        <v>0</v>
      </c>
      <c r="AP89" s="42">
        <v>0</v>
      </c>
      <c r="AQ89" s="42">
        <v>0</v>
      </c>
      <c r="AR89" s="42">
        <v>0</v>
      </c>
      <c r="AS89" s="42">
        <v>1104.95</v>
      </c>
      <c r="AT89" s="42">
        <v>0</v>
      </c>
      <c r="AU89" s="42">
        <v>0</v>
      </c>
      <c r="AW89" s="42">
        <v>1494.95</v>
      </c>
      <c r="AX89" s="42">
        <v>4335.93</v>
      </c>
      <c r="AZ89" s="42">
        <v>4335.93</v>
      </c>
      <c r="BA89" s="42">
        <v>236.74833333333333</v>
      </c>
      <c r="BB89" s="42">
        <v>236.74833333333333</v>
      </c>
      <c r="BC89" s="42">
        <v>78.916111111111107</v>
      </c>
      <c r="BD89" s="42">
        <v>552.41277777777782</v>
      </c>
      <c r="BE89" s="42">
        <v>568.20000000000005</v>
      </c>
      <c r="BF89" s="42">
        <v>42.61</v>
      </c>
      <c r="BG89" s="42">
        <v>164.77</v>
      </c>
      <c r="BH89" s="42">
        <v>227.27</v>
      </c>
      <c r="BI89" s="42">
        <v>1002.85</v>
      </c>
      <c r="BJ89" s="42">
        <v>5338.7800000000007</v>
      </c>
      <c r="BK89" s="42">
        <v>5891.1927777777782</v>
      </c>
    </row>
    <row r="90" spans="1:63" x14ac:dyDescent="0.25">
      <c r="A90" t="s">
        <v>332</v>
      </c>
      <c r="B90" s="11">
        <v>45717</v>
      </c>
      <c r="C90" s="11" t="s">
        <v>5</v>
      </c>
      <c r="D90" t="s">
        <v>588</v>
      </c>
      <c r="G90" t="s">
        <v>312</v>
      </c>
      <c r="H90" t="s">
        <v>313</v>
      </c>
      <c r="I90" t="s">
        <v>88</v>
      </c>
      <c r="J90" s="10">
        <v>45238</v>
      </c>
      <c r="M90" t="s">
        <v>327</v>
      </c>
      <c r="N90" t="s">
        <v>504</v>
      </c>
      <c r="O90">
        <v>1979.25</v>
      </c>
      <c r="P90">
        <v>1979.25</v>
      </c>
      <c r="Q90" s="42">
        <v>0</v>
      </c>
      <c r="R90" s="42">
        <v>0</v>
      </c>
      <c r="S90" s="42">
        <v>0</v>
      </c>
      <c r="T90" s="42">
        <v>0</v>
      </c>
      <c r="U90" s="42">
        <v>0</v>
      </c>
      <c r="V90" s="42">
        <v>0</v>
      </c>
      <c r="W90" s="42">
        <v>0</v>
      </c>
      <c r="X90" s="42">
        <v>120.43</v>
      </c>
      <c r="Y90" s="42">
        <v>23.16</v>
      </c>
      <c r="Z90" s="42">
        <v>0</v>
      </c>
      <c r="AA90" s="42">
        <v>0</v>
      </c>
      <c r="AB90" s="42">
        <v>0</v>
      </c>
      <c r="AC90" s="42">
        <v>0</v>
      </c>
      <c r="AD90" s="42">
        <v>0</v>
      </c>
      <c r="AE90" s="42">
        <v>2122.8399999999997</v>
      </c>
      <c r="AF90" s="42">
        <v>200</v>
      </c>
      <c r="AG90" s="42">
        <v>190</v>
      </c>
      <c r="AI90" s="42">
        <v>0</v>
      </c>
      <c r="AJ90" s="42">
        <v>0</v>
      </c>
      <c r="AK90" s="42">
        <v>0</v>
      </c>
      <c r="AL90" s="42">
        <v>0</v>
      </c>
      <c r="AM90" s="42">
        <v>215</v>
      </c>
      <c r="AN90" s="42">
        <v>0</v>
      </c>
      <c r="AO90" s="42">
        <v>0</v>
      </c>
      <c r="AP90" s="42">
        <v>0</v>
      </c>
      <c r="AQ90" s="42">
        <v>0</v>
      </c>
      <c r="AR90" s="42">
        <v>0</v>
      </c>
      <c r="AS90" s="42">
        <v>0</v>
      </c>
      <c r="AT90" s="42">
        <v>0</v>
      </c>
      <c r="AU90" s="42">
        <v>0</v>
      </c>
      <c r="AW90" s="42">
        <v>605</v>
      </c>
      <c r="AX90" s="42">
        <v>2727.8399999999997</v>
      </c>
      <c r="AZ90" s="42">
        <v>2727.8399999999997</v>
      </c>
      <c r="BA90" s="42">
        <v>176.90333333333331</v>
      </c>
      <c r="BB90" s="42">
        <v>176.90333333333331</v>
      </c>
      <c r="BC90" s="42">
        <v>58.967777777777769</v>
      </c>
      <c r="BD90" s="42">
        <v>412.77444444444438</v>
      </c>
      <c r="BE90" s="42">
        <v>424.57</v>
      </c>
      <c r="BF90" s="42">
        <v>31.84</v>
      </c>
      <c r="BG90" s="42">
        <v>123.12</v>
      </c>
      <c r="BH90" s="42">
        <v>169.82</v>
      </c>
      <c r="BI90" s="42">
        <v>749.34999999999991</v>
      </c>
      <c r="BJ90" s="42">
        <v>3477.1899999999996</v>
      </c>
      <c r="BK90" s="42">
        <v>3889.9644444444439</v>
      </c>
    </row>
    <row r="91" spans="1:63" x14ac:dyDescent="0.25">
      <c r="A91" t="s">
        <v>334</v>
      </c>
      <c r="B91" s="11">
        <v>45717</v>
      </c>
      <c r="C91" s="11" t="s">
        <v>5</v>
      </c>
      <c r="D91" t="s">
        <v>588</v>
      </c>
      <c r="G91" t="s">
        <v>312</v>
      </c>
      <c r="H91" t="s">
        <v>313</v>
      </c>
      <c r="I91" t="s">
        <v>329</v>
      </c>
      <c r="J91" s="10">
        <v>45021</v>
      </c>
      <c r="M91" t="s">
        <v>330</v>
      </c>
      <c r="N91" t="s">
        <v>504</v>
      </c>
      <c r="O91">
        <v>1979.25</v>
      </c>
      <c r="P91">
        <v>1055.5999999999999</v>
      </c>
      <c r="Q91" s="42">
        <v>1263.49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2319.09</v>
      </c>
      <c r="AF91" s="42">
        <v>200</v>
      </c>
      <c r="AG91" s="42">
        <v>190</v>
      </c>
      <c r="AI91" s="42">
        <v>0</v>
      </c>
      <c r="AJ91" s="42">
        <v>0</v>
      </c>
      <c r="AK91" s="42">
        <v>0</v>
      </c>
      <c r="AL91" s="42">
        <v>0</v>
      </c>
      <c r="AM91" s="42">
        <v>215</v>
      </c>
      <c r="AN91" s="42">
        <v>0</v>
      </c>
      <c r="AO91" s="42">
        <v>0</v>
      </c>
      <c r="AP91" s="42">
        <v>0</v>
      </c>
      <c r="AQ91" s="42">
        <v>0</v>
      </c>
      <c r="AR91" s="42">
        <v>0</v>
      </c>
      <c r="AS91" s="42">
        <v>722</v>
      </c>
      <c r="AT91" s="42">
        <v>0</v>
      </c>
      <c r="AU91" s="42">
        <v>0</v>
      </c>
      <c r="AW91" s="42">
        <v>1327</v>
      </c>
      <c r="AX91" s="42">
        <v>3646.09</v>
      </c>
      <c r="AZ91" s="42">
        <v>3646.09</v>
      </c>
      <c r="BA91" s="42">
        <v>193.25750000000002</v>
      </c>
      <c r="BB91" s="42">
        <v>193.25750000000002</v>
      </c>
      <c r="BC91" s="42">
        <v>64.419166666666669</v>
      </c>
      <c r="BD91" s="42">
        <v>450.93416666666673</v>
      </c>
      <c r="BE91" s="42">
        <v>463.82</v>
      </c>
      <c r="BF91" s="42">
        <v>34.78</v>
      </c>
      <c r="BG91" s="42">
        <v>134.5</v>
      </c>
      <c r="BH91" s="42">
        <v>185.52</v>
      </c>
      <c r="BI91" s="42">
        <v>818.62</v>
      </c>
      <c r="BJ91" s="42">
        <v>4464.71</v>
      </c>
      <c r="BK91" s="42">
        <v>4915.6441666666669</v>
      </c>
    </row>
    <row r="92" spans="1:63" x14ac:dyDescent="0.25">
      <c r="A92" t="s">
        <v>553</v>
      </c>
      <c r="B92" s="11">
        <v>45717</v>
      </c>
      <c r="C92" s="11" t="s">
        <v>5</v>
      </c>
      <c r="D92" t="s">
        <v>588</v>
      </c>
      <c r="G92" t="s">
        <v>312</v>
      </c>
      <c r="H92" t="s">
        <v>313</v>
      </c>
      <c r="I92" t="s">
        <v>88</v>
      </c>
      <c r="J92" s="10">
        <v>44956</v>
      </c>
      <c r="M92" t="s">
        <v>327</v>
      </c>
      <c r="N92" t="s">
        <v>504</v>
      </c>
      <c r="O92">
        <v>1979.25</v>
      </c>
      <c r="P92">
        <v>1979.25</v>
      </c>
      <c r="Q92" s="42">
        <v>0</v>
      </c>
      <c r="R92" s="42">
        <v>0</v>
      </c>
      <c r="S92" s="42">
        <v>0</v>
      </c>
      <c r="T92" s="42">
        <v>0</v>
      </c>
      <c r="U92" s="42">
        <v>0</v>
      </c>
      <c r="V92" s="42">
        <v>0</v>
      </c>
      <c r="W92" s="42">
        <v>0</v>
      </c>
      <c r="X92" s="42">
        <v>57.58</v>
      </c>
      <c r="Y92" s="42">
        <v>11.07</v>
      </c>
      <c r="Z92" s="42">
        <v>0</v>
      </c>
      <c r="AA92" s="42">
        <v>0</v>
      </c>
      <c r="AB92" s="42">
        <v>0</v>
      </c>
      <c r="AC92" s="42">
        <v>0</v>
      </c>
      <c r="AD92" s="42">
        <v>0</v>
      </c>
      <c r="AE92" s="42">
        <v>2047.8999999999999</v>
      </c>
      <c r="AF92" s="42">
        <v>200</v>
      </c>
      <c r="AG92" s="42">
        <v>190</v>
      </c>
      <c r="AI92" s="42">
        <v>0</v>
      </c>
      <c r="AJ92" s="42">
        <v>0</v>
      </c>
      <c r="AK92" s="42">
        <v>0</v>
      </c>
      <c r="AL92" s="42">
        <v>0</v>
      </c>
      <c r="AM92" s="42">
        <v>215</v>
      </c>
      <c r="AN92" s="42">
        <v>0</v>
      </c>
      <c r="AO92" s="42">
        <v>0</v>
      </c>
      <c r="AP92" s="42">
        <v>0</v>
      </c>
      <c r="AQ92" s="42">
        <v>0</v>
      </c>
      <c r="AR92" s="42">
        <v>0</v>
      </c>
      <c r="AS92" s="42">
        <v>0</v>
      </c>
      <c r="AT92" s="42">
        <v>0</v>
      </c>
      <c r="AU92" s="42">
        <v>0</v>
      </c>
      <c r="AW92" s="42">
        <v>605</v>
      </c>
      <c r="AX92" s="42">
        <v>2652.8999999999996</v>
      </c>
      <c r="AZ92" s="42">
        <v>2652.8999999999996</v>
      </c>
      <c r="BA92" s="42">
        <v>170.65833333333333</v>
      </c>
      <c r="BB92" s="42">
        <v>170.65833333333333</v>
      </c>
      <c r="BC92" s="42">
        <v>56.886111111111113</v>
      </c>
      <c r="BD92" s="42">
        <v>398.20277777777778</v>
      </c>
      <c r="BE92" s="42">
        <v>409.58</v>
      </c>
      <c r="BF92" s="42">
        <v>30.71</v>
      </c>
      <c r="BG92" s="42">
        <v>118.77</v>
      </c>
      <c r="BH92" s="42">
        <v>163.83000000000001</v>
      </c>
      <c r="BI92" s="42">
        <v>722.89</v>
      </c>
      <c r="BJ92" s="42">
        <v>3375.7899999999995</v>
      </c>
      <c r="BK92" s="42">
        <v>3773.9927777777775</v>
      </c>
    </row>
    <row r="93" spans="1:63" x14ac:dyDescent="0.25">
      <c r="A93" t="s">
        <v>335</v>
      </c>
      <c r="B93" s="11">
        <v>45717</v>
      </c>
      <c r="C93" s="11" t="s">
        <v>5</v>
      </c>
      <c r="D93" t="s">
        <v>588</v>
      </c>
      <c r="G93" t="s">
        <v>312</v>
      </c>
      <c r="H93" t="s">
        <v>313</v>
      </c>
      <c r="I93" t="s">
        <v>317</v>
      </c>
      <c r="J93" s="10">
        <v>45671</v>
      </c>
      <c r="M93" t="s">
        <v>318</v>
      </c>
      <c r="N93" t="s">
        <v>319</v>
      </c>
      <c r="O93">
        <v>0</v>
      </c>
      <c r="P93">
        <v>0</v>
      </c>
      <c r="Q93" s="42">
        <v>0</v>
      </c>
      <c r="R93" s="42">
        <v>0</v>
      </c>
      <c r="S93" s="42">
        <v>0</v>
      </c>
      <c r="T93" s="42">
        <v>0</v>
      </c>
      <c r="U93" s="42">
        <v>0</v>
      </c>
      <c r="V93" s="42">
        <v>0</v>
      </c>
      <c r="W93" s="42">
        <v>0</v>
      </c>
      <c r="X93" s="42">
        <v>0</v>
      </c>
      <c r="Y93" s="42">
        <v>0</v>
      </c>
      <c r="Z93" s="42">
        <v>2171.4</v>
      </c>
      <c r="AA93" s="42">
        <v>417.58</v>
      </c>
      <c r="AB93" s="42">
        <v>0</v>
      </c>
      <c r="AC93" s="42">
        <v>0</v>
      </c>
      <c r="AD93" s="42">
        <v>0</v>
      </c>
      <c r="AE93" s="42">
        <v>2588.98</v>
      </c>
      <c r="AF93" s="42">
        <v>200</v>
      </c>
      <c r="AG93" s="42">
        <v>190</v>
      </c>
      <c r="AI93" s="42">
        <v>0</v>
      </c>
      <c r="AJ93" s="42">
        <v>0</v>
      </c>
      <c r="AK93" s="42">
        <v>0</v>
      </c>
      <c r="AL93" s="42">
        <v>0</v>
      </c>
      <c r="AM93" s="42">
        <v>287.66000000000003</v>
      </c>
      <c r="AN93" s="42">
        <v>0</v>
      </c>
      <c r="AO93" s="42">
        <v>0</v>
      </c>
      <c r="AP93" s="42">
        <v>0</v>
      </c>
      <c r="AQ93" s="42">
        <v>0</v>
      </c>
      <c r="AR93" s="42">
        <v>0</v>
      </c>
      <c r="AS93" s="42">
        <v>0</v>
      </c>
      <c r="AT93" s="42">
        <v>0</v>
      </c>
      <c r="AU93" s="42">
        <v>0</v>
      </c>
      <c r="AW93" s="42">
        <v>677.66000000000008</v>
      </c>
      <c r="AX93" s="42">
        <v>3266.6400000000003</v>
      </c>
      <c r="AZ93" s="42">
        <v>3266.6400000000003</v>
      </c>
      <c r="BA93" s="42">
        <v>215.74833333333333</v>
      </c>
      <c r="BB93" s="42">
        <v>215.74833333333333</v>
      </c>
      <c r="BC93" s="42">
        <v>71.916111111111107</v>
      </c>
      <c r="BD93" s="42">
        <v>503.41277777777776</v>
      </c>
      <c r="BE93" s="42">
        <v>517.79999999999995</v>
      </c>
      <c r="BF93" s="42">
        <v>38.83</v>
      </c>
      <c r="BG93" s="42">
        <v>150.16</v>
      </c>
      <c r="BH93" s="42">
        <v>207.11</v>
      </c>
      <c r="BI93" s="42">
        <v>913.9</v>
      </c>
      <c r="BJ93" s="42">
        <v>4180.54</v>
      </c>
      <c r="BK93" s="42">
        <v>4683.9527777777776</v>
      </c>
    </row>
    <row r="94" spans="1:63" x14ac:dyDescent="0.25">
      <c r="A94" t="s">
        <v>554</v>
      </c>
      <c r="B94" s="11">
        <v>45717</v>
      </c>
      <c r="C94" s="11" t="s">
        <v>5</v>
      </c>
      <c r="D94" t="s">
        <v>588</v>
      </c>
      <c r="G94" t="s">
        <v>312</v>
      </c>
      <c r="H94" t="s">
        <v>313</v>
      </c>
      <c r="I94" t="s">
        <v>329</v>
      </c>
      <c r="J94" s="10">
        <v>45700</v>
      </c>
      <c r="M94" t="s">
        <v>330</v>
      </c>
      <c r="N94" t="s">
        <v>504</v>
      </c>
      <c r="O94">
        <v>1979.25</v>
      </c>
      <c r="P94">
        <v>0</v>
      </c>
      <c r="Q94" s="42">
        <v>0</v>
      </c>
      <c r="R94" s="42">
        <v>0</v>
      </c>
      <c r="S94" s="42">
        <v>0</v>
      </c>
      <c r="T94" s="42">
        <v>0</v>
      </c>
      <c r="U94" s="42">
        <v>0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v>0</v>
      </c>
      <c r="AB94" s="42">
        <v>0</v>
      </c>
      <c r="AC94" s="42">
        <v>0</v>
      </c>
      <c r="AD94" s="42">
        <v>0</v>
      </c>
      <c r="AE94" s="42">
        <v>0</v>
      </c>
      <c r="AF94" s="42">
        <v>0</v>
      </c>
      <c r="AG94" s="42">
        <v>190</v>
      </c>
      <c r="AI94" s="42">
        <v>0</v>
      </c>
      <c r="AJ94" s="42">
        <v>0</v>
      </c>
      <c r="AK94" s="42">
        <v>0</v>
      </c>
      <c r="AL94" s="42">
        <v>0</v>
      </c>
      <c r="AM94" s="42">
        <v>93.17</v>
      </c>
      <c r="AN94" s="42">
        <v>0</v>
      </c>
      <c r="AO94" s="42">
        <v>0</v>
      </c>
      <c r="AP94" s="42">
        <v>0</v>
      </c>
      <c r="AQ94" s="42">
        <v>0</v>
      </c>
      <c r="AR94" s="42">
        <v>0</v>
      </c>
      <c r="AS94" s="42">
        <v>0</v>
      </c>
      <c r="AT94" s="42">
        <v>0</v>
      </c>
      <c r="AU94" s="42">
        <v>0</v>
      </c>
      <c r="AW94" s="42">
        <v>283.17</v>
      </c>
      <c r="AX94" s="42">
        <v>283.17</v>
      </c>
      <c r="AZ94" s="42">
        <v>283.17</v>
      </c>
      <c r="BA94" s="42">
        <v>0</v>
      </c>
      <c r="BB94" s="42">
        <v>0</v>
      </c>
      <c r="BC94" s="42">
        <v>0</v>
      </c>
      <c r="BD94" s="42">
        <v>0</v>
      </c>
      <c r="BE94" s="42">
        <v>171.54</v>
      </c>
      <c r="BF94" s="42">
        <v>12.86</v>
      </c>
      <c r="BG94" s="42">
        <v>49.74</v>
      </c>
      <c r="BH94" s="42">
        <v>163.61000000000001</v>
      </c>
      <c r="BI94" s="42">
        <v>397.75</v>
      </c>
      <c r="BJ94" s="42">
        <v>680.92000000000007</v>
      </c>
      <c r="BK94" s="42">
        <v>680.92000000000007</v>
      </c>
    </row>
    <row r="95" spans="1:63" x14ac:dyDescent="0.25">
      <c r="A95" t="s">
        <v>336</v>
      </c>
      <c r="B95" s="11">
        <v>45717</v>
      </c>
      <c r="C95" s="11" t="s">
        <v>5</v>
      </c>
      <c r="D95" t="s">
        <v>588</v>
      </c>
      <c r="G95" t="s">
        <v>312</v>
      </c>
      <c r="H95" t="s">
        <v>313</v>
      </c>
      <c r="I95" t="s">
        <v>97</v>
      </c>
      <c r="J95" s="10">
        <v>45701</v>
      </c>
      <c r="M95" t="s">
        <v>314</v>
      </c>
      <c r="N95" t="s">
        <v>552</v>
      </c>
      <c r="O95">
        <v>2178.12</v>
      </c>
      <c r="P95">
        <v>2178.12</v>
      </c>
      <c r="Q95" s="42">
        <v>0</v>
      </c>
      <c r="R95" s="42">
        <v>421.1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  <c r="AE95" s="42">
        <v>2599.2199999999998</v>
      </c>
      <c r="AF95" s="42">
        <v>200</v>
      </c>
      <c r="AG95" s="42">
        <v>190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42">
        <v>0</v>
      </c>
      <c r="AW95" s="42">
        <v>390</v>
      </c>
      <c r="AX95" s="42">
        <v>2989.22</v>
      </c>
      <c r="AZ95" s="42">
        <v>2989.22</v>
      </c>
      <c r="BA95" s="42">
        <v>216.60166666666666</v>
      </c>
      <c r="BB95" s="42">
        <v>216.60166666666666</v>
      </c>
      <c r="BC95" s="42">
        <v>72.200555555555553</v>
      </c>
      <c r="BD95" s="42">
        <v>505.4038888888889</v>
      </c>
      <c r="BE95" s="42">
        <v>519.84</v>
      </c>
      <c r="BF95" s="42">
        <v>38.979999999999997</v>
      </c>
      <c r="BG95" s="42">
        <v>150.75</v>
      </c>
      <c r="BH95" s="42">
        <v>207.93</v>
      </c>
      <c r="BI95" s="42">
        <v>917.5</v>
      </c>
      <c r="BJ95" s="42">
        <v>3906.72</v>
      </c>
      <c r="BK95" s="42">
        <v>4412.1238888888884</v>
      </c>
    </row>
    <row r="96" spans="1:63" x14ac:dyDescent="0.25">
      <c r="A96" t="s">
        <v>341</v>
      </c>
      <c r="B96" s="11">
        <v>45717</v>
      </c>
      <c r="C96" s="11" t="s">
        <v>6</v>
      </c>
      <c r="D96" t="s">
        <v>588</v>
      </c>
      <c r="G96" t="s">
        <v>312</v>
      </c>
      <c r="J96" s="10">
        <v>45539</v>
      </c>
      <c r="N96" t="s">
        <v>250</v>
      </c>
      <c r="O96">
        <v>1000</v>
      </c>
      <c r="P96">
        <v>0</v>
      </c>
      <c r="Q96" s="42">
        <v>0</v>
      </c>
      <c r="R96" s="42">
        <v>0</v>
      </c>
      <c r="S96" s="42">
        <v>0</v>
      </c>
      <c r="T96" s="42">
        <v>0</v>
      </c>
      <c r="U96" s="42">
        <v>0</v>
      </c>
      <c r="V96" s="42">
        <v>0</v>
      </c>
      <c r="W96" s="42">
        <v>0</v>
      </c>
      <c r="X96" s="42">
        <v>0</v>
      </c>
      <c r="Y96" s="42">
        <v>0</v>
      </c>
      <c r="Z96" s="42">
        <v>0</v>
      </c>
      <c r="AA96" s="42">
        <v>0</v>
      </c>
      <c r="AB96" s="42">
        <v>0</v>
      </c>
      <c r="AC96" s="42">
        <v>0</v>
      </c>
      <c r="AD96" s="42">
        <v>0</v>
      </c>
      <c r="AE96" s="42">
        <v>0</v>
      </c>
      <c r="AF96" s="42">
        <v>0</v>
      </c>
      <c r="AG96" s="42">
        <v>0</v>
      </c>
      <c r="AI96" s="42">
        <v>0</v>
      </c>
      <c r="AJ96" s="42">
        <v>0</v>
      </c>
      <c r="AK96" s="42">
        <v>0</v>
      </c>
      <c r="AL96" s="42">
        <v>0</v>
      </c>
      <c r="AM96" s="42">
        <v>0</v>
      </c>
      <c r="AN96" s="42">
        <v>0</v>
      </c>
      <c r="AO96" s="42">
        <v>0</v>
      </c>
      <c r="AP96" s="42">
        <v>0</v>
      </c>
      <c r="AQ96" s="42">
        <v>0</v>
      </c>
      <c r="AR96" s="42">
        <v>0</v>
      </c>
      <c r="AS96" s="42">
        <v>0</v>
      </c>
      <c r="AT96" s="42">
        <v>0</v>
      </c>
      <c r="AU96" s="42">
        <v>0</v>
      </c>
      <c r="AW96" s="42">
        <v>0</v>
      </c>
      <c r="AX96" s="42">
        <v>0</v>
      </c>
      <c r="AZ96" s="42">
        <v>0</v>
      </c>
      <c r="BA96" s="42">
        <v>0</v>
      </c>
      <c r="BB96" s="42">
        <v>0</v>
      </c>
      <c r="BC96" s="42">
        <v>0</v>
      </c>
      <c r="BD96" s="42">
        <v>0</v>
      </c>
      <c r="BE96" s="42">
        <v>0</v>
      </c>
      <c r="BF96" s="42">
        <v>0</v>
      </c>
      <c r="BG96" s="42">
        <v>0</v>
      </c>
      <c r="BH96" s="42">
        <v>0</v>
      </c>
      <c r="BI96" s="42">
        <v>0</v>
      </c>
      <c r="BJ96" s="42">
        <v>0</v>
      </c>
      <c r="BK96" s="42">
        <v>0</v>
      </c>
    </row>
    <row r="97" spans="1:63" x14ac:dyDescent="0.25">
      <c r="A97" t="s">
        <v>352</v>
      </c>
      <c r="B97" s="11">
        <v>45717</v>
      </c>
      <c r="C97" s="11" t="s">
        <v>6</v>
      </c>
      <c r="D97" t="s">
        <v>588</v>
      </c>
      <c r="G97" t="s">
        <v>312</v>
      </c>
      <c r="H97" t="s">
        <v>313</v>
      </c>
      <c r="I97" t="s">
        <v>81</v>
      </c>
      <c r="J97" s="10">
        <v>45663</v>
      </c>
      <c r="M97" t="s">
        <v>435</v>
      </c>
      <c r="N97" t="s">
        <v>247</v>
      </c>
      <c r="O97">
        <v>1000</v>
      </c>
      <c r="P97">
        <v>0</v>
      </c>
      <c r="Q97" s="42">
        <v>0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  <c r="AE97" s="42">
        <v>0</v>
      </c>
      <c r="AF97" s="42">
        <v>0</v>
      </c>
      <c r="AG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42">
        <v>0</v>
      </c>
      <c r="AW97" s="42">
        <v>0</v>
      </c>
      <c r="AX97" s="42">
        <v>0</v>
      </c>
      <c r="AZ97" s="42">
        <v>0</v>
      </c>
      <c r="BA97" s="42">
        <v>0</v>
      </c>
      <c r="BB97" s="42">
        <v>0</v>
      </c>
      <c r="BC97" s="42">
        <v>0</v>
      </c>
      <c r="BD97" s="42">
        <v>0</v>
      </c>
      <c r="BE97" s="42">
        <v>0</v>
      </c>
      <c r="BF97" s="42">
        <v>0</v>
      </c>
      <c r="BG97" s="42">
        <v>0</v>
      </c>
      <c r="BH97" s="42">
        <v>0</v>
      </c>
      <c r="BI97" s="42">
        <v>0</v>
      </c>
      <c r="BJ97" s="42">
        <v>0</v>
      </c>
      <c r="BK97" s="42">
        <v>0</v>
      </c>
    </row>
    <row r="98" spans="1:63" x14ac:dyDescent="0.25">
      <c r="A98" t="s">
        <v>128</v>
      </c>
      <c r="B98" s="11">
        <v>45717</v>
      </c>
      <c r="C98" s="11" t="s">
        <v>5</v>
      </c>
      <c r="D98" t="s">
        <v>594</v>
      </c>
      <c r="G98" t="s">
        <v>356</v>
      </c>
      <c r="H98" t="s">
        <v>464</v>
      </c>
      <c r="I98" t="s">
        <v>88</v>
      </c>
      <c r="J98" s="10">
        <v>41276</v>
      </c>
      <c r="M98" t="s">
        <v>132</v>
      </c>
      <c r="N98" t="s">
        <v>511</v>
      </c>
      <c r="O98">
        <v>3158.66</v>
      </c>
      <c r="P98">
        <v>3158.66</v>
      </c>
      <c r="Q98" s="42">
        <v>0</v>
      </c>
      <c r="R98" s="42">
        <v>631.73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>
        <v>664.18</v>
      </c>
      <c r="Y98" s="42">
        <v>127.73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  <c r="AE98" s="42">
        <v>4582.2999999999993</v>
      </c>
      <c r="AF98" s="42">
        <v>0</v>
      </c>
      <c r="AG98" s="42">
        <v>190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256.42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42">
        <v>0</v>
      </c>
      <c r="AW98" s="42">
        <v>446.42</v>
      </c>
      <c r="AX98" s="42">
        <v>5028.7199999999993</v>
      </c>
      <c r="AZ98" s="42">
        <v>5028.7199999999993</v>
      </c>
      <c r="BA98" s="42">
        <v>381.85833333333329</v>
      </c>
      <c r="BB98" s="42">
        <v>381.85833333333329</v>
      </c>
      <c r="BC98" s="42">
        <v>127.2861111111111</v>
      </c>
      <c r="BD98" s="42">
        <v>891.00277777777774</v>
      </c>
      <c r="BE98" s="42">
        <v>916.46</v>
      </c>
      <c r="BF98" s="42">
        <v>68.73</v>
      </c>
      <c r="BG98" s="42">
        <v>265.77</v>
      </c>
      <c r="BH98" s="42">
        <v>366.58</v>
      </c>
      <c r="BI98" s="42">
        <v>1617.54</v>
      </c>
      <c r="BJ98" s="42">
        <v>6646.2599999999993</v>
      </c>
      <c r="BK98" s="42">
        <v>7537.262777777777</v>
      </c>
    </row>
    <row r="99" spans="1:63" x14ac:dyDescent="0.25">
      <c r="A99" t="s">
        <v>354</v>
      </c>
      <c r="B99" s="11">
        <v>45717</v>
      </c>
      <c r="C99" s="11" t="s">
        <v>5</v>
      </c>
      <c r="D99" t="s">
        <v>594</v>
      </c>
      <c r="G99" t="s">
        <v>356</v>
      </c>
      <c r="H99" t="s">
        <v>464</v>
      </c>
      <c r="I99" t="s">
        <v>88</v>
      </c>
      <c r="J99" s="10">
        <v>44067</v>
      </c>
      <c r="M99" t="s">
        <v>132</v>
      </c>
      <c r="N99" t="s">
        <v>595</v>
      </c>
      <c r="O99">
        <v>3465</v>
      </c>
      <c r="P99">
        <v>3465</v>
      </c>
      <c r="Q99" s="42">
        <v>0</v>
      </c>
      <c r="R99" s="42">
        <v>0</v>
      </c>
      <c r="S99" s="42">
        <v>0</v>
      </c>
      <c r="T99" s="42">
        <v>0</v>
      </c>
      <c r="U99" s="42">
        <v>0</v>
      </c>
      <c r="V99" s="42">
        <v>0</v>
      </c>
      <c r="W99" s="42">
        <v>0</v>
      </c>
      <c r="X99" s="42">
        <v>316.61</v>
      </c>
      <c r="Y99" s="42">
        <v>60.89</v>
      </c>
      <c r="Z99" s="42">
        <v>0</v>
      </c>
      <c r="AA99" s="42">
        <v>0</v>
      </c>
      <c r="AB99" s="42">
        <v>0</v>
      </c>
      <c r="AC99" s="42">
        <v>0</v>
      </c>
      <c r="AD99" s="42">
        <v>0</v>
      </c>
      <c r="AE99" s="42">
        <v>3842.5</v>
      </c>
      <c r="AF99" s="42">
        <v>0</v>
      </c>
      <c r="AG99" s="42">
        <v>190</v>
      </c>
      <c r="AI99" s="42">
        <v>0</v>
      </c>
      <c r="AJ99" s="42">
        <v>0</v>
      </c>
      <c r="AK99" s="42">
        <v>0</v>
      </c>
      <c r="AL99" s="42">
        <v>0</v>
      </c>
      <c r="AM99" s="42">
        <v>1065</v>
      </c>
      <c r="AN99" s="42">
        <v>0</v>
      </c>
      <c r="AO99" s="42">
        <v>262.85000000000002</v>
      </c>
      <c r="AP99" s="42">
        <v>0</v>
      </c>
      <c r="AQ99" s="42">
        <v>0</v>
      </c>
      <c r="AR99" s="42">
        <v>0</v>
      </c>
      <c r="AS99" s="42">
        <v>0</v>
      </c>
      <c r="AT99" s="42">
        <v>0</v>
      </c>
      <c r="AU99" s="42">
        <v>0</v>
      </c>
      <c r="AW99" s="42">
        <v>1517.85</v>
      </c>
      <c r="AX99" s="42">
        <v>5360.35</v>
      </c>
      <c r="AZ99" s="42">
        <v>5360.35</v>
      </c>
      <c r="BA99" s="42">
        <v>320.20833333333331</v>
      </c>
      <c r="BB99" s="42">
        <v>320.20833333333331</v>
      </c>
      <c r="BC99" s="42">
        <v>106.7361111111111</v>
      </c>
      <c r="BD99" s="42">
        <v>747.15277777777771</v>
      </c>
      <c r="BE99" s="42">
        <v>768.5</v>
      </c>
      <c r="BF99" s="42">
        <v>57.63</v>
      </c>
      <c r="BG99" s="42">
        <v>222.86</v>
      </c>
      <c r="BH99" s="42">
        <v>307.39999999999998</v>
      </c>
      <c r="BI99" s="42">
        <v>1356.3899999999999</v>
      </c>
      <c r="BJ99" s="42">
        <v>6716.74</v>
      </c>
      <c r="BK99" s="42">
        <v>7463.8927777777772</v>
      </c>
    </row>
    <row r="100" spans="1:63" x14ac:dyDescent="0.25">
      <c r="A100" t="s">
        <v>558</v>
      </c>
      <c r="B100" s="11">
        <v>45717</v>
      </c>
      <c r="C100" s="11" t="s">
        <v>5</v>
      </c>
      <c r="D100" t="s">
        <v>594</v>
      </c>
      <c r="G100" t="s">
        <v>356</v>
      </c>
      <c r="H100" t="s">
        <v>464</v>
      </c>
      <c r="I100" t="s">
        <v>81</v>
      </c>
      <c r="J100" s="10">
        <v>44635</v>
      </c>
      <c r="M100" t="s">
        <v>270</v>
      </c>
      <c r="N100" t="s">
        <v>541</v>
      </c>
      <c r="O100">
        <v>2126.3200000000002</v>
      </c>
      <c r="P100">
        <v>141.75</v>
      </c>
      <c r="Q100" s="42">
        <v>99.44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1965.01</v>
      </c>
      <c r="AE100" s="42">
        <v>2206.1999999999998</v>
      </c>
      <c r="AF100" s="42">
        <v>200</v>
      </c>
      <c r="AG100" s="42">
        <v>190</v>
      </c>
      <c r="AI100" s="42">
        <v>0</v>
      </c>
      <c r="AJ100" s="42">
        <v>0</v>
      </c>
      <c r="AK100" s="42">
        <v>0</v>
      </c>
      <c r="AL100" s="42">
        <v>0</v>
      </c>
      <c r="AM100" s="42">
        <v>0</v>
      </c>
      <c r="AN100" s="42">
        <v>0</v>
      </c>
      <c r="AO100" s="42">
        <v>0</v>
      </c>
      <c r="AP100" s="42">
        <v>0</v>
      </c>
      <c r="AQ100" s="42">
        <v>0</v>
      </c>
      <c r="AR100" s="42">
        <v>0</v>
      </c>
      <c r="AS100" s="42">
        <v>0</v>
      </c>
      <c r="AT100" s="42">
        <v>0</v>
      </c>
      <c r="AU100" s="42">
        <v>0</v>
      </c>
      <c r="AW100" s="42">
        <v>390</v>
      </c>
      <c r="AX100" s="42">
        <v>2596.1999999999998</v>
      </c>
      <c r="AZ100" s="42">
        <v>2596.1999999999998</v>
      </c>
      <c r="BA100" s="42">
        <v>183.85</v>
      </c>
      <c r="BB100" s="42">
        <v>183.85</v>
      </c>
      <c r="BC100" s="42">
        <v>61.283333333333331</v>
      </c>
      <c r="BD100" s="42">
        <v>428.98333333333335</v>
      </c>
      <c r="BE100" s="42">
        <v>441.24</v>
      </c>
      <c r="BF100" s="42">
        <v>33.090000000000003</v>
      </c>
      <c r="BG100" s="42">
        <v>127.95</v>
      </c>
      <c r="BH100" s="42">
        <v>176.49</v>
      </c>
      <c r="BI100" s="42">
        <v>778.7700000000001</v>
      </c>
      <c r="BJ100" s="42">
        <v>3374.97</v>
      </c>
      <c r="BK100" s="42">
        <v>3803.9533333333329</v>
      </c>
    </row>
    <row r="101" spans="1:63" x14ac:dyDescent="0.25">
      <c r="A101" t="s">
        <v>136</v>
      </c>
      <c r="B101" s="11">
        <v>45717</v>
      </c>
      <c r="C101" s="11" t="s">
        <v>5</v>
      </c>
      <c r="D101" t="s">
        <v>594</v>
      </c>
      <c r="G101" t="s">
        <v>356</v>
      </c>
      <c r="H101" t="s">
        <v>464</v>
      </c>
      <c r="I101" t="s">
        <v>97</v>
      </c>
      <c r="J101" s="10">
        <v>45117</v>
      </c>
      <c r="M101" t="s">
        <v>513</v>
      </c>
      <c r="N101" t="s">
        <v>508</v>
      </c>
      <c r="O101">
        <v>2925.98</v>
      </c>
      <c r="P101">
        <v>2925.98</v>
      </c>
      <c r="Q101" s="42">
        <v>0</v>
      </c>
      <c r="R101" s="42">
        <v>585.20000000000005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434.51</v>
      </c>
      <c r="Y101" s="42">
        <v>83.56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4029.2500000000005</v>
      </c>
      <c r="AF101" s="42">
        <v>0</v>
      </c>
      <c r="AG101" s="42">
        <v>190</v>
      </c>
      <c r="AI101" s="42">
        <v>0</v>
      </c>
      <c r="AJ101" s="42">
        <v>200.98</v>
      </c>
      <c r="AK101" s="42">
        <v>0</v>
      </c>
      <c r="AL101" s="42">
        <v>0</v>
      </c>
      <c r="AM101" s="42">
        <v>0</v>
      </c>
      <c r="AN101" s="42">
        <v>0</v>
      </c>
      <c r="AO101" s="42">
        <v>256.42</v>
      </c>
      <c r="AP101" s="42">
        <v>0</v>
      </c>
      <c r="AQ101" s="42">
        <v>321.31</v>
      </c>
      <c r="AR101" s="42">
        <v>0</v>
      </c>
      <c r="AS101" s="42">
        <v>0</v>
      </c>
      <c r="AT101" s="42">
        <v>0</v>
      </c>
      <c r="AU101" s="42">
        <v>0</v>
      </c>
      <c r="AW101" s="42">
        <v>968.71</v>
      </c>
      <c r="AX101" s="42">
        <v>4997.9600000000009</v>
      </c>
      <c r="AZ101" s="42">
        <v>4997.9600000000009</v>
      </c>
      <c r="BA101" s="42">
        <v>335.77083333333337</v>
      </c>
      <c r="BB101" s="42">
        <v>335.77083333333337</v>
      </c>
      <c r="BC101" s="42">
        <v>111.92361111111113</v>
      </c>
      <c r="BD101" s="42">
        <v>783.46527777777783</v>
      </c>
      <c r="BE101" s="42">
        <v>805.85</v>
      </c>
      <c r="BF101" s="42">
        <v>60.43</v>
      </c>
      <c r="BG101" s="42">
        <v>233.69</v>
      </c>
      <c r="BH101" s="42">
        <v>322.33999999999997</v>
      </c>
      <c r="BI101" s="42">
        <v>1422.31</v>
      </c>
      <c r="BJ101" s="42">
        <v>6420.27</v>
      </c>
      <c r="BK101" s="42">
        <v>7203.7352777777778</v>
      </c>
    </row>
    <row r="102" spans="1:63" x14ac:dyDescent="0.25">
      <c r="A102" t="s">
        <v>512</v>
      </c>
      <c r="B102" s="11">
        <v>45717</v>
      </c>
      <c r="C102" s="11" t="s">
        <v>5</v>
      </c>
      <c r="D102" t="s">
        <v>594</v>
      </c>
      <c r="G102" t="s">
        <v>356</v>
      </c>
      <c r="H102" t="s">
        <v>464</v>
      </c>
      <c r="I102" t="s">
        <v>97</v>
      </c>
      <c r="J102" s="10">
        <v>45223</v>
      </c>
      <c r="M102" t="s">
        <v>513</v>
      </c>
      <c r="N102" t="s">
        <v>508</v>
      </c>
      <c r="O102">
        <v>2925.98</v>
      </c>
      <c r="P102">
        <v>2925.98</v>
      </c>
      <c r="Q102" s="42">
        <v>0</v>
      </c>
      <c r="R102" s="42">
        <v>585.20000000000005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>
        <v>570.97</v>
      </c>
      <c r="Y102" s="42">
        <v>109.8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  <c r="AE102" s="42">
        <v>4191.9500000000007</v>
      </c>
      <c r="AF102" s="42">
        <v>0</v>
      </c>
      <c r="AG102" s="42">
        <v>190</v>
      </c>
      <c r="AI102" s="42">
        <v>0</v>
      </c>
      <c r="AJ102" s="42">
        <v>333.21</v>
      </c>
      <c r="AK102" s="42">
        <v>0</v>
      </c>
      <c r="AL102" s="42">
        <v>0</v>
      </c>
      <c r="AM102" s="42">
        <v>0</v>
      </c>
      <c r="AN102" s="42">
        <v>0</v>
      </c>
      <c r="AO102" s="42">
        <v>256.42</v>
      </c>
      <c r="AP102" s="42">
        <v>0</v>
      </c>
      <c r="AQ102" s="42">
        <v>379.73</v>
      </c>
      <c r="AR102" s="42">
        <v>0</v>
      </c>
      <c r="AS102" s="42">
        <v>0</v>
      </c>
      <c r="AT102" s="42">
        <v>0</v>
      </c>
      <c r="AU102" s="42">
        <v>0</v>
      </c>
      <c r="AW102" s="42">
        <v>1159.3600000000001</v>
      </c>
      <c r="AX102" s="42">
        <v>5351.3100000000013</v>
      </c>
      <c r="AZ102" s="42">
        <v>5351.3100000000013</v>
      </c>
      <c r="BA102" s="42">
        <v>349.32916666666671</v>
      </c>
      <c r="BB102" s="42">
        <v>349.32916666666671</v>
      </c>
      <c r="BC102" s="42">
        <v>116.44305555555557</v>
      </c>
      <c r="BD102" s="42">
        <v>815.10138888888901</v>
      </c>
      <c r="BE102" s="42">
        <v>838.39</v>
      </c>
      <c r="BF102" s="42">
        <v>62.87</v>
      </c>
      <c r="BG102" s="42">
        <v>243.13</v>
      </c>
      <c r="BH102" s="42">
        <v>335.35</v>
      </c>
      <c r="BI102" s="42">
        <v>1479.7399999999998</v>
      </c>
      <c r="BJ102" s="42">
        <v>6831.0500000000011</v>
      </c>
      <c r="BK102" s="42">
        <v>7646.1513888888903</v>
      </c>
    </row>
    <row r="103" spans="1:63" x14ac:dyDescent="0.25">
      <c r="A103" t="s">
        <v>475</v>
      </c>
      <c r="B103" s="11">
        <v>45717</v>
      </c>
      <c r="C103" s="11" t="s">
        <v>5</v>
      </c>
      <c r="D103" t="s">
        <v>594</v>
      </c>
      <c r="G103" t="s">
        <v>356</v>
      </c>
      <c r="H103" t="s">
        <v>464</v>
      </c>
      <c r="I103" t="s">
        <v>81</v>
      </c>
      <c r="J103" s="10">
        <v>45323</v>
      </c>
      <c r="M103" t="s">
        <v>270</v>
      </c>
      <c r="N103" t="s">
        <v>541</v>
      </c>
      <c r="O103">
        <v>2126.3200000000002</v>
      </c>
      <c r="P103">
        <v>2126.3200000000002</v>
      </c>
      <c r="Q103" s="42">
        <v>0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  <c r="AE103" s="42">
        <v>2126.3200000000002</v>
      </c>
      <c r="AF103" s="42">
        <v>200</v>
      </c>
      <c r="AG103" s="42">
        <v>190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256.42</v>
      </c>
      <c r="AP103" s="42">
        <v>0</v>
      </c>
      <c r="AQ103" s="42">
        <v>0</v>
      </c>
      <c r="AR103" s="42">
        <v>0</v>
      </c>
      <c r="AS103" s="42">
        <v>0</v>
      </c>
      <c r="AT103" s="42">
        <v>0</v>
      </c>
      <c r="AU103" s="42">
        <v>0</v>
      </c>
      <c r="AW103" s="42">
        <v>646.42000000000007</v>
      </c>
      <c r="AX103" s="42">
        <v>2772.7400000000002</v>
      </c>
      <c r="AZ103" s="42">
        <v>2772.7400000000002</v>
      </c>
      <c r="BA103" s="42">
        <v>177.19333333333336</v>
      </c>
      <c r="BB103" s="42">
        <v>177.19333333333336</v>
      </c>
      <c r="BC103" s="42">
        <v>59.064444444444455</v>
      </c>
      <c r="BD103" s="42">
        <v>413.45111111111117</v>
      </c>
      <c r="BE103" s="42">
        <v>425.26</v>
      </c>
      <c r="BF103" s="42">
        <v>31.89</v>
      </c>
      <c r="BG103" s="42">
        <v>123.32</v>
      </c>
      <c r="BH103" s="42">
        <v>170.1</v>
      </c>
      <c r="BI103" s="42">
        <v>750.57</v>
      </c>
      <c r="BJ103" s="42">
        <v>3523.3100000000004</v>
      </c>
      <c r="BK103" s="42">
        <v>3936.7611111111114</v>
      </c>
    </row>
    <row r="104" spans="1:63" x14ac:dyDescent="0.25">
      <c r="A104" t="s">
        <v>133</v>
      </c>
      <c r="B104" s="11">
        <v>45717</v>
      </c>
      <c r="C104" s="11" t="s">
        <v>5</v>
      </c>
      <c r="D104" t="s">
        <v>594</v>
      </c>
      <c r="G104" t="s">
        <v>356</v>
      </c>
      <c r="H104" t="s">
        <v>464</v>
      </c>
      <c r="I104" t="s">
        <v>97</v>
      </c>
      <c r="J104" s="10">
        <v>45664</v>
      </c>
      <c r="M104" t="s">
        <v>513</v>
      </c>
      <c r="N104" t="s">
        <v>508</v>
      </c>
      <c r="O104">
        <v>2925.98</v>
      </c>
      <c r="P104">
        <v>2925.98</v>
      </c>
      <c r="Q104" s="42">
        <v>0</v>
      </c>
      <c r="R104" s="42">
        <v>585.20000000000005</v>
      </c>
      <c r="S104" s="42">
        <v>0</v>
      </c>
      <c r="T104" s="42">
        <v>0</v>
      </c>
      <c r="U104" s="42">
        <v>0</v>
      </c>
      <c r="V104" s="42">
        <v>0</v>
      </c>
      <c r="W104" s="42">
        <v>0</v>
      </c>
      <c r="X104" s="42">
        <v>895.75</v>
      </c>
      <c r="Y104" s="42">
        <v>172.26</v>
      </c>
      <c r="Z104" s="42">
        <v>0</v>
      </c>
      <c r="AA104" s="42">
        <v>0</v>
      </c>
      <c r="AB104" s="42">
        <v>0</v>
      </c>
      <c r="AC104" s="42">
        <v>0</v>
      </c>
      <c r="AD104" s="42">
        <v>0</v>
      </c>
      <c r="AE104" s="42">
        <v>4579.1900000000005</v>
      </c>
      <c r="AF104" s="42">
        <v>0</v>
      </c>
      <c r="AG104" s="42">
        <v>190</v>
      </c>
      <c r="AI104" s="42">
        <v>0</v>
      </c>
      <c r="AJ104" s="42">
        <v>499.74</v>
      </c>
      <c r="AK104" s="42">
        <v>0</v>
      </c>
      <c r="AL104" s="42">
        <v>0</v>
      </c>
      <c r="AM104" s="42">
        <v>0</v>
      </c>
      <c r="AN104" s="42">
        <v>0</v>
      </c>
      <c r="AO104" s="42">
        <v>256.42</v>
      </c>
      <c r="AP104" s="42">
        <v>0</v>
      </c>
      <c r="AQ104" s="42">
        <v>204.46</v>
      </c>
      <c r="AR104" s="42">
        <v>0</v>
      </c>
      <c r="AS104" s="42">
        <v>0</v>
      </c>
      <c r="AT104" s="42">
        <v>0</v>
      </c>
      <c r="AU104" s="42">
        <v>0</v>
      </c>
      <c r="AW104" s="42">
        <v>1150.6200000000001</v>
      </c>
      <c r="AX104" s="42">
        <v>5729.81</v>
      </c>
      <c r="AZ104" s="42">
        <v>5729.81</v>
      </c>
      <c r="BA104" s="42">
        <v>381.59916666666669</v>
      </c>
      <c r="BB104" s="42">
        <v>381.59916666666669</v>
      </c>
      <c r="BC104" s="42">
        <v>127.19972222222223</v>
      </c>
      <c r="BD104" s="42">
        <v>890.39805555555563</v>
      </c>
      <c r="BE104" s="42">
        <v>915.84</v>
      </c>
      <c r="BF104" s="42">
        <v>68.680000000000007</v>
      </c>
      <c r="BG104" s="42">
        <v>265.58999999999997</v>
      </c>
      <c r="BH104" s="42">
        <v>366.33</v>
      </c>
      <c r="BI104" s="42">
        <v>1616.4399999999998</v>
      </c>
      <c r="BJ104" s="42">
        <v>7346.25</v>
      </c>
      <c r="BK104" s="42">
        <v>8236.6480555555554</v>
      </c>
    </row>
    <row r="105" spans="1:63" x14ac:dyDescent="0.25">
      <c r="A105" t="s">
        <v>445</v>
      </c>
      <c r="B105" s="11">
        <v>45717</v>
      </c>
      <c r="C105" s="11" t="s">
        <v>8</v>
      </c>
      <c r="D105" t="s">
        <v>582</v>
      </c>
      <c r="G105" t="s">
        <v>292</v>
      </c>
      <c r="H105" t="s">
        <v>444</v>
      </c>
      <c r="I105" t="s">
        <v>446</v>
      </c>
      <c r="J105" s="10">
        <v>43613</v>
      </c>
      <c r="L105" t="s">
        <v>419</v>
      </c>
      <c r="M105" t="s">
        <v>596</v>
      </c>
      <c r="N105" t="s">
        <v>448</v>
      </c>
      <c r="O105">
        <v>8129.96</v>
      </c>
      <c r="P105">
        <v>8129.96</v>
      </c>
      <c r="AE105" s="42">
        <v>8129.96</v>
      </c>
      <c r="AW105" s="42">
        <v>0</v>
      </c>
      <c r="AX105" s="42">
        <v>8129.96</v>
      </c>
      <c r="AZ105" s="42">
        <v>8129.96</v>
      </c>
      <c r="BA105" s="42">
        <v>677.49666666666667</v>
      </c>
      <c r="BB105" s="42">
        <v>677.49666666666667</v>
      </c>
      <c r="BC105" s="42">
        <v>225.83222222222221</v>
      </c>
      <c r="BD105" s="42">
        <v>1580.8255555555556</v>
      </c>
      <c r="BI105" s="42">
        <v>0</v>
      </c>
      <c r="BJ105" s="42">
        <v>8129.96</v>
      </c>
      <c r="BK105" s="42">
        <v>9710.7855555555561</v>
      </c>
    </row>
    <row r="106" spans="1:63" x14ac:dyDescent="0.25">
      <c r="A106" t="s">
        <v>423</v>
      </c>
      <c r="B106" s="11">
        <v>45717</v>
      </c>
      <c r="C106" s="11" t="s">
        <v>8</v>
      </c>
      <c r="D106" t="s">
        <v>597</v>
      </c>
      <c r="E106">
        <v>4</v>
      </c>
      <c r="G106" t="s">
        <v>424</v>
      </c>
      <c r="H106" t="s">
        <v>203</v>
      </c>
      <c r="I106" t="s">
        <v>218</v>
      </c>
      <c r="J106" s="10">
        <v>45627</v>
      </c>
      <c r="L106" t="s">
        <v>422</v>
      </c>
      <c r="M106" t="s">
        <v>219</v>
      </c>
      <c r="N106" t="s">
        <v>425</v>
      </c>
      <c r="O106">
        <v>8500</v>
      </c>
      <c r="P106">
        <v>8500</v>
      </c>
      <c r="AE106" s="42">
        <v>8500</v>
      </c>
      <c r="AW106" s="42">
        <v>0</v>
      </c>
      <c r="AX106" s="42">
        <v>8500</v>
      </c>
      <c r="AZ106" s="42">
        <v>8500</v>
      </c>
      <c r="BA106" s="42">
        <v>708.33333333333337</v>
      </c>
      <c r="BB106" s="42">
        <v>708.33333333333337</v>
      </c>
      <c r="BC106" s="42">
        <v>236.11111111111111</v>
      </c>
      <c r="BD106" s="42">
        <v>1652.7777777777778</v>
      </c>
      <c r="BI106" s="42">
        <v>0</v>
      </c>
      <c r="BJ106" s="42">
        <v>8500</v>
      </c>
      <c r="BK106" s="42">
        <v>10152.777777777777</v>
      </c>
    </row>
    <row r="107" spans="1:63" x14ac:dyDescent="0.25">
      <c r="A107" t="s">
        <v>450</v>
      </c>
      <c r="B107" s="11">
        <v>45717</v>
      </c>
      <c r="C107" s="11" t="s">
        <v>8</v>
      </c>
      <c r="D107" t="s">
        <v>597</v>
      </c>
      <c r="E107">
        <v>4</v>
      </c>
      <c r="G107" t="s">
        <v>424</v>
      </c>
      <c r="H107" t="s">
        <v>444</v>
      </c>
      <c r="I107" t="s">
        <v>81</v>
      </c>
      <c r="J107" s="10">
        <v>45627</v>
      </c>
      <c r="L107" t="s">
        <v>419</v>
      </c>
      <c r="M107" t="s">
        <v>211</v>
      </c>
      <c r="N107" t="s">
        <v>451</v>
      </c>
      <c r="O107">
        <v>8500</v>
      </c>
      <c r="P107">
        <v>8500</v>
      </c>
      <c r="AE107" s="42">
        <v>8500</v>
      </c>
      <c r="AW107" s="42">
        <v>0</v>
      </c>
      <c r="AX107" s="42">
        <v>8500</v>
      </c>
      <c r="AZ107" s="42">
        <v>8500</v>
      </c>
      <c r="BA107" s="42">
        <v>708.33333333333337</v>
      </c>
      <c r="BB107" s="42">
        <v>708.33333333333337</v>
      </c>
      <c r="BC107" s="42">
        <v>236.11111111111111</v>
      </c>
      <c r="BD107" s="42">
        <v>1652.7777777777778</v>
      </c>
      <c r="BI107" s="42">
        <v>0</v>
      </c>
      <c r="BJ107" s="42">
        <v>8500</v>
      </c>
      <c r="BK107" s="42">
        <v>10152.777777777777</v>
      </c>
    </row>
    <row r="108" spans="1:63" x14ac:dyDescent="0.25">
      <c r="A108" t="s">
        <v>339</v>
      </c>
      <c r="B108" s="11">
        <v>45717</v>
      </c>
      <c r="C108" s="11" t="s">
        <v>8</v>
      </c>
      <c r="D108" t="s">
        <v>598</v>
      </c>
      <c r="E108" t="s">
        <v>424</v>
      </c>
      <c r="G108" t="s">
        <v>424</v>
      </c>
      <c r="H108" t="s">
        <v>109</v>
      </c>
      <c r="I108" t="s">
        <v>96</v>
      </c>
      <c r="J108" s="10">
        <v>44035</v>
      </c>
      <c r="L108" t="s">
        <v>419</v>
      </c>
      <c r="M108" t="s">
        <v>111</v>
      </c>
      <c r="N108" t="s">
        <v>599</v>
      </c>
      <c r="O108">
        <v>8794.51</v>
      </c>
      <c r="P108">
        <v>8794.51</v>
      </c>
      <c r="AE108" s="42">
        <v>8794.51</v>
      </c>
      <c r="AW108" s="42">
        <v>0</v>
      </c>
      <c r="AX108" s="42">
        <v>8794.51</v>
      </c>
      <c r="AZ108" s="42">
        <v>8794.51</v>
      </c>
      <c r="BA108" s="42">
        <v>732.87583333333339</v>
      </c>
      <c r="BB108" s="42">
        <v>732.87583333333339</v>
      </c>
      <c r="BC108" s="42">
        <v>244.29194444444445</v>
      </c>
      <c r="BD108" s="42">
        <v>1710.0436111111112</v>
      </c>
      <c r="BI108" s="42">
        <v>0</v>
      </c>
      <c r="BJ108" s="42">
        <v>8794.51</v>
      </c>
      <c r="BK108" s="42">
        <v>10504.553611111111</v>
      </c>
    </row>
    <row r="109" spans="1:63" x14ac:dyDescent="0.25">
      <c r="A109" t="s">
        <v>456</v>
      </c>
      <c r="B109" s="11">
        <v>45717</v>
      </c>
      <c r="C109" s="11" t="s">
        <v>8</v>
      </c>
      <c r="D109" t="s">
        <v>597</v>
      </c>
      <c r="E109">
        <v>4</v>
      </c>
      <c r="G109" t="s">
        <v>424</v>
      </c>
      <c r="H109" t="s">
        <v>203</v>
      </c>
      <c r="I109" t="s">
        <v>240</v>
      </c>
      <c r="J109" s="10">
        <v>44991</v>
      </c>
      <c r="L109" t="s">
        <v>422</v>
      </c>
      <c r="M109" t="s">
        <v>241</v>
      </c>
      <c r="N109" t="s">
        <v>457</v>
      </c>
      <c r="O109">
        <v>8000</v>
      </c>
      <c r="P109">
        <v>8000</v>
      </c>
      <c r="AE109" s="42">
        <v>8000</v>
      </c>
      <c r="AW109" s="42">
        <v>0</v>
      </c>
      <c r="AX109" s="42">
        <v>8000</v>
      </c>
      <c r="AZ109" s="42">
        <v>8000</v>
      </c>
      <c r="BA109" s="42">
        <v>666.66666666666663</v>
      </c>
      <c r="BB109" s="42">
        <v>666.66666666666663</v>
      </c>
      <c r="BC109" s="42">
        <v>222.2222222222222</v>
      </c>
      <c r="BD109" s="42">
        <v>1555.5555555555554</v>
      </c>
      <c r="BI109" s="42">
        <v>0</v>
      </c>
      <c r="BJ109" s="42">
        <v>8000</v>
      </c>
      <c r="BK109" s="42">
        <v>9555.5555555555547</v>
      </c>
    </row>
    <row r="110" spans="1:63" x14ac:dyDescent="0.25">
      <c r="A110" t="s">
        <v>463</v>
      </c>
      <c r="B110" s="11">
        <v>45717</v>
      </c>
      <c r="C110" s="11" t="s">
        <v>8</v>
      </c>
      <c r="D110" t="s">
        <v>594</v>
      </c>
      <c r="G110" t="s">
        <v>424</v>
      </c>
      <c r="H110" t="s">
        <v>464</v>
      </c>
      <c r="I110" t="s">
        <v>195</v>
      </c>
      <c r="J110" s="10">
        <v>45040</v>
      </c>
      <c r="L110" t="s">
        <v>419</v>
      </c>
      <c r="M110" t="s">
        <v>465</v>
      </c>
      <c r="N110" t="s">
        <v>432</v>
      </c>
      <c r="O110">
        <v>7300</v>
      </c>
      <c r="P110">
        <v>7300</v>
      </c>
      <c r="AE110" s="42">
        <v>7300</v>
      </c>
      <c r="AW110" s="42">
        <v>0</v>
      </c>
      <c r="AX110" s="42">
        <v>7300</v>
      </c>
      <c r="AZ110" s="42">
        <v>7300</v>
      </c>
      <c r="BA110" s="42">
        <v>608.33333333333337</v>
      </c>
      <c r="BB110" s="42">
        <v>608.33333333333337</v>
      </c>
      <c r="BC110" s="42">
        <v>202.7777777777778</v>
      </c>
      <c r="BD110" s="42">
        <v>1419.4444444444446</v>
      </c>
      <c r="BI110" s="42">
        <v>0</v>
      </c>
      <c r="BJ110" s="42">
        <v>7300</v>
      </c>
      <c r="BK110" s="42">
        <v>8719.4444444444453</v>
      </c>
    </row>
    <row r="111" spans="1:63" x14ac:dyDescent="0.25">
      <c r="A111" t="s">
        <v>452</v>
      </c>
      <c r="B111" s="11">
        <v>45717</v>
      </c>
      <c r="C111" s="11" t="s">
        <v>8</v>
      </c>
      <c r="D111" t="s">
        <v>597</v>
      </c>
      <c r="E111">
        <v>4</v>
      </c>
      <c r="G111" t="s">
        <v>424</v>
      </c>
      <c r="H111" t="s">
        <v>203</v>
      </c>
      <c r="I111" t="s">
        <v>81</v>
      </c>
      <c r="L111" t="s">
        <v>434</v>
      </c>
      <c r="M111" t="s">
        <v>435</v>
      </c>
      <c r="N111" t="s">
        <v>600</v>
      </c>
      <c r="O111">
        <v>8389.83</v>
      </c>
      <c r="P111">
        <v>8000</v>
      </c>
      <c r="AE111" s="42">
        <v>8000</v>
      </c>
      <c r="AW111" s="42">
        <v>0</v>
      </c>
      <c r="AX111" s="42">
        <v>8000</v>
      </c>
      <c r="AZ111" s="42">
        <v>8000</v>
      </c>
      <c r="BA111" s="42">
        <v>666.66666666666663</v>
      </c>
      <c r="BB111" s="42">
        <v>666.66666666666663</v>
      </c>
      <c r="BC111" s="42">
        <v>222.2222222222222</v>
      </c>
      <c r="BD111" s="42">
        <v>1555.5555555555554</v>
      </c>
      <c r="BI111" s="42">
        <v>0</v>
      </c>
      <c r="BJ111" s="42">
        <v>8000</v>
      </c>
      <c r="BK111" s="42">
        <v>9555.5555555555547</v>
      </c>
    </row>
    <row r="112" spans="1:63" x14ac:dyDescent="0.25">
      <c r="A112" t="s">
        <v>458</v>
      </c>
      <c r="B112" s="11">
        <v>45717</v>
      </c>
      <c r="C112" s="11" t="s">
        <v>8</v>
      </c>
      <c r="D112" t="s">
        <v>597</v>
      </c>
      <c r="E112">
        <v>4</v>
      </c>
      <c r="G112" t="s">
        <v>424</v>
      </c>
      <c r="H112" t="s">
        <v>444</v>
      </c>
      <c r="I112" t="s">
        <v>459</v>
      </c>
      <c r="L112" t="s">
        <v>434</v>
      </c>
      <c r="M112" t="s">
        <v>601</v>
      </c>
      <c r="N112" t="s">
        <v>602</v>
      </c>
      <c r="O112">
        <v>15000</v>
      </c>
      <c r="P112">
        <v>15000</v>
      </c>
      <c r="AE112" s="42">
        <v>15000</v>
      </c>
      <c r="AW112" s="42">
        <v>0</v>
      </c>
      <c r="AX112" s="42">
        <v>15000</v>
      </c>
      <c r="AZ112" s="42">
        <v>15000</v>
      </c>
      <c r="BA112" s="42">
        <v>1250</v>
      </c>
      <c r="BB112" s="42">
        <v>1250</v>
      </c>
      <c r="BC112" s="42">
        <v>416.66666666666669</v>
      </c>
      <c r="BD112" s="42">
        <v>2916.6666666666665</v>
      </c>
      <c r="BI112" s="42">
        <v>0</v>
      </c>
      <c r="BJ112" s="42">
        <v>15000</v>
      </c>
      <c r="BK112" s="42">
        <v>17916.666666666668</v>
      </c>
    </row>
    <row r="113" spans="1:63" x14ac:dyDescent="0.25">
      <c r="A113" t="s">
        <v>427</v>
      </c>
      <c r="B113" s="11">
        <v>45717</v>
      </c>
      <c r="C113" s="11" t="s">
        <v>8</v>
      </c>
      <c r="D113" t="s">
        <v>597</v>
      </c>
      <c r="E113">
        <v>5</v>
      </c>
      <c r="G113" t="s">
        <v>424</v>
      </c>
      <c r="H113" t="s">
        <v>313</v>
      </c>
      <c r="I113" t="s">
        <v>428</v>
      </c>
      <c r="L113" t="s">
        <v>419</v>
      </c>
      <c r="M113" t="s">
        <v>322</v>
      </c>
      <c r="N113" t="s">
        <v>429</v>
      </c>
      <c r="O113">
        <v>9500</v>
      </c>
      <c r="P113">
        <v>9500</v>
      </c>
      <c r="AE113" s="42">
        <v>9500</v>
      </c>
      <c r="AW113" s="42">
        <v>0</v>
      </c>
      <c r="AX113" s="42">
        <v>9500</v>
      </c>
      <c r="AZ113" s="42">
        <v>9500</v>
      </c>
      <c r="BA113" s="42">
        <v>833.33333333333337</v>
      </c>
      <c r="BB113" s="42">
        <v>833.33333333333337</v>
      </c>
      <c r="BC113" s="42">
        <v>277.77777777777777</v>
      </c>
      <c r="BD113" s="42">
        <v>1944.4444444444446</v>
      </c>
      <c r="BI113" s="42">
        <v>0</v>
      </c>
      <c r="BJ113" s="42">
        <v>9500</v>
      </c>
      <c r="BK113" s="42">
        <v>11444.444444444445</v>
      </c>
    </row>
    <row r="114" spans="1:63" x14ac:dyDescent="0.25">
      <c r="A114" t="s">
        <v>603</v>
      </c>
      <c r="B114" s="11">
        <v>45717</v>
      </c>
      <c r="C114" s="11" t="s">
        <v>8</v>
      </c>
      <c r="D114" t="s">
        <v>597</v>
      </c>
      <c r="E114">
        <v>4</v>
      </c>
      <c r="G114" t="s">
        <v>424</v>
      </c>
      <c r="H114" t="s">
        <v>203</v>
      </c>
      <c r="I114" t="s">
        <v>207</v>
      </c>
      <c r="J114" s="10">
        <v>45609</v>
      </c>
      <c r="L114" t="s">
        <v>422</v>
      </c>
      <c r="M114" t="s">
        <v>208</v>
      </c>
      <c r="N114" t="s">
        <v>604</v>
      </c>
      <c r="O114">
        <v>8300</v>
      </c>
      <c r="P114">
        <v>8300</v>
      </c>
      <c r="AE114" s="42">
        <v>8300</v>
      </c>
      <c r="AW114" s="42">
        <v>0</v>
      </c>
      <c r="AX114" s="42">
        <v>8300</v>
      </c>
      <c r="AZ114" s="42">
        <v>8300</v>
      </c>
      <c r="BA114" s="42">
        <v>691.66666666666663</v>
      </c>
      <c r="BB114" s="42">
        <v>691.66666666666663</v>
      </c>
      <c r="BC114" s="42">
        <v>230.55555555555554</v>
      </c>
      <c r="BD114" s="42">
        <v>1613.8888888888887</v>
      </c>
      <c r="BI114" s="42">
        <v>0</v>
      </c>
      <c r="BJ114" s="42">
        <v>8300</v>
      </c>
      <c r="BK114" s="42">
        <v>9913.8888888888887</v>
      </c>
    </row>
    <row r="115" spans="1:63" x14ac:dyDescent="0.25">
      <c r="A115" t="s">
        <v>462</v>
      </c>
      <c r="B115" s="11">
        <v>45717</v>
      </c>
      <c r="C115" s="11" t="s">
        <v>8</v>
      </c>
      <c r="D115" t="s">
        <v>597</v>
      </c>
      <c r="E115">
        <v>4</v>
      </c>
      <c r="G115" t="s">
        <v>424</v>
      </c>
      <c r="H115" t="s">
        <v>444</v>
      </c>
      <c r="I115" t="s">
        <v>428</v>
      </c>
      <c r="J115" s="10">
        <v>45600</v>
      </c>
      <c r="L115" t="s">
        <v>419</v>
      </c>
      <c r="M115" t="s">
        <v>211</v>
      </c>
      <c r="N115" t="s">
        <v>442</v>
      </c>
      <c r="O115">
        <v>12000</v>
      </c>
      <c r="P115">
        <v>12000</v>
      </c>
      <c r="AE115" s="42">
        <v>12000</v>
      </c>
      <c r="AW115" s="42">
        <v>0</v>
      </c>
      <c r="AX115" s="42">
        <v>12000</v>
      </c>
      <c r="AZ115" s="42">
        <v>12000</v>
      </c>
      <c r="BA115" s="42">
        <v>833.33333333333337</v>
      </c>
      <c r="BB115" s="42">
        <v>833.33333333333337</v>
      </c>
      <c r="BC115" s="42">
        <v>277.77777777777777</v>
      </c>
      <c r="BD115" s="42">
        <v>1944.4444444444446</v>
      </c>
      <c r="BI115" s="42">
        <v>0</v>
      </c>
      <c r="BJ115" s="42">
        <v>12000</v>
      </c>
      <c r="BK115" s="42">
        <v>13944.444444444445</v>
      </c>
    </row>
    <row r="116" spans="1:63" x14ac:dyDescent="0.25">
      <c r="A116" t="s">
        <v>482</v>
      </c>
      <c r="B116" s="11">
        <v>45717</v>
      </c>
      <c r="C116" s="11" t="s">
        <v>8</v>
      </c>
      <c r="D116" t="s">
        <v>597</v>
      </c>
      <c r="E116">
        <v>5</v>
      </c>
      <c r="G116" t="s">
        <v>424</v>
      </c>
      <c r="H116" t="s">
        <v>313</v>
      </c>
      <c r="I116" t="s">
        <v>317</v>
      </c>
      <c r="J116" s="10">
        <v>45628</v>
      </c>
      <c r="L116" t="s">
        <v>419</v>
      </c>
      <c r="M116" t="s">
        <v>318</v>
      </c>
      <c r="N116" t="s">
        <v>319</v>
      </c>
      <c r="O116">
        <v>3069.08</v>
      </c>
      <c r="P116">
        <v>3069.08</v>
      </c>
      <c r="AE116" s="42">
        <v>3069.08</v>
      </c>
      <c r="AW116" s="42">
        <v>0</v>
      </c>
      <c r="AX116" s="42">
        <v>3069.08</v>
      </c>
      <c r="AZ116" s="42">
        <v>3069.08</v>
      </c>
      <c r="BA116" s="42">
        <v>333.33333333333331</v>
      </c>
      <c r="BB116" s="42">
        <v>333.33333333333331</v>
      </c>
      <c r="BC116" s="42">
        <v>111.1111111111111</v>
      </c>
      <c r="BD116" s="42">
        <v>777.77777777777771</v>
      </c>
      <c r="BI116" s="42">
        <v>0</v>
      </c>
      <c r="BJ116" s="42">
        <v>3069.08</v>
      </c>
      <c r="BK116" s="42">
        <v>3846.8577777777778</v>
      </c>
    </row>
    <row r="117" spans="1:63" x14ac:dyDescent="0.25">
      <c r="A117" t="s">
        <v>605</v>
      </c>
      <c r="B117" s="11">
        <v>45717</v>
      </c>
      <c r="C117" s="11" t="s">
        <v>8</v>
      </c>
      <c r="D117" t="s">
        <v>598</v>
      </c>
      <c r="E117">
        <v>5</v>
      </c>
      <c r="G117" t="s">
        <v>424</v>
      </c>
      <c r="H117" t="s">
        <v>203</v>
      </c>
      <c r="I117" t="s">
        <v>244</v>
      </c>
      <c r="L117" t="s">
        <v>434</v>
      </c>
      <c r="M117" t="s">
        <v>245</v>
      </c>
      <c r="O117">
        <v>9406.4500000000007</v>
      </c>
      <c r="P117">
        <v>9406.4500000000007</v>
      </c>
      <c r="AE117" s="42">
        <v>9406.4500000000007</v>
      </c>
      <c r="AW117" s="42">
        <v>0</v>
      </c>
      <c r="AX117" s="42">
        <v>9406.4500000000007</v>
      </c>
      <c r="AZ117" s="42">
        <v>9406.4500000000007</v>
      </c>
      <c r="BA117" s="42">
        <v>783.87083333333339</v>
      </c>
      <c r="BB117" s="42">
        <v>783.87083333333339</v>
      </c>
      <c r="BC117" s="42">
        <v>261.29027777777782</v>
      </c>
      <c r="BD117" s="42">
        <v>1829.0319444444447</v>
      </c>
      <c r="BI117" s="42">
        <v>0</v>
      </c>
      <c r="BJ117" s="42">
        <v>9406.4500000000007</v>
      </c>
      <c r="BK117" s="42">
        <v>11235.481944444446</v>
      </c>
    </row>
    <row r="118" spans="1:63" x14ac:dyDescent="0.25">
      <c r="A118" t="s">
        <v>453</v>
      </c>
      <c r="B118" s="11">
        <v>45717</v>
      </c>
      <c r="C118" s="11" t="s">
        <v>8</v>
      </c>
      <c r="D118" t="s">
        <v>597</v>
      </c>
      <c r="E118">
        <v>5</v>
      </c>
      <c r="G118" t="s">
        <v>424</v>
      </c>
      <c r="H118" t="s">
        <v>142</v>
      </c>
      <c r="I118" t="s">
        <v>195</v>
      </c>
      <c r="L118" t="s">
        <v>419</v>
      </c>
      <c r="M118" t="s">
        <v>454</v>
      </c>
      <c r="O118">
        <v>5000</v>
      </c>
      <c r="P118">
        <v>5000</v>
      </c>
      <c r="AE118" s="42">
        <v>5000</v>
      </c>
      <c r="AW118" s="42">
        <v>0</v>
      </c>
      <c r="AX118" s="42">
        <v>5000</v>
      </c>
      <c r="AZ118" s="42">
        <v>5000</v>
      </c>
      <c r="BA118" s="42">
        <v>416.66666666666669</v>
      </c>
      <c r="BB118" s="42">
        <v>416.66666666666669</v>
      </c>
      <c r="BC118" s="42">
        <v>138.88888888888889</v>
      </c>
      <c r="BD118" s="42">
        <v>972.22222222222229</v>
      </c>
      <c r="BI118" s="42">
        <v>0</v>
      </c>
      <c r="BJ118" s="42">
        <v>5000</v>
      </c>
      <c r="BK118" s="42">
        <v>5972.2222222222226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DB20-6E76-479E-AA2A-D49BDE31C07D}">
  <sheetPr filterMode="1"/>
  <dimension ref="A1:BI122"/>
  <sheetViews>
    <sheetView workbookViewId="0">
      <selection activeCell="AS141" sqref="AS141"/>
    </sheetView>
  </sheetViews>
  <sheetFormatPr defaultRowHeight="15" x14ac:dyDescent="0.25"/>
  <cols>
    <col min="1" max="1" width="43.140625" bestFit="1" customWidth="1"/>
    <col min="2" max="2" width="10.42578125" style="11" bestFit="1" customWidth="1"/>
    <col min="9" max="10" width="10.42578125" style="10" bestFit="1" customWidth="1"/>
  </cols>
  <sheetData>
    <row r="1" spans="1:61" x14ac:dyDescent="0.25">
      <c r="A1" t="s">
        <v>362</v>
      </c>
      <c r="B1" s="11" t="s">
        <v>363</v>
      </c>
      <c r="C1" t="s">
        <v>2</v>
      </c>
      <c r="D1" t="s">
        <v>12</v>
      </c>
      <c r="E1" t="s">
        <v>364</v>
      </c>
      <c r="F1" t="s">
        <v>13</v>
      </c>
      <c r="G1" t="s">
        <v>14</v>
      </c>
      <c r="H1" t="s">
        <v>366</v>
      </c>
      <c r="I1" s="10" t="s">
        <v>367</v>
      </c>
      <c r="J1" s="10" t="s">
        <v>368</v>
      </c>
      <c r="K1" t="s">
        <v>369</v>
      </c>
      <c r="L1" t="s">
        <v>370</v>
      </c>
      <c r="M1" t="s">
        <v>371</v>
      </c>
      <c r="N1" t="s">
        <v>20</v>
      </c>
      <c r="O1" t="s">
        <v>372</v>
      </c>
      <c r="P1" t="s">
        <v>374</v>
      </c>
      <c r="Q1" t="s">
        <v>375</v>
      </c>
      <c r="R1" t="s">
        <v>376</v>
      </c>
      <c r="S1" t="s">
        <v>377</v>
      </c>
      <c r="T1" t="s">
        <v>378</v>
      </c>
      <c r="U1" t="s">
        <v>379</v>
      </c>
      <c r="V1" t="s">
        <v>380</v>
      </c>
      <c r="W1" t="s">
        <v>381</v>
      </c>
      <c r="X1" t="s">
        <v>382</v>
      </c>
      <c r="Y1" t="s">
        <v>383</v>
      </c>
      <c r="Z1" t="s">
        <v>384</v>
      </c>
      <c r="AA1" t="s">
        <v>385</v>
      </c>
      <c r="AB1" t="s">
        <v>386</v>
      </c>
      <c r="AC1" t="s">
        <v>373</v>
      </c>
      <c r="AD1" t="s">
        <v>387</v>
      </c>
      <c r="AE1" t="s">
        <v>606</v>
      </c>
      <c r="AF1" t="s">
        <v>389</v>
      </c>
      <c r="AG1" t="s">
        <v>390</v>
      </c>
      <c r="AH1" t="s">
        <v>391</v>
      </c>
      <c r="AI1" t="s">
        <v>392</v>
      </c>
      <c r="AJ1" t="s">
        <v>393</v>
      </c>
      <c r="AK1" t="s">
        <v>394</v>
      </c>
      <c r="AL1" t="s">
        <v>395</v>
      </c>
      <c r="AM1" t="s">
        <v>396</v>
      </c>
      <c r="AN1" t="s">
        <v>397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408</v>
      </c>
      <c r="AV1" t="s">
        <v>68</v>
      </c>
      <c r="AW1" t="s">
        <v>409</v>
      </c>
      <c r="AX1" t="s">
        <v>410</v>
      </c>
      <c r="AY1" t="s">
        <v>411</v>
      </c>
      <c r="AZ1" t="s">
        <v>412</v>
      </c>
      <c r="BA1" t="s">
        <v>413</v>
      </c>
      <c r="BB1" t="s">
        <v>414</v>
      </c>
      <c r="BC1" t="s">
        <v>415</v>
      </c>
      <c r="BD1" t="s">
        <v>73</v>
      </c>
      <c r="BE1" t="s">
        <v>74</v>
      </c>
      <c r="BF1" t="s">
        <v>71</v>
      </c>
      <c r="BG1" t="s">
        <v>75</v>
      </c>
      <c r="BH1" t="s">
        <v>416</v>
      </c>
      <c r="BI1" t="s">
        <v>417</v>
      </c>
    </row>
    <row r="2" spans="1:61" hidden="1" x14ac:dyDescent="0.25">
      <c r="A2" t="s">
        <v>300</v>
      </c>
      <c r="B2" s="11">
        <v>45597</v>
      </c>
      <c r="C2" t="s">
        <v>5</v>
      </c>
      <c r="D2" t="s">
        <v>582</v>
      </c>
      <c r="F2" t="s">
        <v>292</v>
      </c>
      <c r="G2" t="s">
        <v>566</v>
      </c>
      <c r="H2" t="s">
        <v>88</v>
      </c>
      <c r="I2" s="10">
        <v>40118</v>
      </c>
      <c r="K2" t="s">
        <v>419</v>
      </c>
      <c r="L2" t="s">
        <v>101</v>
      </c>
      <c r="M2" t="s">
        <v>504</v>
      </c>
      <c r="N2">
        <v>2157.5700000000002</v>
      </c>
      <c r="O2">
        <v>2157.5700000000002</v>
      </c>
      <c r="P2">
        <v>0</v>
      </c>
      <c r="Q2">
        <v>0</v>
      </c>
      <c r="R2">
        <v>0</v>
      </c>
      <c r="S2">
        <v>0</v>
      </c>
      <c r="T2">
        <v>200</v>
      </c>
      <c r="U2">
        <v>0</v>
      </c>
      <c r="V2">
        <v>0</v>
      </c>
      <c r="W2">
        <v>313.83</v>
      </c>
      <c r="X2">
        <v>95.51</v>
      </c>
      <c r="Y2">
        <v>0</v>
      </c>
      <c r="Z2">
        <v>0</v>
      </c>
      <c r="AA2">
        <v>0</v>
      </c>
      <c r="AB2">
        <v>0</v>
      </c>
      <c r="AC2">
        <v>0</v>
      </c>
      <c r="AD2">
        <v>2766.9100000000003</v>
      </c>
      <c r="AE2">
        <v>600</v>
      </c>
      <c r="AF2">
        <v>190</v>
      </c>
      <c r="AH2">
        <v>0</v>
      </c>
      <c r="AL2">
        <v>0</v>
      </c>
      <c r="AN2">
        <v>425.45</v>
      </c>
      <c r="AO2">
        <v>0</v>
      </c>
      <c r="AP2">
        <v>0</v>
      </c>
      <c r="AQ2">
        <v>0</v>
      </c>
      <c r="AR2">
        <v>0</v>
      </c>
      <c r="AS2">
        <v>0</v>
      </c>
      <c r="AU2">
        <v>1215.45</v>
      </c>
      <c r="AV2">
        <v>3982.3600000000006</v>
      </c>
      <c r="AW2">
        <v>2228</v>
      </c>
      <c r="AX2">
        <v>6210.3600000000006</v>
      </c>
      <c r="AY2">
        <v>230.57583333333335</v>
      </c>
      <c r="AZ2">
        <v>230.57583333333335</v>
      </c>
      <c r="BA2">
        <v>76.858611111111117</v>
      </c>
      <c r="BB2">
        <v>538.01027777777779</v>
      </c>
      <c r="BC2">
        <v>553.38200000000006</v>
      </c>
      <c r="BD2">
        <v>41.50365</v>
      </c>
      <c r="BE2">
        <v>160.48078000000001</v>
      </c>
      <c r="BF2">
        <v>221.35280000000003</v>
      </c>
      <c r="BG2">
        <v>976.71923000000004</v>
      </c>
      <c r="BH2">
        <v>7187.0792300000003</v>
      </c>
      <c r="BI2">
        <v>7725.0895077777777</v>
      </c>
    </row>
    <row r="3" spans="1:61" hidden="1" x14ac:dyDescent="0.25">
      <c r="A3" t="s">
        <v>100</v>
      </c>
      <c r="B3" s="11">
        <v>45597</v>
      </c>
      <c r="C3" t="s">
        <v>5</v>
      </c>
      <c r="D3" t="s">
        <v>564</v>
      </c>
      <c r="F3" t="s">
        <v>95</v>
      </c>
      <c r="G3" t="s">
        <v>566</v>
      </c>
      <c r="H3" t="s">
        <v>88</v>
      </c>
      <c r="I3" s="10">
        <v>40269</v>
      </c>
      <c r="K3" t="s">
        <v>419</v>
      </c>
      <c r="L3" t="s">
        <v>89</v>
      </c>
      <c r="M3" t="s">
        <v>92</v>
      </c>
      <c r="N3">
        <v>2462.25</v>
      </c>
      <c r="O3">
        <v>2462.25</v>
      </c>
      <c r="P3">
        <v>0</v>
      </c>
      <c r="Q3">
        <v>492.45</v>
      </c>
      <c r="R3">
        <v>0</v>
      </c>
      <c r="S3">
        <v>0</v>
      </c>
      <c r="T3">
        <v>0</v>
      </c>
      <c r="U3">
        <v>123.11</v>
      </c>
      <c r="V3">
        <v>3.65</v>
      </c>
      <c r="W3">
        <v>2028.55</v>
      </c>
      <c r="X3">
        <v>617.38</v>
      </c>
      <c r="Y3">
        <v>0</v>
      </c>
      <c r="Z3">
        <v>0</v>
      </c>
      <c r="AA3">
        <v>0</v>
      </c>
      <c r="AB3">
        <v>0</v>
      </c>
      <c r="AC3">
        <v>0</v>
      </c>
      <c r="AD3">
        <v>5727.39</v>
      </c>
      <c r="AE3">
        <v>0</v>
      </c>
      <c r="AF3">
        <v>190</v>
      </c>
      <c r="AH3">
        <v>0</v>
      </c>
      <c r="AL3">
        <v>0</v>
      </c>
      <c r="AN3">
        <v>115.26</v>
      </c>
      <c r="AO3">
        <v>1503.2</v>
      </c>
      <c r="AP3">
        <v>0</v>
      </c>
      <c r="AQ3">
        <v>0</v>
      </c>
      <c r="AR3">
        <v>0</v>
      </c>
      <c r="AS3">
        <v>0</v>
      </c>
      <c r="AU3">
        <v>1808.46</v>
      </c>
      <c r="AV3">
        <v>7535.85</v>
      </c>
      <c r="AX3">
        <v>7535.85</v>
      </c>
      <c r="AY3">
        <v>477.28250000000003</v>
      </c>
      <c r="AZ3">
        <v>477.28250000000003</v>
      </c>
      <c r="BA3">
        <v>159.09416666666667</v>
      </c>
      <c r="BB3">
        <v>1113.6591666666668</v>
      </c>
      <c r="BC3">
        <v>1145.4780000000001</v>
      </c>
      <c r="BD3">
        <v>85.910849999999996</v>
      </c>
      <c r="BE3">
        <v>332.18862000000001</v>
      </c>
      <c r="BF3">
        <v>458.19120000000004</v>
      </c>
      <c r="BG3">
        <v>2021.7686700000002</v>
      </c>
      <c r="BH3">
        <v>9557.6186699999998</v>
      </c>
      <c r="BI3">
        <v>10671.277836666666</v>
      </c>
    </row>
    <row r="4" spans="1:61" hidden="1" x14ac:dyDescent="0.25">
      <c r="A4" t="s">
        <v>128</v>
      </c>
      <c r="B4" s="11">
        <v>45597</v>
      </c>
      <c r="C4" t="s">
        <v>5</v>
      </c>
      <c r="D4" t="s">
        <v>594</v>
      </c>
      <c r="F4" t="s">
        <v>356</v>
      </c>
      <c r="G4" t="s">
        <v>464</v>
      </c>
      <c r="H4" t="s">
        <v>88</v>
      </c>
      <c r="I4" s="10">
        <v>41276</v>
      </c>
      <c r="K4" t="s">
        <v>419</v>
      </c>
      <c r="L4" t="s">
        <v>132</v>
      </c>
      <c r="M4" t="s">
        <v>511</v>
      </c>
      <c r="N4">
        <v>3008.25</v>
      </c>
      <c r="O4">
        <v>3008.25</v>
      </c>
      <c r="P4">
        <v>0</v>
      </c>
      <c r="Q4">
        <v>601.65</v>
      </c>
      <c r="R4">
        <v>0</v>
      </c>
      <c r="S4">
        <v>0</v>
      </c>
      <c r="T4">
        <v>0</v>
      </c>
      <c r="U4">
        <v>0</v>
      </c>
      <c r="V4">
        <v>0</v>
      </c>
      <c r="W4">
        <v>1773.78</v>
      </c>
      <c r="X4">
        <v>539.85</v>
      </c>
      <c r="Y4">
        <v>0</v>
      </c>
      <c r="Z4">
        <v>0</v>
      </c>
      <c r="AA4">
        <v>0</v>
      </c>
      <c r="AB4">
        <v>0</v>
      </c>
      <c r="AC4">
        <v>0</v>
      </c>
      <c r="AD4">
        <v>5923.5300000000007</v>
      </c>
      <c r="AE4">
        <v>0</v>
      </c>
      <c r="AF4">
        <v>0</v>
      </c>
      <c r="AG4">
        <v>136.5</v>
      </c>
      <c r="AH4">
        <v>0</v>
      </c>
      <c r="AL4">
        <v>0</v>
      </c>
      <c r="AN4">
        <v>24.46</v>
      </c>
      <c r="AO4">
        <v>0</v>
      </c>
      <c r="AP4">
        <v>0</v>
      </c>
      <c r="AQ4">
        <v>0</v>
      </c>
      <c r="AR4">
        <v>0</v>
      </c>
      <c r="AS4">
        <v>0</v>
      </c>
      <c r="AU4">
        <v>160.96</v>
      </c>
      <c r="AV4">
        <v>6084.4900000000007</v>
      </c>
      <c r="AX4">
        <v>6084.4900000000007</v>
      </c>
      <c r="AY4">
        <v>493.62750000000005</v>
      </c>
      <c r="AZ4">
        <v>493.62750000000005</v>
      </c>
      <c r="BA4">
        <v>164.54250000000002</v>
      </c>
      <c r="BB4">
        <v>1151.7975000000001</v>
      </c>
      <c r="BC4">
        <v>1184.7060000000001</v>
      </c>
      <c r="BD4">
        <v>88.852950000000007</v>
      </c>
      <c r="BE4">
        <v>343.56474000000003</v>
      </c>
      <c r="BF4">
        <v>473.88240000000008</v>
      </c>
      <c r="BG4">
        <v>2091.0060900000003</v>
      </c>
      <c r="BH4">
        <v>8175.4960900000005</v>
      </c>
      <c r="BI4">
        <v>9327.2935900000011</v>
      </c>
    </row>
    <row r="5" spans="1:61" hidden="1" x14ac:dyDescent="0.25">
      <c r="A5" t="s">
        <v>328</v>
      </c>
      <c r="B5" s="11">
        <v>45597</v>
      </c>
      <c r="C5" t="s">
        <v>5</v>
      </c>
      <c r="D5" t="s">
        <v>588</v>
      </c>
      <c r="F5" t="s">
        <v>312</v>
      </c>
      <c r="G5" t="s">
        <v>313</v>
      </c>
      <c r="H5" t="s">
        <v>329</v>
      </c>
      <c r="I5" s="10">
        <v>41786</v>
      </c>
      <c r="K5" t="s">
        <v>419</v>
      </c>
      <c r="L5" t="s">
        <v>330</v>
      </c>
      <c r="M5" t="s">
        <v>506</v>
      </c>
      <c r="N5">
        <v>2129.9899999999998</v>
      </c>
      <c r="O5">
        <v>2129.9899999999998</v>
      </c>
      <c r="P5">
        <v>0</v>
      </c>
      <c r="Q5">
        <v>426</v>
      </c>
      <c r="R5">
        <v>0</v>
      </c>
      <c r="S5">
        <v>0</v>
      </c>
      <c r="T5">
        <v>0</v>
      </c>
      <c r="U5">
        <v>0</v>
      </c>
      <c r="V5">
        <v>0</v>
      </c>
      <c r="W5">
        <v>92.95</v>
      </c>
      <c r="X5">
        <v>28.29</v>
      </c>
      <c r="Y5">
        <v>0</v>
      </c>
      <c r="Z5">
        <v>0</v>
      </c>
      <c r="AA5">
        <v>0</v>
      </c>
      <c r="AB5">
        <v>0</v>
      </c>
      <c r="AC5">
        <v>0</v>
      </c>
      <c r="AD5">
        <v>2677.2299999999996</v>
      </c>
      <c r="AE5">
        <v>200</v>
      </c>
      <c r="AF5">
        <v>190</v>
      </c>
      <c r="AH5">
        <v>0</v>
      </c>
      <c r="AL5">
        <v>0</v>
      </c>
      <c r="AO5">
        <v>0</v>
      </c>
      <c r="AP5">
        <v>0</v>
      </c>
      <c r="AQ5">
        <v>0</v>
      </c>
      <c r="AR5">
        <v>0</v>
      </c>
      <c r="AS5">
        <v>0</v>
      </c>
      <c r="AU5">
        <v>390</v>
      </c>
      <c r="AV5">
        <v>3067.2299999999996</v>
      </c>
      <c r="AX5">
        <v>3067.2299999999996</v>
      </c>
      <c r="AY5">
        <v>223.10249999999996</v>
      </c>
      <c r="AZ5">
        <v>223.10249999999996</v>
      </c>
      <c r="BA5">
        <v>74.367499999999993</v>
      </c>
      <c r="BB5">
        <v>520.57249999999988</v>
      </c>
      <c r="BC5">
        <v>535.44599999999991</v>
      </c>
      <c r="BD5">
        <v>40.158449999999995</v>
      </c>
      <c r="BE5">
        <v>155.27933999999996</v>
      </c>
      <c r="BF5">
        <v>214.17839999999998</v>
      </c>
      <c r="BG5">
        <v>945.06218999999987</v>
      </c>
      <c r="BH5">
        <v>4012.2921899999992</v>
      </c>
      <c r="BI5">
        <v>4532.8646899999994</v>
      </c>
    </row>
    <row r="6" spans="1:61" hidden="1" x14ac:dyDescent="0.25">
      <c r="A6" t="s">
        <v>420</v>
      </c>
      <c r="B6" s="11">
        <v>45597</v>
      </c>
      <c r="C6" t="s">
        <v>5</v>
      </c>
      <c r="D6" t="s">
        <v>597</v>
      </c>
      <c r="E6" t="s">
        <v>607</v>
      </c>
      <c r="F6" t="s">
        <v>80</v>
      </c>
      <c r="G6" t="s">
        <v>608</v>
      </c>
      <c r="H6" t="s">
        <v>609</v>
      </c>
      <c r="I6" s="10">
        <v>41883</v>
      </c>
      <c r="K6" t="s">
        <v>419</v>
      </c>
      <c r="L6" t="s">
        <v>523</v>
      </c>
      <c r="M6" t="s">
        <v>508</v>
      </c>
      <c r="N6">
        <v>2925.98</v>
      </c>
      <c r="O6">
        <v>2925.98</v>
      </c>
      <c r="P6">
        <v>0</v>
      </c>
      <c r="Q6">
        <v>585.20000000000005</v>
      </c>
      <c r="R6">
        <v>0</v>
      </c>
      <c r="S6">
        <v>0</v>
      </c>
      <c r="T6">
        <v>0</v>
      </c>
      <c r="U6">
        <v>146.30000000000001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3657.4800000000005</v>
      </c>
      <c r="AE6">
        <v>200</v>
      </c>
      <c r="AF6">
        <v>190</v>
      </c>
      <c r="AH6">
        <v>1718</v>
      </c>
      <c r="AL6">
        <v>0</v>
      </c>
      <c r="AO6">
        <v>1942.8</v>
      </c>
      <c r="AP6">
        <v>600</v>
      </c>
      <c r="AQ6">
        <v>0</v>
      </c>
      <c r="AR6">
        <v>0</v>
      </c>
      <c r="AS6">
        <v>0</v>
      </c>
      <c r="AU6">
        <v>4650.8</v>
      </c>
      <c r="AV6">
        <v>8308.2800000000007</v>
      </c>
      <c r="AX6">
        <v>8308.2800000000007</v>
      </c>
      <c r="AY6">
        <v>304.79000000000002</v>
      </c>
      <c r="AZ6">
        <v>304.79000000000002</v>
      </c>
      <c r="BA6">
        <v>101.59666666666668</v>
      </c>
      <c r="BB6">
        <v>711.17666666666673</v>
      </c>
      <c r="BC6">
        <v>731.49600000000009</v>
      </c>
      <c r="BD6">
        <v>215.64136332000004</v>
      </c>
      <c r="BE6">
        <v>212.13384000000002</v>
      </c>
      <c r="BF6">
        <v>292.59840000000003</v>
      </c>
      <c r="BG6">
        <v>1451.8696033200001</v>
      </c>
      <c r="BH6">
        <v>9760.1496033200001</v>
      </c>
      <c r="BI6">
        <v>10471.326269986666</v>
      </c>
    </row>
    <row r="7" spans="1:61" hidden="1" x14ac:dyDescent="0.25">
      <c r="A7" t="s">
        <v>106</v>
      </c>
      <c r="B7" s="11">
        <v>45597</v>
      </c>
      <c r="C7" t="s">
        <v>5</v>
      </c>
      <c r="D7" t="s">
        <v>582</v>
      </c>
      <c r="F7" t="s">
        <v>292</v>
      </c>
      <c r="G7" t="s">
        <v>444</v>
      </c>
      <c r="H7" t="s">
        <v>97</v>
      </c>
      <c r="I7" s="10">
        <v>42217</v>
      </c>
      <c r="K7" t="s">
        <v>419</v>
      </c>
      <c r="L7" t="s">
        <v>211</v>
      </c>
      <c r="M7" t="s">
        <v>508</v>
      </c>
      <c r="N7">
        <v>2394.67</v>
      </c>
      <c r="O7">
        <v>2394.67</v>
      </c>
      <c r="P7">
        <v>0</v>
      </c>
      <c r="Q7">
        <v>478.93</v>
      </c>
      <c r="R7">
        <v>0</v>
      </c>
      <c r="S7">
        <v>0</v>
      </c>
      <c r="T7">
        <v>0</v>
      </c>
      <c r="U7">
        <v>119.73</v>
      </c>
      <c r="V7">
        <v>0</v>
      </c>
      <c r="W7">
        <v>979.64</v>
      </c>
      <c r="X7">
        <v>298.14999999999998</v>
      </c>
      <c r="Y7">
        <v>0</v>
      </c>
      <c r="Z7">
        <v>0</v>
      </c>
      <c r="AA7">
        <v>0</v>
      </c>
      <c r="AB7">
        <v>0</v>
      </c>
      <c r="AC7">
        <v>0</v>
      </c>
      <c r="AD7">
        <v>4271.12</v>
      </c>
      <c r="AE7">
        <v>200</v>
      </c>
      <c r="AF7">
        <v>190</v>
      </c>
      <c r="AH7">
        <v>0</v>
      </c>
      <c r="AL7">
        <v>0</v>
      </c>
      <c r="AN7">
        <v>425.45</v>
      </c>
      <c r="AO7">
        <v>1942.8</v>
      </c>
      <c r="AP7">
        <v>1300</v>
      </c>
      <c r="AQ7">
        <v>0</v>
      </c>
      <c r="AR7">
        <v>0</v>
      </c>
      <c r="AS7">
        <v>0</v>
      </c>
      <c r="AU7">
        <v>4058.25</v>
      </c>
      <c r="AV7">
        <v>8329.369999999999</v>
      </c>
      <c r="AX7">
        <v>8329.369999999999</v>
      </c>
      <c r="AY7">
        <v>355.92666666666668</v>
      </c>
      <c r="AZ7">
        <v>355.92666666666668</v>
      </c>
      <c r="BA7">
        <v>118.64222222222223</v>
      </c>
      <c r="BB7">
        <v>830.4955555555556</v>
      </c>
      <c r="BC7">
        <v>854.22400000000005</v>
      </c>
      <c r="BD7">
        <v>64.066800000000001</v>
      </c>
      <c r="BE7">
        <v>247.72495999999998</v>
      </c>
      <c r="BF7">
        <v>341.68959999999998</v>
      </c>
      <c r="BG7">
        <v>1507.7053599999999</v>
      </c>
      <c r="BH7">
        <v>9837.0753599999989</v>
      </c>
      <c r="BI7">
        <v>10667.570915555554</v>
      </c>
    </row>
    <row r="8" spans="1:61" hidden="1" x14ac:dyDescent="0.25">
      <c r="A8" t="s">
        <v>469</v>
      </c>
      <c r="B8" s="11">
        <v>45597</v>
      </c>
      <c r="C8" t="s">
        <v>5</v>
      </c>
      <c r="D8" t="s">
        <v>564</v>
      </c>
      <c r="F8" t="s">
        <v>95</v>
      </c>
      <c r="G8" t="s">
        <v>561</v>
      </c>
      <c r="H8" t="s">
        <v>421</v>
      </c>
      <c r="I8" s="10">
        <v>42826</v>
      </c>
      <c r="K8" t="s">
        <v>419</v>
      </c>
      <c r="L8" t="s">
        <v>470</v>
      </c>
      <c r="M8" t="s">
        <v>439</v>
      </c>
      <c r="N8">
        <v>2462.25</v>
      </c>
      <c r="O8">
        <v>2462.25</v>
      </c>
      <c r="P8">
        <v>0</v>
      </c>
      <c r="Q8">
        <v>492.45</v>
      </c>
      <c r="R8">
        <v>0</v>
      </c>
      <c r="S8">
        <v>0</v>
      </c>
      <c r="T8">
        <v>0</v>
      </c>
      <c r="U8">
        <v>123.11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3077.81</v>
      </c>
      <c r="AE8">
        <v>0</v>
      </c>
      <c r="AF8">
        <v>190</v>
      </c>
      <c r="AH8">
        <v>770</v>
      </c>
      <c r="AL8">
        <v>1000</v>
      </c>
      <c r="AO8">
        <v>2097.1999999999998</v>
      </c>
      <c r="AP8">
        <v>2500</v>
      </c>
      <c r="AQ8">
        <v>0</v>
      </c>
      <c r="AR8">
        <v>0</v>
      </c>
      <c r="AS8">
        <v>0</v>
      </c>
      <c r="AU8">
        <v>6557.2</v>
      </c>
      <c r="AV8">
        <v>9635.01</v>
      </c>
      <c r="AX8">
        <v>9635.01</v>
      </c>
      <c r="AY8">
        <v>256.48416666666668</v>
      </c>
      <c r="AZ8">
        <v>256.48416666666668</v>
      </c>
      <c r="BA8">
        <v>85.494722222222222</v>
      </c>
      <c r="BB8">
        <v>598.46305555555557</v>
      </c>
      <c r="BC8">
        <v>615.56200000000001</v>
      </c>
      <c r="BD8">
        <v>46.167149999999999</v>
      </c>
      <c r="BE8">
        <v>178.51297999999997</v>
      </c>
      <c r="BF8">
        <v>246.22479999999999</v>
      </c>
      <c r="BG8">
        <v>1086.46693</v>
      </c>
      <c r="BH8">
        <v>10721.476930000001</v>
      </c>
      <c r="BI8">
        <v>11319.939985555557</v>
      </c>
    </row>
    <row r="9" spans="1:61" hidden="1" x14ac:dyDescent="0.25">
      <c r="A9" t="s">
        <v>157</v>
      </c>
      <c r="B9" s="11">
        <v>45597</v>
      </c>
      <c r="C9" t="s">
        <v>5</v>
      </c>
      <c r="D9" t="s">
        <v>564</v>
      </c>
      <c r="F9" t="s">
        <v>95</v>
      </c>
      <c r="G9" t="s">
        <v>561</v>
      </c>
      <c r="H9" t="s">
        <v>565</v>
      </c>
      <c r="I9" s="10">
        <v>42826</v>
      </c>
      <c r="K9" t="s">
        <v>419</v>
      </c>
      <c r="L9" t="s">
        <v>517</v>
      </c>
      <c r="M9" t="s">
        <v>92</v>
      </c>
      <c r="N9">
        <v>2462.25</v>
      </c>
      <c r="O9">
        <v>2462.25</v>
      </c>
      <c r="P9">
        <v>0</v>
      </c>
      <c r="Q9">
        <v>492.45</v>
      </c>
      <c r="R9">
        <v>0</v>
      </c>
      <c r="S9">
        <v>0</v>
      </c>
      <c r="T9">
        <v>0</v>
      </c>
      <c r="U9">
        <v>123.11</v>
      </c>
      <c r="V9">
        <v>91.240000000000009</v>
      </c>
      <c r="W9">
        <v>1238.1199999999999</v>
      </c>
      <c r="X9">
        <v>376.82</v>
      </c>
      <c r="Y9">
        <v>0</v>
      </c>
      <c r="Z9">
        <v>0</v>
      </c>
      <c r="AA9">
        <v>0</v>
      </c>
      <c r="AB9">
        <v>0</v>
      </c>
      <c r="AC9">
        <v>0</v>
      </c>
      <c r="AD9">
        <v>4783.99</v>
      </c>
      <c r="AE9">
        <v>0</v>
      </c>
      <c r="AF9">
        <v>190</v>
      </c>
      <c r="AH9">
        <v>0</v>
      </c>
      <c r="AL9">
        <v>0</v>
      </c>
      <c r="AM9">
        <v>603.19999999999993</v>
      </c>
      <c r="AN9">
        <v>24.46</v>
      </c>
      <c r="AO9">
        <v>1180.5</v>
      </c>
      <c r="AP9">
        <v>0</v>
      </c>
      <c r="AQ9">
        <v>0</v>
      </c>
      <c r="AR9">
        <v>0</v>
      </c>
      <c r="AS9">
        <v>0</v>
      </c>
      <c r="AU9">
        <v>1998.1599999999999</v>
      </c>
      <c r="AV9">
        <v>6782.15</v>
      </c>
      <c r="AX9">
        <v>6782.15</v>
      </c>
      <c r="AY9">
        <v>398.6658333333333</v>
      </c>
      <c r="AZ9">
        <v>398.6658333333333</v>
      </c>
      <c r="BA9">
        <v>132.88861111111109</v>
      </c>
      <c r="BB9">
        <v>930.22027777777771</v>
      </c>
      <c r="BC9">
        <v>956.798</v>
      </c>
      <c r="BD9">
        <v>71.75985</v>
      </c>
      <c r="BE9">
        <v>277.47141999999997</v>
      </c>
      <c r="BF9">
        <v>382.7192</v>
      </c>
      <c r="BG9">
        <v>1688.74847</v>
      </c>
      <c r="BH9">
        <v>8470.8984700000001</v>
      </c>
      <c r="BI9">
        <v>9401.1187477777767</v>
      </c>
    </row>
    <row r="10" spans="1:61" hidden="1" x14ac:dyDescent="0.25">
      <c r="A10" t="s">
        <v>545</v>
      </c>
      <c r="B10" s="11">
        <v>45597</v>
      </c>
      <c r="C10" t="s">
        <v>5</v>
      </c>
      <c r="D10" t="s">
        <v>582</v>
      </c>
      <c r="F10" t="s">
        <v>292</v>
      </c>
      <c r="G10" t="s">
        <v>203</v>
      </c>
      <c r="H10" t="s">
        <v>233</v>
      </c>
      <c r="I10" s="10">
        <v>42912</v>
      </c>
      <c r="K10" t="s">
        <v>422</v>
      </c>
      <c r="L10" t="s">
        <v>234</v>
      </c>
      <c r="M10" t="s">
        <v>546</v>
      </c>
      <c r="N10">
        <v>2439.6999999999998</v>
      </c>
      <c r="O10">
        <v>2439.6999999999998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2439.6999999999998</v>
      </c>
      <c r="AE10">
        <v>200</v>
      </c>
      <c r="AF10">
        <v>190</v>
      </c>
      <c r="AH10">
        <v>0</v>
      </c>
      <c r="AL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>
        <v>390</v>
      </c>
      <c r="AV10">
        <v>2829.7</v>
      </c>
      <c r="AW10">
        <v>475.65</v>
      </c>
      <c r="AX10">
        <v>3305.35</v>
      </c>
      <c r="AY10">
        <v>203.30833333333331</v>
      </c>
      <c r="AZ10">
        <v>203.30833333333331</v>
      </c>
      <c r="BA10">
        <v>67.769444444444431</v>
      </c>
      <c r="BB10">
        <v>474.38611111111106</v>
      </c>
      <c r="BC10">
        <v>487.94</v>
      </c>
      <c r="BD10">
        <v>36.595499999999994</v>
      </c>
      <c r="BE10">
        <v>141.50259999999997</v>
      </c>
      <c r="BF10">
        <v>195.17599999999999</v>
      </c>
      <c r="BG10">
        <v>861.21409999999992</v>
      </c>
      <c r="BH10">
        <v>4166.5640999999996</v>
      </c>
      <c r="BI10">
        <v>4640.9502111111105</v>
      </c>
    </row>
    <row r="11" spans="1:61" hidden="1" x14ac:dyDescent="0.25">
      <c r="A11" t="s">
        <v>592</v>
      </c>
      <c r="B11" s="11">
        <v>45597</v>
      </c>
      <c r="C11" t="s">
        <v>5</v>
      </c>
      <c r="D11" t="s">
        <v>588</v>
      </c>
      <c r="F11" t="s">
        <v>312</v>
      </c>
      <c r="G11" t="s">
        <v>313</v>
      </c>
      <c r="H11" t="s">
        <v>317</v>
      </c>
      <c r="I11" s="10">
        <v>42982</v>
      </c>
      <c r="K11" t="s">
        <v>419</v>
      </c>
      <c r="L11" t="s">
        <v>318</v>
      </c>
      <c r="M11" t="s">
        <v>593</v>
      </c>
      <c r="N11">
        <v>3904.73</v>
      </c>
      <c r="O11">
        <v>3904.73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3904.73</v>
      </c>
      <c r="AE11">
        <v>0</v>
      </c>
      <c r="AF11">
        <v>190</v>
      </c>
      <c r="AH11">
        <v>0</v>
      </c>
      <c r="AL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>
        <v>190</v>
      </c>
      <c r="AV11">
        <v>4094.73</v>
      </c>
      <c r="AW11">
        <v>8242</v>
      </c>
      <c r="AX11">
        <v>4094.73</v>
      </c>
      <c r="AY11">
        <v>325.39416666666665</v>
      </c>
      <c r="AZ11">
        <v>325.39416666666665</v>
      </c>
      <c r="BA11">
        <v>108.46472222222222</v>
      </c>
      <c r="BB11">
        <v>759.25305555555553</v>
      </c>
      <c r="BC11">
        <v>780.94600000000003</v>
      </c>
      <c r="BD11">
        <v>58.570949999999996</v>
      </c>
      <c r="BE11">
        <v>226.47433999999998</v>
      </c>
      <c r="BF11">
        <v>312.3784</v>
      </c>
      <c r="BG11">
        <v>1378.36969</v>
      </c>
      <c r="BH11">
        <v>5473.09969</v>
      </c>
      <c r="BI11">
        <v>6232.3527455555559</v>
      </c>
    </row>
    <row r="12" spans="1:61" hidden="1" x14ac:dyDescent="0.25">
      <c r="A12" t="s">
        <v>310</v>
      </c>
      <c r="B12" s="11">
        <v>45597</v>
      </c>
      <c r="C12" t="s">
        <v>5</v>
      </c>
      <c r="D12" t="s">
        <v>588</v>
      </c>
      <c r="F12" t="s">
        <v>312</v>
      </c>
      <c r="G12" t="s">
        <v>313</v>
      </c>
      <c r="H12" t="s">
        <v>97</v>
      </c>
      <c r="I12" s="10">
        <v>43234</v>
      </c>
      <c r="K12" t="s">
        <v>419</v>
      </c>
      <c r="L12" t="s">
        <v>314</v>
      </c>
      <c r="M12" t="s">
        <v>610</v>
      </c>
      <c r="N12">
        <v>2394.67</v>
      </c>
      <c r="O12">
        <v>2394.67</v>
      </c>
      <c r="P12">
        <v>0</v>
      </c>
      <c r="Q12">
        <v>478.93</v>
      </c>
      <c r="R12">
        <v>0</v>
      </c>
      <c r="S12">
        <v>0</v>
      </c>
      <c r="T12">
        <v>0</v>
      </c>
      <c r="U12">
        <v>119.73</v>
      </c>
      <c r="V12">
        <v>0</v>
      </c>
      <c r="W12">
        <v>836.77</v>
      </c>
      <c r="X12">
        <v>254.67</v>
      </c>
      <c r="Y12">
        <v>0</v>
      </c>
      <c r="Z12">
        <v>0</v>
      </c>
      <c r="AA12">
        <v>0</v>
      </c>
      <c r="AB12">
        <v>0</v>
      </c>
      <c r="AC12">
        <v>0</v>
      </c>
      <c r="AD12">
        <v>4084.77</v>
      </c>
      <c r="AE12">
        <v>200</v>
      </c>
      <c r="AF12">
        <v>190</v>
      </c>
      <c r="AH12">
        <v>0</v>
      </c>
      <c r="AL12">
        <v>0</v>
      </c>
      <c r="AO12">
        <v>1059.5999999999999</v>
      </c>
      <c r="AP12">
        <v>0</v>
      </c>
      <c r="AQ12">
        <v>0</v>
      </c>
      <c r="AR12">
        <v>0</v>
      </c>
      <c r="AS12">
        <v>0</v>
      </c>
      <c r="AU12">
        <v>1449.6</v>
      </c>
      <c r="AV12">
        <v>5534.37</v>
      </c>
      <c r="AX12">
        <v>5534.37</v>
      </c>
      <c r="AY12">
        <v>340.39749999999998</v>
      </c>
      <c r="AZ12">
        <v>340.39749999999998</v>
      </c>
      <c r="BA12">
        <v>113.46583333333332</v>
      </c>
      <c r="BB12">
        <v>794.26083333333327</v>
      </c>
      <c r="BC12">
        <v>816.95400000000006</v>
      </c>
      <c r="BD12">
        <v>61.271549999999998</v>
      </c>
      <c r="BE12">
        <v>236.91665999999998</v>
      </c>
      <c r="BF12">
        <v>326.78160000000003</v>
      </c>
      <c r="BG12">
        <v>1441.92381</v>
      </c>
      <c r="BH12">
        <v>6976.2938100000001</v>
      </c>
      <c r="BI12">
        <v>7770.5546433333329</v>
      </c>
    </row>
    <row r="13" spans="1:61" hidden="1" x14ac:dyDescent="0.25">
      <c r="A13" t="s">
        <v>139</v>
      </c>
      <c r="B13" s="11">
        <v>45597</v>
      </c>
      <c r="C13" t="s">
        <v>5</v>
      </c>
      <c r="D13" t="s">
        <v>579</v>
      </c>
      <c r="F13" t="s">
        <v>283</v>
      </c>
      <c r="G13" t="s">
        <v>142</v>
      </c>
      <c r="H13" t="s">
        <v>97</v>
      </c>
      <c r="I13" s="10">
        <v>43521</v>
      </c>
      <c r="K13" t="s">
        <v>419</v>
      </c>
      <c r="L13" t="s">
        <v>535</v>
      </c>
      <c r="M13" t="s">
        <v>508</v>
      </c>
      <c r="N13">
        <v>2538.36</v>
      </c>
      <c r="O13">
        <v>2538.36</v>
      </c>
      <c r="P13">
        <v>0</v>
      </c>
      <c r="Q13">
        <v>507.67</v>
      </c>
      <c r="R13">
        <v>0</v>
      </c>
      <c r="S13">
        <v>0</v>
      </c>
      <c r="T13">
        <v>0</v>
      </c>
      <c r="U13">
        <v>0</v>
      </c>
      <c r="V13">
        <v>1.93</v>
      </c>
      <c r="W13">
        <v>851.5</v>
      </c>
      <c r="X13">
        <v>259.14999999999998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4158.6099999999997</v>
      </c>
      <c r="AE13">
        <v>0</v>
      </c>
      <c r="AF13">
        <v>0</v>
      </c>
      <c r="AG13">
        <v>225</v>
      </c>
      <c r="AH13">
        <v>0</v>
      </c>
      <c r="AI13">
        <v>228.77</v>
      </c>
      <c r="AL13">
        <v>0</v>
      </c>
      <c r="AN13">
        <v>600</v>
      </c>
      <c r="AO13">
        <v>915</v>
      </c>
      <c r="AP13">
        <v>0</v>
      </c>
      <c r="AQ13">
        <v>0</v>
      </c>
      <c r="AR13">
        <v>0</v>
      </c>
      <c r="AS13">
        <v>0</v>
      </c>
      <c r="AT13">
        <v>90.75</v>
      </c>
      <c r="AU13">
        <v>2059.52</v>
      </c>
      <c r="AV13">
        <v>6218.1299999999992</v>
      </c>
      <c r="AX13">
        <v>6218.1299999999992</v>
      </c>
      <c r="AY13">
        <v>346.55083333333329</v>
      </c>
      <c r="AZ13">
        <v>346.55083333333329</v>
      </c>
      <c r="BA13">
        <v>115.51694444444443</v>
      </c>
      <c r="BB13">
        <v>808.61861111111102</v>
      </c>
      <c r="BC13">
        <v>831.72199999999998</v>
      </c>
      <c r="BD13">
        <v>62.379149999999996</v>
      </c>
      <c r="BE13">
        <v>241.19937999999996</v>
      </c>
      <c r="BF13">
        <v>332.68879999999996</v>
      </c>
      <c r="BG13">
        <v>1467.9893299999999</v>
      </c>
      <c r="BH13">
        <v>7686.1193299999995</v>
      </c>
      <c r="BI13">
        <v>8494.7379411111106</v>
      </c>
    </row>
    <row r="14" spans="1:61" hidden="1" x14ac:dyDescent="0.25">
      <c r="A14" t="s">
        <v>445</v>
      </c>
      <c r="B14" s="11">
        <v>45597</v>
      </c>
      <c r="C14" t="s">
        <v>5</v>
      </c>
      <c r="D14" t="s">
        <v>582</v>
      </c>
      <c r="F14" t="s">
        <v>292</v>
      </c>
      <c r="G14" t="s">
        <v>444</v>
      </c>
      <c r="H14" t="s">
        <v>446</v>
      </c>
      <c r="I14" s="10">
        <v>43613</v>
      </c>
      <c r="K14" t="s">
        <v>419</v>
      </c>
      <c r="L14" t="s">
        <v>596</v>
      </c>
      <c r="M14" t="s">
        <v>448</v>
      </c>
      <c r="N14">
        <v>2928.96</v>
      </c>
      <c r="O14">
        <v>2928.96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2928.96</v>
      </c>
      <c r="AE14">
        <v>400</v>
      </c>
      <c r="AF14">
        <v>490</v>
      </c>
      <c r="AH14">
        <v>0</v>
      </c>
      <c r="AL14">
        <v>2510.5300000000002</v>
      </c>
      <c r="AO14">
        <v>800</v>
      </c>
      <c r="AP14">
        <v>0</v>
      </c>
      <c r="AQ14">
        <v>0</v>
      </c>
      <c r="AR14">
        <v>0</v>
      </c>
      <c r="AS14">
        <v>0</v>
      </c>
      <c r="AU14">
        <v>4200.5300000000007</v>
      </c>
      <c r="AV14">
        <v>7129.4900000000007</v>
      </c>
      <c r="AX14">
        <v>7129.4900000000007</v>
      </c>
      <c r="AY14">
        <v>244.08</v>
      </c>
      <c r="AZ14">
        <v>244.08</v>
      </c>
      <c r="BA14">
        <v>81.36</v>
      </c>
      <c r="BB14">
        <v>569.52</v>
      </c>
      <c r="BC14">
        <v>585.79200000000003</v>
      </c>
      <c r="BD14">
        <v>43.934399999999997</v>
      </c>
      <c r="BE14">
        <v>169.87967999999998</v>
      </c>
      <c r="BF14">
        <v>234.3168</v>
      </c>
      <c r="BG14">
        <v>1033.9228800000001</v>
      </c>
      <c r="BH14">
        <v>8163.4128800000008</v>
      </c>
      <c r="BI14">
        <v>8732.9328800000003</v>
      </c>
    </row>
    <row r="15" spans="1:61" hidden="1" x14ac:dyDescent="0.25">
      <c r="A15" t="s">
        <v>213</v>
      </c>
      <c r="B15" s="11">
        <v>45597</v>
      </c>
      <c r="C15" t="s">
        <v>5</v>
      </c>
      <c r="D15" t="s">
        <v>582</v>
      </c>
      <c r="F15" t="s">
        <v>292</v>
      </c>
      <c r="G15" t="s">
        <v>203</v>
      </c>
      <c r="H15" t="s">
        <v>207</v>
      </c>
      <c r="I15" s="10">
        <v>43678</v>
      </c>
      <c r="K15" t="s">
        <v>422</v>
      </c>
      <c r="L15" t="s">
        <v>208</v>
      </c>
      <c r="M15" t="s">
        <v>583</v>
      </c>
      <c r="N15">
        <v>2520</v>
      </c>
      <c r="O15">
        <v>2520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2520</v>
      </c>
      <c r="AE15">
        <v>200</v>
      </c>
      <c r="AF15">
        <v>190</v>
      </c>
      <c r="AH15">
        <v>0</v>
      </c>
      <c r="AL15">
        <v>100</v>
      </c>
      <c r="AO15">
        <v>0</v>
      </c>
      <c r="AP15">
        <v>0</v>
      </c>
      <c r="AQ15">
        <v>0</v>
      </c>
      <c r="AR15">
        <v>0</v>
      </c>
      <c r="AS15">
        <v>0</v>
      </c>
      <c r="AU15">
        <v>490</v>
      </c>
      <c r="AV15">
        <v>3010</v>
      </c>
      <c r="AX15">
        <v>3010</v>
      </c>
      <c r="AY15">
        <v>210</v>
      </c>
      <c r="AZ15">
        <v>210</v>
      </c>
      <c r="BA15">
        <v>70</v>
      </c>
      <c r="BB15">
        <v>490</v>
      </c>
      <c r="BC15">
        <v>504</v>
      </c>
      <c r="BD15">
        <v>37.799999999999997</v>
      </c>
      <c r="BE15">
        <v>146.16</v>
      </c>
      <c r="BF15">
        <v>201.6</v>
      </c>
      <c r="BG15">
        <v>889.56</v>
      </c>
      <c r="BH15">
        <v>3899.56</v>
      </c>
      <c r="BI15">
        <v>4389.5599999999995</v>
      </c>
    </row>
    <row r="16" spans="1:61" hidden="1" x14ac:dyDescent="0.25">
      <c r="A16" t="s">
        <v>198</v>
      </c>
      <c r="B16" s="11">
        <v>45597</v>
      </c>
      <c r="C16" t="s">
        <v>5</v>
      </c>
      <c r="D16" t="s">
        <v>582</v>
      </c>
      <c r="F16" t="s">
        <v>292</v>
      </c>
      <c r="G16" t="s">
        <v>203</v>
      </c>
      <c r="H16" t="s">
        <v>202</v>
      </c>
      <c r="I16" s="10">
        <v>43692</v>
      </c>
      <c r="K16" t="s">
        <v>422</v>
      </c>
      <c r="L16" t="s">
        <v>204</v>
      </c>
      <c r="M16" t="s">
        <v>527</v>
      </c>
      <c r="N16">
        <v>3271.95</v>
      </c>
      <c r="O16">
        <v>3271.95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3271.95</v>
      </c>
      <c r="AE16">
        <v>200</v>
      </c>
      <c r="AF16">
        <v>190</v>
      </c>
      <c r="AH16">
        <v>0</v>
      </c>
      <c r="AL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>
        <v>390</v>
      </c>
      <c r="AV16">
        <v>3661.95</v>
      </c>
      <c r="AW16">
        <v>776</v>
      </c>
      <c r="AX16">
        <v>4437.95</v>
      </c>
      <c r="AY16">
        <v>272.66249999999997</v>
      </c>
      <c r="AZ16">
        <v>272.66249999999997</v>
      </c>
      <c r="BA16">
        <v>90.887499999999989</v>
      </c>
      <c r="BB16">
        <v>636.21249999999986</v>
      </c>
      <c r="BC16">
        <v>654.39</v>
      </c>
      <c r="BD16">
        <v>49.079249999999995</v>
      </c>
      <c r="BE16">
        <v>189.77309999999997</v>
      </c>
      <c r="BF16">
        <v>261.75599999999997</v>
      </c>
      <c r="BG16">
        <v>1154.9983499999998</v>
      </c>
      <c r="BH16">
        <v>5592.9483499999997</v>
      </c>
      <c r="BI16">
        <v>6229.1608499999993</v>
      </c>
    </row>
    <row r="17" spans="1:61" hidden="1" x14ac:dyDescent="0.25">
      <c r="A17" t="s">
        <v>316</v>
      </c>
      <c r="B17" s="11">
        <v>45597</v>
      </c>
      <c r="C17" t="s">
        <v>5</v>
      </c>
      <c r="D17" t="s">
        <v>588</v>
      </c>
      <c r="F17" t="s">
        <v>312</v>
      </c>
      <c r="G17" t="s">
        <v>313</v>
      </c>
      <c r="H17" t="s">
        <v>317</v>
      </c>
      <c r="I17" s="10">
        <v>43761</v>
      </c>
      <c r="K17" t="s">
        <v>419</v>
      </c>
      <c r="L17" t="s">
        <v>318</v>
      </c>
      <c r="M17" t="s">
        <v>319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3077.96</v>
      </c>
      <c r="Z17">
        <v>936.77</v>
      </c>
      <c r="AA17">
        <v>0</v>
      </c>
      <c r="AB17">
        <v>0</v>
      </c>
      <c r="AC17">
        <v>0</v>
      </c>
      <c r="AD17">
        <v>4014.73</v>
      </c>
      <c r="AE17">
        <v>200</v>
      </c>
      <c r="AF17">
        <v>190</v>
      </c>
      <c r="AH17">
        <v>0</v>
      </c>
      <c r="AL17">
        <v>0</v>
      </c>
      <c r="AN17">
        <v>446.08</v>
      </c>
      <c r="AO17">
        <v>0</v>
      </c>
      <c r="AP17">
        <v>0</v>
      </c>
      <c r="AQ17">
        <v>0</v>
      </c>
      <c r="AR17">
        <v>0</v>
      </c>
      <c r="AS17">
        <v>0</v>
      </c>
      <c r="AU17">
        <v>836.07999999999993</v>
      </c>
      <c r="AV17">
        <v>4850.8099999999995</v>
      </c>
      <c r="AX17">
        <v>4850.8099999999995</v>
      </c>
      <c r="AY17">
        <v>334.56083333333333</v>
      </c>
      <c r="AZ17">
        <v>334.56083333333333</v>
      </c>
      <c r="BA17">
        <v>111.52027777777778</v>
      </c>
      <c r="BB17">
        <v>780.64194444444445</v>
      </c>
      <c r="BC17">
        <v>802.94600000000003</v>
      </c>
      <c r="BD17">
        <v>60.220949999999995</v>
      </c>
      <c r="BE17">
        <v>232.85433999999998</v>
      </c>
      <c r="BF17">
        <v>321.17840000000001</v>
      </c>
      <c r="BG17">
        <v>1417.1996900000001</v>
      </c>
      <c r="BH17">
        <v>6268.0096899999999</v>
      </c>
      <c r="BI17">
        <v>7048.6516344444444</v>
      </c>
    </row>
    <row r="18" spans="1:61" hidden="1" x14ac:dyDescent="0.25">
      <c r="A18" t="s">
        <v>423</v>
      </c>
      <c r="B18" s="11">
        <v>45597</v>
      </c>
      <c r="C18" t="s">
        <v>5</v>
      </c>
      <c r="D18" t="s">
        <v>588</v>
      </c>
      <c r="F18" t="s">
        <v>312</v>
      </c>
      <c r="G18" t="s">
        <v>203</v>
      </c>
      <c r="H18" t="s">
        <v>218</v>
      </c>
      <c r="I18" s="10">
        <v>43790</v>
      </c>
      <c r="J18" s="10">
        <v>45626</v>
      </c>
      <c r="K18" t="s">
        <v>422</v>
      </c>
      <c r="L18" t="s">
        <v>219</v>
      </c>
      <c r="M18" t="s">
        <v>425</v>
      </c>
      <c r="N18">
        <v>5142.22</v>
      </c>
      <c r="O18">
        <v>5142.22</v>
      </c>
      <c r="P18">
        <v>0</v>
      </c>
      <c r="Q18">
        <v>0</v>
      </c>
      <c r="R18">
        <v>0</v>
      </c>
      <c r="S18">
        <v>0</v>
      </c>
      <c r="T18">
        <v>2056.89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7199.1100000000006</v>
      </c>
      <c r="AE18">
        <v>200</v>
      </c>
      <c r="AF18">
        <v>190</v>
      </c>
      <c r="AH18">
        <v>0</v>
      </c>
      <c r="AL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>
        <v>390</v>
      </c>
      <c r="AV18">
        <v>7589.1100000000006</v>
      </c>
      <c r="AW18">
        <v>1000</v>
      </c>
      <c r="AX18">
        <v>8589.11</v>
      </c>
      <c r="AY18">
        <v>599.92583333333334</v>
      </c>
      <c r="AZ18">
        <v>599.92583333333334</v>
      </c>
      <c r="BA18">
        <v>199.97527777777779</v>
      </c>
      <c r="BB18">
        <v>1399.8269444444445</v>
      </c>
      <c r="BC18">
        <v>1439.8220000000001</v>
      </c>
      <c r="BD18">
        <v>107.98665000000001</v>
      </c>
      <c r="BE18">
        <v>417.54838000000001</v>
      </c>
      <c r="BF18">
        <v>575.92880000000002</v>
      </c>
      <c r="BG18">
        <v>2541.2858300000003</v>
      </c>
      <c r="BH18">
        <v>11130.395830000001</v>
      </c>
      <c r="BI18">
        <v>12530.222774444446</v>
      </c>
    </row>
    <row r="19" spans="1:61" hidden="1" x14ac:dyDescent="0.25">
      <c r="A19" t="s">
        <v>118</v>
      </c>
      <c r="B19" s="11">
        <v>45597</v>
      </c>
      <c r="C19" t="s">
        <v>5</v>
      </c>
      <c r="D19" t="s">
        <v>582</v>
      </c>
      <c r="F19" t="s">
        <v>292</v>
      </c>
      <c r="G19" t="s">
        <v>566</v>
      </c>
      <c r="H19" t="s">
        <v>88</v>
      </c>
      <c r="I19" s="10">
        <v>43790</v>
      </c>
      <c r="K19" t="s">
        <v>419</v>
      </c>
      <c r="L19" t="s">
        <v>119</v>
      </c>
      <c r="M19" t="s">
        <v>92</v>
      </c>
      <c r="N19">
        <v>2462.25</v>
      </c>
      <c r="O19">
        <v>1969.8</v>
      </c>
      <c r="P19">
        <v>1313.9900000000002</v>
      </c>
      <c r="Q19">
        <v>393.96</v>
      </c>
      <c r="R19">
        <v>0</v>
      </c>
      <c r="S19">
        <v>0</v>
      </c>
      <c r="T19">
        <v>0</v>
      </c>
      <c r="U19">
        <v>98.49</v>
      </c>
      <c r="V19">
        <v>0</v>
      </c>
      <c r="W19">
        <v>881.37</v>
      </c>
      <c r="X19">
        <v>362.92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5020.53</v>
      </c>
      <c r="AE19">
        <v>200</v>
      </c>
      <c r="AF19">
        <v>190</v>
      </c>
      <c r="AH19">
        <v>0</v>
      </c>
      <c r="AL19">
        <v>0</v>
      </c>
      <c r="AN19">
        <v>425.45</v>
      </c>
      <c r="AO19">
        <v>0</v>
      </c>
      <c r="AP19">
        <v>0</v>
      </c>
      <c r="AQ19">
        <v>2209.9300000000003</v>
      </c>
      <c r="AR19">
        <v>0</v>
      </c>
      <c r="AS19">
        <v>0</v>
      </c>
      <c r="AU19">
        <v>3025.38</v>
      </c>
      <c r="AV19">
        <v>8045.91</v>
      </c>
      <c r="AW19">
        <v>200</v>
      </c>
      <c r="AX19">
        <v>8245.91</v>
      </c>
      <c r="AY19">
        <v>418.3775</v>
      </c>
      <c r="AZ19">
        <v>418.3775</v>
      </c>
      <c r="BA19">
        <v>139.45916666666668</v>
      </c>
      <c r="BB19">
        <v>976.21416666666664</v>
      </c>
      <c r="BC19">
        <v>1004.106</v>
      </c>
      <c r="BD19">
        <v>75.307949999999991</v>
      </c>
      <c r="BE19">
        <v>291.19073999999995</v>
      </c>
      <c r="BF19">
        <v>401.64240000000001</v>
      </c>
      <c r="BG19">
        <v>1772.2470899999998</v>
      </c>
      <c r="BH19">
        <v>10018.157090000001</v>
      </c>
      <c r="BI19">
        <v>10994.371256666665</v>
      </c>
    </row>
    <row r="20" spans="1:61" hidden="1" x14ac:dyDescent="0.25">
      <c r="A20" t="s">
        <v>169</v>
      </c>
      <c r="B20" s="11">
        <v>45597</v>
      </c>
      <c r="C20" t="s">
        <v>5</v>
      </c>
      <c r="D20" t="s">
        <v>582</v>
      </c>
      <c r="F20" t="s">
        <v>292</v>
      </c>
      <c r="G20" t="s">
        <v>444</v>
      </c>
      <c r="H20" t="s">
        <v>170</v>
      </c>
      <c r="I20" s="10">
        <v>43858</v>
      </c>
      <c r="K20" t="s">
        <v>419</v>
      </c>
      <c r="L20" t="s">
        <v>611</v>
      </c>
      <c r="M20" t="s">
        <v>508</v>
      </c>
      <c r="N20">
        <v>2394.67</v>
      </c>
      <c r="O20">
        <v>2394.67</v>
      </c>
      <c r="P20">
        <v>0</v>
      </c>
      <c r="Q20">
        <v>478.93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2873.6</v>
      </c>
      <c r="AE20">
        <v>0</v>
      </c>
      <c r="AF20">
        <v>190</v>
      </c>
      <c r="AH20">
        <v>2205</v>
      </c>
      <c r="AL20">
        <v>500</v>
      </c>
      <c r="AO20">
        <v>2592</v>
      </c>
      <c r="AP20">
        <v>0</v>
      </c>
      <c r="AQ20">
        <v>0</v>
      </c>
      <c r="AR20">
        <v>0</v>
      </c>
      <c r="AS20">
        <v>0</v>
      </c>
      <c r="AU20">
        <v>5487</v>
      </c>
      <c r="AV20">
        <v>8360.6</v>
      </c>
      <c r="AX20">
        <v>8360.6</v>
      </c>
      <c r="AY20">
        <v>239.46666666666667</v>
      </c>
      <c r="AZ20">
        <v>239.46666666666667</v>
      </c>
      <c r="BA20">
        <v>79.822222222222223</v>
      </c>
      <c r="BB20">
        <v>558.75555555555559</v>
      </c>
      <c r="BC20">
        <v>574.72</v>
      </c>
      <c r="BD20">
        <v>43.103999999999999</v>
      </c>
      <c r="BE20">
        <v>166.66879999999998</v>
      </c>
      <c r="BF20">
        <v>229.88800000000001</v>
      </c>
      <c r="BG20">
        <v>1014.3808</v>
      </c>
      <c r="BH20">
        <v>9374.9808000000012</v>
      </c>
      <c r="BI20">
        <v>9933.7363555555567</v>
      </c>
    </row>
    <row r="21" spans="1:61" hidden="1" x14ac:dyDescent="0.25">
      <c r="A21" t="s">
        <v>450</v>
      </c>
      <c r="B21" s="11">
        <v>45597</v>
      </c>
      <c r="C21" t="s">
        <v>5</v>
      </c>
      <c r="D21" t="s">
        <v>612</v>
      </c>
      <c r="F21" t="s">
        <v>613</v>
      </c>
      <c r="G21" t="s">
        <v>444</v>
      </c>
      <c r="H21" t="s">
        <v>81</v>
      </c>
      <c r="I21" s="10">
        <v>43864</v>
      </c>
      <c r="J21" s="10">
        <v>45626</v>
      </c>
      <c r="K21" t="s">
        <v>419</v>
      </c>
      <c r="L21" t="s">
        <v>211</v>
      </c>
      <c r="M21" t="s">
        <v>451</v>
      </c>
      <c r="N21">
        <v>4000</v>
      </c>
      <c r="O21">
        <v>4000</v>
      </c>
      <c r="P21">
        <v>0</v>
      </c>
      <c r="Q21">
        <v>0</v>
      </c>
      <c r="R21">
        <v>0</v>
      </c>
      <c r="S21">
        <v>0</v>
      </c>
      <c r="T21">
        <v>1600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5600</v>
      </c>
      <c r="AE21">
        <v>400</v>
      </c>
      <c r="AF21">
        <v>490</v>
      </c>
      <c r="AH21">
        <v>0</v>
      </c>
      <c r="AL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>
        <v>890</v>
      </c>
      <c r="AV21">
        <v>6490</v>
      </c>
      <c r="AX21">
        <v>6490</v>
      </c>
      <c r="AY21">
        <v>466.66666666666669</v>
      </c>
      <c r="AZ21">
        <v>333.33333333333331</v>
      </c>
      <c r="BA21">
        <v>111.1111111111111</v>
      </c>
      <c r="BB21">
        <v>911.11111111111109</v>
      </c>
      <c r="BC21">
        <v>0</v>
      </c>
      <c r="BD21">
        <v>0</v>
      </c>
      <c r="BE21">
        <v>0</v>
      </c>
      <c r="BF21">
        <v>448</v>
      </c>
      <c r="BG21">
        <v>448</v>
      </c>
      <c r="BH21">
        <v>6938</v>
      </c>
      <c r="BI21">
        <v>7849.1111111111113</v>
      </c>
    </row>
    <row r="22" spans="1:61" hidden="1" x14ac:dyDescent="0.25">
      <c r="A22" t="s">
        <v>324</v>
      </c>
      <c r="B22" s="11">
        <v>45597</v>
      </c>
      <c r="C22" t="s">
        <v>5</v>
      </c>
      <c r="D22" t="s">
        <v>588</v>
      </c>
      <c r="F22" t="s">
        <v>312</v>
      </c>
      <c r="G22" t="s">
        <v>444</v>
      </c>
      <c r="H22" t="s">
        <v>218</v>
      </c>
      <c r="I22" s="10">
        <v>43866</v>
      </c>
      <c r="K22" t="s">
        <v>422</v>
      </c>
      <c r="L22" t="s">
        <v>211</v>
      </c>
      <c r="M22" t="s">
        <v>589</v>
      </c>
      <c r="N22">
        <v>2285.4299999999998</v>
      </c>
      <c r="O22">
        <v>2285.4299999999998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102</v>
      </c>
      <c r="AC22">
        <v>0</v>
      </c>
      <c r="AD22">
        <v>2387.4299999999998</v>
      </c>
      <c r="AE22">
        <v>200</v>
      </c>
      <c r="AF22">
        <v>190</v>
      </c>
      <c r="AH22">
        <v>0</v>
      </c>
      <c r="AL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>
        <v>390</v>
      </c>
      <c r="AV22">
        <v>2777.43</v>
      </c>
      <c r="AX22">
        <v>2777.43</v>
      </c>
      <c r="AY22">
        <v>198.95249999999999</v>
      </c>
      <c r="AZ22">
        <v>198.95249999999999</v>
      </c>
      <c r="BA22">
        <v>66.317499999999995</v>
      </c>
      <c r="BB22">
        <v>464.22249999999997</v>
      </c>
      <c r="BC22">
        <v>477.48599999999999</v>
      </c>
      <c r="BD22">
        <v>35.811449999999994</v>
      </c>
      <c r="BE22">
        <v>138.47093999999998</v>
      </c>
      <c r="BF22">
        <v>190.99439999999998</v>
      </c>
      <c r="BG22">
        <v>842.76279</v>
      </c>
      <c r="BH22">
        <v>3620.1927900000001</v>
      </c>
      <c r="BI22">
        <v>4084.4152899999999</v>
      </c>
    </row>
    <row r="23" spans="1:61" hidden="1" x14ac:dyDescent="0.25">
      <c r="A23" t="s">
        <v>320</v>
      </c>
      <c r="B23" s="11">
        <v>45597</v>
      </c>
      <c r="C23" t="s">
        <v>5</v>
      </c>
      <c r="D23" t="s">
        <v>588</v>
      </c>
      <c r="F23" t="s">
        <v>312</v>
      </c>
      <c r="G23" t="s">
        <v>313</v>
      </c>
      <c r="H23" t="s">
        <v>97</v>
      </c>
      <c r="I23" s="10">
        <v>43888</v>
      </c>
      <c r="K23" t="s">
        <v>419</v>
      </c>
      <c r="L23" t="s">
        <v>314</v>
      </c>
      <c r="M23" t="s">
        <v>610</v>
      </c>
      <c r="N23">
        <v>2394.67</v>
      </c>
      <c r="O23">
        <v>2394.67</v>
      </c>
      <c r="P23">
        <v>0</v>
      </c>
      <c r="Q23">
        <v>478.93</v>
      </c>
      <c r="R23">
        <v>0</v>
      </c>
      <c r="S23">
        <v>0</v>
      </c>
      <c r="T23">
        <v>0</v>
      </c>
      <c r="U23">
        <v>0</v>
      </c>
      <c r="V23">
        <v>0</v>
      </c>
      <c r="W23">
        <v>137.15</v>
      </c>
      <c r="X23">
        <v>41.74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3052.49</v>
      </c>
      <c r="AE23">
        <v>200</v>
      </c>
      <c r="AF23">
        <v>190</v>
      </c>
      <c r="AH23">
        <v>0</v>
      </c>
      <c r="AL23">
        <v>612</v>
      </c>
      <c r="AO23">
        <v>560</v>
      </c>
      <c r="AP23">
        <v>0</v>
      </c>
      <c r="AQ23">
        <v>0</v>
      </c>
      <c r="AR23">
        <v>0</v>
      </c>
      <c r="AS23">
        <v>0</v>
      </c>
      <c r="AU23">
        <v>1562</v>
      </c>
      <c r="AV23">
        <v>4614.49</v>
      </c>
      <c r="AX23">
        <v>4614.49</v>
      </c>
      <c r="AY23">
        <v>254.37416666666664</v>
      </c>
      <c r="AZ23">
        <v>254.37416666666664</v>
      </c>
      <c r="BA23">
        <v>84.791388888888875</v>
      </c>
      <c r="BB23">
        <v>593.53972222222217</v>
      </c>
      <c r="BC23">
        <v>610.49799999999993</v>
      </c>
      <c r="BD23">
        <v>45.787349999999996</v>
      </c>
      <c r="BE23">
        <v>177.04441999999997</v>
      </c>
      <c r="BF23">
        <v>244.19919999999999</v>
      </c>
      <c r="BG23">
        <v>1077.5289699999998</v>
      </c>
      <c r="BH23">
        <v>5692.0189699999992</v>
      </c>
      <c r="BI23">
        <v>6285.558692222221</v>
      </c>
    </row>
    <row r="24" spans="1:61" hidden="1" x14ac:dyDescent="0.25">
      <c r="A24" t="s">
        <v>77</v>
      </c>
      <c r="B24" s="11">
        <v>45597</v>
      </c>
      <c r="C24" t="s">
        <v>5</v>
      </c>
      <c r="D24" t="s">
        <v>560</v>
      </c>
      <c r="F24" t="s">
        <v>80</v>
      </c>
      <c r="G24" t="s">
        <v>83</v>
      </c>
      <c r="H24" t="s">
        <v>81</v>
      </c>
      <c r="I24" s="10">
        <v>43903</v>
      </c>
      <c r="K24" t="s">
        <v>419</v>
      </c>
      <c r="L24" t="s">
        <v>84</v>
      </c>
      <c r="M24" t="s">
        <v>499</v>
      </c>
      <c r="N24">
        <v>2224.59</v>
      </c>
      <c r="O24">
        <v>2224.59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194.15</v>
      </c>
      <c r="X24">
        <v>59.09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2477.8300000000004</v>
      </c>
      <c r="AE24">
        <v>0</v>
      </c>
      <c r="AF24">
        <v>0</v>
      </c>
      <c r="AG24">
        <v>136.5</v>
      </c>
      <c r="AH24">
        <v>0</v>
      </c>
      <c r="AL24">
        <v>497</v>
      </c>
      <c r="AN24">
        <v>48.15</v>
      </c>
      <c r="AO24">
        <v>0</v>
      </c>
      <c r="AP24">
        <v>0</v>
      </c>
      <c r="AQ24">
        <v>0</v>
      </c>
      <c r="AR24">
        <v>0</v>
      </c>
      <c r="AS24">
        <v>0</v>
      </c>
      <c r="AU24">
        <v>681.65</v>
      </c>
      <c r="AV24">
        <v>3159.4800000000005</v>
      </c>
      <c r="AX24">
        <v>3159.4800000000005</v>
      </c>
      <c r="AY24">
        <v>206.48583333333337</v>
      </c>
      <c r="AZ24">
        <v>206.48583333333337</v>
      </c>
      <c r="BA24">
        <v>68.82861111111113</v>
      </c>
      <c r="BB24">
        <v>481.80027777777786</v>
      </c>
      <c r="BC24">
        <v>495.56600000000009</v>
      </c>
      <c r="BD24">
        <v>146.09037897000005</v>
      </c>
      <c r="BE24">
        <v>143.71414000000001</v>
      </c>
      <c r="BF24">
        <v>198.22640000000004</v>
      </c>
      <c r="BG24">
        <v>983.59691897000016</v>
      </c>
      <c r="BH24">
        <v>4143.0769189700004</v>
      </c>
      <c r="BI24">
        <v>4624.8771967477787</v>
      </c>
    </row>
    <row r="25" spans="1:61" hidden="1" x14ac:dyDescent="0.25">
      <c r="A25" t="s">
        <v>307</v>
      </c>
      <c r="B25" s="11">
        <v>45597</v>
      </c>
      <c r="C25" t="s">
        <v>5</v>
      </c>
      <c r="D25" t="s">
        <v>582</v>
      </c>
      <c r="F25" t="s">
        <v>292</v>
      </c>
      <c r="G25" t="s">
        <v>566</v>
      </c>
      <c r="H25" t="s">
        <v>88</v>
      </c>
      <c r="I25" s="10">
        <v>43906</v>
      </c>
      <c r="K25" t="s">
        <v>419</v>
      </c>
      <c r="L25" t="s">
        <v>101</v>
      </c>
      <c r="M25" t="s">
        <v>504</v>
      </c>
      <c r="N25">
        <v>1885</v>
      </c>
      <c r="O25">
        <v>1885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1885</v>
      </c>
      <c r="AE25">
        <v>200</v>
      </c>
      <c r="AF25">
        <v>190</v>
      </c>
      <c r="AH25">
        <v>0</v>
      </c>
      <c r="AL25">
        <v>200</v>
      </c>
      <c r="AN25">
        <v>425.45</v>
      </c>
      <c r="AO25">
        <v>0</v>
      </c>
      <c r="AP25">
        <v>0</v>
      </c>
      <c r="AQ25">
        <v>0</v>
      </c>
      <c r="AR25">
        <v>0</v>
      </c>
      <c r="AS25">
        <v>0</v>
      </c>
      <c r="AU25">
        <v>1015.45</v>
      </c>
      <c r="AV25">
        <v>2900.45</v>
      </c>
      <c r="AX25">
        <v>2900.45</v>
      </c>
      <c r="AY25">
        <v>157.08333333333334</v>
      </c>
      <c r="AZ25">
        <v>157.08333333333334</v>
      </c>
      <c r="BA25">
        <v>52.361111111111114</v>
      </c>
      <c r="BB25">
        <v>366.52777777777783</v>
      </c>
      <c r="BC25">
        <v>377</v>
      </c>
      <c r="BD25">
        <v>28.274999999999999</v>
      </c>
      <c r="BE25">
        <v>109.33</v>
      </c>
      <c r="BF25">
        <v>150.80000000000001</v>
      </c>
      <c r="BG25">
        <v>665.40499999999997</v>
      </c>
      <c r="BH25">
        <v>3565.8549999999996</v>
      </c>
      <c r="BI25">
        <v>3932.3827777777778</v>
      </c>
    </row>
    <row r="26" spans="1:61" hidden="1" x14ac:dyDescent="0.25">
      <c r="A26" t="s">
        <v>339</v>
      </c>
      <c r="B26" s="11">
        <v>45597</v>
      </c>
      <c r="C26" t="s">
        <v>8</v>
      </c>
      <c r="D26" t="s">
        <v>598</v>
      </c>
      <c r="E26" t="s">
        <v>424</v>
      </c>
      <c r="F26" t="s">
        <v>424</v>
      </c>
      <c r="G26" t="s">
        <v>109</v>
      </c>
      <c r="H26" t="s">
        <v>96</v>
      </c>
      <c r="I26" s="10">
        <v>44035</v>
      </c>
      <c r="K26" t="s">
        <v>419</v>
      </c>
      <c r="L26" t="s">
        <v>111</v>
      </c>
      <c r="M26" t="s">
        <v>599</v>
      </c>
      <c r="N26">
        <v>8794.51</v>
      </c>
      <c r="O26">
        <v>8794.51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8794.51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8794.51</v>
      </c>
      <c r="AV26">
        <v>8794.51</v>
      </c>
      <c r="AX26">
        <v>8794.51</v>
      </c>
      <c r="AY26">
        <v>732.87583333333339</v>
      </c>
      <c r="AZ26">
        <v>0</v>
      </c>
      <c r="BA26">
        <v>0</v>
      </c>
      <c r="BB26">
        <v>732.87583333333339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8794.51</v>
      </c>
      <c r="BI26">
        <v>9527.3858333333337</v>
      </c>
    </row>
    <row r="27" spans="1:61" hidden="1" x14ac:dyDescent="0.25">
      <c r="A27" t="s">
        <v>354</v>
      </c>
      <c r="B27" s="11">
        <v>45597</v>
      </c>
      <c r="C27" t="s">
        <v>5</v>
      </c>
      <c r="D27" t="s">
        <v>594</v>
      </c>
      <c r="F27" t="s">
        <v>356</v>
      </c>
      <c r="G27" t="s">
        <v>464</v>
      </c>
      <c r="H27" t="s">
        <v>88</v>
      </c>
      <c r="I27" s="10">
        <v>44067</v>
      </c>
      <c r="K27" t="s">
        <v>419</v>
      </c>
      <c r="L27" t="s">
        <v>132</v>
      </c>
      <c r="M27" t="s">
        <v>595</v>
      </c>
      <c r="N27">
        <v>3300</v>
      </c>
      <c r="O27">
        <v>3300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690</v>
      </c>
      <c r="X27">
        <v>210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4200</v>
      </c>
      <c r="AE27">
        <v>0</v>
      </c>
      <c r="AF27">
        <v>190</v>
      </c>
      <c r="AH27">
        <v>0</v>
      </c>
      <c r="AL27">
        <v>1064.9999999999998</v>
      </c>
      <c r="AN27">
        <v>72.61</v>
      </c>
      <c r="AO27">
        <v>0</v>
      </c>
      <c r="AP27">
        <v>0</v>
      </c>
      <c r="AQ27">
        <v>0</v>
      </c>
      <c r="AR27">
        <v>0</v>
      </c>
      <c r="AS27">
        <v>0</v>
      </c>
      <c r="AU27">
        <v>1327.6099999999997</v>
      </c>
      <c r="AV27">
        <v>5527.61</v>
      </c>
      <c r="AX27">
        <v>5527.61</v>
      </c>
      <c r="AY27">
        <v>350</v>
      </c>
      <c r="AZ27">
        <v>350</v>
      </c>
      <c r="BA27">
        <v>116.66666666666667</v>
      </c>
      <c r="BB27">
        <v>816.66666666666663</v>
      </c>
      <c r="BC27">
        <v>840</v>
      </c>
      <c r="BD27">
        <v>63</v>
      </c>
      <c r="BE27">
        <v>243.6</v>
      </c>
      <c r="BF27">
        <v>336</v>
      </c>
      <c r="BG27">
        <v>1482.6</v>
      </c>
      <c r="BH27">
        <v>7010.2099999999991</v>
      </c>
      <c r="BI27">
        <v>7826.876666666667</v>
      </c>
    </row>
    <row r="28" spans="1:61" hidden="1" x14ac:dyDescent="0.25">
      <c r="A28" t="s">
        <v>103</v>
      </c>
      <c r="B28" s="11">
        <v>45597</v>
      </c>
      <c r="C28" t="s">
        <v>5</v>
      </c>
      <c r="D28" t="s">
        <v>564</v>
      </c>
      <c r="F28" t="s">
        <v>95</v>
      </c>
      <c r="G28" t="s">
        <v>566</v>
      </c>
      <c r="H28" t="s">
        <v>97</v>
      </c>
      <c r="I28" s="10">
        <v>44153</v>
      </c>
      <c r="K28" t="s">
        <v>419</v>
      </c>
      <c r="L28" t="s">
        <v>507</v>
      </c>
      <c r="M28" t="s">
        <v>508</v>
      </c>
      <c r="N28">
        <v>2394.67</v>
      </c>
      <c r="O28">
        <v>2394.67</v>
      </c>
      <c r="P28">
        <v>0</v>
      </c>
      <c r="Q28">
        <v>478.93</v>
      </c>
      <c r="R28">
        <v>0</v>
      </c>
      <c r="S28">
        <v>0</v>
      </c>
      <c r="T28">
        <v>0</v>
      </c>
      <c r="U28">
        <v>0</v>
      </c>
      <c r="V28">
        <v>0</v>
      </c>
      <c r="W28">
        <v>626.97</v>
      </c>
      <c r="X28">
        <v>190.82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3691.39</v>
      </c>
      <c r="AE28">
        <v>200</v>
      </c>
      <c r="AF28">
        <v>190</v>
      </c>
      <c r="AH28">
        <v>0</v>
      </c>
      <c r="AI28">
        <v>523.35</v>
      </c>
      <c r="AL28">
        <v>0</v>
      </c>
      <c r="AN28">
        <v>425.45</v>
      </c>
      <c r="AO28">
        <v>274.5</v>
      </c>
      <c r="AP28">
        <v>0</v>
      </c>
      <c r="AQ28">
        <v>0</v>
      </c>
      <c r="AR28">
        <v>0</v>
      </c>
      <c r="AS28">
        <v>0</v>
      </c>
      <c r="AU28">
        <v>1613.3</v>
      </c>
      <c r="AV28">
        <v>5304.69</v>
      </c>
      <c r="AX28">
        <v>5304.69</v>
      </c>
      <c r="AY28">
        <v>307.61583333333334</v>
      </c>
      <c r="AZ28">
        <v>307.61583333333334</v>
      </c>
      <c r="BA28">
        <v>102.53861111111111</v>
      </c>
      <c r="BB28">
        <v>717.77027777777778</v>
      </c>
      <c r="BC28">
        <v>738.27800000000002</v>
      </c>
      <c r="BD28">
        <v>55.370849999999997</v>
      </c>
      <c r="BE28">
        <v>214.10061999999996</v>
      </c>
      <c r="BF28">
        <v>295.31119999999999</v>
      </c>
      <c r="BG28">
        <v>1303.0606699999998</v>
      </c>
      <c r="BH28">
        <v>6607.7506699999994</v>
      </c>
      <c r="BI28">
        <v>7325.5209477777771</v>
      </c>
    </row>
    <row r="29" spans="1:61" x14ac:dyDescent="0.25">
      <c r="A29" t="s">
        <v>296</v>
      </c>
      <c r="B29" s="11">
        <v>45597</v>
      </c>
      <c r="C29" t="s">
        <v>5</v>
      </c>
      <c r="D29" t="s">
        <v>582</v>
      </c>
      <c r="F29" t="s">
        <v>292</v>
      </c>
      <c r="G29" t="s">
        <v>566</v>
      </c>
      <c r="H29" t="s">
        <v>88</v>
      </c>
      <c r="I29" s="10">
        <v>44166</v>
      </c>
      <c r="K29" t="s">
        <v>419</v>
      </c>
      <c r="L29" t="s">
        <v>101</v>
      </c>
      <c r="M29" t="s">
        <v>563</v>
      </c>
      <c r="N29">
        <v>2454.0500000000002</v>
      </c>
      <c r="O29">
        <v>1145.22</v>
      </c>
      <c r="P29">
        <v>3095.45</v>
      </c>
      <c r="Q29">
        <v>0</v>
      </c>
      <c r="R29">
        <v>0</v>
      </c>
      <c r="S29">
        <v>343.57</v>
      </c>
      <c r="T29">
        <v>0</v>
      </c>
      <c r="U29">
        <v>0</v>
      </c>
      <c r="V29">
        <v>0</v>
      </c>
      <c r="W29">
        <v>116.01</v>
      </c>
      <c r="X29">
        <v>31.64</v>
      </c>
      <c r="Y29">
        <v>0</v>
      </c>
      <c r="Z29">
        <v>0</v>
      </c>
      <c r="AA29">
        <v>0</v>
      </c>
      <c r="AB29">
        <v>0</v>
      </c>
      <c r="AC29">
        <v>0</v>
      </c>
      <c r="AD29">
        <v>4731.8900000000003</v>
      </c>
      <c r="AE29">
        <v>200</v>
      </c>
      <c r="AF29">
        <v>190</v>
      </c>
      <c r="AH29">
        <v>0</v>
      </c>
      <c r="AL29">
        <v>0</v>
      </c>
      <c r="AN29">
        <v>425.45</v>
      </c>
      <c r="AO29">
        <v>0</v>
      </c>
      <c r="AP29">
        <v>0</v>
      </c>
      <c r="AQ29">
        <v>0</v>
      </c>
      <c r="AR29">
        <v>0</v>
      </c>
      <c r="AS29">
        <v>0</v>
      </c>
      <c r="AU29">
        <v>815.45</v>
      </c>
      <c r="AV29">
        <v>5547.34</v>
      </c>
      <c r="AW29">
        <v>1359</v>
      </c>
      <c r="AX29">
        <v>6906.34</v>
      </c>
      <c r="AY29">
        <v>394.32416666666671</v>
      </c>
      <c r="AZ29">
        <v>394.32416666666671</v>
      </c>
      <c r="BA29">
        <v>131.44138888888889</v>
      </c>
      <c r="BB29">
        <v>920.08972222222235</v>
      </c>
      <c r="BC29">
        <v>946.37800000000016</v>
      </c>
      <c r="BD29">
        <v>70.978350000000006</v>
      </c>
      <c r="BE29">
        <v>274.44961999999998</v>
      </c>
      <c r="BF29">
        <v>378.55120000000005</v>
      </c>
      <c r="BG29">
        <v>1670.3571700000002</v>
      </c>
      <c r="BH29">
        <v>8576.6971699999995</v>
      </c>
      <c r="BI29">
        <v>9496.7868922222224</v>
      </c>
    </row>
    <row r="30" spans="1:61" hidden="1" x14ac:dyDescent="0.25">
      <c r="A30" t="s">
        <v>161</v>
      </c>
      <c r="B30" s="11">
        <v>45597</v>
      </c>
      <c r="C30" t="s">
        <v>5</v>
      </c>
      <c r="D30" t="s">
        <v>564</v>
      </c>
      <c r="F30" t="s">
        <v>95</v>
      </c>
      <c r="G30" t="s">
        <v>561</v>
      </c>
      <c r="H30" t="s">
        <v>565</v>
      </c>
      <c r="I30" s="10">
        <v>44167</v>
      </c>
      <c r="K30" t="s">
        <v>419</v>
      </c>
      <c r="L30" t="s">
        <v>517</v>
      </c>
      <c r="M30" t="s">
        <v>92</v>
      </c>
      <c r="N30">
        <v>2873.33</v>
      </c>
      <c r="O30">
        <v>766.22</v>
      </c>
      <c r="P30">
        <v>3967.8</v>
      </c>
      <c r="Q30">
        <v>153.24</v>
      </c>
      <c r="R30">
        <v>0</v>
      </c>
      <c r="S30">
        <v>0</v>
      </c>
      <c r="T30">
        <v>0</v>
      </c>
      <c r="U30">
        <v>0</v>
      </c>
      <c r="V30">
        <v>12.530000000000001</v>
      </c>
      <c r="W30">
        <v>376.15</v>
      </c>
      <c r="X30">
        <v>125.38</v>
      </c>
      <c r="Y30">
        <v>0</v>
      </c>
      <c r="Z30">
        <v>0</v>
      </c>
      <c r="AA30">
        <v>0</v>
      </c>
      <c r="AB30">
        <v>0</v>
      </c>
      <c r="AC30">
        <v>0</v>
      </c>
      <c r="AD30">
        <v>5401.32</v>
      </c>
      <c r="AE30">
        <v>300</v>
      </c>
      <c r="AF30">
        <v>190</v>
      </c>
      <c r="AH30">
        <v>750</v>
      </c>
      <c r="AL30">
        <v>645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U30">
        <v>1885</v>
      </c>
      <c r="AV30">
        <v>7286.32</v>
      </c>
      <c r="AX30">
        <v>7286.32</v>
      </c>
      <c r="AY30">
        <v>450.10999999999996</v>
      </c>
      <c r="AZ30">
        <v>450.10999999999996</v>
      </c>
      <c r="BA30">
        <v>150.03666666666666</v>
      </c>
      <c r="BB30">
        <v>1050.2566666666667</v>
      </c>
      <c r="BC30">
        <v>1080.2639999999999</v>
      </c>
      <c r="BD30">
        <v>81.019799999999989</v>
      </c>
      <c r="BE30">
        <v>313.27655999999996</v>
      </c>
      <c r="BF30">
        <v>432.10559999999998</v>
      </c>
      <c r="BG30">
        <v>1906.6659599999998</v>
      </c>
      <c r="BH30">
        <v>9192.98596</v>
      </c>
      <c r="BI30">
        <v>10243.242626666666</v>
      </c>
    </row>
    <row r="31" spans="1:61" hidden="1" x14ac:dyDescent="0.25">
      <c r="A31" t="s">
        <v>301</v>
      </c>
      <c r="B31" s="11">
        <v>45597</v>
      </c>
      <c r="C31" t="s">
        <v>5</v>
      </c>
      <c r="D31" t="s">
        <v>582</v>
      </c>
      <c r="F31" t="s">
        <v>292</v>
      </c>
      <c r="G31" t="s">
        <v>566</v>
      </c>
      <c r="H31" t="s">
        <v>88</v>
      </c>
      <c r="I31" s="10">
        <v>44228</v>
      </c>
      <c r="K31" t="s">
        <v>419</v>
      </c>
      <c r="L31" t="s">
        <v>101</v>
      </c>
      <c r="M31" t="s">
        <v>302</v>
      </c>
      <c r="N31">
        <v>2600</v>
      </c>
      <c r="O31">
        <v>2600</v>
      </c>
      <c r="P31">
        <v>0</v>
      </c>
      <c r="Q31">
        <v>0</v>
      </c>
      <c r="R31">
        <v>282.39999999999998</v>
      </c>
      <c r="S31">
        <v>0</v>
      </c>
      <c r="T31">
        <v>0</v>
      </c>
      <c r="U31">
        <v>0</v>
      </c>
      <c r="V31">
        <v>0</v>
      </c>
      <c r="W31">
        <v>1435.96</v>
      </c>
      <c r="X31">
        <v>437.03</v>
      </c>
      <c r="Y31">
        <v>0</v>
      </c>
      <c r="Z31">
        <v>0</v>
      </c>
      <c r="AA31">
        <v>0</v>
      </c>
      <c r="AB31">
        <v>0</v>
      </c>
      <c r="AC31">
        <v>0</v>
      </c>
      <c r="AD31">
        <v>4755.3900000000003</v>
      </c>
      <c r="AE31">
        <v>200</v>
      </c>
      <c r="AF31">
        <v>190</v>
      </c>
      <c r="AH31">
        <v>0</v>
      </c>
      <c r="AL31">
        <v>515</v>
      </c>
      <c r="AN31">
        <v>115.26</v>
      </c>
      <c r="AO31">
        <v>1766.8</v>
      </c>
      <c r="AP31">
        <v>0</v>
      </c>
      <c r="AQ31">
        <v>0</v>
      </c>
      <c r="AR31">
        <v>0</v>
      </c>
      <c r="AS31">
        <v>0</v>
      </c>
      <c r="AU31">
        <v>2787.06</v>
      </c>
      <c r="AV31">
        <v>7542.4500000000007</v>
      </c>
      <c r="AX31">
        <v>7542.4500000000007</v>
      </c>
      <c r="AY31">
        <v>396.28250000000003</v>
      </c>
      <c r="AZ31">
        <v>396.28250000000003</v>
      </c>
      <c r="BA31">
        <v>132.09416666666667</v>
      </c>
      <c r="BB31">
        <v>924.65916666666669</v>
      </c>
      <c r="BC31">
        <v>951.07800000000009</v>
      </c>
      <c r="BD31">
        <v>71.330849999999998</v>
      </c>
      <c r="BE31">
        <v>275.81261999999998</v>
      </c>
      <c r="BF31">
        <v>380.43120000000005</v>
      </c>
      <c r="BG31">
        <v>1678.6526699999999</v>
      </c>
      <c r="BH31">
        <v>9221.1026700000002</v>
      </c>
      <c r="BI31">
        <v>10145.761836666667</v>
      </c>
    </row>
    <row r="32" spans="1:61" hidden="1" x14ac:dyDescent="0.25">
      <c r="A32" t="s">
        <v>166</v>
      </c>
      <c r="B32" s="11">
        <v>45597</v>
      </c>
      <c r="C32" t="s">
        <v>5</v>
      </c>
      <c r="D32" t="s">
        <v>564</v>
      </c>
      <c r="F32" t="s">
        <v>95</v>
      </c>
      <c r="G32" t="s">
        <v>444</v>
      </c>
      <c r="H32" t="s">
        <v>568</v>
      </c>
      <c r="I32" s="10">
        <v>44238</v>
      </c>
      <c r="K32" t="s">
        <v>419</v>
      </c>
      <c r="L32" t="s">
        <v>514</v>
      </c>
      <c r="M32" t="s">
        <v>508</v>
      </c>
      <c r="N32">
        <v>2394.67</v>
      </c>
      <c r="O32">
        <v>2394.67</v>
      </c>
      <c r="P32">
        <v>0</v>
      </c>
      <c r="Q32">
        <v>478.93</v>
      </c>
      <c r="R32">
        <v>0</v>
      </c>
      <c r="S32">
        <v>0</v>
      </c>
      <c r="T32">
        <v>0</v>
      </c>
      <c r="U32">
        <v>0</v>
      </c>
      <c r="V32">
        <v>0</v>
      </c>
      <c r="W32">
        <v>907.8</v>
      </c>
      <c r="X32">
        <v>276.29000000000002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4057.6899999999996</v>
      </c>
      <c r="AE32">
        <v>200</v>
      </c>
      <c r="AF32">
        <v>190</v>
      </c>
      <c r="AH32">
        <v>0</v>
      </c>
      <c r="AJ32">
        <v>2983.5</v>
      </c>
      <c r="AL32">
        <v>300</v>
      </c>
      <c r="AN32">
        <v>0</v>
      </c>
      <c r="AO32">
        <v>2128.4</v>
      </c>
      <c r="AP32">
        <v>0</v>
      </c>
      <c r="AQ32">
        <v>0</v>
      </c>
      <c r="AR32">
        <v>0</v>
      </c>
      <c r="AS32">
        <v>0</v>
      </c>
      <c r="AU32">
        <v>5801.9</v>
      </c>
      <c r="AV32">
        <v>9859.59</v>
      </c>
      <c r="AX32">
        <v>9859.59</v>
      </c>
      <c r="AY32">
        <v>338.14083333333332</v>
      </c>
      <c r="AZ32">
        <v>338.14083333333332</v>
      </c>
      <c r="BA32">
        <v>112.71361111111111</v>
      </c>
      <c r="BB32">
        <v>788.9952777777778</v>
      </c>
      <c r="BC32">
        <v>811.53800000000001</v>
      </c>
      <c r="BD32">
        <v>60.865349999999992</v>
      </c>
      <c r="BE32">
        <v>235.34601999999995</v>
      </c>
      <c r="BF32">
        <v>324.61519999999996</v>
      </c>
      <c r="BG32">
        <v>1432.36457</v>
      </c>
      <c r="BH32">
        <v>11291.95457</v>
      </c>
      <c r="BI32">
        <v>12080.949847777778</v>
      </c>
    </row>
    <row r="33" spans="1:61" hidden="1" x14ac:dyDescent="0.25">
      <c r="A33" t="s">
        <v>321</v>
      </c>
      <c r="B33" s="11">
        <v>45597</v>
      </c>
      <c r="C33" t="s">
        <v>5</v>
      </c>
      <c r="D33" t="s">
        <v>588</v>
      </c>
      <c r="F33" t="s">
        <v>312</v>
      </c>
      <c r="G33" t="s">
        <v>313</v>
      </c>
      <c r="H33" t="s">
        <v>218</v>
      </c>
      <c r="I33" s="10">
        <v>44267</v>
      </c>
      <c r="K33" t="s">
        <v>422</v>
      </c>
      <c r="L33" t="s">
        <v>322</v>
      </c>
      <c r="M33" t="s">
        <v>342</v>
      </c>
      <c r="N33">
        <v>2125.1999999999998</v>
      </c>
      <c r="O33">
        <v>2125.1999999999998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103</v>
      </c>
      <c r="AC33">
        <v>0</v>
      </c>
      <c r="AD33">
        <v>2228.1999999999998</v>
      </c>
      <c r="AE33">
        <v>200</v>
      </c>
      <c r="AF33">
        <v>190</v>
      </c>
      <c r="AH33">
        <v>0</v>
      </c>
      <c r="AL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U33">
        <v>390</v>
      </c>
      <c r="AV33">
        <v>2618.1999999999998</v>
      </c>
      <c r="AX33">
        <v>2618.1999999999998</v>
      </c>
      <c r="AY33">
        <v>185.68333333333331</v>
      </c>
      <c r="AZ33">
        <v>185.68333333333331</v>
      </c>
      <c r="BA33">
        <v>61.894444444444439</v>
      </c>
      <c r="BB33">
        <v>433.26111111111106</v>
      </c>
      <c r="BC33">
        <v>445.64</v>
      </c>
      <c r="BD33">
        <v>33.422999999999995</v>
      </c>
      <c r="BE33">
        <v>129.23559999999998</v>
      </c>
      <c r="BF33">
        <v>178.256</v>
      </c>
      <c r="BG33">
        <v>786.55459999999994</v>
      </c>
      <c r="BH33">
        <v>3404.7545999999998</v>
      </c>
      <c r="BI33">
        <v>3838.0157111111107</v>
      </c>
    </row>
    <row r="34" spans="1:61" hidden="1" x14ac:dyDescent="0.25">
      <c r="A34" t="s">
        <v>221</v>
      </c>
      <c r="B34" s="11">
        <v>45597</v>
      </c>
      <c r="C34" t="s">
        <v>5</v>
      </c>
      <c r="D34" t="s">
        <v>582</v>
      </c>
      <c r="F34" t="s">
        <v>292</v>
      </c>
      <c r="G34" t="s">
        <v>203</v>
      </c>
      <c r="H34" t="s">
        <v>222</v>
      </c>
      <c r="I34" s="10">
        <v>44271</v>
      </c>
      <c r="K34" t="s">
        <v>422</v>
      </c>
      <c r="L34" t="s">
        <v>204</v>
      </c>
      <c r="M34" t="s">
        <v>584</v>
      </c>
      <c r="N34">
        <v>2856.79</v>
      </c>
      <c r="O34">
        <v>2666.34</v>
      </c>
      <c r="P34">
        <v>268.23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2934.57</v>
      </c>
      <c r="AE34">
        <v>200</v>
      </c>
      <c r="AF34">
        <v>190</v>
      </c>
      <c r="AH34">
        <v>0</v>
      </c>
      <c r="AL34">
        <v>0</v>
      </c>
      <c r="AO34">
        <v>0</v>
      </c>
      <c r="AP34">
        <v>0</v>
      </c>
      <c r="AQ34">
        <v>1341.13</v>
      </c>
      <c r="AR34">
        <v>0</v>
      </c>
      <c r="AS34">
        <v>0</v>
      </c>
      <c r="AU34">
        <v>1731.13</v>
      </c>
      <c r="AV34">
        <v>4665.7000000000007</v>
      </c>
      <c r="AX34">
        <v>4665.7000000000007</v>
      </c>
      <c r="AY34">
        <v>244.54750000000001</v>
      </c>
      <c r="AZ34">
        <v>244.54750000000001</v>
      </c>
      <c r="BA34">
        <v>81.515833333333333</v>
      </c>
      <c r="BB34">
        <v>570.6108333333334</v>
      </c>
      <c r="BC34">
        <v>586.9140000000001</v>
      </c>
      <c r="BD34">
        <v>44.018549999999998</v>
      </c>
      <c r="BE34">
        <v>170.20506</v>
      </c>
      <c r="BF34">
        <v>234.76560000000001</v>
      </c>
      <c r="BG34">
        <v>1035.9032100000002</v>
      </c>
      <c r="BH34">
        <v>5701.6032100000011</v>
      </c>
      <c r="BI34">
        <v>6272.2140433333343</v>
      </c>
    </row>
    <row r="35" spans="1:61" hidden="1" x14ac:dyDescent="0.25">
      <c r="A35" t="s">
        <v>108</v>
      </c>
      <c r="B35" s="11">
        <v>45597</v>
      </c>
      <c r="C35" t="s">
        <v>5</v>
      </c>
      <c r="D35" t="s">
        <v>582</v>
      </c>
      <c r="F35" t="s">
        <v>292</v>
      </c>
      <c r="G35" t="s">
        <v>109</v>
      </c>
      <c r="H35" t="s">
        <v>96</v>
      </c>
      <c r="I35" s="10">
        <v>44274</v>
      </c>
      <c r="K35" t="s">
        <v>419</v>
      </c>
      <c r="L35" t="s">
        <v>211</v>
      </c>
      <c r="M35" t="s">
        <v>510</v>
      </c>
      <c r="N35">
        <v>2285.4299999999998</v>
      </c>
      <c r="O35">
        <v>2285.4299999999998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49.86</v>
      </c>
      <c r="X35">
        <v>15.17</v>
      </c>
      <c r="Y35">
        <v>0</v>
      </c>
      <c r="Z35">
        <v>0</v>
      </c>
      <c r="AA35">
        <v>0</v>
      </c>
      <c r="AB35">
        <v>0</v>
      </c>
      <c r="AC35">
        <v>0</v>
      </c>
      <c r="AD35">
        <v>2350.46</v>
      </c>
      <c r="AE35">
        <v>0</v>
      </c>
      <c r="AF35">
        <v>190</v>
      </c>
      <c r="AH35">
        <v>0</v>
      </c>
      <c r="AK35">
        <v>382.5</v>
      </c>
      <c r="AL35">
        <v>400</v>
      </c>
      <c r="AO35">
        <v>0</v>
      </c>
      <c r="AP35">
        <v>0</v>
      </c>
      <c r="AQ35">
        <v>0</v>
      </c>
      <c r="AR35">
        <v>0</v>
      </c>
      <c r="AS35">
        <v>0</v>
      </c>
      <c r="AU35">
        <v>972.5</v>
      </c>
      <c r="AV35">
        <v>3322.96</v>
      </c>
      <c r="AX35">
        <v>3322.96</v>
      </c>
      <c r="AY35">
        <v>195.87166666666667</v>
      </c>
      <c r="AZ35">
        <v>195.87166666666667</v>
      </c>
      <c r="BA35">
        <v>65.290555555555557</v>
      </c>
      <c r="BB35">
        <v>457.0338888888889</v>
      </c>
      <c r="BC35">
        <v>470.09200000000004</v>
      </c>
      <c r="BD35">
        <v>35.256900000000002</v>
      </c>
      <c r="BE35">
        <v>136.32667999999998</v>
      </c>
      <c r="BF35">
        <v>188.0368</v>
      </c>
      <c r="BG35">
        <v>829.71238000000005</v>
      </c>
      <c r="BH35">
        <v>4152.67238</v>
      </c>
      <c r="BI35">
        <v>4609.7062688888891</v>
      </c>
    </row>
    <row r="36" spans="1:61" hidden="1" x14ac:dyDescent="0.25">
      <c r="A36" t="s">
        <v>614</v>
      </c>
      <c r="B36" s="11">
        <v>45597</v>
      </c>
      <c r="C36" t="s">
        <v>5</v>
      </c>
      <c r="D36" t="s">
        <v>588</v>
      </c>
      <c r="F36" t="s">
        <v>312</v>
      </c>
      <c r="G36" t="s">
        <v>313</v>
      </c>
      <c r="H36" t="s">
        <v>317</v>
      </c>
      <c r="I36" s="10">
        <v>44357</v>
      </c>
      <c r="J36" s="10">
        <v>45621</v>
      </c>
      <c r="K36" t="s">
        <v>419</v>
      </c>
      <c r="L36" t="s">
        <v>318</v>
      </c>
      <c r="M36" t="s">
        <v>319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2720.09</v>
      </c>
      <c r="Z36">
        <v>1057.81</v>
      </c>
      <c r="AA36">
        <v>0</v>
      </c>
      <c r="AB36">
        <v>0</v>
      </c>
      <c r="AC36">
        <v>0</v>
      </c>
      <c r="AD36">
        <v>3777.9</v>
      </c>
      <c r="AE36">
        <v>0</v>
      </c>
      <c r="AF36">
        <v>380</v>
      </c>
      <c r="AH36">
        <v>0</v>
      </c>
      <c r="AL36">
        <v>0</v>
      </c>
      <c r="AN36">
        <v>419.76</v>
      </c>
      <c r="AO36">
        <v>0</v>
      </c>
      <c r="AP36">
        <v>0</v>
      </c>
      <c r="AQ36">
        <v>0</v>
      </c>
      <c r="AR36">
        <v>0</v>
      </c>
      <c r="AS36">
        <v>0</v>
      </c>
      <c r="AU36">
        <v>799.76</v>
      </c>
      <c r="AV36">
        <v>4577.66</v>
      </c>
      <c r="AX36">
        <v>4577.66</v>
      </c>
      <c r="AY36">
        <v>314.82499999999999</v>
      </c>
      <c r="AZ36">
        <v>314.82499999999999</v>
      </c>
      <c r="BA36">
        <v>104.94166666666666</v>
      </c>
      <c r="BB36">
        <v>734.5916666666667</v>
      </c>
      <c r="BC36">
        <v>755.58</v>
      </c>
      <c r="BD36">
        <v>56.668500000000002</v>
      </c>
      <c r="BE36">
        <v>219.1182</v>
      </c>
      <c r="BF36">
        <v>302.23200000000003</v>
      </c>
      <c r="BG36">
        <v>1333.5987</v>
      </c>
      <c r="BH36">
        <v>5911.2587000000003</v>
      </c>
      <c r="BI36">
        <v>6645.8503666666675</v>
      </c>
    </row>
    <row r="37" spans="1:61" hidden="1" x14ac:dyDescent="0.25">
      <c r="A37" t="s">
        <v>509</v>
      </c>
      <c r="B37" s="11">
        <v>45597</v>
      </c>
      <c r="C37" t="s">
        <v>5</v>
      </c>
      <c r="D37" t="s">
        <v>564</v>
      </c>
      <c r="F37" t="s">
        <v>95</v>
      </c>
      <c r="G37" t="s">
        <v>566</v>
      </c>
      <c r="H37" t="s">
        <v>97</v>
      </c>
      <c r="I37" s="10">
        <v>44365</v>
      </c>
      <c r="K37" t="s">
        <v>419</v>
      </c>
      <c r="L37" t="s">
        <v>507</v>
      </c>
      <c r="M37" t="s">
        <v>508</v>
      </c>
      <c r="N37">
        <v>2394.67</v>
      </c>
      <c r="O37">
        <v>2394.67</v>
      </c>
      <c r="P37">
        <v>0</v>
      </c>
      <c r="Q37">
        <v>478.93</v>
      </c>
      <c r="R37">
        <v>0</v>
      </c>
      <c r="S37">
        <v>0</v>
      </c>
      <c r="T37">
        <v>0</v>
      </c>
      <c r="U37">
        <v>0</v>
      </c>
      <c r="V37">
        <v>0</v>
      </c>
      <c r="W37">
        <v>568.19000000000005</v>
      </c>
      <c r="X37">
        <v>172.93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3614.72</v>
      </c>
      <c r="AE37">
        <v>200</v>
      </c>
      <c r="AF37">
        <v>190</v>
      </c>
      <c r="AH37">
        <v>0</v>
      </c>
      <c r="AI37">
        <v>145.49</v>
      </c>
      <c r="AL37">
        <v>0</v>
      </c>
      <c r="AN37">
        <v>425.45</v>
      </c>
      <c r="AO37">
        <v>183</v>
      </c>
      <c r="AP37">
        <v>0</v>
      </c>
      <c r="AQ37">
        <v>0</v>
      </c>
      <c r="AR37">
        <v>0</v>
      </c>
      <c r="AS37">
        <v>0</v>
      </c>
      <c r="AU37">
        <v>1143.94</v>
      </c>
      <c r="AV37">
        <v>4758.66</v>
      </c>
      <c r="AX37">
        <v>4758.66</v>
      </c>
      <c r="AY37">
        <v>301.22666666666663</v>
      </c>
      <c r="AZ37">
        <v>301.22666666666663</v>
      </c>
      <c r="BA37">
        <v>100.40888888888888</v>
      </c>
      <c r="BB37">
        <v>702.86222222222216</v>
      </c>
      <c r="BC37">
        <v>722.94399999999996</v>
      </c>
      <c r="BD37">
        <v>54.220799999999997</v>
      </c>
      <c r="BE37">
        <v>209.65375999999998</v>
      </c>
      <c r="BF37">
        <v>289.17759999999998</v>
      </c>
      <c r="BG37">
        <v>1275.9961599999999</v>
      </c>
      <c r="BH37">
        <v>6034.6561599999995</v>
      </c>
      <c r="BI37">
        <v>6737.5183822222216</v>
      </c>
    </row>
    <row r="38" spans="1:61" hidden="1" x14ac:dyDescent="0.25">
      <c r="A38" t="s">
        <v>326</v>
      </c>
      <c r="B38" s="11">
        <v>45597</v>
      </c>
      <c r="C38" t="s">
        <v>5</v>
      </c>
      <c r="D38" t="s">
        <v>588</v>
      </c>
      <c r="F38" t="s">
        <v>312</v>
      </c>
      <c r="G38" t="s">
        <v>313</v>
      </c>
      <c r="H38" t="s">
        <v>88</v>
      </c>
      <c r="I38" s="10">
        <v>44378</v>
      </c>
      <c r="K38" t="s">
        <v>419</v>
      </c>
      <c r="L38" t="s">
        <v>327</v>
      </c>
      <c r="M38" t="s">
        <v>504</v>
      </c>
      <c r="N38">
        <v>1885</v>
      </c>
      <c r="O38">
        <v>1885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1885</v>
      </c>
      <c r="AE38">
        <v>200</v>
      </c>
      <c r="AF38">
        <v>190</v>
      </c>
      <c r="AH38">
        <v>0</v>
      </c>
      <c r="AL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U38">
        <v>390</v>
      </c>
      <c r="AV38">
        <v>2275</v>
      </c>
      <c r="AW38">
        <v>1997</v>
      </c>
      <c r="AX38">
        <v>4272</v>
      </c>
      <c r="AY38">
        <v>157.08333333333334</v>
      </c>
      <c r="AZ38">
        <v>157.08333333333334</v>
      </c>
      <c r="BA38">
        <v>52.361111111111114</v>
      </c>
      <c r="BB38">
        <v>366.52777777777783</v>
      </c>
      <c r="BC38">
        <v>377</v>
      </c>
      <c r="BD38">
        <v>28.274999999999999</v>
      </c>
      <c r="BE38">
        <v>109.33</v>
      </c>
      <c r="BF38">
        <v>150.80000000000001</v>
      </c>
      <c r="BG38">
        <v>665.40499999999997</v>
      </c>
      <c r="BH38">
        <v>4937.4049999999997</v>
      </c>
      <c r="BI38">
        <v>5303.9327777777771</v>
      </c>
    </row>
    <row r="39" spans="1:61" hidden="1" x14ac:dyDescent="0.25">
      <c r="A39" t="s">
        <v>215</v>
      </c>
      <c r="B39" s="11">
        <v>45597</v>
      </c>
      <c r="C39" t="s">
        <v>5</v>
      </c>
      <c r="D39" t="s">
        <v>582</v>
      </c>
      <c r="F39" t="s">
        <v>292</v>
      </c>
      <c r="G39" t="s">
        <v>444</v>
      </c>
      <c r="H39" t="s">
        <v>195</v>
      </c>
      <c r="I39" s="10">
        <v>44397</v>
      </c>
      <c r="K39" t="s">
        <v>419</v>
      </c>
      <c r="L39" t="s">
        <v>211</v>
      </c>
      <c r="M39" t="s">
        <v>216</v>
      </c>
      <c r="N39">
        <v>3200</v>
      </c>
      <c r="O39">
        <v>3200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3200</v>
      </c>
      <c r="AE39">
        <v>200</v>
      </c>
      <c r="AF39">
        <v>190</v>
      </c>
      <c r="AH39">
        <v>0</v>
      </c>
      <c r="AL39">
        <v>0</v>
      </c>
      <c r="AN39">
        <v>264.60000000000002</v>
      </c>
      <c r="AO39">
        <v>0</v>
      </c>
      <c r="AP39">
        <v>0</v>
      </c>
      <c r="AQ39">
        <v>0</v>
      </c>
      <c r="AR39">
        <v>0</v>
      </c>
      <c r="AS39">
        <v>0</v>
      </c>
      <c r="AU39">
        <v>654.6</v>
      </c>
      <c r="AV39">
        <v>3854.6</v>
      </c>
      <c r="AX39">
        <v>3854.6</v>
      </c>
      <c r="AY39">
        <v>266.66666666666669</v>
      </c>
      <c r="AZ39">
        <v>266.66666666666669</v>
      </c>
      <c r="BA39">
        <v>88.8888888888889</v>
      </c>
      <c r="BB39">
        <v>622.22222222222229</v>
      </c>
      <c r="BC39">
        <v>640</v>
      </c>
      <c r="BD39">
        <v>48</v>
      </c>
      <c r="BE39">
        <v>185.6</v>
      </c>
      <c r="BF39">
        <v>256</v>
      </c>
      <c r="BG39">
        <v>1129.5999999999999</v>
      </c>
      <c r="BH39">
        <v>4984.2</v>
      </c>
      <c r="BI39">
        <v>5606.4222222222215</v>
      </c>
    </row>
    <row r="40" spans="1:61" hidden="1" x14ac:dyDescent="0.25">
      <c r="A40" t="s">
        <v>217</v>
      </c>
      <c r="B40" s="11">
        <v>45597</v>
      </c>
      <c r="C40" t="s">
        <v>5</v>
      </c>
      <c r="D40" t="s">
        <v>582</v>
      </c>
      <c r="F40" t="s">
        <v>292</v>
      </c>
      <c r="G40" t="s">
        <v>203</v>
      </c>
      <c r="H40" t="s">
        <v>218</v>
      </c>
      <c r="I40" s="10">
        <v>44410</v>
      </c>
      <c r="K40" t="s">
        <v>422</v>
      </c>
      <c r="L40" t="s">
        <v>219</v>
      </c>
      <c r="M40" t="s">
        <v>585</v>
      </c>
      <c r="N40">
        <v>2285.4299999999998</v>
      </c>
      <c r="O40">
        <v>2285.4299999999998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2285.4299999999998</v>
      </c>
      <c r="AE40">
        <v>200</v>
      </c>
      <c r="AF40">
        <v>190</v>
      </c>
      <c r="AH40">
        <v>0</v>
      </c>
      <c r="AL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U40">
        <v>390</v>
      </c>
      <c r="AV40">
        <v>2675.43</v>
      </c>
      <c r="AX40">
        <v>2675.43</v>
      </c>
      <c r="AY40">
        <v>190.45249999999999</v>
      </c>
      <c r="AZ40">
        <v>190.45249999999999</v>
      </c>
      <c r="BA40">
        <v>63.48416666666666</v>
      </c>
      <c r="BB40">
        <v>444.38916666666665</v>
      </c>
      <c r="BC40">
        <v>457.08600000000001</v>
      </c>
      <c r="BD40">
        <v>34.28145</v>
      </c>
      <c r="BE40">
        <v>132.55493999999999</v>
      </c>
      <c r="BF40">
        <v>182.83439999999999</v>
      </c>
      <c r="BG40">
        <v>806.75678999999991</v>
      </c>
      <c r="BH40">
        <v>3482.1867899999997</v>
      </c>
      <c r="BI40">
        <v>3926.5759566666666</v>
      </c>
    </row>
    <row r="41" spans="1:61" hidden="1" x14ac:dyDescent="0.25">
      <c r="A41" t="s">
        <v>515</v>
      </c>
      <c r="B41" s="11">
        <v>45597</v>
      </c>
      <c r="C41" t="s">
        <v>5</v>
      </c>
      <c r="D41" t="s">
        <v>564</v>
      </c>
      <c r="F41" t="s">
        <v>95</v>
      </c>
      <c r="G41" t="s">
        <v>561</v>
      </c>
      <c r="H41" t="s">
        <v>151</v>
      </c>
      <c r="I41" s="10">
        <v>44449</v>
      </c>
      <c r="J41" s="10">
        <v>45625</v>
      </c>
      <c r="K41" t="s">
        <v>419</v>
      </c>
      <c r="L41" t="s">
        <v>516</v>
      </c>
      <c r="M41" t="s">
        <v>92</v>
      </c>
      <c r="N41">
        <v>2462.25</v>
      </c>
      <c r="O41">
        <v>2380.1799999999998</v>
      </c>
      <c r="P41">
        <v>0</v>
      </c>
      <c r="Q41">
        <v>476.04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2856.22</v>
      </c>
      <c r="AE41">
        <v>0</v>
      </c>
      <c r="AF41">
        <v>380</v>
      </c>
      <c r="AH41">
        <v>0</v>
      </c>
      <c r="AL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U41">
        <v>380</v>
      </c>
      <c r="AV41">
        <v>3236.22</v>
      </c>
      <c r="AX41">
        <v>3236.22</v>
      </c>
      <c r="AY41">
        <v>238.01833333333332</v>
      </c>
      <c r="AZ41">
        <v>238.01833333333332</v>
      </c>
      <c r="BA41">
        <v>79.339444444444439</v>
      </c>
      <c r="BB41">
        <v>555.37611111111107</v>
      </c>
      <c r="BC41">
        <v>571.24400000000003</v>
      </c>
      <c r="BD41">
        <v>42.843299999999992</v>
      </c>
      <c r="BE41">
        <v>165.66075999999998</v>
      </c>
      <c r="BF41">
        <v>228.49759999999998</v>
      </c>
      <c r="BG41">
        <v>1008.24566</v>
      </c>
      <c r="BH41">
        <v>4244.4656599999998</v>
      </c>
      <c r="BI41">
        <v>4799.8417711111106</v>
      </c>
    </row>
    <row r="42" spans="1:61" hidden="1" x14ac:dyDescent="0.25">
      <c r="A42" t="s">
        <v>172</v>
      </c>
      <c r="B42" s="11">
        <v>45597</v>
      </c>
      <c r="C42" t="s">
        <v>5</v>
      </c>
      <c r="D42" t="s">
        <v>564</v>
      </c>
      <c r="F42" t="s">
        <v>95</v>
      </c>
      <c r="G42" t="s">
        <v>561</v>
      </c>
      <c r="H42" t="s">
        <v>151</v>
      </c>
      <c r="I42" s="10">
        <v>44608</v>
      </c>
      <c r="J42" s="10">
        <v>45600</v>
      </c>
      <c r="K42" t="s">
        <v>419</v>
      </c>
      <c r="L42" t="s">
        <v>516</v>
      </c>
      <c r="M42" t="s">
        <v>92</v>
      </c>
      <c r="N42">
        <v>2462.25</v>
      </c>
      <c r="O42">
        <v>328.3</v>
      </c>
      <c r="P42">
        <v>0</v>
      </c>
      <c r="Q42">
        <v>65.66</v>
      </c>
      <c r="R42">
        <v>0</v>
      </c>
      <c r="S42">
        <v>0</v>
      </c>
      <c r="T42">
        <v>0</v>
      </c>
      <c r="U42">
        <v>0</v>
      </c>
      <c r="V42">
        <v>4.0199999999999996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397.98</v>
      </c>
      <c r="AE42">
        <v>34</v>
      </c>
      <c r="AF42">
        <v>190</v>
      </c>
      <c r="AH42">
        <v>0</v>
      </c>
      <c r="AL42">
        <v>0</v>
      </c>
      <c r="AO42">
        <v>0</v>
      </c>
      <c r="AP42">
        <v>0</v>
      </c>
      <c r="AQ42">
        <v>0</v>
      </c>
      <c r="AR42">
        <v>8.27</v>
      </c>
      <c r="AS42">
        <v>0</v>
      </c>
      <c r="AU42">
        <v>232.27</v>
      </c>
      <c r="AV42">
        <v>630.25</v>
      </c>
      <c r="AX42">
        <v>630.25</v>
      </c>
      <c r="AY42">
        <v>33.164999999999999</v>
      </c>
      <c r="AZ42">
        <v>33.164999999999999</v>
      </c>
      <c r="BA42">
        <v>11.055</v>
      </c>
      <c r="BB42">
        <v>77.384999999999991</v>
      </c>
      <c r="BC42">
        <v>79.596000000000004</v>
      </c>
      <c r="BD42">
        <v>5.9697000000000005</v>
      </c>
      <c r="BE42">
        <v>23.082840000000001</v>
      </c>
      <c r="BF42">
        <v>31.838400000000004</v>
      </c>
      <c r="BG42">
        <v>140.48694</v>
      </c>
      <c r="BH42">
        <v>770.73694</v>
      </c>
      <c r="BI42">
        <v>848.12194</v>
      </c>
    </row>
    <row r="43" spans="1:61" hidden="1" x14ac:dyDescent="0.25">
      <c r="A43" t="s">
        <v>148</v>
      </c>
      <c r="B43" s="11">
        <v>45597</v>
      </c>
      <c r="C43" t="s">
        <v>5</v>
      </c>
      <c r="D43" t="s">
        <v>615</v>
      </c>
      <c r="F43" t="s">
        <v>150</v>
      </c>
      <c r="G43" t="s">
        <v>561</v>
      </c>
      <c r="H43" t="s">
        <v>568</v>
      </c>
      <c r="I43" s="10">
        <v>44617</v>
      </c>
      <c r="K43" t="s">
        <v>419</v>
      </c>
      <c r="L43" t="s">
        <v>514</v>
      </c>
      <c r="M43" t="s">
        <v>508</v>
      </c>
      <c r="N43">
        <v>2394.67</v>
      </c>
      <c r="O43">
        <v>2394.67</v>
      </c>
      <c r="P43">
        <v>0</v>
      </c>
      <c r="Q43">
        <v>478.93</v>
      </c>
      <c r="R43">
        <v>0</v>
      </c>
      <c r="S43">
        <v>0</v>
      </c>
      <c r="T43">
        <v>0</v>
      </c>
      <c r="U43">
        <v>0</v>
      </c>
      <c r="V43">
        <v>13.629999999999999</v>
      </c>
      <c r="W43">
        <v>1541.3</v>
      </c>
      <c r="X43">
        <v>469.09</v>
      </c>
      <c r="Y43">
        <v>0</v>
      </c>
      <c r="Z43">
        <v>0</v>
      </c>
      <c r="AA43">
        <v>0</v>
      </c>
      <c r="AB43">
        <v>0</v>
      </c>
      <c r="AC43">
        <v>0</v>
      </c>
      <c r="AD43">
        <v>4897.62</v>
      </c>
      <c r="AE43">
        <v>200</v>
      </c>
      <c r="AF43">
        <v>190</v>
      </c>
      <c r="AH43">
        <v>0</v>
      </c>
      <c r="AJ43">
        <v>1467.95</v>
      </c>
      <c r="AL43">
        <v>0</v>
      </c>
      <c r="AO43">
        <v>1989.7</v>
      </c>
      <c r="AP43">
        <v>0</v>
      </c>
      <c r="AQ43">
        <v>0</v>
      </c>
      <c r="AR43">
        <v>0</v>
      </c>
      <c r="AS43">
        <v>0</v>
      </c>
      <c r="AU43">
        <v>3847.65</v>
      </c>
      <c r="AV43">
        <v>8745.27</v>
      </c>
      <c r="AX43">
        <v>8745.27</v>
      </c>
      <c r="AY43">
        <v>408.13499999999999</v>
      </c>
      <c r="AZ43">
        <v>408.13499999999999</v>
      </c>
      <c r="BA43">
        <v>136.04499999999999</v>
      </c>
      <c r="BB43">
        <v>952.31499999999994</v>
      </c>
      <c r="BC43">
        <v>979.524</v>
      </c>
      <c r="BD43">
        <v>73.464299999999994</v>
      </c>
      <c r="BE43">
        <v>284.06196</v>
      </c>
      <c r="BF43">
        <v>391.80959999999999</v>
      </c>
      <c r="BG43">
        <v>1728.85986</v>
      </c>
      <c r="BH43">
        <v>10474.129860000001</v>
      </c>
      <c r="BI43">
        <v>11426.444860000001</v>
      </c>
    </row>
    <row r="44" spans="1:61" hidden="1" x14ac:dyDescent="0.25">
      <c r="A44" t="s">
        <v>278</v>
      </c>
      <c r="B44" s="11">
        <v>45597</v>
      </c>
      <c r="C44" t="s">
        <v>5</v>
      </c>
      <c r="D44" t="s">
        <v>579</v>
      </c>
      <c r="F44" t="s">
        <v>283</v>
      </c>
      <c r="G44" t="s">
        <v>178</v>
      </c>
      <c r="H44" t="s">
        <v>88</v>
      </c>
      <c r="I44" s="10">
        <v>44630</v>
      </c>
      <c r="K44" t="s">
        <v>419</v>
      </c>
      <c r="L44" t="s">
        <v>184</v>
      </c>
      <c r="M44" t="s">
        <v>580</v>
      </c>
      <c r="N44">
        <v>1912.66</v>
      </c>
      <c r="O44">
        <v>1912.66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558.15</v>
      </c>
      <c r="X44">
        <v>169.87</v>
      </c>
      <c r="Y44">
        <v>0</v>
      </c>
      <c r="Z44">
        <v>0</v>
      </c>
      <c r="AA44">
        <v>0</v>
      </c>
      <c r="AB44">
        <v>0</v>
      </c>
      <c r="AC44">
        <v>0</v>
      </c>
      <c r="AD44">
        <v>2640.68</v>
      </c>
      <c r="AE44">
        <v>0</v>
      </c>
      <c r="AF44">
        <v>0</v>
      </c>
      <c r="AG44">
        <v>225</v>
      </c>
      <c r="AH44">
        <v>900</v>
      </c>
      <c r="AL44">
        <v>0</v>
      </c>
      <c r="AN44">
        <v>115.26</v>
      </c>
      <c r="AO44">
        <v>1709.4</v>
      </c>
      <c r="AP44">
        <v>0</v>
      </c>
      <c r="AQ44">
        <v>0</v>
      </c>
      <c r="AR44">
        <v>0</v>
      </c>
      <c r="AS44">
        <v>0</v>
      </c>
      <c r="AU44">
        <v>2949.66</v>
      </c>
      <c r="AV44">
        <v>5590.34</v>
      </c>
      <c r="AX44">
        <v>5590.34</v>
      </c>
      <c r="AY44">
        <v>220.05666666666664</v>
      </c>
      <c r="AZ44">
        <v>220.05666666666664</v>
      </c>
      <c r="BA44">
        <v>73.35222222222221</v>
      </c>
      <c r="BB44">
        <v>513.46555555555551</v>
      </c>
      <c r="BC44">
        <v>528.13599999999997</v>
      </c>
      <c r="BD44">
        <v>39.610199999999999</v>
      </c>
      <c r="BE44">
        <v>153.15943999999999</v>
      </c>
      <c r="BF44">
        <v>211.2544</v>
      </c>
      <c r="BG44">
        <v>932.16003999999998</v>
      </c>
      <c r="BH44">
        <v>6522.5000399999999</v>
      </c>
      <c r="BI44">
        <v>7035.9655955555554</v>
      </c>
    </row>
    <row r="45" spans="1:61" hidden="1" x14ac:dyDescent="0.25">
      <c r="A45" t="s">
        <v>500</v>
      </c>
      <c r="B45" s="11">
        <v>45597</v>
      </c>
      <c r="C45" t="s">
        <v>5</v>
      </c>
      <c r="D45" t="s">
        <v>560</v>
      </c>
      <c r="F45" t="s">
        <v>80</v>
      </c>
      <c r="G45" t="s">
        <v>444</v>
      </c>
      <c r="H45" t="s">
        <v>562</v>
      </c>
      <c r="I45" s="10">
        <v>44630</v>
      </c>
      <c r="K45" t="s">
        <v>419</v>
      </c>
      <c r="L45" t="s">
        <v>502</v>
      </c>
      <c r="M45" t="s">
        <v>432</v>
      </c>
      <c r="N45">
        <v>2486.84</v>
      </c>
      <c r="O45">
        <v>2486.84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2486.84</v>
      </c>
      <c r="AE45">
        <v>400</v>
      </c>
      <c r="AF45">
        <v>300</v>
      </c>
      <c r="AG45">
        <v>136.5</v>
      </c>
      <c r="AH45">
        <v>0</v>
      </c>
      <c r="AL45">
        <v>2131.58</v>
      </c>
      <c r="AO45">
        <v>800</v>
      </c>
      <c r="AP45">
        <v>0</v>
      </c>
      <c r="AQ45">
        <v>0</v>
      </c>
      <c r="AR45">
        <v>0</v>
      </c>
      <c r="AS45">
        <v>0</v>
      </c>
      <c r="AU45">
        <v>3768.08</v>
      </c>
      <c r="AV45">
        <v>6254.92</v>
      </c>
      <c r="AX45">
        <v>6254.92</v>
      </c>
      <c r="AY45">
        <v>207.23666666666668</v>
      </c>
      <c r="AZ45">
        <v>207.23666666666668</v>
      </c>
      <c r="BA45">
        <v>69.078888888888898</v>
      </c>
      <c r="BB45">
        <v>483.55222222222227</v>
      </c>
      <c r="BC45">
        <v>497.36800000000005</v>
      </c>
      <c r="BD45">
        <v>146.62159956000002</v>
      </c>
      <c r="BE45">
        <v>144.23671999999999</v>
      </c>
      <c r="BF45">
        <v>198.94720000000001</v>
      </c>
      <c r="BG45">
        <v>987.17351956000016</v>
      </c>
      <c r="BH45">
        <v>7242.0935195600005</v>
      </c>
      <c r="BI45">
        <v>7725.645741782223</v>
      </c>
    </row>
    <row r="46" spans="1:61" hidden="1" x14ac:dyDescent="0.25">
      <c r="A46" t="s">
        <v>303</v>
      </c>
      <c r="B46" s="11">
        <v>45597</v>
      </c>
      <c r="C46" t="s">
        <v>5</v>
      </c>
      <c r="D46" t="s">
        <v>582</v>
      </c>
      <c r="F46" t="s">
        <v>292</v>
      </c>
      <c r="G46" t="s">
        <v>566</v>
      </c>
      <c r="H46" t="s">
        <v>81</v>
      </c>
      <c r="I46" s="10">
        <v>44635</v>
      </c>
      <c r="K46" t="s">
        <v>419</v>
      </c>
      <c r="L46" t="s">
        <v>225</v>
      </c>
      <c r="M46" t="s">
        <v>541</v>
      </c>
      <c r="N46">
        <v>1888.29</v>
      </c>
      <c r="O46">
        <v>1888.29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144.82</v>
      </c>
      <c r="X46">
        <v>44.08</v>
      </c>
      <c r="Y46">
        <v>0</v>
      </c>
      <c r="Z46">
        <v>0</v>
      </c>
      <c r="AA46">
        <v>0</v>
      </c>
      <c r="AB46">
        <v>103</v>
      </c>
      <c r="AC46">
        <v>0</v>
      </c>
      <c r="AD46">
        <v>2180.19</v>
      </c>
      <c r="AE46">
        <v>200</v>
      </c>
      <c r="AF46">
        <v>190</v>
      </c>
      <c r="AH46">
        <v>0</v>
      </c>
      <c r="AL46">
        <v>0</v>
      </c>
      <c r="AN46">
        <v>425.45</v>
      </c>
      <c r="AO46">
        <v>0</v>
      </c>
      <c r="AP46">
        <v>0</v>
      </c>
      <c r="AQ46">
        <v>0</v>
      </c>
      <c r="AR46">
        <v>0</v>
      </c>
      <c r="AS46">
        <v>0</v>
      </c>
      <c r="AU46">
        <v>815.45</v>
      </c>
      <c r="AV46">
        <v>2995.6400000000003</v>
      </c>
      <c r="AX46">
        <v>2995.6400000000003</v>
      </c>
      <c r="AY46">
        <v>181.6825</v>
      </c>
      <c r="AZ46">
        <v>181.6825</v>
      </c>
      <c r="BA46">
        <v>60.560833333333335</v>
      </c>
      <c r="BB46">
        <v>423.92583333333334</v>
      </c>
      <c r="BC46">
        <v>436.03800000000001</v>
      </c>
      <c r="BD46">
        <v>32.702849999999998</v>
      </c>
      <c r="BE46">
        <v>126.45102</v>
      </c>
      <c r="BF46">
        <v>174.4152</v>
      </c>
      <c r="BG46">
        <v>769.60707000000002</v>
      </c>
      <c r="BH46">
        <v>3765.2470700000003</v>
      </c>
      <c r="BI46">
        <v>4189.172903333334</v>
      </c>
    </row>
    <row r="47" spans="1:61" hidden="1" x14ac:dyDescent="0.25">
      <c r="A47" t="s">
        <v>558</v>
      </c>
      <c r="B47" s="11">
        <v>45597</v>
      </c>
      <c r="C47" t="s">
        <v>5</v>
      </c>
      <c r="D47" t="s">
        <v>594</v>
      </c>
      <c r="F47" t="s">
        <v>356</v>
      </c>
      <c r="G47" t="s">
        <v>464</v>
      </c>
      <c r="H47" t="s">
        <v>81</v>
      </c>
      <c r="I47" s="10">
        <v>44635</v>
      </c>
      <c r="K47" t="s">
        <v>419</v>
      </c>
      <c r="L47" t="s">
        <v>270</v>
      </c>
      <c r="M47" t="s">
        <v>541</v>
      </c>
      <c r="N47">
        <v>2025.07</v>
      </c>
      <c r="O47">
        <v>1822.56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207.94</v>
      </c>
      <c r="AD47">
        <v>2030.5</v>
      </c>
      <c r="AE47">
        <v>200</v>
      </c>
      <c r="AF47">
        <v>190</v>
      </c>
      <c r="AH47">
        <v>0</v>
      </c>
      <c r="AL47">
        <v>0</v>
      </c>
      <c r="AN47">
        <v>24.46</v>
      </c>
      <c r="AO47">
        <v>0</v>
      </c>
      <c r="AP47">
        <v>0</v>
      </c>
      <c r="AQ47">
        <v>487.44</v>
      </c>
      <c r="AR47">
        <v>0</v>
      </c>
      <c r="AS47">
        <v>0</v>
      </c>
      <c r="AU47">
        <v>901.9</v>
      </c>
      <c r="AV47">
        <v>2932.4</v>
      </c>
      <c r="AX47">
        <v>2932.4</v>
      </c>
      <c r="AY47">
        <v>169.20833333333334</v>
      </c>
      <c r="AZ47">
        <v>169.20833333333334</v>
      </c>
      <c r="BA47">
        <v>56.402777777777779</v>
      </c>
      <c r="BB47">
        <v>394.81944444444446</v>
      </c>
      <c r="BC47">
        <v>406.1</v>
      </c>
      <c r="BD47">
        <v>30.4575</v>
      </c>
      <c r="BE47">
        <v>117.76899999999999</v>
      </c>
      <c r="BF47">
        <v>162.44</v>
      </c>
      <c r="BG47">
        <v>716.76649999999995</v>
      </c>
      <c r="BH47">
        <v>3649.1665000000003</v>
      </c>
      <c r="BI47">
        <v>4043.9859444444446</v>
      </c>
    </row>
    <row r="48" spans="1:61" hidden="1" x14ac:dyDescent="0.25">
      <c r="A48" t="s">
        <v>466</v>
      </c>
      <c r="B48" s="11">
        <v>45597</v>
      </c>
      <c r="C48" t="s">
        <v>5</v>
      </c>
      <c r="D48" t="s">
        <v>564</v>
      </c>
      <c r="F48" t="s">
        <v>95</v>
      </c>
      <c r="G48" t="s">
        <v>203</v>
      </c>
      <c r="H48" t="s">
        <v>244</v>
      </c>
      <c r="I48" s="10">
        <v>44650</v>
      </c>
      <c r="K48" t="s">
        <v>419</v>
      </c>
      <c r="L48" t="s">
        <v>245</v>
      </c>
      <c r="M48" t="s">
        <v>468</v>
      </c>
      <c r="N48">
        <v>2830.8</v>
      </c>
      <c r="O48">
        <v>2830.8</v>
      </c>
      <c r="P48">
        <v>0</v>
      </c>
      <c r="Q48">
        <v>0</v>
      </c>
      <c r="R48">
        <v>0</v>
      </c>
      <c r="S48">
        <v>0</v>
      </c>
      <c r="T48">
        <v>1132.32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3963.12</v>
      </c>
      <c r="AE48">
        <v>200</v>
      </c>
      <c r="AF48">
        <v>190</v>
      </c>
      <c r="AH48">
        <v>0</v>
      </c>
      <c r="AL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U48">
        <v>390</v>
      </c>
      <c r="AV48">
        <v>4353.12</v>
      </c>
      <c r="AX48">
        <v>4353.12</v>
      </c>
      <c r="AY48">
        <v>330.26</v>
      </c>
      <c r="AZ48">
        <v>330.26</v>
      </c>
      <c r="BA48">
        <v>110.08666666666666</v>
      </c>
      <c r="BB48">
        <v>770.60666666666668</v>
      </c>
      <c r="BC48">
        <v>792.62400000000002</v>
      </c>
      <c r="BD48">
        <v>59.446799999999996</v>
      </c>
      <c r="BE48">
        <v>229.86095999999998</v>
      </c>
      <c r="BF48">
        <v>317.0496</v>
      </c>
      <c r="BG48">
        <v>1398.98136</v>
      </c>
      <c r="BH48">
        <v>5752.1013599999997</v>
      </c>
      <c r="BI48">
        <v>6522.7080266666662</v>
      </c>
    </row>
    <row r="49" spans="1:61" hidden="1" x14ac:dyDescent="0.25">
      <c r="A49" t="s">
        <v>183</v>
      </c>
      <c r="B49" s="11">
        <v>45597</v>
      </c>
      <c r="C49" t="s">
        <v>5</v>
      </c>
      <c r="D49" t="s">
        <v>577</v>
      </c>
      <c r="F49" t="s">
        <v>273</v>
      </c>
      <c r="G49" t="s">
        <v>178</v>
      </c>
      <c r="H49" t="s">
        <v>97</v>
      </c>
      <c r="I49" s="10">
        <v>44698</v>
      </c>
      <c r="K49" t="s">
        <v>419</v>
      </c>
      <c r="L49" t="s">
        <v>524</v>
      </c>
      <c r="M49" t="s">
        <v>511</v>
      </c>
      <c r="N49">
        <v>2063.3200000000002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H49">
        <v>0</v>
      </c>
      <c r="AL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U49">
        <v>0</v>
      </c>
      <c r="AV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</row>
    <row r="50" spans="1:61" hidden="1" x14ac:dyDescent="0.25">
      <c r="A50" t="s">
        <v>181</v>
      </c>
      <c r="B50" s="11">
        <v>45597</v>
      </c>
      <c r="C50" t="s">
        <v>5</v>
      </c>
      <c r="D50" t="s">
        <v>577</v>
      </c>
      <c r="F50" t="s">
        <v>273</v>
      </c>
      <c r="G50" t="s">
        <v>178</v>
      </c>
      <c r="H50" t="s">
        <v>88</v>
      </c>
      <c r="I50" s="10">
        <v>44698</v>
      </c>
      <c r="K50" t="s">
        <v>419</v>
      </c>
      <c r="L50" t="s">
        <v>184</v>
      </c>
      <c r="M50" t="s">
        <v>508</v>
      </c>
      <c r="N50">
        <v>2591</v>
      </c>
      <c r="O50">
        <v>2591</v>
      </c>
      <c r="P50">
        <v>0</v>
      </c>
      <c r="Q50">
        <v>518.20000000000005</v>
      </c>
      <c r="R50">
        <v>0</v>
      </c>
      <c r="S50">
        <v>0</v>
      </c>
      <c r="T50">
        <v>0</v>
      </c>
      <c r="U50">
        <v>0</v>
      </c>
      <c r="V50">
        <v>0</v>
      </c>
      <c r="W50">
        <v>1476.87</v>
      </c>
      <c r="X50">
        <v>449.48</v>
      </c>
      <c r="Y50">
        <v>0</v>
      </c>
      <c r="Z50">
        <v>0</v>
      </c>
      <c r="AA50">
        <v>0</v>
      </c>
      <c r="AB50">
        <v>0</v>
      </c>
      <c r="AC50">
        <v>0</v>
      </c>
      <c r="AD50">
        <v>5035.5499999999993</v>
      </c>
      <c r="AE50">
        <v>200</v>
      </c>
      <c r="AF50">
        <v>0</v>
      </c>
      <c r="AG50">
        <v>225</v>
      </c>
      <c r="AH50">
        <v>0</v>
      </c>
      <c r="AI50">
        <v>297.83</v>
      </c>
      <c r="AL50">
        <v>0</v>
      </c>
      <c r="AN50">
        <v>115.26</v>
      </c>
      <c r="AO50">
        <v>309.5</v>
      </c>
      <c r="AP50">
        <v>0</v>
      </c>
      <c r="AQ50">
        <v>0</v>
      </c>
      <c r="AR50">
        <v>0</v>
      </c>
      <c r="AS50">
        <v>0</v>
      </c>
      <c r="AT50">
        <v>90.75</v>
      </c>
      <c r="AU50">
        <v>1238.3399999999999</v>
      </c>
      <c r="AV50">
        <v>6273.8899999999994</v>
      </c>
      <c r="AX50">
        <v>6273.8899999999994</v>
      </c>
      <c r="AY50">
        <v>419.62916666666661</v>
      </c>
      <c r="AZ50">
        <v>419.62916666666661</v>
      </c>
      <c r="BA50">
        <v>139.87638888888887</v>
      </c>
      <c r="BB50">
        <v>979.13472222222208</v>
      </c>
      <c r="BC50">
        <v>1007.1099999999999</v>
      </c>
      <c r="BD50">
        <v>151.06649999999996</v>
      </c>
      <c r="BE50">
        <v>292.06189999999992</v>
      </c>
      <c r="BF50">
        <v>402.84399999999994</v>
      </c>
      <c r="BG50">
        <v>1853.0823999999998</v>
      </c>
      <c r="BH50">
        <v>8126.9723999999987</v>
      </c>
      <c r="BI50">
        <v>9106.1071222222217</v>
      </c>
    </row>
    <row r="51" spans="1:61" hidden="1" x14ac:dyDescent="0.25">
      <c r="A51" t="s">
        <v>281</v>
      </c>
      <c r="B51" s="11">
        <v>45597</v>
      </c>
      <c r="C51" t="s">
        <v>5</v>
      </c>
      <c r="D51" t="s">
        <v>579</v>
      </c>
      <c r="F51" t="s">
        <v>283</v>
      </c>
      <c r="G51" t="s">
        <v>142</v>
      </c>
      <c r="H51" t="s">
        <v>88</v>
      </c>
      <c r="I51" s="10">
        <v>44700</v>
      </c>
      <c r="K51" t="s">
        <v>419</v>
      </c>
      <c r="L51" t="s">
        <v>147</v>
      </c>
      <c r="M51" t="s">
        <v>92</v>
      </c>
      <c r="N51">
        <v>2797.07</v>
      </c>
      <c r="O51">
        <v>2797.07</v>
      </c>
      <c r="P51">
        <v>0</v>
      </c>
      <c r="Q51">
        <v>559.41</v>
      </c>
      <c r="R51">
        <v>0</v>
      </c>
      <c r="S51">
        <v>0</v>
      </c>
      <c r="T51">
        <v>0</v>
      </c>
      <c r="U51">
        <v>0</v>
      </c>
      <c r="V51">
        <v>0</v>
      </c>
      <c r="W51">
        <v>1641.62</v>
      </c>
      <c r="X51">
        <v>499.62</v>
      </c>
      <c r="Y51">
        <v>0</v>
      </c>
      <c r="Z51">
        <v>0</v>
      </c>
      <c r="AA51">
        <v>0</v>
      </c>
      <c r="AB51">
        <v>0</v>
      </c>
      <c r="AC51">
        <v>0</v>
      </c>
      <c r="AD51">
        <v>5497.72</v>
      </c>
      <c r="AE51">
        <v>0</v>
      </c>
      <c r="AF51">
        <v>0</v>
      </c>
      <c r="AG51">
        <v>225</v>
      </c>
      <c r="AH51">
        <v>0</v>
      </c>
      <c r="AL51">
        <v>0</v>
      </c>
      <c r="AN51">
        <v>231.94</v>
      </c>
      <c r="AO51">
        <v>0</v>
      </c>
      <c r="AP51">
        <v>0</v>
      </c>
      <c r="AQ51">
        <v>0</v>
      </c>
      <c r="AR51">
        <v>0</v>
      </c>
      <c r="AS51">
        <v>0</v>
      </c>
      <c r="AU51">
        <v>456.94</v>
      </c>
      <c r="AV51">
        <v>5954.66</v>
      </c>
      <c r="AX51">
        <v>5954.66</v>
      </c>
      <c r="AY51">
        <v>458.14333333333337</v>
      </c>
      <c r="AZ51">
        <v>458.14333333333337</v>
      </c>
      <c r="BA51">
        <v>152.71444444444447</v>
      </c>
      <c r="BB51">
        <v>1069.0011111111112</v>
      </c>
      <c r="BC51">
        <v>1099.5440000000001</v>
      </c>
      <c r="BD51">
        <v>82.465800000000002</v>
      </c>
      <c r="BE51">
        <v>318.86775999999998</v>
      </c>
      <c r="BF51">
        <v>439.81760000000003</v>
      </c>
      <c r="BG51">
        <v>1940.69516</v>
      </c>
      <c r="BH51">
        <v>7895.3551600000001</v>
      </c>
      <c r="BI51">
        <v>8964.3562711111099</v>
      </c>
    </row>
    <row r="52" spans="1:61" hidden="1" x14ac:dyDescent="0.25">
      <c r="A52" t="s">
        <v>616</v>
      </c>
      <c r="B52" s="11">
        <v>45597</v>
      </c>
      <c r="C52" t="s">
        <v>5</v>
      </c>
      <c r="D52" t="s">
        <v>594</v>
      </c>
      <c r="F52" t="s">
        <v>356</v>
      </c>
      <c r="G52" t="s">
        <v>464</v>
      </c>
      <c r="H52" t="s">
        <v>88</v>
      </c>
      <c r="I52" s="10">
        <v>44757</v>
      </c>
      <c r="K52" t="s">
        <v>419</v>
      </c>
      <c r="L52" t="s">
        <v>132</v>
      </c>
      <c r="M52" t="s">
        <v>505</v>
      </c>
      <c r="N52">
        <v>1932</v>
      </c>
      <c r="O52">
        <v>1932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1932</v>
      </c>
      <c r="AE52">
        <v>0</v>
      </c>
      <c r="AF52">
        <v>190</v>
      </c>
      <c r="AH52">
        <v>0</v>
      </c>
      <c r="AL52">
        <v>0</v>
      </c>
      <c r="AN52">
        <v>24.46</v>
      </c>
      <c r="AO52">
        <v>0</v>
      </c>
      <c r="AP52">
        <v>0</v>
      </c>
      <c r="AQ52">
        <v>0</v>
      </c>
      <c r="AR52">
        <v>0</v>
      </c>
      <c r="AS52">
        <v>0</v>
      </c>
      <c r="AU52">
        <v>214.46</v>
      </c>
      <c r="AV52">
        <v>2146.46</v>
      </c>
      <c r="AX52">
        <v>2146.46</v>
      </c>
      <c r="AY52">
        <v>161</v>
      </c>
      <c r="AZ52">
        <v>161</v>
      </c>
      <c r="BA52">
        <v>53.666666666666664</v>
      </c>
      <c r="BB52">
        <v>375.66666666666669</v>
      </c>
      <c r="BC52">
        <v>386.40000000000003</v>
      </c>
      <c r="BD52">
        <v>28.98</v>
      </c>
      <c r="BE52">
        <v>112.056</v>
      </c>
      <c r="BF52">
        <v>154.56</v>
      </c>
      <c r="BG52">
        <v>681.99600000000009</v>
      </c>
      <c r="BH52">
        <v>2828.4560000000001</v>
      </c>
      <c r="BI52">
        <v>3204.1226666666666</v>
      </c>
    </row>
    <row r="53" spans="1:61" hidden="1" x14ac:dyDescent="0.25">
      <c r="A53" t="s">
        <v>540</v>
      </c>
      <c r="B53" s="11">
        <v>45597</v>
      </c>
      <c r="C53" t="s">
        <v>5</v>
      </c>
      <c r="D53" t="s">
        <v>579</v>
      </c>
      <c r="F53" t="s">
        <v>283</v>
      </c>
      <c r="G53" t="s">
        <v>142</v>
      </c>
      <c r="H53" t="s">
        <v>81</v>
      </c>
      <c r="I53" s="10">
        <v>44769</v>
      </c>
      <c r="K53" t="s">
        <v>419</v>
      </c>
      <c r="L53" t="s">
        <v>285</v>
      </c>
      <c r="M53" t="s">
        <v>541</v>
      </c>
      <c r="N53">
        <v>1893.14</v>
      </c>
      <c r="O53">
        <v>1893.14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189.31</v>
      </c>
      <c r="AC53">
        <v>0</v>
      </c>
      <c r="AD53">
        <v>2082.4500000000003</v>
      </c>
      <c r="AE53">
        <v>0</v>
      </c>
      <c r="AF53">
        <v>0</v>
      </c>
      <c r="AG53">
        <v>225</v>
      </c>
      <c r="AH53">
        <v>0</v>
      </c>
      <c r="AL53">
        <v>0</v>
      </c>
      <c r="AN53">
        <v>231.94</v>
      </c>
      <c r="AO53">
        <v>0</v>
      </c>
      <c r="AP53">
        <v>0</v>
      </c>
      <c r="AQ53">
        <v>0</v>
      </c>
      <c r="AR53">
        <v>0</v>
      </c>
      <c r="AS53">
        <v>0</v>
      </c>
      <c r="AU53">
        <v>456.94</v>
      </c>
      <c r="AV53">
        <v>2539.3900000000003</v>
      </c>
      <c r="AX53">
        <v>2539.3900000000003</v>
      </c>
      <c r="AY53">
        <v>173.53750000000002</v>
      </c>
      <c r="AZ53">
        <v>173.53750000000002</v>
      </c>
      <c r="BA53">
        <v>57.845833333333339</v>
      </c>
      <c r="BB53">
        <v>404.92083333333341</v>
      </c>
      <c r="BC53">
        <v>416.49000000000007</v>
      </c>
      <c r="BD53">
        <v>31.236750000000004</v>
      </c>
      <c r="BE53">
        <v>120.78210000000001</v>
      </c>
      <c r="BF53">
        <v>166.59600000000003</v>
      </c>
      <c r="BG53">
        <v>735.10485000000017</v>
      </c>
      <c r="BH53">
        <v>3274.4948500000005</v>
      </c>
      <c r="BI53">
        <v>3679.4156833333341</v>
      </c>
    </row>
    <row r="54" spans="1:61" hidden="1" x14ac:dyDescent="0.25">
      <c r="A54" t="s">
        <v>304</v>
      </c>
      <c r="B54" s="11">
        <v>45597</v>
      </c>
      <c r="C54" t="s">
        <v>5</v>
      </c>
      <c r="D54" t="s">
        <v>582</v>
      </c>
      <c r="F54" t="s">
        <v>292</v>
      </c>
      <c r="G54" t="s">
        <v>444</v>
      </c>
      <c r="H54" t="s">
        <v>81</v>
      </c>
      <c r="I54" s="10">
        <v>44783</v>
      </c>
      <c r="K54" t="s">
        <v>419</v>
      </c>
      <c r="L54" t="s">
        <v>211</v>
      </c>
      <c r="M54" t="s">
        <v>617</v>
      </c>
      <c r="N54">
        <v>2800</v>
      </c>
      <c r="O54">
        <v>2800</v>
      </c>
      <c r="P54">
        <v>0</v>
      </c>
      <c r="Q54">
        <v>0</v>
      </c>
      <c r="R54">
        <v>0</v>
      </c>
      <c r="S54">
        <v>0</v>
      </c>
      <c r="T54">
        <v>1120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3920</v>
      </c>
      <c r="AE54">
        <v>200</v>
      </c>
      <c r="AF54">
        <v>190</v>
      </c>
      <c r="AH54">
        <v>0</v>
      </c>
      <c r="AL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U54">
        <v>390</v>
      </c>
      <c r="AV54">
        <v>4310</v>
      </c>
      <c r="AX54">
        <v>4310</v>
      </c>
      <c r="AY54">
        <v>326.66666666666669</v>
      </c>
      <c r="AZ54">
        <v>326.66666666666669</v>
      </c>
      <c r="BA54">
        <v>108.8888888888889</v>
      </c>
      <c r="BB54">
        <v>762.22222222222229</v>
      </c>
      <c r="BC54">
        <v>784</v>
      </c>
      <c r="BD54">
        <v>58.8</v>
      </c>
      <c r="BE54">
        <v>227.35999999999999</v>
      </c>
      <c r="BF54">
        <v>313.60000000000002</v>
      </c>
      <c r="BG54">
        <v>1383.7599999999998</v>
      </c>
      <c r="BH54">
        <v>5693.76</v>
      </c>
      <c r="BI54">
        <v>6455.9822222222228</v>
      </c>
    </row>
    <row r="55" spans="1:61" hidden="1" x14ac:dyDescent="0.25">
      <c r="A55" t="s">
        <v>618</v>
      </c>
      <c r="B55" s="11">
        <v>45597</v>
      </c>
      <c r="C55" t="s">
        <v>5</v>
      </c>
      <c r="D55" t="s">
        <v>564</v>
      </c>
      <c r="F55" t="s">
        <v>95</v>
      </c>
      <c r="G55" t="s">
        <v>561</v>
      </c>
      <c r="H55" t="s">
        <v>567</v>
      </c>
      <c r="I55" s="10">
        <v>44791</v>
      </c>
      <c r="J55" s="10">
        <v>45600</v>
      </c>
      <c r="K55" t="s">
        <v>419</v>
      </c>
      <c r="L55" t="s">
        <v>174</v>
      </c>
      <c r="M55" t="s">
        <v>92</v>
      </c>
      <c r="N55">
        <v>2462.25</v>
      </c>
      <c r="O55">
        <v>328.3</v>
      </c>
      <c r="P55">
        <v>0</v>
      </c>
      <c r="Q55">
        <v>65.66</v>
      </c>
      <c r="R55">
        <v>0</v>
      </c>
      <c r="S55">
        <v>0</v>
      </c>
      <c r="T55">
        <v>0</v>
      </c>
      <c r="U55">
        <v>0</v>
      </c>
      <c r="V55">
        <v>0</v>
      </c>
      <c r="W55">
        <v>449.92</v>
      </c>
      <c r="X55">
        <v>449.92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1293.8000000000002</v>
      </c>
      <c r="AE55">
        <v>84</v>
      </c>
      <c r="AF55">
        <v>190</v>
      </c>
      <c r="AH55">
        <v>0</v>
      </c>
      <c r="AL55">
        <v>0</v>
      </c>
      <c r="AO55">
        <v>0</v>
      </c>
      <c r="AP55">
        <v>0</v>
      </c>
      <c r="AQ55">
        <v>0</v>
      </c>
      <c r="AR55">
        <v>8.27</v>
      </c>
      <c r="AS55">
        <v>0</v>
      </c>
      <c r="AU55">
        <v>282.27</v>
      </c>
      <c r="AV55">
        <v>1576.0700000000002</v>
      </c>
      <c r="AX55">
        <v>1576.0700000000002</v>
      </c>
      <c r="AY55">
        <v>107.81666666666668</v>
      </c>
      <c r="AZ55">
        <v>107.81666666666668</v>
      </c>
      <c r="BA55">
        <v>35.93888888888889</v>
      </c>
      <c r="BB55">
        <v>251.57222222222225</v>
      </c>
      <c r="BC55">
        <v>258.76000000000005</v>
      </c>
      <c r="BD55">
        <v>19.407000000000004</v>
      </c>
      <c r="BE55">
        <v>75.040400000000005</v>
      </c>
      <c r="BF55">
        <v>103.50400000000002</v>
      </c>
      <c r="BG55">
        <v>456.71140000000003</v>
      </c>
      <c r="BH55">
        <v>2032.7814000000003</v>
      </c>
      <c r="BI55">
        <v>2284.3536222222224</v>
      </c>
    </row>
    <row r="56" spans="1:61" hidden="1" x14ac:dyDescent="0.25">
      <c r="A56" t="s">
        <v>619</v>
      </c>
      <c r="B56" s="11">
        <v>45597</v>
      </c>
      <c r="C56" t="s">
        <v>5</v>
      </c>
      <c r="D56" t="s">
        <v>588</v>
      </c>
      <c r="F56" t="s">
        <v>312</v>
      </c>
      <c r="G56" t="s">
        <v>313</v>
      </c>
      <c r="H56" t="s">
        <v>317</v>
      </c>
      <c r="I56" s="10">
        <v>44805</v>
      </c>
      <c r="K56" t="s">
        <v>419</v>
      </c>
      <c r="L56" t="s">
        <v>318</v>
      </c>
      <c r="M56" t="s">
        <v>319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3559.41</v>
      </c>
      <c r="Z56">
        <v>1083.3</v>
      </c>
      <c r="AA56">
        <v>0</v>
      </c>
      <c r="AB56">
        <v>0</v>
      </c>
      <c r="AC56">
        <v>0</v>
      </c>
      <c r="AD56">
        <v>4642.71</v>
      </c>
      <c r="AE56">
        <v>200</v>
      </c>
      <c r="AF56">
        <v>190</v>
      </c>
      <c r="AH56">
        <v>0</v>
      </c>
      <c r="AL56">
        <v>0</v>
      </c>
      <c r="AN56">
        <v>515.86</v>
      </c>
      <c r="AO56">
        <v>0</v>
      </c>
      <c r="AP56">
        <v>0</v>
      </c>
      <c r="AQ56">
        <v>0</v>
      </c>
      <c r="AR56">
        <v>0</v>
      </c>
      <c r="AS56">
        <v>0</v>
      </c>
      <c r="AU56">
        <v>905.86</v>
      </c>
      <c r="AV56">
        <v>5548.57</v>
      </c>
      <c r="AX56">
        <v>5548.57</v>
      </c>
      <c r="AY56">
        <v>386.89249999999998</v>
      </c>
      <c r="AZ56">
        <v>386.89249999999998</v>
      </c>
      <c r="BA56">
        <v>128.96416666666667</v>
      </c>
      <c r="BB56">
        <v>902.74916666666661</v>
      </c>
      <c r="BC56">
        <v>928.54200000000003</v>
      </c>
      <c r="BD56">
        <v>69.640649999999994</v>
      </c>
      <c r="BE56">
        <v>269.27717999999999</v>
      </c>
      <c r="BF56">
        <v>371.41680000000002</v>
      </c>
      <c r="BG56">
        <v>1638.87663</v>
      </c>
      <c r="BH56">
        <v>7187.4466299999995</v>
      </c>
      <c r="BI56">
        <v>8090.195796666666</v>
      </c>
    </row>
    <row r="57" spans="1:61" hidden="1" x14ac:dyDescent="0.25">
      <c r="A57" t="s">
        <v>590</v>
      </c>
      <c r="B57" s="11">
        <v>45597</v>
      </c>
      <c r="C57" t="s">
        <v>5</v>
      </c>
      <c r="D57" t="s">
        <v>588</v>
      </c>
      <c r="F57" t="s">
        <v>312</v>
      </c>
      <c r="G57" t="s">
        <v>313</v>
      </c>
      <c r="H57" t="s">
        <v>329</v>
      </c>
      <c r="I57" s="10">
        <v>44868</v>
      </c>
      <c r="K57" t="s">
        <v>419</v>
      </c>
      <c r="L57" t="s">
        <v>330</v>
      </c>
      <c r="M57" t="s">
        <v>591</v>
      </c>
      <c r="N57">
        <v>2100</v>
      </c>
      <c r="O57">
        <v>2100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2158.79</v>
      </c>
      <c r="Z57">
        <v>657.02</v>
      </c>
      <c r="AA57">
        <v>0</v>
      </c>
      <c r="AB57">
        <v>0</v>
      </c>
      <c r="AC57">
        <v>0</v>
      </c>
      <c r="AD57">
        <v>4915.8099999999995</v>
      </c>
      <c r="AE57">
        <v>200</v>
      </c>
      <c r="AF57">
        <v>190</v>
      </c>
      <c r="AH57">
        <v>0</v>
      </c>
      <c r="AL57">
        <v>0</v>
      </c>
      <c r="AN57">
        <v>312.87</v>
      </c>
      <c r="AO57">
        <v>0</v>
      </c>
      <c r="AP57">
        <v>0</v>
      </c>
      <c r="AQ57">
        <v>0</v>
      </c>
      <c r="AR57">
        <v>0</v>
      </c>
      <c r="AS57">
        <v>0</v>
      </c>
      <c r="AU57">
        <v>702.87</v>
      </c>
      <c r="AV57">
        <v>5618.6799999999994</v>
      </c>
      <c r="AX57">
        <v>5618.6799999999994</v>
      </c>
      <c r="AY57">
        <v>409.65083333333331</v>
      </c>
      <c r="AZ57">
        <v>409.65083333333331</v>
      </c>
      <c r="BA57">
        <v>136.55027777777778</v>
      </c>
      <c r="BB57">
        <v>955.85194444444437</v>
      </c>
      <c r="BC57">
        <v>983.16199999999992</v>
      </c>
      <c r="BD57">
        <v>73.737149999999986</v>
      </c>
      <c r="BE57">
        <v>285.11697999999996</v>
      </c>
      <c r="BF57">
        <v>393.26479999999998</v>
      </c>
      <c r="BG57">
        <v>1735.2809299999999</v>
      </c>
      <c r="BH57">
        <v>7353.9609299999993</v>
      </c>
      <c r="BI57">
        <v>8309.8128744444439</v>
      </c>
    </row>
    <row r="58" spans="1:61" hidden="1" x14ac:dyDescent="0.25">
      <c r="A58" t="s">
        <v>168</v>
      </c>
      <c r="B58" s="11">
        <v>45597</v>
      </c>
      <c r="C58" t="s">
        <v>5</v>
      </c>
      <c r="D58" t="s">
        <v>564</v>
      </c>
      <c r="F58" t="s">
        <v>95</v>
      </c>
      <c r="G58" t="s">
        <v>561</v>
      </c>
      <c r="H58" t="s">
        <v>567</v>
      </c>
      <c r="I58" s="10">
        <v>44876</v>
      </c>
      <c r="K58" t="s">
        <v>419</v>
      </c>
      <c r="L58" t="s">
        <v>174</v>
      </c>
      <c r="M58" t="s">
        <v>92</v>
      </c>
      <c r="N58">
        <v>2462.25</v>
      </c>
      <c r="O58">
        <v>2462.25</v>
      </c>
      <c r="P58">
        <v>0</v>
      </c>
      <c r="Q58">
        <v>492.45</v>
      </c>
      <c r="R58">
        <v>0</v>
      </c>
      <c r="S58">
        <v>0</v>
      </c>
      <c r="T58">
        <v>0</v>
      </c>
      <c r="U58">
        <v>0</v>
      </c>
      <c r="V58">
        <v>14.01</v>
      </c>
      <c r="W58">
        <v>443.21</v>
      </c>
      <c r="X58">
        <v>134.88999999999999</v>
      </c>
      <c r="Y58">
        <v>0</v>
      </c>
      <c r="Z58">
        <v>0</v>
      </c>
      <c r="AA58">
        <v>0</v>
      </c>
      <c r="AB58">
        <v>0</v>
      </c>
      <c r="AC58">
        <v>0</v>
      </c>
      <c r="AD58">
        <v>3546.81</v>
      </c>
      <c r="AE58">
        <v>500</v>
      </c>
      <c r="AF58">
        <v>190</v>
      </c>
      <c r="AH58">
        <v>0</v>
      </c>
      <c r="AL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U58">
        <v>690</v>
      </c>
      <c r="AV58">
        <v>4236.8099999999995</v>
      </c>
      <c r="AX58">
        <v>4236.8099999999995</v>
      </c>
      <c r="AY58">
        <v>295.5675</v>
      </c>
      <c r="AZ58">
        <v>295.5675</v>
      </c>
      <c r="BA58">
        <v>98.522499999999994</v>
      </c>
      <c r="BB58">
        <v>689.65750000000003</v>
      </c>
      <c r="BC58">
        <v>709.36200000000008</v>
      </c>
      <c r="BD58">
        <v>53.202149999999996</v>
      </c>
      <c r="BE58">
        <v>205.71497999999997</v>
      </c>
      <c r="BF58">
        <v>283.7448</v>
      </c>
      <c r="BG58">
        <v>1252.0239300000001</v>
      </c>
      <c r="BH58">
        <v>5488.8339299999998</v>
      </c>
      <c r="BI58">
        <v>6178.49143</v>
      </c>
    </row>
    <row r="59" spans="1:61" hidden="1" x14ac:dyDescent="0.25">
      <c r="A59" t="s">
        <v>620</v>
      </c>
      <c r="B59" s="11">
        <v>45597</v>
      </c>
      <c r="C59" t="s">
        <v>5</v>
      </c>
      <c r="D59" t="s">
        <v>577</v>
      </c>
      <c r="F59" t="s">
        <v>273</v>
      </c>
      <c r="G59" t="s">
        <v>178</v>
      </c>
      <c r="H59" t="s">
        <v>81</v>
      </c>
      <c r="I59" s="10">
        <v>44881</v>
      </c>
      <c r="K59" t="s">
        <v>419</v>
      </c>
      <c r="L59" t="s">
        <v>276</v>
      </c>
      <c r="M59" t="s">
        <v>621</v>
      </c>
      <c r="N59">
        <v>1856.8</v>
      </c>
      <c r="O59">
        <v>1856.8000000000002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196.23</v>
      </c>
      <c r="X59">
        <v>59.72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2112.75</v>
      </c>
      <c r="AE59">
        <v>200</v>
      </c>
      <c r="AF59">
        <v>0</v>
      </c>
      <c r="AG59">
        <v>225</v>
      </c>
      <c r="AH59">
        <v>0</v>
      </c>
      <c r="AL59">
        <v>0</v>
      </c>
      <c r="AN59">
        <v>115.26</v>
      </c>
      <c r="AO59">
        <v>0</v>
      </c>
      <c r="AP59">
        <v>0</v>
      </c>
      <c r="AQ59">
        <v>0</v>
      </c>
      <c r="AR59">
        <v>0</v>
      </c>
      <c r="AS59">
        <v>0</v>
      </c>
      <c r="AU59">
        <v>540.26</v>
      </c>
      <c r="AV59">
        <v>2653.01</v>
      </c>
      <c r="AX59">
        <v>2653.01</v>
      </c>
      <c r="AY59">
        <v>176.0625</v>
      </c>
      <c r="AZ59">
        <v>176.0625</v>
      </c>
      <c r="BA59">
        <v>58.6875</v>
      </c>
      <c r="BB59">
        <v>410.8125</v>
      </c>
      <c r="BC59">
        <v>422.55</v>
      </c>
      <c r="BD59">
        <v>63.3825</v>
      </c>
      <c r="BE59">
        <v>122.53949999999999</v>
      </c>
      <c r="BF59">
        <v>169.02</v>
      </c>
      <c r="BG59">
        <v>777.49199999999996</v>
      </c>
      <c r="BH59">
        <v>3430.5020000000004</v>
      </c>
      <c r="BI59">
        <v>3841.3145000000004</v>
      </c>
    </row>
    <row r="60" spans="1:61" hidden="1" x14ac:dyDescent="0.25">
      <c r="A60" t="s">
        <v>306</v>
      </c>
      <c r="B60" s="11">
        <v>45597</v>
      </c>
      <c r="C60" t="s">
        <v>5</v>
      </c>
      <c r="D60" t="s">
        <v>582</v>
      </c>
      <c r="F60" t="s">
        <v>292</v>
      </c>
      <c r="G60" t="s">
        <v>566</v>
      </c>
      <c r="H60" t="s">
        <v>88</v>
      </c>
      <c r="I60" s="10">
        <v>44942</v>
      </c>
      <c r="K60" t="s">
        <v>419</v>
      </c>
      <c r="L60" t="s">
        <v>101</v>
      </c>
      <c r="M60" t="s">
        <v>559</v>
      </c>
      <c r="N60">
        <v>2221.9899999999998</v>
      </c>
      <c r="O60">
        <v>2221.9899999999998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2221.9899999999998</v>
      </c>
      <c r="AE60">
        <v>200</v>
      </c>
      <c r="AF60">
        <v>190</v>
      </c>
      <c r="AH60">
        <v>0</v>
      </c>
      <c r="AL60">
        <v>0</v>
      </c>
      <c r="AN60">
        <v>425.45</v>
      </c>
      <c r="AO60">
        <v>0</v>
      </c>
      <c r="AP60">
        <v>0</v>
      </c>
      <c r="AQ60">
        <v>0</v>
      </c>
      <c r="AR60">
        <v>0</v>
      </c>
      <c r="AS60">
        <v>0</v>
      </c>
      <c r="AU60">
        <v>815.45</v>
      </c>
      <c r="AV60">
        <v>3037.4399999999996</v>
      </c>
      <c r="AW60">
        <v>200</v>
      </c>
      <c r="AX60">
        <v>3237.4399999999996</v>
      </c>
      <c r="AY60">
        <v>185.16583333333332</v>
      </c>
      <c r="AZ60">
        <v>185.16583333333332</v>
      </c>
      <c r="BA60">
        <v>61.721944444444439</v>
      </c>
      <c r="BB60">
        <v>432.05361111111108</v>
      </c>
      <c r="BC60">
        <v>444.39799999999997</v>
      </c>
      <c r="BD60">
        <v>33.329849999999993</v>
      </c>
      <c r="BE60">
        <v>128.87541999999999</v>
      </c>
      <c r="BF60">
        <v>177.75919999999999</v>
      </c>
      <c r="BG60">
        <v>784.36246999999992</v>
      </c>
      <c r="BH60">
        <v>4021.8024699999996</v>
      </c>
      <c r="BI60">
        <v>4453.8560811111101</v>
      </c>
    </row>
    <row r="61" spans="1:61" hidden="1" x14ac:dyDescent="0.25">
      <c r="A61" t="s">
        <v>553</v>
      </c>
      <c r="B61" s="11">
        <v>45597</v>
      </c>
      <c r="C61" t="s">
        <v>5</v>
      </c>
      <c r="D61" t="s">
        <v>588</v>
      </c>
      <c r="F61" t="s">
        <v>312</v>
      </c>
      <c r="G61" t="s">
        <v>313</v>
      </c>
      <c r="H61" t="s">
        <v>88</v>
      </c>
      <c r="I61" s="10">
        <v>44956</v>
      </c>
      <c r="K61" t="s">
        <v>419</v>
      </c>
      <c r="L61" t="s">
        <v>327</v>
      </c>
      <c r="M61" t="s">
        <v>504</v>
      </c>
      <c r="N61">
        <v>1885</v>
      </c>
      <c r="O61">
        <v>1885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68.55</v>
      </c>
      <c r="X61">
        <v>20.86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1974.4099999999999</v>
      </c>
      <c r="AE61">
        <v>200</v>
      </c>
      <c r="AF61">
        <v>190</v>
      </c>
      <c r="AH61">
        <v>0</v>
      </c>
      <c r="AL61">
        <v>215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U61">
        <v>605</v>
      </c>
      <c r="AV61">
        <v>2579.41</v>
      </c>
      <c r="AX61">
        <v>2579.41</v>
      </c>
      <c r="AY61">
        <v>164.53416666666666</v>
      </c>
      <c r="AZ61">
        <v>164.53416666666666</v>
      </c>
      <c r="BA61">
        <v>54.844722222222224</v>
      </c>
      <c r="BB61">
        <v>383.91305555555556</v>
      </c>
      <c r="BC61">
        <v>394.88200000000001</v>
      </c>
      <c r="BD61">
        <v>29.616149999999998</v>
      </c>
      <c r="BE61">
        <v>114.51577999999998</v>
      </c>
      <c r="BF61">
        <v>157.9528</v>
      </c>
      <c r="BG61">
        <v>696.96672999999998</v>
      </c>
      <c r="BH61">
        <v>3276.37673</v>
      </c>
      <c r="BI61">
        <v>3660.2897855555557</v>
      </c>
    </row>
    <row r="62" spans="1:61" hidden="1" x14ac:dyDescent="0.25">
      <c r="A62" t="s">
        <v>146</v>
      </c>
      <c r="B62" s="11">
        <v>45597</v>
      </c>
      <c r="C62" t="s">
        <v>5</v>
      </c>
      <c r="D62" t="s">
        <v>579</v>
      </c>
      <c r="F62" t="s">
        <v>283</v>
      </c>
      <c r="G62" t="s">
        <v>142</v>
      </c>
      <c r="H62" t="s">
        <v>88</v>
      </c>
      <c r="I62" s="10">
        <v>44964</v>
      </c>
      <c r="K62" t="s">
        <v>419</v>
      </c>
      <c r="L62" t="s">
        <v>147</v>
      </c>
      <c r="M62" t="s">
        <v>505</v>
      </c>
      <c r="N62">
        <v>1960.78</v>
      </c>
      <c r="O62">
        <v>1960.78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1960.78</v>
      </c>
      <c r="AE62">
        <v>0</v>
      </c>
      <c r="AF62">
        <v>0</v>
      </c>
      <c r="AG62">
        <v>225</v>
      </c>
      <c r="AH62">
        <v>0</v>
      </c>
      <c r="AL62">
        <v>0</v>
      </c>
      <c r="AN62">
        <v>231.94</v>
      </c>
      <c r="AO62">
        <v>0</v>
      </c>
      <c r="AP62">
        <v>0</v>
      </c>
      <c r="AQ62">
        <v>0</v>
      </c>
      <c r="AR62">
        <v>0</v>
      </c>
      <c r="AS62">
        <v>0</v>
      </c>
      <c r="AU62">
        <v>456.94</v>
      </c>
      <c r="AV62">
        <v>2417.7199999999998</v>
      </c>
      <c r="AX62">
        <v>2417.7199999999998</v>
      </c>
      <c r="AY62">
        <v>163.39833333333334</v>
      </c>
      <c r="AZ62">
        <v>163.39833333333334</v>
      </c>
      <c r="BA62">
        <v>54.466111111111111</v>
      </c>
      <c r="BB62">
        <v>381.26277777777779</v>
      </c>
      <c r="BC62">
        <v>392.15600000000001</v>
      </c>
      <c r="BD62">
        <v>29.4117</v>
      </c>
      <c r="BE62">
        <v>113.72523999999999</v>
      </c>
      <c r="BF62">
        <v>156.86240000000001</v>
      </c>
      <c r="BG62">
        <v>692.15534000000002</v>
      </c>
      <c r="BH62">
        <v>3109.8753399999996</v>
      </c>
      <c r="BI62">
        <v>3491.1381177777776</v>
      </c>
    </row>
    <row r="63" spans="1:61" hidden="1" x14ac:dyDescent="0.25">
      <c r="A63" t="s">
        <v>555</v>
      </c>
      <c r="B63" s="11">
        <v>45597</v>
      </c>
      <c r="C63" t="s">
        <v>5</v>
      </c>
      <c r="D63" t="s">
        <v>582</v>
      </c>
      <c r="F63" t="s">
        <v>292</v>
      </c>
      <c r="G63" t="s">
        <v>203</v>
      </c>
      <c r="H63" t="s">
        <v>207</v>
      </c>
      <c r="I63" s="10">
        <v>44980</v>
      </c>
      <c r="K63" t="s">
        <v>422</v>
      </c>
      <c r="L63" t="s">
        <v>208</v>
      </c>
      <c r="M63" t="s">
        <v>584</v>
      </c>
      <c r="N63">
        <v>2264.17</v>
      </c>
      <c r="O63">
        <v>2264.17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2264.17</v>
      </c>
      <c r="AE63">
        <v>200</v>
      </c>
      <c r="AF63">
        <v>190</v>
      </c>
      <c r="AH63">
        <v>0</v>
      </c>
      <c r="AL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U63">
        <v>390</v>
      </c>
      <c r="AV63">
        <v>2654.17</v>
      </c>
      <c r="AX63">
        <v>2654.17</v>
      </c>
      <c r="AY63">
        <v>188.68083333333334</v>
      </c>
      <c r="AZ63">
        <v>188.68083333333334</v>
      </c>
      <c r="BA63">
        <v>62.893611111111113</v>
      </c>
      <c r="BB63">
        <v>440.25527777777779</v>
      </c>
      <c r="BC63">
        <v>452.83400000000006</v>
      </c>
      <c r="BD63">
        <v>33.96255</v>
      </c>
      <c r="BE63">
        <v>131.32185999999999</v>
      </c>
      <c r="BF63">
        <v>181.1336</v>
      </c>
      <c r="BG63">
        <v>799.25201000000004</v>
      </c>
      <c r="BH63">
        <v>3453.4220100000002</v>
      </c>
      <c r="BI63">
        <v>3893.677287777778</v>
      </c>
    </row>
    <row r="64" spans="1:61" hidden="1" x14ac:dyDescent="0.25">
      <c r="A64" t="s">
        <v>456</v>
      </c>
      <c r="B64" s="11">
        <v>45597</v>
      </c>
      <c r="C64" t="s">
        <v>8</v>
      </c>
      <c r="D64" t="s">
        <v>597</v>
      </c>
      <c r="E64" t="s">
        <v>424</v>
      </c>
      <c r="F64" t="s">
        <v>424</v>
      </c>
      <c r="G64" t="s">
        <v>203</v>
      </c>
      <c r="H64" t="s">
        <v>240</v>
      </c>
      <c r="I64" s="10">
        <v>44991</v>
      </c>
      <c r="K64" t="s">
        <v>422</v>
      </c>
      <c r="L64" t="s">
        <v>241</v>
      </c>
      <c r="M64" t="s">
        <v>457</v>
      </c>
      <c r="N64">
        <v>8000</v>
      </c>
      <c r="O64">
        <v>8000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8000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8000</v>
      </c>
      <c r="AV64">
        <v>8000</v>
      </c>
      <c r="AX64">
        <v>8000</v>
      </c>
      <c r="AY64">
        <v>666.66666666666663</v>
      </c>
      <c r="AZ64">
        <v>0</v>
      </c>
      <c r="BA64">
        <v>0</v>
      </c>
      <c r="BB64">
        <v>666.66666666666663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8000</v>
      </c>
      <c r="BI64">
        <v>8666.6666666666661</v>
      </c>
    </row>
    <row r="65" spans="1:61" hidden="1" x14ac:dyDescent="0.25">
      <c r="A65" t="s">
        <v>334</v>
      </c>
      <c r="B65" s="11">
        <v>45597</v>
      </c>
      <c r="C65" t="s">
        <v>5</v>
      </c>
      <c r="D65" t="s">
        <v>588</v>
      </c>
      <c r="F65" t="s">
        <v>312</v>
      </c>
      <c r="G65" t="s">
        <v>313</v>
      </c>
      <c r="H65" t="s">
        <v>329</v>
      </c>
      <c r="I65" s="10">
        <v>45021</v>
      </c>
      <c r="K65" t="s">
        <v>419</v>
      </c>
      <c r="L65" t="s">
        <v>330</v>
      </c>
      <c r="M65" t="s">
        <v>504</v>
      </c>
      <c r="N65">
        <v>1885</v>
      </c>
      <c r="O65">
        <v>1885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68.55</v>
      </c>
      <c r="X65">
        <v>20.86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1974.4099999999999</v>
      </c>
      <c r="AE65">
        <v>200</v>
      </c>
      <c r="AF65">
        <v>190</v>
      </c>
      <c r="AH65">
        <v>0</v>
      </c>
      <c r="AL65">
        <v>215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U65">
        <v>605</v>
      </c>
      <c r="AV65">
        <v>2579.41</v>
      </c>
      <c r="AX65">
        <v>2579.41</v>
      </c>
      <c r="AY65">
        <v>164.53416666666666</v>
      </c>
      <c r="AZ65">
        <v>164.53416666666666</v>
      </c>
      <c r="BA65">
        <v>54.844722222222224</v>
      </c>
      <c r="BB65">
        <v>383.91305555555556</v>
      </c>
      <c r="BC65">
        <v>394.88200000000001</v>
      </c>
      <c r="BD65">
        <v>29.616149999999998</v>
      </c>
      <c r="BE65">
        <v>114.51577999999998</v>
      </c>
      <c r="BF65">
        <v>157.9528</v>
      </c>
      <c r="BG65">
        <v>696.96672999999998</v>
      </c>
      <c r="BH65">
        <v>3276.37673</v>
      </c>
      <c r="BI65">
        <v>3660.2897855555557</v>
      </c>
    </row>
    <row r="66" spans="1:61" hidden="1" x14ac:dyDescent="0.25">
      <c r="A66" t="s">
        <v>153</v>
      </c>
      <c r="B66" s="11">
        <v>45597</v>
      </c>
      <c r="C66" t="s">
        <v>5</v>
      </c>
      <c r="D66" t="s">
        <v>564</v>
      </c>
      <c r="F66" t="s">
        <v>95</v>
      </c>
      <c r="G66" t="s">
        <v>561</v>
      </c>
      <c r="H66" t="s">
        <v>565</v>
      </c>
      <c r="I66" s="10">
        <v>45026</v>
      </c>
      <c r="K66" t="s">
        <v>419</v>
      </c>
      <c r="L66" t="s">
        <v>517</v>
      </c>
      <c r="M66" t="s">
        <v>92</v>
      </c>
      <c r="N66">
        <v>2462.25</v>
      </c>
      <c r="O66">
        <v>2462.25</v>
      </c>
      <c r="P66">
        <v>0</v>
      </c>
      <c r="Q66">
        <v>492.45</v>
      </c>
      <c r="R66">
        <v>0</v>
      </c>
      <c r="S66">
        <v>0</v>
      </c>
      <c r="T66">
        <v>0</v>
      </c>
      <c r="U66">
        <v>0</v>
      </c>
      <c r="V66">
        <v>17.52</v>
      </c>
      <c r="W66">
        <v>671.52</v>
      </c>
      <c r="X66">
        <v>204.38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3848.12</v>
      </c>
      <c r="AE66">
        <v>200</v>
      </c>
      <c r="AF66">
        <v>190</v>
      </c>
      <c r="AH66">
        <v>0</v>
      </c>
      <c r="AL66">
        <v>0</v>
      </c>
      <c r="AM66">
        <v>990</v>
      </c>
      <c r="AO66">
        <v>0</v>
      </c>
      <c r="AP66">
        <v>0</v>
      </c>
      <c r="AQ66">
        <v>0</v>
      </c>
      <c r="AR66">
        <v>0</v>
      </c>
      <c r="AS66">
        <v>0</v>
      </c>
      <c r="AU66">
        <v>1380</v>
      </c>
      <c r="AV66">
        <v>5228.12</v>
      </c>
      <c r="AX66">
        <v>5228.12</v>
      </c>
      <c r="AY66">
        <v>320.67666666666668</v>
      </c>
      <c r="AZ66">
        <v>320.67666666666668</v>
      </c>
      <c r="BA66">
        <v>106.89222222222223</v>
      </c>
      <c r="BB66">
        <v>748.2455555555556</v>
      </c>
      <c r="BC66">
        <v>769.62400000000002</v>
      </c>
      <c r="BD66">
        <v>57.721799999999995</v>
      </c>
      <c r="BE66">
        <v>223.19095999999999</v>
      </c>
      <c r="BF66">
        <v>307.84960000000001</v>
      </c>
      <c r="BG66">
        <v>1358.38636</v>
      </c>
      <c r="BH66">
        <v>6586.5063599999994</v>
      </c>
      <c r="BI66">
        <v>7334.7519155555547</v>
      </c>
    </row>
    <row r="67" spans="1:61" hidden="1" x14ac:dyDescent="0.25">
      <c r="A67" t="s">
        <v>86</v>
      </c>
      <c r="B67" s="11">
        <v>45597</v>
      </c>
      <c r="C67" t="s">
        <v>5</v>
      </c>
      <c r="D67" t="s">
        <v>560</v>
      </c>
      <c r="F67" t="s">
        <v>80</v>
      </c>
      <c r="G67" t="s">
        <v>83</v>
      </c>
      <c r="H67" t="s">
        <v>88</v>
      </c>
      <c r="I67" s="10">
        <v>45027</v>
      </c>
      <c r="K67" t="s">
        <v>419</v>
      </c>
      <c r="L67" t="s">
        <v>89</v>
      </c>
      <c r="M67" t="s">
        <v>563</v>
      </c>
      <c r="N67">
        <v>2883.78</v>
      </c>
      <c r="O67">
        <v>2883.78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356.54</v>
      </c>
      <c r="X67">
        <v>108.51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3348.8300000000004</v>
      </c>
      <c r="AE67">
        <v>150</v>
      </c>
      <c r="AF67">
        <v>190</v>
      </c>
      <c r="AH67">
        <v>0</v>
      </c>
      <c r="AL67">
        <v>0</v>
      </c>
      <c r="AN67">
        <v>48.15</v>
      </c>
      <c r="AO67">
        <v>0</v>
      </c>
      <c r="AP67">
        <v>0</v>
      </c>
      <c r="AQ67">
        <v>0</v>
      </c>
      <c r="AR67">
        <v>0</v>
      </c>
      <c r="AS67">
        <v>0</v>
      </c>
      <c r="AU67">
        <v>388.15</v>
      </c>
      <c r="AV67">
        <v>3736.9800000000005</v>
      </c>
      <c r="AX67">
        <v>3736.9800000000005</v>
      </c>
      <c r="AY67">
        <v>279.06916666666672</v>
      </c>
      <c r="AZ67">
        <v>279.06916666666672</v>
      </c>
      <c r="BA67">
        <v>93.023055555555572</v>
      </c>
      <c r="BB67">
        <v>651.16138888888895</v>
      </c>
      <c r="BC67">
        <v>669.76600000000008</v>
      </c>
      <c r="BD67">
        <v>197.44366797000004</v>
      </c>
      <c r="BE67">
        <v>194.23214000000002</v>
      </c>
      <c r="BF67">
        <v>267.90640000000002</v>
      </c>
      <c r="BG67">
        <v>1329.3482079700002</v>
      </c>
      <c r="BH67">
        <v>5066.3282079700002</v>
      </c>
      <c r="BI67">
        <v>5717.4895968588899</v>
      </c>
    </row>
    <row r="68" spans="1:61" hidden="1" x14ac:dyDescent="0.25">
      <c r="A68" t="s">
        <v>463</v>
      </c>
      <c r="B68" s="11">
        <v>45597</v>
      </c>
      <c r="C68" t="s">
        <v>5</v>
      </c>
      <c r="D68" t="s">
        <v>594</v>
      </c>
      <c r="F68" t="s">
        <v>356</v>
      </c>
      <c r="G68" t="s">
        <v>464</v>
      </c>
      <c r="H68" t="s">
        <v>195</v>
      </c>
      <c r="I68" s="10">
        <v>45040</v>
      </c>
      <c r="K68" t="s">
        <v>419</v>
      </c>
      <c r="L68" t="s">
        <v>465</v>
      </c>
      <c r="M68" t="s">
        <v>432</v>
      </c>
      <c r="N68">
        <v>2411.84</v>
      </c>
      <c r="O68">
        <v>2411.84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2411.84</v>
      </c>
      <c r="AE68">
        <v>400</v>
      </c>
      <c r="AF68">
        <v>190</v>
      </c>
      <c r="AH68">
        <v>0</v>
      </c>
      <c r="AL68">
        <v>2131.58</v>
      </c>
      <c r="AO68">
        <v>800</v>
      </c>
      <c r="AP68">
        <v>0</v>
      </c>
      <c r="AQ68">
        <v>0</v>
      </c>
      <c r="AR68">
        <v>0</v>
      </c>
      <c r="AS68">
        <v>0</v>
      </c>
      <c r="AU68">
        <v>3521.58</v>
      </c>
      <c r="AV68">
        <v>5933.42</v>
      </c>
      <c r="AX68">
        <v>5933.42</v>
      </c>
      <c r="AY68">
        <v>200.98666666666668</v>
      </c>
      <c r="AZ68">
        <v>200.98666666666668</v>
      </c>
      <c r="BA68">
        <v>66.995555555555555</v>
      </c>
      <c r="BB68">
        <v>468.9688888888889</v>
      </c>
      <c r="BC68">
        <v>482.36800000000005</v>
      </c>
      <c r="BD68">
        <v>36.177599999999998</v>
      </c>
      <c r="BE68">
        <v>139.88672</v>
      </c>
      <c r="BF68">
        <v>192.94720000000001</v>
      </c>
      <c r="BG68">
        <v>851.37951999999996</v>
      </c>
      <c r="BH68">
        <v>6784.7995200000005</v>
      </c>
      <c r="BI68">
        <v>7253.7684088888891</v>
      </c>
    </row>
    <row r="69" spans="1:61" hidden="1" x14ac:dyDescent="0.25">
      <c r="A69" t="s">
        <v>144</v>
      </c>
      <c r="B69" s="11">
        <v>45597</v>
      </c>
      <c r="C69" t="s">
        <v>5</v>
      </c>
      <c r="D69" t="s">
        <v>579</v>
      </c>
      <c r="F69" t="s">
        <v>283</v>
      </c>
      <c r="G69" t="s">
        <v>142</v>
      </c>
      <c r="H69" t="s">
        <v>97</v>
      </c>
      <c r="I69" s="10">
        <v>45103</v>
      </c>
      <c r="K69" t="s">
        <v>419</v>
      </c>
      <c r="L69" t="s">
        <v>535</v>
      </c>
      <c r="M69" t="s">
        <v>508</v>
      </c>
      <c r="N69">
        <v>2538.36</v>
      </c>
      <c r="O69">
        <v>2538.36</v>
      </c>
      <c r="P69">
        <v>0</v>
      </c>
      <c r="Q69">
        <v>507.67</v>
      </c>
      <c r="R69">
        <v>0</v>
      </c>
      <c r="S69">
        <v>0</v>
      </c>
      <c r="T69">
        <v>0</v>
      </c>
      <c r="U69">
        <v>0</v>
      </c>
      <c r="V69">
        <v>5.3</v>
      </c>
      <c r="W69">
        <v>789.2</v>
      </c>
      <c r="X69">
        <v>240.19</v>
      </c>
      <c r="Y69">
        <v>0</v>
      </c>
      <c r="Z69">
        <v>0</v>
      </c>
      <c r="AA69">
        <v>0</v>
      </c>
      <c r="AB69">
        <v>0</v>
      </c>
      <c r="AC69">
        <v>0</v>
      </c>
      <c r="AD69">
        <v>4080.7200000000007</v>
      </c>
      <c r="AE69">
        <v>0</v>
      </c>
      <c r="AF69">
        <v>0</v>
      </c>
      <c r="AG69">
        <v>225</v>
      </c>
      <c r="AH69">
        <v>0</v>
      </c>
      <c r="AI69">
        <v>288.26</v>
      </c>
      <c r="AL69">
        <v>0</v>
      </c>
      <c r="AN69">
        <v>600</v>
      </c>
      <c r="AO69">
        <v>386.9</v>
      </c>
      <c r="AP69">
        <v>0</v>
      </c>
      <c r="AQ69">
        <v>0</v>
      </c>
      <c r="AR69">
        <v>0</v>
      </c>
      <c r="AS69">
        <v>0</v>
      </c>
      <c r="AT69">
        <v>90.75</v>
      </c>
      <c r="AU69">
        <v>1590.9099999999999</v>
      </c>
      <c r="AV69">
        <v>5671.630000000001</v>
      </c>
      <c r="AX69">
        <v>5671.630000000001</v>
      </c>
      <c r="AY69">
        <v>340.06000000000006</v>
      </c>
      <c r="AZ69">
        <v>340.06000000000006</v>
      </c>
      <c r="BA69">
        <v>113.35333333333335</v>
      </c>
      <c r="BB69">
        <v>793.47333333333347</v>
      </c>
      <c r="BC69">
        <v>816.14400000000023</v>
      </c>
      <c r="BD69">
        <v>61.210800000000006</v>
      </c>
      <c r="BE69">
        <v>236.68176000000003</v>
      </c>
      <c r="BF69">
        <v>326.45760000000007</v>
      </c>
      <c r="BG69">
        <v>1440.4941600000002</v>
      </c>
      <c r="BH69">
        <v>7112.1241600000012</v>
      </c>
      <c r="BI69">
        <v>7905.5974933333346</v>
      </c>
    </row>
    <row r="70" spans="1:61" hidden="1" x14ac:dyDescent="0.25">
      <c r="A70" t="s">
        <v>622</v>
      </c>
      <c r="B70" s="11">
        <v>45597</v>
      </c>
      <c r="C70" t="s">
        <v>623</v>
      </c>
      <c r="D70" t="s">
        <v>564</v>
      </c>
      <c r="F70" t="s">
        <v>95</v>
      </c>
      <c r="G70" t="s">
        <v>109</v>
      </c>
      <c r="H70" t="s">
        <v>96</v>
      </c>
      <c r="I70" s="10">
        <v>45105</v>
      </c>
      <c r="K70" t="s">
        <v>419</v>
      </c>
      <c r="L70" t="s">
        <v>111</v>
      </c>
      <c r="M70" t="s">
        <v>623</v>
      </c>
      <c r="N70">
        <v>664</v>
      </c>
      <c r="O70">
        <v>1700</v>
      </c>
      <c r="AD70">
        <v>1700</v>
      </c>
      <c r="AE70">
        <v>200</v>
      </c>
      <c r="AU70">
        <v>200</v>
      </c>
      <c r="AV70">
        <v>1900</v>
      </c>
      <c r="AX70">
        <v>1900</v>
      </c>
      <c r="BB70">
        <v>0</v>
      </c>
      <c r="BG70">
        <v>0</v>
      </c>
      <c r="BH70">
        <v>1900</v>
      </c>
      <c r="BI70">
        <v>1900</v>
      </c>
    </row>
    <row r="71" spans="1:61" hidden="1" x14ac:dyDescent="0.25">
      <c r="A71" t="s">
        <v>430</v>
      </c>
      <c r="B71" s="11">
        <v>45597</v>
      </c>
      <c r="C71" t="s">
        <v>5</v>
      </c>
      <c r="D71" t="s">
        <v>577</v>
      </c>
      <c r="F71" t="s">
        <v>273</v>
      </c>
      <c r="G71" t="s">
        <v>178</v>
      </c>
      <c r="H71" t="s">
        <v>195</v>
      </c>
      <c r="I71" s="10">
        <v>45111</v>
      </c>
      <c r="K71" t="s">
        <v>419</v>
      </c>
      <c r="L71" t="s">
        <v>431</v>
      </c>
      <c r="M71" t="s">
        <v>432</v>
      </c>
      <c r="N71">
        <v>4383</v>
      </c>
      <c r="O71">
        <v>4383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4383</v>
      </c>
      <c r="AE71">
        <v>200</v>
      </c>
      <c r="AF71">
        <v>0</v>
      </c>
      <c r="AG71">
        <v>225</v>
      </c>
      <c r="AH71">
        <v>0</v>
      </c>
      <c r="AL71">
        <v>0</v>
      </c>
      <c r="AO71">
        <v>800</v>
      </c>
      <c r="AP71">
        <v>0</v>
      </c>
      <c r="AQ71">
        <v>0</v>
      </c>
      <c r="AR71">
        <v>0</v>
      </c>
      <c r="AS71">
        <v>0</v>
      </c>
      <c r="AU71">
        <v>1225</v>
      </c>
      <c r="AV71">
        <v>5608</v>
      </c>
      <c r="AX71">
        <v>5608</v>
      </c>
      <c r="AY71">
        <v>365.25</v>
      </c>
      <c r="AZ71">
        <v>365.25</v>
      </c>
      <c r="BA71">
        <v>121.75</v>
      </c>
      <c r="BB71">
        <v>852.25</v>
      </c>
      <c r="BC71">
        <v>876.6</v>
      </c>
      <c r="BD71">
        <v>131.49</v>
      </c>
      <c r="BE71">
        <v>254.21399999999997</v>
      </c>
      <c r="BF71">
        <v>350.64</v>
      </c>
      <c r="BG71">
        <v>1612.944</v>
      </c>
      <c r="BH71">
        <v>7220.9439999999995</v>
      </c>
      <c r="BI71">
        <v>8073.1939999999995</v>
      </c>
    </row>
    <row r="72" spans="1:61" hidden="1" x14ac:dyDescent="0.25">
      <c r="A72" t="s">
        <v>624</v>
      </c>
      <c r="B72" s="11">
        <v>45597</v>
      </c>
      <c r="C72" t="s">
        <v>5</v>
      </c>
      <c r="D72" t="s">
        <v>564</v>
      </c>
      <c r="F72" t="s">
        <v>95</v>
      </c>
      <c r="G72" t="s">
        <v>561</v>
      </c>
      <c r="H72" t="s">
        <v>568</v>
      </c>
      <c r="I72" s="10">
        <v>45117</v>
      </c>
      <c r="K72" t="s">
        <v>419</v>
      </c>
      <c r="L72" t="s">
        <v>514</v>
      </c>
      <c r="M72" t="s">
        <v>92</v>
      </c>
      <c r="N72">
        <v>2462.25</v>
      </c>
      <c r="O72">
        <v>2462.25</v>
      </c>
      <c r="P72">
        <v>0</v>
      </c>
      <c r="Q72">
        <v>492.45</v>
      </c>
      <c r="R72">
        <v>0</v>
      </c>
      <c r="S72">
        <v>0</v>
      </c>
      <c r="T72">
        <v>0</v>
      </c>
      <c r="U72">
        <v>0</v>
      </c>
      <c r="V72">
        <v>45.550000000000004</v>
      </c>
      <c r="W72">
        <v>2263.0300000000002</v>
      </c>
      <c r="X72">
        <v>688.75</v>
      </c>
      <c r="Y72">
        <v>0</v>
      </c>
      <c r="Z72">
        <v>0</v>
      </c>
      <c r="AA72">
        <v>0</v>
      </c>
      <c r="AB72">
        <v>0</v>
      </c>
      <c r="AC72">
        <v>0</v>
      </c>
      <c r="AD72">
        <v>5952.0300000000007</v>
      </c>
      <c r="AE72">
        <v>200</v>
      </c>
      <c r="AF72">
        <v>190</v>
      </c>
      <c r="AH72">
        <v>0</v>
      </c>
      <c r="AJ72">
        <v>1105.8499999999999</v>
      </c>
      <c r="AL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U72">
        <v>1495.85</v>
      </c>
      <c r="AV72">
        <v>7447.880000000001</v>
      </c>
      <c r="AX72">
        <v>7447.880000000001</v>
      </c>
      <c r="AY72">
        <v>496.00250000000005</v>
      </c>
      <c r="AZ72">
        <v>496.00250000000005</v>
      </c>
      <c r="BA72">
        <v>165.33416666666668</v>
      </c>
      <c r="BB72">
        <v>1157.3391666666669</v>
      </c>
      <c r="BC72">
        <v>1190.4060000000002</v>
      </c>
      <c r="BD72">
        <v>89.280450000000002</v>
      </c>
      <c r="BE72">
        <v>345.21773999999999</v>
      </c>
      <c r="BF72">
        <v>476.16240000000005</v>
      </c>
      <c r="BG72">
        <v>2101.0665900000004</v>
      </c>
      <c r="BH72">
        <v>9548.9465900000014</v>
      </c>
      <c r="BI72">
        <v>10706.285756666668</v>
      </c>
    </row>
    <row r="73" spans="1:61" hidden="1" x14ac:dyDescent="0.25">
      <c r="A73" t="s">
        <v>136</v>
      </c>
      <c r="B73" s="11">
        <v>45597</v>
      </c>
      <c r="C73" t="s">
        <v>5</v>
      </c>
      <c r="D73" t="s">
        <v>594</v>
      </c>
      <c r="F73" t="s">
        <v>356</v>
      </c>
      <c r="G73" t="s">
        <v>464</v>
      </c>
      <c r="H73" t="s">
        <v>97</v>
      </c>
      <c r="I73" s="10">
        <v>45117</v>
      </c>
      <c r="K73" t="s">
        <v>419</v>
      </c>
      <c r="L73" t="s">
        <v>513</v>
      </c>
      <c r="M73" t="s">
        <v>508</v>
      </c>
      <c r="N73">
        <v>2925.98</v>
      </c>
      <c r="O73">
        <v>2925.98</v>
      </c>
      <c r="P73">
        <v>0</v>
      </c>
      <c r="Q73">
        <v>585.20000000000005</v>
      </c>
      <c r="R73">
        <v>0</v>
      </c>
      <c r="S73">
        <v>0</v>
      </c>
      <c r="T73">
        <v>0</v>
      </c>
      <c r="U73">
        <v>0</v>
      </c>
      <c r="V73">
        <v>0</v>
      </c>
      <c r="W73">
        <v>1074.9000000000001</v>
      </c>
      <c r="X73">
        <v>327.14</v>
      </c>
      <c r="Y73">
        <v>0</v>
      </c>
      <c r="Z73">
        <v>0</v>
      </c>
      <c r="AA73">
        <v>0</v>
      </c>
      <c r="AB73">
        <v>0</v>
      </c>
      <c r="AC73">
        <v>0</v>
      </c>
      <c r="AD73">
        <v>4913.22</v>
      </c>
      <c r="AE73">
        <v>0</v>
      </c>
      <c r="AF73">
        <v>190</v>
      </c>
      <c r="AH73">
        <v>0</v>
      </c>
      <c r="AI73">
        <v>277.2</v>
      </c>
      <c r="AL73">
        <v>0</v>
      </c>
      <c r="AN73">
        <v>24.46</v>
      </c>
      <c r="AO73">
        <v>73.02</v>
      </c>
      <c r="AP73">
        <v>0</v>
      </c>
      <c r="AQ73">
        <v>0</v>
      </c>
      <c r="AR73">
        <v>0</v>
      </c>
      <c r="AS73">
        <v>0</v>
      </c>
      <c r="AU73">
        <v>564.67999999999995</v>
      </c>
      <c r="AV73">
        <v>5477.9000000000005</v>
      </c>
      <c r="AX73">
        <v>5477.9000000000005</v>
      </c>
      <c r="AY73">
        <v>409.435</v>
      </c>
      <c r="AZ73">
        <v>409.435</v>
      </c>
      <c r="BA73">
        <v>136.47833333333332</v>
      </c>
      <c r="BB73">
        <v>955.34833333333336</v>
      </c>
      <c r="BC73">
        <v>982.64400000000012</v>
      </c>
      <c r="BD73">
        <v>73.698300000000003</v>
      </c>
      <c r="BE73">
        <v>284.96676000000002</v>
      </c>
      <c r="BF73">
        <v>393.05760000000004</v>
      </c>
      <c r="BG73">
        <v>1734.3666600000001</v>
      </c>
      <c r="BH73">
        <v>7212.2666600000011</v>
      </c>
      <c r="BI73">
        <v>8167.6149933333345</v>
      </c>
    </row>
    <row r="74" spans="1:61" hidden="1" x14ac:dyDescent="0.25">
      <c r="A74" t="s">
        <v>503</v>
      </c>
      <c r="B74" s="11">
        <v>45597</v>
      </c>
      <c r="C74" t="s">
        <v>5</v>
      </c>
      <c r="D74" t="s">
        <v>560</v>
      </c>
      <c r="F74" t="s">
        <v>80</v>
      </c>
      <c r="G74" t="s">
        <v>83</v>
      </c>
      <c r="H74" t="s">
        <v>88</v>
      </c>
      <c r="I74" s="10">
        <v>45119</v>
      </c>
      <c r="K74" t="s">
        <v>419</v>
      </c>
      <c r="L74" t="s">
        <v>89</v>
      </c>
      <c r="M74" t="s">
        <v>504</v>
      </c>
      <c r="N74">
        <v>1828.35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136.5</v>
      </c>
      <c r="AH74">
        <v>0</v>
      </c>
      <c r="AL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U74">
        <v>136.5</v>
      </c>
      <c r="AV74">
        <v>136.5</v>
      </c>
      <c r="AX74">
        <v>136.5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136.5</v>
      </c>
      <c r="BI74">
        <v>136.5</v>
      </c>
    </row>
    <row r="75" spans="1:61" hidden="1" x14ac:dyDescent="0.25">
      <c r="A75" t="s">
        <v>512</v>
      </c>
      <c r="B75" s="11">
        <v>45597</v>
      </c>
      <c r="C75" t="s">
        <v>5</v>
      </c>
      <c r="D75" t="s">
        <v>594</v>
      </c>
      <c r="F75" t="s">
        <v>356</v>
      </c>
      <c r="G75" t="s">
        <v>464</v>
      </c>
      <c r="H75" t="s">
        <v>97</v>
      </c>
      <c r="I75" s="10">
        <v>45223</v>
      </c>
      <c r="K75" t="s">
        <v>419</v>
      </c>
      <c r="L75" t="s">
        <v>513</v>
      </c>
      <c r="M75" t="s">
        <v>508</v>
      </c>
      <c r="N75">
        <v>2925.98</v>
      </c>
      <c r="O75">
        <v>2925.98</v>
      </c>
      <c r="P75">
        <v>0</v>
      </c>
      <c r="Q75">
        <v>585.20000000000005</v>
      </c>
      <c r="R75">
        <v>0</v>
      </c>
      <c r="S75">
        <v>0</v>
      </c>
      <c r="T75">
        <v>0</v>
      </c>
      <c r="U75">
        <v>0</v>
      </c>
      <c r="V75">
        <v>0</v>
      </c>
      <c r="W75">
        <v>615.26</v>
      </c>
      <c r="X75">
        <v>187.25</v>
      </c>
      <c r="Y75">
        <v>0</v>
      </c>
      <c r="Z75">
        <v>0</v>
      </c>
      <c r="AA75">
        <v>0</v>
      </c>
      <c r="AB75">
        <v>0</v>
      </c>
      <c r="AC75">
        <v>0</v>
      </c>
      <c r="AD75">
        <v>4313.6900000000005</v>
      </c>
      <c r="AE75">
        <v>0</v>
      </c>
      <c r="AF75">
        <v>190</v>
      </c>
      <c r="AH75">
        <v>0</v>
      </c>
      <c r="AI75">
        <v>440.25</v>
      </c>
      <c r="AL75">
        <v>0</v>
      </c>
      <c r="AN75">
        <v>24.46</v>
      </c>
      <c r="AO75">
        <v>146.05000000000001</v>
      </c>
      <c r="AP75">
        <v>0</v>
      </c>
      <c r="AQ75">
        <v>0</v>
      </c>
      <c r="AR75">
        <v>0</v>
      </c>
      <c r="AS75">
        <v>0</v>
      </c>
      <c r="AU75">
        <v>800.76</v>
      </c>
      <c r="AV75">
        <v>5114.4500000000007</v>
      </c>
      <c r="AX75">
        <v>5114.4500000000007</v>
      </c>
      <c r="AY75">
        <v>359.47416666666669</v>
      </c>
      <c r="AZ75">
        <v>359.47416666666669</v>
      </c>
      <c r="BA75">
        <v>119.82472222222223</v>
      </c>
      <c r="BB75">
        <v>838.77305555555563</v>
      </c>
      <c r="BC75">
        <v>862.73800000000017</v>
      </c>
      <c r="BD75">
        <v>64.70535000000001</v>
      </c>
      <c r="BE75">
        <v>250.19402000000002</v>
      </c>
      <c r="BF75">
        <v>345.09520000000003</v>
      </c>
      <c r="BG75">
        <v>1522.7325700000004</v>
      </c>
      <c r="BH75">
        <v>6637.1825700000009</v>
      </c>
      <c r="BI75">
        <v>7475.9556255555563</v>
      </c>
    </row>
    <row r="76" spans="1:61" hidden="1" x14ac:dyDescent="0.25">
      <c r="A76" t="s">
        <v>271</v>
      </c>
      <c r="B76" s="11">
        <v>45597</v>
      </c>
      <c r="C76" t="s">
        <v>5</v>
      </c>
      <c r="D76" t="s">
        <v>577</v>
      </c>
      <c r="F76" t="s">
        <v>273</v>
      </c>
      <c r="G76" t="s">
        <v>178</v>
      </c>
      <c r="H76" t="s">
        <v>88</v>
      </c>
      <c r="I76" s="10">
        <v>45237</v>
      </c>
      <c r="K76" t="s">
        <v>419</v>
      </c>
      <c r="L76" t="s">
        <v>184</v>
      </c>
      <c r="M76" t="s">
        <v>504</v>
      </c>
      <c r="N76">
        <v>1856.8</v>
      </c>
      <c r="O76">
        <v>1856.8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1856.8</v>
      </c>
      <c r="AE76">
        <v>200</v>
      </c>
      <c r="AF76">
        <v>0</v>
      </c>
      <c r="AG76">
        <v>225</v>
      </c>
      <c r="AH76">
        <v>0</v>
      </c>
      <c r="AL76">
        <v>0</v>
      </c>
      <c r="AN76">
        <v>115.26</v>
      </c>
      <c r="AO76">
        <v>0</v>
      </c>
      <c r="AP76">
        <v>0</v>
      </c>
      <c r="AQ76">
        <v>0</v>
      </c>
      <c r="AR76">
        <v>0</v>
      </c>
      <c r="AS76">
        <v>0</v>
      </c>
      <c r="AU76">
        <v>540.26</v>
      </c>
      <c r="AV76">
        <v>2397.06</v>
      </c>
      <c r="AX76">
        <v>2397.06</v>
      </c>
      <c r="AY76">
        <v>154.73333333333332</v>
      </c>
      <c r="AZ76">
        <v>154.73333333333332</v>
      </c>
      <c r="BA76">
        <v>51.577777777777776</v>
      </c>
      <c r="BB76">
        <v>361.04444444444442</v>
      </c>
      <c r="BC76">
        <v>371.36</v>
      </c>
      <c r="BD76">
        <v>55.703999999999994</v>
      </c>
      <c r="BE76">
        <v>107.69439999999999</v>
      </c>
      <c r="BF76">
        <v>148.54400000000001</v>
      </c>
      <c r="BG76">
        <v>683.30240000000003</v>
      </c>
      <c r="BH76">
        <v>3080.3624</v>
      </c>
      <c r="BI76">
        <v>3441.4068444444442</v>
      </c>
    </row>
    <row r="77" spans="1:61" hidden="1" x14ac:dyDescent="0.25">
      <c r="A77" t="s">
        <v>332</v>
      </c>
      <c r="B77" s="11">
        <v>45597</v>
      </c>
      <c r="C77" t="s">
        <v>5</v>
      </c>
      <c r="D77" t="s">
        <v>588</v>
      </c>
      <c r="F77" t="s">
        <v>312</v>
      </c>
      <c r="G77" t="s">
        <v>313</v>
      </c>
      <c r="H77" t="s">
        <v>88</v>
      </c>
      <c r="I77" s="10">
        <v>45238</v>
      </c>
      <c r="K77" t="s">
        <v>419</v>
      </c>
      <c r="L77" t="s">
        <v>327</v>
      </c>
      <c r="M77" t="s">
        <v>504</v>
      </c>
      <c r="N77">
        <v>1885</v>
      </c>
      <c r="O77">
        <v>1885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1885</v>
      </c>
      <c r="AE77">
        <v>200</v>
      </c>
      <c r="AF77">
        <v>190</v>
      </c>
      <c r="AH77">
        <v>0</v>
      </c>
      <c r="AL77">
        <v>215</v>
      </c>
      <c r="AO77">
        <v>0</v>
      </c>
      <c r="AP77">
        <v>0</v>
      </c>
      <c r="AQ77">
        <v>0</v>
      </c>
      <c r="AR77">
        <v>0</v>
      </c>
      <c r="AS77">
        <v>0</v>
      </c>
      <c r="AU77">
        <v>605</v>
      </c>
      <c r="AV77">
        <v>2490</v>
      </c>
      <c r="AX77">
        <v>2490</v>
      </c>
      <c r="AY77">
        <v>157.08333333333334</v>
      </c>
      <c r="AZ77">
        <v>157.08333333333334</v>
      </c>
      <c r="BA77">
        <v>52.361111111111114</v>
      </c>
      <c r="BB77">
        <v>366.52777777777783</v>
      </c>
      <c r="BC77">
        <v>377</v>
      </c>
      <c r="BD77">
        <v>28.274999999999999</v>
      </c>
      <c r="BE77">
        <v>109.33</v>
      </c>
      <c r="BF77">
        <v>150.80000000000001</v>
      </c>
      <c r="BG77">
        <v>665.40499999999997</v>
      </c>
      <c r="BH77">
        <v>3155.4049999999997</v>
      </c>
      <c r="BI77">
        <v>3521.932777777778</v>
      </c>
    </row>
    <row r="78" spans="1:61" hidden="1" x14ac:dyDescent="0.25">
      <c r="A78" t="s">
        <v>625</v>
      </c>
      <c r="B78" s="11">
        <v>45597</v>
      </c>
      <c r="C78" t="s">
        <v>623</v>
      </c>
      <c r="D78" t="s">
        <v>594</v>
      </c>
      <c r="F78" t="s">
        <v>356</v>
      </c>
      <c r="G78" t="s">
        <v>464</v>
      </c>
      <c r="H78" t="s">
        <v>81</v>
      </c>
      <c r="I78" s="10">
        <v>45250</v>
      </c>
      <c r="K78" t="s">
        <v>419</v>
      </c>
      <c r="L78" t="s">
        <v>270</v>
      </c>
      <c r="M78" t="s">
        <v>626</v>
      </c>
      <c r="N78">
        <v>905.1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905.1</v>
      </c>
      <c r="AD78">
        <v>905.1</v>
      </c>
      <c r="AE78">
        <v>0</v>
      </c>
      <c r="AF78">
        <v>0</v>
      </c>
      <c r="AH78">
        <v>0</v>
      </c>
      <c r="AL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U78">
        <v>0</v>
      </c>
      <c r="AV78">
        <v>905.1</v>
      </c>
      <c r="AX78">
        <v>905.1</v>
      </c>
      <c r="AY78">
        <v>75.424999999999997</v>
      </c>
      <c r="AZ78">
        <v>75.424999999999997</v>
      </c>
      <c r="BA78">
        <v>25.141666666666666</v>
      </c>
      <c r="BB78">
        <v>175.99166666666667</v>
      </c>
      <c r="BC78">
        <v>181.02</v>
      </c>
      <c r="BD78">
        <v>13.576499999999999</v>
      </c>
      <c r="BE78">
        <v>52.495799999999996</v>
      </c>
      <c r="BF78">
        <v>18.102</v>
      </c>
      <c r="BG78">
        <v>265.1943</v>
      </c>
      <c r="BH78">
        <v>1170.2943</v>
      </c>
      <c r="BI78">
        <v>1346.2859666666668</v>
      </c>
    </row>
    <row r="79" spans="1:61" hidden="1" x14ac:dyDescent="0.25">
      <c r="A79" t="s">
        <v>189</v>
      </c>
      <c r="B79" s="11">
        <v>45597</v>
      </c>
      <c r="C79" t="s">
        <v>5</v>
      </c>
      <c r="D79" t="s">
        <v>560</v>
      </c>
      <c r="F79" t="s">
        <v>80</v>
      </c>
      <c r="G79" t="s">
        <v>83</v>
      </c>
      <c r="H79" t="s">
        <v>97</v>
      </c>
      <c r="I79" s="10">
        <v>45261</v>
      </c>
      <c r="K79" t="s">
        <v>419</v>
      </c>
      <c r="L79" t="s">
        <v>525</v>
      </c>
      <c r="M79" t="s">
        <v>508</v>
      </c>
      <c r="N79">
        <v>2925.98</v>
      </c>
      <c r="O79">
        <v>2925.98</v>
      </c>
      <c r="P79">
        <v>0</v>
      </c>
      <c r="Q79">
        <v>585.20000000000005</v>
      </c>
      <c r="R79">
        <v>0</v>
      </c>
      <c r="S79">
        <v>0</v>
      </c>
      <c r="T79">
        <v>0</v>
      </c>
      <c r="U79">
        <v>0</v>
      </c>
      <c r="V79">
        <v>0</v>
      </c>
      <c r="W79">
        <v>306.43</v>
      </c>
      <c r="X79">
        <v>93.26</v>
      </c>
      <c r="Y79">
        <v>0</v>
      </c>
      <c r="Z79">
        <v>0</v>
      </c>
      <c r="AA79">
        <v>0</v>
      </c>
      <c r="AB79">
        <v>0</v>
      </c>
      <c r="AC79">
        <v>0</v>
      </c>
      <c r="AD79">
        <v>3910.8700000000003</v>
      </c>
      <c r="AE79">
        <v>150</v>
      </c>
      <c r="AF79">
        <v>190</v>
      </c>
      <c r="AH79">
        <v>0</v>
      </c>
      <c r="AI79">
        <v>169.11</v>
      </c>
      <c r="AL79">
        <v>0</v>
      </c>
      <c r="AN79">
        <v>48.15</v>
      </c>
      <c r="AO79">
        <v>73.91</v>
      </c>
      <c r="AP79">
        <v>0</v>
      </c>
      <c r="AQ79">
        <v>0</v>
      </c>
      <c r="AR79">
        <v>0</v>
      </c>
      <c r="AS79">
        <v>0</v>
      </c>
      <c r="AU79">
        <v>631.16999999999996</v>
      </c>
      <c r="AV79">
        <v>4542.04</v>
      </c>
      <c r="AX79">
        <v>4542.04</v>
      </c>
      <c r="AY79">
        <v>325.90583333333336</v>
      </c>
      <c r="AZ79">
        <v>325.90583333333336</v>
      </c>
      <c r="BA79">
        <v>108.63527777777779</v>
      </c>
      <c r="BB79">
        <v>760.44694444444451</v>
      </c>
      <c r="BC79">
        <v>782.17400000000009</v>
      </c>
      <c r="BD79">
        <v>230.58098433000004</v>
      </c>
      <c r="BE79">
        <v>226.83046000000002</v>
      </c>
      <c r="BF79">
        <v>312.86960000000005</v>
      </c>
      <c r="BG79">
        <v>1552.45504433</v>
      </c>
      <c r="BH79">
        <v>6094.4950443300004</v>
      </c>
      <c r="BI79">
        <v>6854.9419887744443</v>
      </c>
    </row>
    <row r="80" spans="1:61" hidden="1" x14ac:dyDescent="0.25">
      <c r="A80" t="s">
        <v>627</v>
      </c>
      <c r="B80" s="11">
        <v>45597</v>
      </c>
      <c r="C80" t="s">
        <v>623</v>
      </c>
      <c r="D80" t="s">
        <v>582</v>
      </c>
      <c r="F80" t="s">
        <v>292</v>
      </c>
      <c r="G80" t="s">
        <v>203</v>
      </c>
      <c r="H80" t="s">
        <v>244</v>
      </c>
      <c r="I80" s="10">
        <v>45261</v>
      </c>
      <c r="K80" t="s">
        <v>419</v>
      </c>
      <c r="L80" t="s">
        <v>245</v>
      </c>
      <c r="M80" t="s">
        <v>626</v>
      </c>
      <c r="N80">
        <v>995.08</v>
      </c>
      <c r="O80">
        <v>995.08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995.08</v>
      </c>
      <c r="AE80">
        <v>200</v>
      </c>
      <c r="AF80">
        <v>0</v>
      </c>
      <c r="AH80">
        <v>0</v>
      </c>
      <c r="AL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U80">
        <v>200</v>
      </c>
      <c r="AV80">
        <v>1195.08</v>
      </c>
      <c r="AX80">
        <v>1195.08</v>
      </c>
      <c r="AY80">
        <v>82.923333333333332</v>
      </c>
      <c r="AZ80">
        <v>82.923333333333332</v>
      </c>
      <c r="BA80">
        <v>27.641111111111112</v>
      </c>
      <c r="BB80">
        <v>193.48777777777778</v>
      </c>
      <c r="BC80">
        <v>199.01600000000002</v>
      </c>
      <c r="BD80">
        <v>14.9262</v>
      </c>
      <c r="BE80">
        <v>57.714639999999996</v>
      </c>
      <c r="BF80">
        <v>19.901600000000002</v>
      </c>
      <c r="BG80">
        <v>291.55844000000002</v>
      </c>
      <c r="BH80">
        <v>1486.6384399999999</v>
      </c>
      <c r="BI80">
        <v>1680.1262177777778</v>
      </c>
    </row>
    <row r="81" spans="1:61" hidden="1" x14ac:dyDescent="0.25">
      <c r="A81" t="s">
        <v>224</v>
      </c>
      <c r="B81" s="11">
        <v>45597</v>
      </c>
      <c r="C81" t="s">
        <v>5</v>
      </c>
      <c r="D81" t="s">
        <v>582</v>
      </c>
      <c r="F81" t="s">
        <v>292</v>
      </c>
      <c r="G81" t="s">
        <v>566</v>
      </c>
      <c r="H81" t="s">
        <v>195</v>
      </c>
      <c r="I81" s="10">
        <v>45301</v>
      </c>
      <c r="K81" t="s">
        <v>419</v>
      </c>
      <c r="L81" t="s">
        <v>447</v>
      </c>
      <c r="M81" t="s">
        <v>212</v>
      </c>
      <c r="N81">
        <v>1885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1905.91</v>
      </c>
      <c r="AD81">
        <v>1905.91</v>
      </c>
      <c r="AE81">
        <v>200</v>
      </c>
      <c r="AF81">
        <v>190</v>
      </c>
      <c r="AH81">
        <v>0</v>
      </c>
      <c r="AL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U81">
        <v>390</v>
      </c>
      <c r="AV81">
        <v>2295.91</v>
      </c>
      <c r="AX81">
        <v>2295.91</v>
      </c>
      <c r="AY81">
        <v>158.82583333333335</v>
      </c>
      <c r="AZ81">
        <v>158.82583333333335</v>
      </c>
      <c r="BA81">
        <v>52.941944444444452</v>
      </c>
      <c r="BB81">
        <v>370.59361111111116</v>
      </c>
      <c r="BC81">
        <v>381.18200000000002</v>
      </c>
      <c r="BD81">
        <v>28.588650000000001</v>
      </c>
      <c r="BE81">
        <v>110.54277999999999</v>
      </c>
      <c r="BF81">
        <v>152.47280000000001</v>
      </c>
      <c r="BG81">
        <v>672.78623000000005</v>
      </c>
      <c r="BH81">
        <v>2968.69623</v>
      </c>
      <c r="BI81">
        <v>3339.2898411111114</v>
      </c>
    </row>
    <row r="82" spans="1:61" hidden="1" x14ac:dyDescent="0.25">
      <c r="A82" t="s">
        <v>475</v>
      </c>
      <c r="B82" s="11">
        <v>45597</v>
      </c>
      <c r="C82" t="s">
        <v>5</v>
      </c>
      <c r="D82" t="s">
        <v>594</v>
      </c>
      <c r="F82" t="s">
        <v>356</v>
      </c>
      <c r="G82" t="s">
        <v>464</v>
      </c>
      <c r="H82" t="s">
        <v>81</v>
      </c>
      <c r="I82" s="10">
        <v>45323</v>
      </c>
      <c r="K82" t="s">
        <v>419</v>
      </c>
      <c r="L82" t="s">
        <v>270</v>
      </c>
      <c r="M82" t="s">
        <v>541</v>
      </c>
      <c r="N82">
        <v>2025.07</v>
      </c>
      <c r="O82">
        <v>2025.07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2025.07</v>
      </c>
      <c r="AE82">
        <v>200</v>
      </c>
      <c r="AF82">
        <v>190</v>
      </c>
      <c r="AH82">
        <v>0</v>
      </c>
      <c r="AL82">
        <v>0</v>
      </c>
      <c r="AN82">
        <v>24.46</v>
      </c>
      <c r="AO82">
        <v>0</v>
      </c>
      <c r="AP82">
        <v>0</v>
      </c>
      <c r="AQ82">
        <v>0</v>
      </c>
      <c r="AR82">
        <v>0</v>
      </c>
      <c r="AS82">
        <v>0</v>
      </c>
      <c r="AU82">
        <v>414.46</v>
      </c>
      <c r="AV82">
        <v>2439.5299999999997</v>
      </c>
      <c r="AX82">
        <v>2439.5299999999997</v>
      </c>
      <c r="AY82">
        <v>168.75583333333333</v>
      </c>
      <c r="AZ82">
        <v>168.75583333333333</v>
      </c>
      <c r="BA82">
        <v>56.25194444444444</v>
      </c>
      <c r="BB82">
        <v>393.76361111111112</v>
      </c>
      <c r="BC82">
        <v>405.01400000000001</v>
      </c>
      <c r="BD82">
        <v>30.376049999999999</v>
      </c>
      <c r="BE82">
        <v>117.45405999999998</v>
      </c>
      <c r="BF82">
        <v>162.00559999999999</v>
      </c>
      <c r="BG82">
        <v>714.84970999999996</v>
      </c>
      <c r="BH82">
        <v>3154.3797099999997</v>
      </c>
      <c r="BI82">
        <v>3548.1433211111107</v>
      </c>
    </row>
    <row r="83" spans="1:61" hidden="1" x14ac:dyDescent="0.25">
      <c r="A83" t="s">
        <v>518</v>
      </c>
      <c r="B83" s="11">
        <v>45597</v>
      </c>
      <c r="C83" t="s">
        <v>5</v>
      </c>
      <c r="D83" t="s">
        <v>564</v>
      </c>
      <c r="F83" t="s">
        <v>95</v>
      </c>
      <c r="G83" t="s">
        <v>561</v>
      </c>
      <c r="H83" t="s">
        <v>565</v>
      </c>
      <c r="I83" s="10">
        <v>45327</v>
      </c>
      <c r="K83" t="s">
        <v>419</v>
      </c>
      <c r="L83" t="s">
        <v>517</v>
      </c>
      <c r="M83" t="s">
        <v>92</v>
      </c>
      <c r="N83">
        <v>2462.25</v>
      </c>
      <c r="O83">
        <v>2216.0300000000002</v>
      </c>
      <c r="P83">
        <v>516.23</v>
      </c>
      <c r="Q83">
        <v>443.21</v>
      </c>
      <c r="R83">
        <v>0</v>
      </c>
      <c r="S83">
        <v>0</v>
      </c>
      <c r="T83">
        <v>0</v>
      </c>
      <c r="U83">
        <v>0</v>
      </c>
      <c r="V83">
        <v>3.2</v>
      </c>
      <c r="W83">
        <v>933.41</v>
      </c>
      <c r="X83">
        <v>212.14</v>
      </c>
      <c r="Y83">
        <v>0</v>
      </c>
      <c r="Z83">
        <v>0</v>
      </c>
      <c r="AA83">
        <v>0</v>
      </c>
      <c r="AB83">
        <v>0</v>
      </c>
      <c r="AC83">
        <v>0</v>
      </c>
      <c r="AD83">
        <v>4324.22</v>
      </c>
      <c r="AE83">
        <v>200</v>
      </c>
      <c r="AF83">
        <v>190</v>
      </c>
      <c r="AH83">
        <v>0</v>
      </c>
      <c r="AL83">
        <v>750</v>
      </c>
      <c r="AM83">
        <v>887.40000000000009</v>
      </c>
      <c r="AO83">
        <v>0</v>
      </c>
      <c r="AP83">
        <v>0</v>
      </c>
      <c r="AQ83">
        <v>0</v>
      </c>
      <c r="AR83">
        <v>0</v>
      </c>
      <c r="AS83">
        <v>0</v>
      </c>
      <c r="AU83">
        <v>2027.4</v>
      </c>
      <c r="AV83">
        <v>6351.6200000000008</v>
      </c>
      <c r="AX83">
        <v>6351.6200000000008</v>
      </c>
      <c r="AY83">
        <v>360.35166666666669</v>
      </c>
      <c r="AZ83">
        <v>360.35166666666669</v>
      </c>
      <c r="BA83">
        <v>120.11722222222222</v>
      </c>
      <c r="BB83">
        <v>840.82055555555564</v>
      </c>
      <c r="BC83">
        <v>864.84400000000005</v>
      </c>
      <c r="BD83">
        <v>64.863299999999995</v>
      </c>
      <c r="BE83">
        <v>250.80475999999999</v>
      </c>
      <c r="BF83">
        <v>345.93760000000003</v>
      </c>
      <c r="BG83">
        <v>1526.44966</v>
      </c>
      <c r="BH83">
        <v>7878.069660000001</v>
      </c>
      <c r="BI83">
        <v>8718.890215555557</v>
      </c>
    </row>
    <row r="84" spans="1:61" hidden="1" x14ac:dyDescent="0.25">
      <c r="A84" t="s">
        <v>581</v>
      </c>
      <c r="B84" s="11">
        <v>45597</v>
      </c>
      <c r="C84" t="s">
        <v>5</v>
      </c>
      <c r="D84" t="s">
        <v>579</v>
      </c>
      <c r="F84" t="s">
        <v>283</v>
      </c>
      <c r="G84" t="s">
        <v>142</v>
      </c>
      <c r="H84" t="s">
        <v>88</v>
      </c>
      <c r="I84" s="10">
        <v>45327</v>
      </c>
      <c r="K84" t="s">
        <v>419</v>
      </c>
      <c r="L84" t="s">
        <v>147</v>
      </c>
      <c r="M84" t="s">
        <v>92</v>
      </c>
      <c r="N84">
        <v>1840</v>
      </c>
      <c r="O84">
        <v>1840</v>
      </c>
      <c r="P84">
        <v>0</v>
      </c>
      <c r="Q84">
        <v>368</v>
      </c>
      <c r="R84">
        <v>0</v>
      </c>
      <c r="S84">
        <v>0</v>
      </c>
      <c r="T84">
        <v>0</v>
      </c>
      <c r="U84">
        <v>0</v>
      </c>
      <c r="V84">
        <v>0</v>
      </c>
      <c r="W84">
        <v>772.8</v>
      </c>
      <c r="X84">
        <v>235.2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3216</v>
      </c>
      <c r="AE84">
        <v>0</v>
      </c>
      <c r="AF84">
        <v>0</v>
      </c>
      <c r="AG84">
        <v>225</v>
      </c>
      <c r="AH84">
        <v>0</v>
      </c>
      <c r="AL84">
        <v>0</v>
      </c>
      <c r="AN84">
        <v>231.94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456.94</v>
      </c>
      <c r="AV84">
        <v>3672.94</v>
      </c>
      <c r="AX84">
        <v>3672.94</v>
      </c>
      <c r="AY84">
        <v>268</v>
      </c>
      <c r="AZ84">
        <v>268</v>
      </c>
      <c r="BA84">
        <v>89.333333333333329</v>
      </c>
      <c r="BB84">
        <v>625.33333333333337</v>
      </c>
      <c r="BC84">
        <v>643.20000000000005</v>
      </c>
      <c r="BD84">
        <v>48.239999999999995</v>
      </c>
      <c r="BE84">
        <v>186.52799999999999</v>
      </c>
      <c r="BF84">
        <v>257.28000000000003</v>
      </c>
      <c r="BG84">
        <v>1135.248</v>
      </c>
      <c r="BH84">
        <v>4808.1880000000001</v>
      </c>
      <c r="BI84">
        <v>5433.521333333334</v>
      </c>
    </row>
    <row r="85" spans="1:61" hidden="1" x14ac:dyDescent="0.25">
      <c r="A85" t="s">
        <v>628</v>
      </c>
      <c r="B85" s="11">
        <v>45597</v>
      </c>
      <c r="C85" t="s">
        <v>5</v>
      </c>
      <c r="D85" t="s">
        <v>577</v>
      </c>
      <c r="F85" t="s">
        <v>273</v>
      </c>
      <c r="G85" t="s">
        <v>178</v>
      </c>
      <c r="H85" t="s">
        <v>88</v>
      </c>
      <c r="I85" s="10">
        <v>45330</v>
      </c>
      <c r="J85" s="10">
        <v>45621</v>
      </c>
      <c r="K85" t="s">
        <v>419</v>
      </c>
      <c r="L85" t="s">
        <v>184</v>
      </c>
      <c r="M85" t="s">
        <v>511</v>
      </c>
      <c r="N85">
        <v>1955.75</v>
      </c>
      <c r="O85">
        <v>1629.99</v>
      </c>
      <c r="P85">
        <v>0</v>
      </c>
      <c r="Q85">
        <v>312.92</v>
      </c>
      <c r="R85">
        <v>0</v>
      </c>
      <c r="S85">
        <v>0</v>
      </c>
      <c r="T85">
        <v>0</v>
      </c>
      <c r="U85">
        <v>0</v>
      </c>
      <c r="V85">
        <v>0</v>
      </c>
      <c r="W85">
        <v>306.29000000000002</v>
      </c>
      <c r="X85">
        <v>126.12</v>
      </c>
      <c r="Y85">
        <v>0</v>
      </c>
      <c r="Z85">
        <v>0</v>
      </c>
      <c r="AA85">
        <v>0</v>
      </c>
      <c r="AB85">
        <v>0</v>
      </c>
      <c r="AC85">
        <v>0</v>
      </c>
      <c r="AD85">
        <v>2375.3200000000002</v>
      </c>
      <c r="AE85">
        <v>0</v>
      </c>
      <c r="AF85">
        <v>0</v>
      </c>
      <c r="AG85">
        <v>225</v>
      </c>
      <c r="AH85">
        <v>0</v>
      </c>
      <c r="AL85">
        <v>0</v>
      </c>
      <c r="AN85">
        <v>55.74</v>
      </c>
      <c r="AO85">
        <v>0</v>
      </c>
      <c r="AP85">
        <v>0</v>
      </c>
      <c r="AQ85">
        <v>0</v>
      </c>
      <c r="AR85">
        <v>0</v>
      </c>
      <c r="AS85">
        <v>0</v>
      </c>
      <c r="AU85">
        <v>280.74</v>
      </c>
      <c r="AV85">
        <v>2656.0600000000004</v>
      </c>
      <c r="AX85">
        <v>2656.0600000000004</v>
      </c>
      <c r="AY85">
        <v>197.94333333333336</v>
      </c>
      <c r="AZ85">
        <v>197.94333333333336</v>
      </c>
      <c r="BA85">
        <v>65.981111111111119</v>
      </c>
      <c r="BB85">
        <v>461.86777777777786</v>
      </c>
      <c r="BC85">
        <v>475.06400000000008</v>
      </c>
      <c r="BD85">
        <v>71.259600000000006</v>
      </c>
      <c r="BE85">
        <v>137.76856000000001</v>
      </c>
      <c r="BF85">
        <v>190.02560000000003</v>
      </c>
      <c r="BG85">
        <v>874.11776000000009</v>
      </c>
      <c r="BH85">
        <v>3530.1777600000005</v>
      </c>
      <c r="BI85">
        <v>3992.0455377777785</v>
      </c>
    </row>
    <row r="86" spans="1:61" hidden="1" x14ac:dyDescent="0.25">
      <c r="A86" t="s">
        <v>629</v>
      </c>
      <c r="B86" s="11">
        <v>45597</v>
      </c>
      <c r="C86" t="s">
        <v>5</v>
      </c>
      <c r="D86" t="s">
        <v>564</v>
      </c>
      <c r="F86" t="s">
        <v>95</v>
      </c>
      <c r="G86" t="s">
        <v>566</v>
      </c>
      <c r="H86" t="s">
        <v>97</v>
      </c>
      <c r="I86" s="10">
        <v>45337</v>
      </c>
      <c r="K86" t="s">
        <v>419</v>
      </c>
      <c r="L86" t="s">
        <v>507</v>
      </c>
      <c r="M86" t="s">
        <v>552</v>
      </c>
      <c r="N86">
        <v>2178.12</v>
      </c>
      <c r="O86">
        <v>2178.12</v>
      </c>
      <c r="P86">
        <v>0</v>
      </c>
      <c r="Q86">
        <v>435.62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2613.7399999999998</v>
      </c>
      <c r="AE86">
        <v>200</v>
      </c>
      <c r="AF86">
        <v>190</v>
      </c>
      <c r="AH86">
        <v>0</v>
      </c>
      <c r="AL86">
        <v>0</v>
      </c>
      <c r="AN86">
        <v>425.45</v>
      </c>
      <c r="AO86">
        <v>0</v>
      </c>
      <c r="AP86">
        <v>0</v>
      </c>
      <c r="AQ86">
        <v>0</v>
      </c>
      <c r="AR86">
        <v>0</v>
      </c>
      <c r="AS86">
        <v>0</v>
      </c>
      <c r="AU86">
        <v>815.45</v>
      </c>
      <c r="AV86">
        <v>3429.1899999999996</v>
      </c>
      <c r="AW86">
        <v>200</v>
      </c>
      <c r="AX86">
        <v>3629.1899999999996</v>
      </c>
      <c r="AY86">
        <v>217.81166666666664</v>
      </c>
      <c r="AZ86">
        <v>217.81166666666664</v>
      </c>
      <c r="BA86">
        <v>72.603888888888875</v>
      </c>
      <c r="BB86">
        <v>508.22722222222217</v>
      </c>
      <c r="BC86">
        <v>522.74799999999993</v>
      </c>
      <c r="BD86">
        <v>39.206099999999992</v>
      </c>
      <c r="BE86">
        <v>151.59691999999998</v>
      </c>
      <c r="BF86">
        <v>209.0992</v>
      </c>
      <c r="BG86">
        <v>922.65021999999988</v>
      </c>
      <c r="BH86">
        <v>4551.8402199999991</v>
      </c>
      <c r="BI86">
        <v>5060.067442222221</v>
      </c>
    </row>
    <row r="87" spans="1:61" hidden="1" x14ac:dyDescent="0.25">
      <c r="A87" t="s">
        <v>210</v>
      </c>
      <c r="B87" s="11">
        <v>45597</v>
      </c>
      <c r="C87" t="s">
        <v>623</v>
      </c>
      <c r="D87" t="s">
        <v>612</v>
      </c>
      <c r="F87" t="s">
        <v>630</v>
      </c>
      <c r="G87" t="s">
        <v>444</v>
      </c>
      <c r="H87" t="s">
        <v>195</v>
      </c>
      <c r="I87" s="10">
        <v>45341</v>
      </c>
      <c r="J87" s="10">
        <v>45625</v>
      </c>
      <c r="K87" t="s">
        <v>419</v>
      </c>
      <c r="L87" t="s">
        <v>111</v>
      </c>
      <c r="M87" t="s">
        <v>626</v>
      </c>
      <c r="N87">
        <v>995.08</v>
      </c>
      <c r="O87">
        <v>961.91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961.91</v>
      </c>
      <c r="AE87">
        <v>200</v>
      </c>
      <c r="AF87">
        <v>0</v>
      </c>
      <c r="AH87">
        <v>0</v>
      </c>
      <c r="AL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U87">
        <v>200</v>
      </c>
      <c r="AV87">
        <v>1161.9099999999999</v>
      </c>
      <c r="AX87">
        <v>1161.9099999999999</v>
      </c>
      <c r="AY87">
        <v>80.159166666666664</v>
      </c>
      <c r="AZ87">
        <v>80.159166666666664</v>
      </c>
      <c r="BA87">
        <v>26.71972222222222</v>
      </c>
      <c r="BB87">
        <v>187.03805555555556</v>
      </c>
      <c r="BC87">
        <v>0</v>
      </c>
      <c r="BD87">
        <v>0</v>
      </c>
      <c r="BE87">
        <v>0</v>
      </c>
      <c r="BF87">
        <v>19.238199999999999</v>
      </c>
      <c r="BG87">
        <v>19.238199999999999</v>
      </c>
      <c r="BH87">
        <v>1181.1481999999999</v>
      </c>
      <c r="BI87">
        <v>1368.1862555555554</v>
      </c>
    </row>
    <row r="88" spans="1:61" hidden="1" x14ac:dyDescent="0.25">
      <c r="A88" t="s">
        <v>631</v>
      </c>
      <c r="B88" s="11">
        <v>45597</v>
      </c>
      <c r="C88" t="s">
        <v>5</v>
      </c>
      <c r="D88" t="s">
        <v>588</v>
      </c>
      <c r="F88" t="s">
        <v>312</v>
      </c>
      <c r="G88" t="s">
        <v>313</v>
      </c>
      <c r="H88" t="s">
        <v>88</v>
      </c>
      <c r="I88" s="10">
        <v>45363</v>
      </c>
      <c r="K88" t="s">
        <v>419</v>
      </c>
      <c r="L88" t="s">
        <v>327</v>
      </c>
      <c r="M88" t="s">
        <v>504</v>
      </c>
      <c r="N88">
        <v>1885</v>
      </c>
      <c r="O88">
        <v>1885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68.55</v>
      </c>
      <c r="X88">
        <v>20.86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1974.4099999999999</v>
      </c>
      <c r="AE88">
        <v>0</v>
      </c>
      <c r="AF88">
        <v>190</v>
      </c>
      <c r="AH88">
        <v>0</v>
      </c>
      <c r="AL88">
        <v>215</v>
      </c>
      <c r="AO88">
        <v>0</v>
      </c>
      <c r="AP88">
        <v>0</v>
      </c>
      <c r="AQ88">
        <v>0</v>
      </c>
      <c r="AR88">
        <v>0</v>
      </c>
      <c r="AS88">
        <v>0</v>
      </c>
      <c r="AU88">
        <v>405</v>
      </c>
      <c r="AV88">
        <v>2379.41</v>
      </c>
      <c r="AX88">
        <v>2379.41</v>
      </c>
      <c r="AY88">
        <v>164.53416666666666</v>
      </c>
      <c r="AZ88">
        <v>164.53416666666666</v>
      </c>
      <c r="BA88">
        <v>54.844722222222224</v>
      </c>
      <c r="BB88">
        <v>383.91305555555556</v>
      </c>
      <c r="BC88">
        <v>394.88200000000001</v>
      </c>
      <c r="BD88">
        <v>29.616149999999998</v>
      </c>
      <c r="BE88">
        <v>114.51577999999998</v>
      </c>
      <c r="BF88">
        <v>157.9528</v>
      </c>
      <c r="BG88">
        <v>696.96672999999998</v>
      </c>
      <c r="BH88">
        <v>3076.37673</v>
      </c>
      <c r="BI88">
        <v>3460.2897855555557</v>
      </c>
    </row>
    <row r="89" spans="1:61" hidden="1" x14ac:dyDescent="0.25">
      <c r="A89" t="s">
        <v>286</v>
      </c>
      <c r="B89" s="11">
        <v>45597</v>
      </c>
      <c r="C89" t="s">
        <v>5</v>
      </c>
      <c r="D89" t="s">
        <v>579</v>
      </c>
      <c r="F89" t="s">
        <v>283</v>
      </c>
      <c r="G89" t="s">
        <v>142</v>
      </c>
      <c r="H89" t="s">
        <v>81</v>
      </c>
      <c r="I89" s="10">
        <v>45376</v>
      </c>
      <c r="K89" t="s">
        <v>419</v>
      </c>
      <c r="L89" t="s">
        <v>285</v>
      </c>
      <c r="M89" t="s">
        <v>541</v>
      </c>
      <c r="N89">
        <v>1893.14</v>
      </c>
      <c r="O89">
        <v>1893.14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1893.14</v>
      </c>
      <c r="AE89">
        <v>67</v>
      </c>
      <c r="AF89">
        <v>0</v>
      </c>
      <c r="AG89">
        <v>225</v>
      </c>
      <c r="AH89">
        <v>0</v>
      </c>
      <c r="AL89">
        <v>0</v>
      </c>
      <c r="AN89">
        <v>231.9</v>
      </c>
      <c r="AO89">
        <v>0</v>
      </c>
      <c r="AP89">
        <v>0</v>
      </c>
      <c r="AQ89">
        <v>0</v>
      </c>
      <c r="AR89">
        <v>0</v>
      </c>
      <c r="AS89">
        <v>0</v>
      </c>
      <c r="AU89">
        <v>523.9</v>
      </c>
      <c r="AV89">
        <v>2417.04</v>
      </c>
      <c r="AX89">
        <v>2417.04</v>
      </c>
      <c r="AY89">
        <v>157.76166666666668</v>
      </c>
      <c r="AZ89">
        <v>157.76166666666668</v>
      </c>
      <c r="BA89">
        <v>52.587222222222231</v>
      </c>
      <c r="BB89">
        <v>368.11055555555561</v>
      </c>
      <c r="BC89">
        <v>378.62800000000004</v>
      </c>
      <c r="BD89">
        <v>28.397100000000002</v>
      </c>
      <c r="BE89">
        <v>109.80212</v>
      </c>
      <c r="BF89">
        <v>151.4512</v>
      </c>
      <c r="BG89">
        <v>668.2784200000001</v>
      </c>
      <c r="BH89">
        <v>3085.3184200000001</v>
      </c>
      <c r="BI89">
        <v>3453.4289755555556</v>
      </c>
    </row>
    <row r="90" spans="1:61" hidden="1" x14ac:dyDescent="0.25">
      <c r="A90" t="s">
        <v>632</v>
      </c>
      <c r="B90" s="11">
        <v>45597</v>
      </c>
      <c r="C90" t="s">
        <v>623</v>
      </c>
      <c r="D90" t="s">
        <v>588</v>
      </c>
      <c r="E90" t="s">
        <v>312</v>
      </c>
      <c r="F90" t="s">
        <v>312</v>
      </c>
      <c r="G90" t="s">
        <v>633</v>
      </c>
      <c r="H90" t="s">
        <v>81</v>
      </c>
      <c r="I90" s="10">
        <v>45414</v>
      </c>
      <c r="K90" t="s">
        <v>419</v>
      </c>
      <c r="L90" t="s">
        <v>322</v>
      </c>
      <c r="M90" t="s">
        <v>623</v>
      </c>
      <c r="N90">
        <v>995</v>
      </c>
      <c r="O90">
        <v>2195</v>
      </c>
      <c r="AD90">
        <v>2195</v>
      </c>
      <c r="AE90">
        <v>200</v>
      </c>
      <c r="AU90">
        <v>200</v>
      </c>
      <c r="AV90">
        <v>2395</v>
      </c>
      <c r="AX90">
        <v>2395</v>
      </c>
      <c r="BB90">
        <v>0</v>
      </c>
      <c r="BG90">
        <v>0</v>
      </c>
      <c r="BH90">
        <v>2395</v>
      </c>
      <c r="BI90">
        <v>2395</v>
      </c>
    </row>
    <row r="91" spans="1:61" hidden="1" x14ac:dyDescent="0.25">
      <c r="A91" t="s">
        <v>634</v>
      </c>
      <c r="B91" s="11">
        <v>45597</v>
      </c>
      <c r="C91" t="s">
        <v>623</v>
      </c>
      <c r="D91" t="s">
        <v>577</v>
      </c>
      <c r="F91" t="s">
        <v>273</v>
      </c>
      <c r="G91" t="s">
        <v>178</v>
      </c>
      <c r="H91" t="s">
        <v>81</v>
      </c>
      <c r="I91" s="10">
        <v>45439</v>
      </c>
      <c r="K91" t="s">
        <v>419</v>
      </c>
      <c r="L91" t="s">
        <v>276</v>
      </c>
      <c r="M91" t="s">
        <v>626</v>
      </c>
      <c r="N91">
        <v>663.39</v>
      </c>
      <c r="O91">
        <v>663.39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663.39</v>
      </c>
      <c r="AE91">
        <v>200</v>
      </c>
      <c r="AF91">
        <v>0</v>
      </c>
      <c r="AH91">
        <v>0</v>
      </c>
      <c r="AL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U91">
        <v>200</v>
      </c>
      <c r="AV91">
        <v>863.39</v>
      </c>
      <c r="AX91">
        <v>863.39</v>
      </c>
      <c r="AY91">
        <v>55.282499999999999</v>
      </c>
      <c r="AZ91">
        <v>55.282499999999999</v>
      </c>
      <c r="BA91">
        <v>18.427499999999998</v>
      </c>
      <c r="BB91">
        <v>128.99250000000001</v>
      </c>
      <c r="BC91">
        <v>132.678</v>
      </c>
      <c r="BD91">
        <v>19.901699999999998</v>
      </c>
      <c r="BE91">
        <v>38.476619999999997</v>
      </c>
      <c r="BF91">
        <v>13.267799999999999</v>
      </c>
      <c r="BG91">
        <v>204.32411999999999</v>
      </c>
      <c r="BH91">
        <v>1067.7141200000001</v>
      </c>
      <c r="BI91">
        <v>1196.7066199999999</v>
      </c>
    </row>
    <row r="92" spans="1:61" hidden="1" x14ac:dyDescent="0.25">
      <c r="A92" t="s">
        <v>145</v>
      </c>
      <c r="B92" s="11">
        <v>45597</v>
      </c>
      <c r="C92" t="s">
        <v>5</v>
      </c>
      <c r="D92" t="s">
        <v>579</v>
      </c>
      <c r="F92" t="s">
        <v>283</v>
      </c>
      <c r="G92" t="s">
        <v>142</v>
      </c>
      <c r="H92" t="s">
        <v>97</v>
      </c>
      <c r="I92" s="10">
        <v>45440</v>
      </c>
      <c r="K92" t="s">
        <v>419</v>
      </c>
      <c r="L92" t="s">
        <v>535</v>
      </c>
      <c r="M92" t="s">
        <v>508</v>
      </c>
      <c r="N92">
        <v>2538.36</v>
      </c>
      <c r="O92">
        <v>2538.36</v>
      </c>
      <c r="P92">
        <v>0</v>
      </c>
      <c r="Q92">
        <v>507.67</v>
      </c>
      <c r="R92">
        <v>0</v>
      </c>
      <c r="S92">
        <v>0</v>
      </c>
      <c r="T92">
        <v>0</v>
      </c>
      <c r="U92">
        <v>0</v>
      </c>
      <c r="V92">
        <v>3.61</v>
      </c>
      <c r="W92">
        <v>1052.27</v>
      </c>
      <c r="X92">
        <v>320.26</v>
      </c>
      <c r="Y92">
        <v>0</v>
      </c>
      <c r="Z92">
        <v>0</v>
      </c>
      <c r="AA92">
        <v>0</v>
      </c>
      <c r="AB92">
        <v>0</v>
      </c>
      <c r="AC92">
        <v>0</v>
      </c>
      <c r="AD92">
        <v>4422.17</v>
      </c>
      <c r="AE92">
        <v>0</v>
      </c>
      <c r="AF92">
        <v>0</v>
      </c>
      <c r="AG92">
        <v>225</v>
      </c>
      <c r="AH92">
        <v>0</v>
      </c>
      <c r="AI92">
        <v>147.25</v>
      </c>
      <c r="AL92">
        <v>0</v>
      </c>
      <c r="AN92">
        <v>600</v>
      </c>
      <c r="AO92">
        <v>661.6</v>
      </c>
      <c r="AP92">
        <v>0</v>
      </c>
      <c r="AQ92">
        <v>0</v>
      </c>
      <c r="AR92">
        <v>0</v>
      </c>
      <c r="AS92">
        <v>0</v>
      </c>
      <c r="AT92">
        <v>90.75</v>
      </c>
      <c r="AU92">
        <v>1724.6</v>
      </c>
      <c r="AV92">
        <v>6146.77</v>
      </c>
      <c r="AX92">
        <v>6146.77</v>
      </c>
      <c r="AY92">
        <v>368.51416666666665</v>
      </c>
      <c r="AZ92">
        <v>368.51416666666665</v>
      </c>
      <c r="BA92">
        <v>122.83805555555556</v>
      </c>
      <c r="BB92">
        <v>859.86638888888888</v>
      </c>
      <c r="BC92">
        <v>884.43400000000008</v>
      </c>
      <c r="BD92">
        <v>66.332549999999998</v>
      </c>
      <c r="BE92">
        <v>256.48586</v>
      </c>
      <c r="BF92">
        <v>353.77359999999999</v>
      </c>
      <c r="BG92">
        <v>1561.02601</v>
      </c>
      <c r="BH92">
        <v>7707.79601</v>
      </c>
      <c r="BI92">
        <v>8567.6623988888896</v>
      </c>
    </row>
    <row r="93" spans="1:61" hidden="1" x14ac:dyDescent="0.25">
      <c r="A93" t="s">
        <v>635</v>
      </c>
      <c r="B93" s="11">
        <v>45597</v>
      </c>
      <c r="C93" t="s">
        <v>5</v>
      </c>
      <c r="D93" t="s">
        <v>564</v>
      </c>
      <c r="F93" t="s">
        <v>95</v>
      </c>
      <c r="G93" t="s">
        <v>608</v>
      </c>
      <c r="H93" t="s">
        <v>567</v>
      </c>
      <c r="I93" s="10">
        <v>45474</v>
      </c>
      <c r="K93" t="s">
        <v>419</v>
      </c>
      <c r="L93" t="s">
        <v>636</v>
      </c>
      <c r="M93" t="s">
        <v>92</v>
      </c>
      <c r="N93">
        <v>2462.25</v>
      </c>
      <c r="O93">
        <v>2462.25</v>
      </c>
      <c r="P93">
        <v>0</v>
      </c>
      <c r="Q93">
        <v>492.45</v>
      </c>
      <c r="R93">
        <v>0</v>
      </c>
      <c r="S93">
        <v>0</v>
      </c>
      <c r="T93">
        <v>0</v>
      </c>
      <c r="U93">
        <v>0</v>
      </c>
      <c r="V93">
        <v>28.029999999999998</v>
      </c>
      <c r="W93">
        <v>611.08000000000004</v>
      </c>
      <c r="X93">
        <v>185.98</v>
      </c>
      <c r="Y93">
        <v>0</v>
      </c>
      <c r="Z93">
        <v>0</v>
      </c>
      <c r="AA93">
        <v>0</v>
      </c>
      <c r="AB93">
        <v>0</v>
      </c>
      <c r="AC93">
        <v>0</v>
      </c>
      <c r="AD93">
        <v>3779.79</v>
      </c>
      <c r="AE93">
        <v>500</v>
      </c>
      <c r="AF93">
        <v>190</v>
      </c>
      <c r="AH93">
        <v>0</v>
      </c>
      <c r="AL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U93">
        <v>690</v>
      </c>
      <c r="AV93">
        <v>4469.79</v>
      </c>
      <c r="AX93">
        <v>4469.79</v>
      </c>
      <c r="AY93">
        <v>314.98250000000002</v>
      </c>
      <c r="AZ93">
        <v>314.98250000000002</v>
      </c>
      <c r="BA93">
        <v>104.99416666666667</v>
      </c>
      <c r="BB93">
        <v>734.95916666666676</v>
      </c>
      <c r="BC93">
        <v>755.95800000000008</v>
      </c>
      <c r="BD93">
        <v>56.696849999999998</v>
      </c>
      <c r="BE93">
        <v>219.22781999999998</v>
      </c>
      <c r="BF93">
        <v>302.38319999999999</v>
      </c>
      <c r="BG93">
        <v>1334.2658700000002</v>
      </c>
      <c r="BH93">
        <v>5804.0558700000001</v>
      </c>
      <c r="BI93">
        <v>6539.0150366666667</v>
      </c>
    </row>
    <row r="94" spans="1:61" hidden="1" x14ac:dyDescent="0.25">
      <c r="A94" t="s">
        <v>531</v>
      </c>
      <c r="B94" s="11">
        <v>45597</v>
      </c>
      <c r="C94" t="s">
        <v>6</v>
      </c>
      <c r="D94" t="s">
        <v>582</v>
      </c>
      <c r="F94" t="s">
        <v>292</v>
      </c>
      <c r="G94" t="s">
        <v>203</v>
      </c>
      <c r="H94" t="s">
        <v>218</v>
      </c>
      <c r="I94" s="10">
        <v>45483</v>
      </c>
      <c r="K94" t="s">
        <v>422</v>
      </c>
      <c r="L94" t="s">
        <v>219</v>
      </c>
      <c r="M94" t="s">
        <v>637</v>
      </c>
      <c r="N94">
        <v>1000</v>
      </c>
      <c r="O94">
        <v>1000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1000</v>
      </c>
      <c r="AE94">
        <v>200</v>
      </c>
      <c r="AF94">
        <v>0</v>
      </c>
      <c r="AH94">
        <v>0</v>
      </c>
      <c r="AL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U94">
        <v>200</v>
      </c>
      <c r="AV94">
        <v>1200</v>
      </c>
      <c r="AX94">
        <v>1200</v>
      </c>
      <c r="AY94">
        <v>0</v>
      </c>
      <c r="AZ94">
        <v>83.333333333333329</v>
      </c>
      <c r="BA94">
        <v>0</v>
      </c>
      <c r="BB94">
        <v>83.333333333333329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1283.3333333333333</v>
      </c>
      <c r="BI94">
        <v>1283.3333333333333</v>
      </c>
    </row>
    <row r="95" spans="1:61" hidden="1" x14ac:dyDescent="0.25">
      <c r="A95" t="s">
        <v>550</v>
      </c>
      <c r="B95" s="11">
        <v>45597</v>
      </c>
      <c r="C95" t="s">
        <v>6</v>
      </c>
      <c r="D95" t="s">
        <v>582</v>
      </c>
      <c r="F95" t="s">
        <v>292</v>
      </c>
      <c r="G95" t="s">
        <v>203</v>
      </c>
      <c r="H95" t="s">
        <v>240</v>
      </c>
      <c r="I95" s="10">
        <v>45483</v>
      </c>
      <c r="K95" t="s">
        <v>422</v>
      </c>
      <c r="L95" t="s">
        <v>241</v>
      </c>
      <c r="M95" t="s">
        <v>637</v>
      </c>
      <c r="N95">
        <v>1000</v>
      </c>
      <c r="O95">
        <v>1000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1000</v>
      </c>
      <c r="AE95">
        <v>200</v>
      </c>
      <c r="AF95">
        <v>0</v>
      </c>
      <c r="AH95">
        <v>0</v>
      </c>
      <c r="AL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U95">
        <v>200</v>
      </c>
      <c r="AV95">
        <v>1200</v>
      </c>
      <c r="AX95">
        <v>1200</v>
      </c>
      <c r="AY95">
        <v>0</v>
      </c>
      <c r="AZ95">
        <v>83.333333333333329</v>
      </c>
      <c r="BA95">
        <v>0</v>
      </c>
      <c r="BB95">
        <v>83.333333333333329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1283.3333333333333</v>
      </c>
      <c r="BI95">
        <v>1283.3333333333333</v>
      </c>
    </row>
    <row r="96" spans="1:61" hidden="1" x14ac:dyDescent="0.25">
      <c r="A96" t="s">
        <v>335</v>
      </c>
      <c r="B96" s="11">
        <v>45597</v>
      </c>
      <c r="C96" t="s">
        <v>6</v>
      </c>
      <c r="D96" t="s">
        <v>582</v>
      </c>
      <c r="F96" t="s">
        <v>292</v>
      </c>
      <c r="G96" t="s">
        <v>444</v>
      </c>
      <c r="H96" t="s">
        <v>195</v>
      </c>
      <c r="I96" s="10">
        <v>45496</v>
      </c>
      <c r="K96" t="s">
        <v>419</v>
      </c>
      <c r="L96" t="s">
        <v>211</v>
      </c>
      <c r="M96" t="s">
        <v>638</v>
      </c>
      <c r="N96">
        <v>1000</v>
      </c>
      <c r="O96">
        <v>1000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1000</v>
      </c>
      <c r="AE96">
        <v>200</v>
      </c>
      <c r="AF96">
        <v>0</v>
      </c>
      <c r="AH96">
        <v>0</v>
      </c>
      <c r="AL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U96">
        <v>200</v>
      </c>
      <c r="AV96">
        <v>1200</v>
      </c>
      <c r="AX96">
        <v>1200</v>
      </c>
      <c r="AY96">
        <v>0</v>
      </c>
      <c r="AZ96">
        <v>83.333333333333329</v>
      </c>
      <c r="BA96">
        <v>0</v>
      </c>
      <c r="BB96">
        <v>83.333333333333329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1283.3333333333333</v>
      </c>
      <c r="BI96">
        <v>1283.3333333333333</v>
      </c>
    </row>
    <row r="97" spans="1:61" hidden="1" x14ac:dyDescent="0.25">
      <c r="A97" t="s">
        <v>530</v>
      </c>
      <c r="B97" s="11">
        <v>45597</v>
      </c>
      <c r="C97" t="s">
        <v>6</v>
      </c>
      <c r="D97" t="s">
        <v>582</v>
      </c>
      <c r="F97" t="s">
        <v>292</v>
      </c>
      <c r="G97" t="s">
        <v>444</v>
      </c>
      <c r="H97" t="s">
        <v>195</v>
      </c>
      <c r="I97" s="10">
        <v>45496</v>
      </c>
      <c r="K97" t="s">
        <v>419</v>
      </c>
      <c r="L97" t="s">
        <v>211</v>
      </c>
      <c r="M97" t="s">
        <v>638</v>
      </c>
      <c r="N97">
        <v>1000</v>
      </c>
      <c r="O97">
        <v>1000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1000</v>
      </c>
      <c r="AE97">
        <v>200</v>
      </c>
      <c r="AF97">
        <v>0</v>
      </c>
      <c r="AH97">
        <v>0</v>
      </c>
      <c r="AL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U97">
        <v>200</v>
      </c>
      <c r="AV97">
        <v>1200</v>
      </c>
      <c r="AX97">
        <v>1200</v>
      </c>
      <c r="AY97">
        <v>0</v>
      </c>
      <c r="AZ97">
        <v>83.333333333333329</v>
      </c>
      <c r="BA97">
        <v>0</v>
      </c>
      <c r="BB97">
        <v>83.333333333333329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1283.3333333333333</v>
      </c>
      <c r="BI97">
        <v>1283.3333333333333</v>
      </c>
    </row>
    <row r="98" spans="1:61" hidden="1" x14ac:dyDescent="0.25">
      <c r="A98" t="s">
        <v>639</v>
      </c>
      <c r="B98" s="11">
        <v>45597</v>
      </c>
      <c r="C98" t="s">
        <v>6</v>
      </c>
      <c r="D98" t="s">
        <v>582</v>
      </c>
      <c r="F98" t="s">
        <v>292</v>
      </c>
      <c r="G98" t="s">
        <v>444</v>
      </c>
      <c r="H98" t="s">
        <v>244</v>
      </c>
      <c r="I98" s="10">
        <v>45497</v>
      </c>
      <c r="K98" t="s">
        <v>419</v>
      </c>
      <c r="L98" t="s">
        <v>245</v>
      </c>
      <c r="M98" t="s">
        <v>468</v>
      </c>
      <c r="N98">
        <v>1000</v>
      </c>
      <c r="O98">
        <v>1000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1000</v>
      </c>
      <c r="AE98">
        <v>200</v>
      </c>
      <c r="AF98">
        <v>0</v>
      </c>
      <c r="AH98">
        <v>0</v>
      </c>
      <c r="AL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U98">
        <v>200</v>
      </c>
      <c r="AV98">
        <v>1200</v>
      </c>
      <c r="AX98">
        <v>1200</v>
      </c>
      <c r="AY98">
        <v>0</v>
      </c>
      <c r="AZ98">
        <v>83.333333333333329</v>
      </c>
      <c r="BA98">
        <v>0</v>
      </c>
      <c r="BB98">
        <v>83.333333333333329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1283.3333333333333</v>
      </c>
      <c r="BI98">
        <v>1283.3333333333333</v>
      </c>
    </row>
    <row r="99" spans="1:61" hidden="1" x14ac:dyDescent="0.25">
      <c r="A99" t="s">
        <v>162</v>
      </c>
      <c r="B99" s="11">
        <v>45597</v>
      </c>
      <c r="C99" t="s">
        <v>5</v>
      </c>
      <c r="D99" t="s">
        <v>564</v>
      </c>
      <c r="F99" t="s">
        <v>95</v>
      </c>
      <c r="G99" t="s">
        <v>608</v>
      </c>
      <c r="H99" t="s">
        <v>567</v>
      </c>
      <c r="I99" s="10">
        <v>45520</v>
      </c>
      <c r="K99" t="s">
        <v>419</v>
      </c>
      <c r="L99" t="s">
        <v>640</v>
      </c>
      <c r="M99" t="s">
        <v>92</v>
      </c>
      <c r="N99">
        <v>2462.25</v>
      </c>
      <c r="O99">
        <v>2462.25</v>
      </c>
      <c r="P99">
        <v>0</v>
      </c>
      <c r="Q99">
        <v>492.45</v>
      </c>
      <c r="R99">
        <v>0</v>
      </c>
      <c r="S99">
        <v>0</v>
      </c>
      <c r="T99">
        <v>0</v>
      </c>
      <c r="U99">
        <v>0</v>
      </c>
      <c r="V99">
        <v>49.06</v>
      </c>
      <c r="W99">
        <v>648.5</v>
      </c>
      <c r="X99">
        <v>197.37</v>
      </c>
      <c r="Y99">
        <v>0</v>
      </c>
      <c r="Z99">
        <v>0</v>
      </c>
      <c r="AA99">
        <v>0</v>
      </c>
      <c r="AB99">
        <v>0</v>
      </c>
      <c r="AC99">
        <v>0</v>
      </c>
      <c r="AD99">
        <v>3849.6299999999997</v>
      </c>
      <c r="AE99">
        <v>500</v>
      </c>
      <c r="AF99">
        <v>190</v>
      </c>
      <c r="AH99">
        <v>0</v>
      </c>
      <c r="AL99">
        <v>0</v>
      </c>
      <c r="AM99">
        <v>981.3</v>
      </c>
      <c r="AO99">
        <v>0</v>
      </c>
      <c r="AP99">
        <v>0</v>
      </c>
      <c r="AQ99">
        <v>0</v>
      </c>
      <c r="AR99">
        <v>0</v>
      </c>
      <c r="AS99">
        <v>0</v>
      </c>
      <c r="AU99">
        <v>1671.3</v>
      </c>
      <c r="AV99">
        <v>5520.9299999999994</v>
      </c>
      <c r="AX99">
        <v>5520.9299999999994</v>
      </c>
      <c r="AY99">
        <v>320.80249999999995</v>
      </c>
      <c r="AZ99">
        <v>320.80249999999995</v>
      </c>
      <c r="BA99">
        <v>106.93416666666666</v>
      </c>
      <c r="BB99">
        <v>748.53916666666657</v>
      </c>
      <c r="BC99">
        <v>769.92599999999993</v>
      </c>
      <c r="BD99">
        <v>57.744449999999993</v>
      </c>
      <c r="BE99">
        <v>223.27853999999996</v>
      </c>
      <c r="BF99">
        <v>307.97039999999998</v>
      </c>
      <c r="BG99">
        <v>1358.9193899999998</v>
      </c>
      <c r="BH99">
        <v>6879.8493899999994</v>
      </c>
      <c r="BI99">
        <v>7628.3885566666659</v>
      </c>
    </row>
    <row r="100" spans="1:61" hidden="1" x14ac:dyDescent="0.25">
      <c r="A100" t="s">
        <v>237</v>
      </c>
      <c r="B100" s="11">
        <v>45597</v>
      </c>
      <c r="C100" t="s">
        <v>6</v>
      </c>
      <c r="D100" t="s">
        <v>582</v>
      </c>
      <c r="F100" t="s">
        <v>292</v>
      </c>
      <c r="G100" t="s">
        <v>444</v>
      </c>
      <c r="H100" t="s">
        <v>81</v>
      </c>
      <c r="I100" s="10">
        <v>45524</v>
      </c>
      <c r="K100" t="s">
        <v>419</v>
      </c>
      <c r="L100" t="s">
        <v>211</v>
      </c>
      <c r="M100" t="s">
        <v>641</v>
      </c>
      <c r="N100">
        <v>1000</v>
      </c>
      <c r="O100">
        <v>1000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1000</v>
      </c>
      <c r="AE100">
        <v>200</v>
      </c>
      <c r="AF100">
        <v>0</v>
      </c>
      <c r="AH100">
        <v>0</v>
      </c>
      <c r="AL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U100">
        <v>200</v>
      </c>
      <c r="AV100">
        <v>1200</v>
      </c>
      <c r="AX100">
        <v>1200</v>
      </c>
      <c r="AY100">
        <v>0</v>
      </c>
      <c r="AZ100">
        <v>83.333333333333329</v>
      </c>
      <c r="BA100">
        <v>0</v>
      </c>
      <c r="BB100">
        <v>83.333333333333329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1283.3333333333333</v>
      </c>
      <c r="BI100">
        <v>1283.3333333333333</v>
      </c>
    </row>
    <row r="101" spans="1:61" hidden="1" x14ac:dyDescent="0.25">
      <c r="A101" t="s">
        <v>642</v>
      </c>
      <c r="B101" s="11">
        <v>45597</v>
      </c>
      <c r="C101" t="s">
        <v>6</v>
      </c>
      <c r="D101" t="s">
        <v>588</v>
      </c>
      <c r="E101" t="s">
        <v>312</v>
      </c>
      <c r="F101" t="s">
        <v>312</v>
      </c>
      <c r="G101" t="s">
        <v>313</v>
      </c>
      <c r="H101" t="s">
        <v>195</v>
      </c>
      <c r="I101" s="10">
        <v>45524</v>
      </c>
      <c r="K101" t="s">
        <v>419</v>
      </c>
      <c r="L101" t="s">
        <v>211</v>
      </c>
      <c r="M101" t="s">
        <v>638</v>
      </c>
      <c r="N101">
        <v>1000</v>
      </c>
      <c r="O101">
        <v>1000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1000</v>
      </c>
      <c r="AE101">
        <v>200</v>
      </c>
      <c r="AF101">
        <v>0</v>
      </c>
      <c r="AH101">
        <v>0</v>
      </c>
      <c r="AL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U101">
        <v>200</v>
      </c>
      <c r="AV101">
        <v>1200</v>
      </c>
      <c r="AX101">
        <v>1200</v>
      </c>
      <c r="AY101">
        <v>0</v>
      </c>
      <c r="AZ101">
        <v>83.333333333333329</v>
      </c>
      <c r="BA101">
        <v>0</v>
      </c>
      <c r="BB101">
        <v>83.333333333333329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1283.3333333333333</v>
      </c>
      <c r="BI101">
        <v>1283.3333333333333</v>
      </c>
    </row>
    <row r="102" spans="1:61" hidden="1" x14ac:dyDescent="0.25">
      <c r="A102" t="s">
        <v>643</v>
      </c>
      <c r="B102" s="11">
        <v>45597</v>
      </c>
      <c r="C102" t="s">
        <v>8</v>
      </c>
      <c r="D102" t="s">
        <v>597</v>
      </c>
      <c r="E102" t="s">
        <v>424</v>
      </c>
      <c r="F102" t="s">
        <v>424</v>
      </c>
      <c r="G102" t="s">
        <v>644</v>
      </c>
      <c r="H102" t="s">
        <v>195</v>
      </c>
      <c r="I102" s="10">
        <v>45524</v>
      </c>
      <c r="K102" t="s">
        <v>419</v>
      </c>
      <c r="L102" t="s">
        <v>447</v>
      </c>
      <c r="M102" t="s">
        <v>645</v>
      </c>
      <c r="N102">
        <v>3500</v>
      </c>
      <c r="O102">
        <v>3500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3500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3500</v>
      </c>
      <c r="AV102">
        <v>3500</v>
      </c>
      <c r="AX102">
        <v>3500</v>
      </c>
      <c r="AY102">
        <v>291.66666666666669</v>
      </c>
      <c r="AZ102">
        <v>0</v>
      </c>
      <c r="BA102">
        <v>0</v>
      </c>
      <c r="BB102">
        <v>291.66666666666669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3500</v>
      </c>
      <c r="BI102">
        <v>3791.6666666666665</v>
      </c>
    </row>
    <row r="103" spans="1:61" hidden="1" x14ac:dyDescent="0.25">
      <c r="A103" t="s">
        <v>186</v>
      </c>
      <c r="B103" s="11">
        <v>45597</v>
      </c>
      <c r="C103" t="s">
        <v>5</v>
      </c>
      <c r="D103" t="s">
        <v>560</v>
      </c>
      <c r="F103" t="s">
        <v>80</v>
      </c>
      <c r="G103" t="s">
        <v>83</v>
      </c>
      <c r="H103" t="s">
        <v>88</v>
      </c>
      <c r="I103" s="10">
        <v>45532</v>
      </c>
      <c r="K103" t="s">
        <v>419</v>
      </c>
      <c r="L103" t="s">
        <v>89</v>
      </c>
      <c r="M103" t="s">
        <v>646</v>
      </c>
      <c r="N103">
        <v>1828.35</v>
      </c>
      <c r="O103">
        <v>1828.35</v>
      </c>
      <c r="P103">
        <v>0</v>
      </c>
      <c r="Q103">
        <v>365.67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372.98</v>
      </c>
      <c r="X103">
        <v>113.52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2680.52</v>
      </c>
      <c r="AE103">
        <v>150</v>
      </c>
      <c r="AF103">
        <v>190</v>
      </c>
      <c r="AH103">
        <v>0</v>
      </c>
      <c r="AL103">
        <v>0</v>
      </c>
      <c r="AN103">
        <v>48.15</v>
      </c>
      <c r="AO103">
        <v>0</v>
      </c>
      <c r="AP103">
        <v>0</v>
      </c>
      <c r="AQ103">
        <v>0</v>
      </c>
      <c r="AR103">
        <v>0</v>
      </c>
      <c r="AS103">
        <v>0</v>
      </c>
      <c r="AU103">
        <v>388.15</v>
      </c>
      <c r="AV103">
        <v>3068.67</v>
      </c>
      <c r="AX103">
        <v>3068.67</v>
      </c>
      <c r="AY103">
        <v>223.37666666666667</v>
      </c>
      <c r="AZ103">
        <v>223.37666666666667</v>
      </c>
      <c r="BA103">
        <v>74.458888888888893</v>
      </c>
      <c r="BB103">
        <v>521.21222222222218</v>
      </c>
      <c r="BC103">
        <v>536.10400000000004</v>
      </c>
      <c r="BD103">
        <v>158.04077868000002</v>
      </c>
      <c r="BE103">
        <v>155.47015999999999</v>
      </c>
      <c r="BF103">
        <v>214.44159999999999</v>
      </c>
      <c r="BG103">
        <v>1064.0565386799999</v>
      </c>
      <c r="BH103">
        <v>4132.72653868</v>
      </c>
      <c r="BI103">
        <v>4653.9387609022224</v>
      </c>
    </row>
    <row r="104" spans="1:61" hidden="1" x14ac:dyDescent="0.25">
      <c r="A104" t="s">
        <v>341</v>
      </c>
      <c r="B104" s="11">
        <v>45597</v>
      </c>
      <c r="C104" t="s">
        <v>6</v>
      </c>
      <c r="D104" t="s">
        <v>588</v>
      </c>
      <c r="E104" t="s">
        <v>312</v>
      </c>
      <c r="F104" t="s">
        <v>312</v>
      </c>
      <c r="G104" t="s">
        <v>313</v>
      </c>
      <c r="H104" t="s">
        <v>218</v>
      </c>
      <c r="I104" s="10">
        <v>45539</v>
      </c>
      <c r="K104" t="s">
        <v>419</v>
      </c>
      <c r="L104" t="s">
        <v>647</v>
      </c>
      <c r="M104" t="s">
        <v>648</v>
      </c>
      <c r="N104">
        <v>1000</v>
      </c>
      <c r="O104">
        <v>1000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1000</v>
      </c>
      <c r="AE104">
        <v>200</v>
      </c>
      <c r="AF104">
        <v>0</v>
      </c>
      <c r="AH104">
        <v>0</v>
      </c>
      <c r="AL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U104">
        <v>200</v>
      </c>
      <c r="AV104">
        <v>1200</v>
      </c>
      <c r="AX104">
        <v>1200</v>
      </c>
      <c r="AY104">
        <v>0</v>
      </c>
      <c r="AZ104">
        <v>83.333333333333329</v>
      </c>
      <c r="BA104">
        <v>0</v>
      </c>
      <c r="BB104">
        <v>83.333333333333329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1283.3333333333333</v>
      </c>
      <c r="BI104">
        <v>1283.3333333333333</v>
      </c>
    </row>
    <row r="105" spans="1:61" hidden="1" x14ac:dyDescent="0.25">
      <c r="A105" t="s">
        <v>649</v>
      </c>
      <c r="B105" s="11">
        <v>45597</v>
      </c>
      <c r="C105" t="s">
        <v>650</v>
      </c>
      <c r="D105" t="s">
        <v>564</v>
      </c>
      <c r="F105" t="s">
        <v>95</v>
      </c>
      <c r="G105" t="s">
        <v>109</v>
      </c>
      <c r="H105" t="s">
        <v>96</v>
      </c>
      <c r="I105" s="10">
        <v>45548</v>
      </c>
      <c r="K105" t="s">
        <v>419</v>
      </c>
      <c r="L105" t="s">
        <v>651</v>
      </c>
      <c r="M105" t="s">
        <v>652</v>
      </c>
      <c r="N105">
        <v>1000</v>
      </c>
      <c r="O105">
        <v>1000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1000</v>
      </c>
      <c r="AE105">
        <v>200</v>
      </c>
      <c r="AF105">
        <v>0</v>
      </c>
      <c r="AH105">
        <v>0</v>
      </c>
      <c r="AL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U105">
        <v>200</v>
      </c>
      <c r="AV105">
        <v>1200</v>
      </c>
      <c r="AX105">
        <v>1200</v>
      </c>
      <c r="AY105">
        <v>0</v>
      </c>
      <c r="AZ105">
        <v>83.333333333333329</v>
      </c>
      <c r="BA105">
        <v>0</v>
      </c>
      <c r="BB105">
        <v>83.333333333333329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1283.3333333333333</v>
      </c>
      <c r="BI105">
        <v>1283.3333333333333</v>
      </c>
    </row>
    <row r="106" spans="1:61" hidden="1" x14ac:dyDescent="0.25">
      <c r="A106" t="s">
        <v>206</v>
      </c>
      <c r="B106" s="11">
        <v>45597</v>
      </c>
      <c r="C106" t="s">
        <v>5</v>
      </c>
      <c r="D106" t="s">
        <v>582</v>
      </c>
      <c r="F106" t="s">
        <v>292</v>
      </c>
      <c r="G106" t="s">
        <v>203</v>
      </c>
      <c r="H106" t="s">
        <v>207</v>
      </c>
      <c r="I106" s="10">
        <v>45552</v>
      </c>
      <c r="K106" t="s">
        <v>422</v>
      </c>
      <c r="L106" t="s">
        <v>208</v>
      </c>
      <c r="M106" t="s">
        <v>351</v>
      </c>
      <c r="N106">
        <v>1885</v>
      </c>
      <c r="O106">
        <v>1885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1885</v>
      </c>
      <c r="AE106">
        <v>200</v>
      </c>
      <c r="AF106">
        <v>190</v>
      </c>
      <c r="AH106">
        <v>0</v>
      </c>
      <c r="AL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U106">
        <v>390</v>
      </c>
      <c r="AV106">
        <v>2275</v>
      </c>
      <c r="AX106">
        <v>2275</v>
      </c>
      <c r="AY106">
        <v>157.08333333333334</v>
      </c>
      <c r="AZ106">
        <v>157.08333333333334</v>
      </c>
      <c r="BA106">
        <v>52.361111111111114</v>
      </c>
      <c r="BB106">
        <v>366.52777777777783</v>
      </c>
      <c r="BC106">
        <v>377</v>
      </c>
      <c r="BD106">
        <v>28.274999999999999</v>
      </c>
      <c r="BE106">
        <v>109.33</v>
      </c>
      <c r="BF106">
        <v>150.80000000000001</v>
      </c>
      <c r="BG106">
        <v>665.40499999999997</v>
      </c>
      <c r="BH106">
        <v>2940.4049999999997</v>
      </c>
      <c r="BI106">
        <v>3306.932777777778</v>
      </c>
    </row>
    <row r="107" spans="1:61" hidden="1" x14ac:dyDescent="0.25">
      <c r="A107" t="s">
        <v>653</v>
      </c>
      <c r="B107" s="11">
        <v>45597</v>
      </c>
      <c r="C107" t="s">
        <v>6</v>
      </c>
      <c r="D107" t="s">
        <v>582</v>
      </c>
      <c r="F107" t="s">
        <v>292</v>
      </c>
      <c r="G107" t="s">
        <v>444</v>
      </c>
      <c r="H107" t="s">
        <v>195</v>
      </c>
      <c r="I107" s="10">
        <v>45558</v>
      </c>
      <c r="K107" t="s">
        <v>419</v>
      </c>
      <c r="L107" t="s">
        <v>211</v>
      </c>
      <c r="M107" t="s">
        <v>638</v>
      </c>
      <c r="N107">
        <v>1000</v>
      </c>
      <c r="O107">
        <v>1000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1000</v>
      </c>
      <c r="AE107">
        <v>200</v>
      </c>
      <c r="AF107">
        <v>0</v>
      </c>
      <c r="AH107">
        <v>0</v>
      </c>
      <c r="AL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U107">
        <v>200</v>
      </c>
      <c r="AV107">
        <v>1200</v>
      </c>
      <c r="AX107">
        <v>1200</v>
      </c>
      <c r="AY107">
        <v>0</v>
      </c>
      <c r="AZ107">
        <v>83.333333333333329</v>
      </c>
      <c r="BA107">
        <v>0</v>
      </c>
      <c r="BB107">
        <v>83.333333333333329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1283.3333333333333</v>
      </c>
      <c r="BI107">
        <v>1283.3333333333333</v>
      </c>
    </row>
    <row r="108" spans="1:61" hidden="1" x14ac:dyDescent="0.25">
      <c r="A108" t="s">
        <v>654</v>
      </c>
      <c r="B108" s="11">
        <v>45597</v>
      </c>
      <c r="C108" t="s">
        <v>6</v>
      </c>
      <c r="D108" t="s">
        <v>582</v>
      </c>
      <c r="F108" t="s">
        <v>292</v>
      </c>
      <c r="G108" t="s">
        <v>444</v>
      </c>
      <c r="H108" t="s">
        <v>195</v>
      </c>
      <c r="I108" s="10">
        <v>45558</v>
      </c>
      <c r="J108" s="10">
        <v>45604</v>
      </c>
      <c r="K108" t="s">
        <v>419</v>
      </c>
      <c r="L108" t="s">
        <v>211</v>
      </c>
      <c r="M108" t="s">
        <v>638</v>
      </c>
      <c r="N108">
        <v>1000</v>
      </c>
      <c r="O108">
        <v>266.66666666666669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266.66666666666669</v>
      </c>
      <c r="AE108">
        <v>200</v>
      </c>
      <c r="AF108">
        <v>0</v>
      </c>
      <c r="AH108">
        <v>0</v>
      </c>
      <c r="AL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U108">
        <v>200</v>
      </c>
      <c r="AV108">
        <v>466.66666666666669</v>
      </c>
      <c r="AX108">
        <v>466.66666666666669</v>
      </c>
      <c r="AY108">
        <v>0</v>
      </c>
      <c r="AZ108">
        <v>22.222222222222225</v>
      </c>
      <c r="BA108">
        <v>0</v>
      </c>
      <c r="BB108">
        <v>22.222222222222225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488.88888888888891</v>
      </c>
      <c r="BI108">
        <v>488.88888888888891</v>
      </c>
    </row>
    <row r="109" spans="1:61" hidden="1" x14ac:dyDescent="0.25">
      <c r="A109" t="s">
        <v>528</v>
      </c>
      <c r="B109" s="11">
        <v>45597</v>
      </c>
      <c r="C109" t="s">
        <v>5</v>
      </c>
      <c r="D109" t="s">
        <v>582</v>
      </c>
      <c r="F109" t="s">
        <v>292</v>
      </c>
      <c r="G109" t="s">
        <v>203</v>
      </c>
      <c r="H109" t="s">
        <v>195</v>
      </c>
      <c r="I109" s="10">
        <v>45561</v>
      </c>
      <c r="K109" t="s">
        <v>422</v>
      </c>
      <c r="L109" t="s">
        <v>655</v>
      </c>
      <c r="M109" t="s">
        <v>212</v>
      </c>
      <c r="N109">
        <v>1885</v>
      </c>
      <c r="O109">
        <v>1885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1885</v>
      </c>
      <c r="AE109">
        <v>200</v>
      </c>
      <c r="AF109">
        <v>190</v>
      </c>
      <c r="AH109">
        <v>0</v>
      </c>
      <c r="AL109">
        <v>0</v>
      </c>
      <c r="AN109">
        <v>264</v>
      </c>
      <c r="AO109">
        <v>0</v>
      </c>
      <c r="AP109">
        <v>0</v>
      </c>
      <c r="AQ109">
        <v>0</v>
      </c>
      <c r="AR109">
        <v>0</v>
      </c>
      <c r="AS109">
        <v>0</v>
      </c>
      <c r="AU109">
        <v>654</v>
      </c>
      <c r="AV109">
        <v>2539</v>
      </c>
      <c r="AX109">
        <v>2539</v>
      </c>
      <c r="AY109">
        <v>157.08333333333334</v>
      </c>
      <c r="AZ109">
        <v>157.08333333333334</v>
      </c>
      <c r="BA109">
        <v>52.361111111111114</v>
      </c>
      <c r="BB109">
        <v>366.52777777777783</v>
      </c>
      <c r="BC109">
        <v>377</v>
      </c>
      <c r="BD109">
        <v>28.274999999999999</v>
      </c>
      <c r="BE109">
        <v>109.33</v>
      </c>
      <c r="BF109">
        <v>150.80000000000001</v>
      </c>
      <c r="BG109">
        <v>665.40499999999997</v>
      </c>
      <c r="BH109">
        <v>3204.4049999999997</v>
      </c>
      <c r="BI109">
        <v>3570.932777777778</v>
      </c>
    </row>
    <row r="110" spans="1:61" hidden="1" x14ac:dyDescent="0.25">
      <c r="A110" t="s">
        <v>227</v>
      </c>
      <c r="B110" s="11">
        <v>45597</v>
      </c>
      <c r="C110" t="s">
        <v>5</v>
      </c>
      <c r="D110" t="s">
        <v>582</v>
      </c>
      <c r="F110" t="s">
        <v>292</v>
      </c>
      <c r="G110" t="s">
        <v>203</v>
      </c>
      <c r="H110" t="s">
        <v>218</v>
      </c>
      <c r="I110" s="10">
        <v>45562</v>
      </c>
      <c r="K110" t="s">
        <v>422</v>
      </c>
      <c r="L110" t="s">
        <v>219</v>
      </c>
      <c r="M110" t="s">
        <v>656</v>
      </c>
      <c r="N110">
        <v>1885</v>
      </c>
      <c r="O110">
        <v>1885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1885</v>
      </c>
      <c r="AE110">
        <v>200</v>
      </c>
      <c r="AF110">
        <v>190</v>
      </c>
      <c r="AH110">
        <v>0</v>
      </c>
      <c r="AL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U110">
        <v>390</v>
      </c>
      <c r="AV110">
        <v>2275</v>
      </c>
      <c r="AX110">
        <v>2275</v>
      </c>
      <c r="AY110">
        <v>157.08333333333334</v>
      </c>
      <c r="AZ110">
        <v>157.08333333333334</v>
      </c>
      <c r="BA110">
        <v>52.361111111111114</v>
      </c>
      <c r="BB110">
        <v>366.52777777777783</v>
      </c>
      <c r="BC110">
        <v>377</v>
      </c>
      <c r="BD110">
        <v>28.274999999999999</v>
      </c>
      <c r="BE110">
        <v>109.33</v>
      </c>
      <c r="BF110">
        <v>150.80000000000001</v>
      </c>
      <c r="BG110">
        <v>665.40499999999997</v>
      </c>
      <c r="BH110">
        <v>2940.4049999999997</v>
      </c>
      <c r="BI110">
        <v>3306.932777777778</v>
      </c>
    </row>
    <row r="111" spans="1:61" hidden="1" x14ac:dyDescent="0.25">
      <c r="A111" t="s">
        <v>526</v>
      </c>
      <c r="B111" s="11">
        <v>45597</v>
      </c>
      <c r="C111" t="s">
        <v>5</v>
      </c>
      <c r="D111" t="s">
        <v>657</v>
      </c>
      <c r="F111" t="s">
        <v>658</v>
      </c>
      <c r="G111" t="s">
        <v>608</v>
      </c>
      <c r="H111" t="s">
        <v>81</v>
      </c>
      <c r="I111" s="10">
        <v>45580</v>
      </c>
      <c r="K111" t="s">
        <v>419</v>
      </c>
      <c r="L111" t="s">
        <v>196</v>
      </c>
      <c r="M111" t="s">
        <v>197</v>
      </c>
      <c r="N111">
        <v>2208</v>
      </c>
      <c r="O111">
        <v>2208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2208</v>
      </c>
      <c r="AE111">
        <v>200</v>
      </c>
      <c r="AF111">
        <v>190</v>
      </c>
      <c r="AH111">
        <v>0</v>
      </c>
      <c r="AK111">
        <v>382.5</v>
      </c>
      <c r="AL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U111">
        <v>772.5</v>
      </c>
      <c r="AV111">
        <v>2980.5</v>
      </c>
      <c r="AX111">
        <v>2980.5</v>
      </c>
      <c r="AY111">
        <v>184</v>
      </c>
      <c r="AZ111">
        <v>184</v>
      </c>
      <c r="BA111">
        <v>61.333333333333336</v>
      </c>
      <c r="BB111">
        <v>429.33333333333331</v>
      </c>
      <c r="BC111">
        <v>441.6</v>
      </c>
      <c r="BD111">
        <v>33.119999999999997</v>
      </c>
      <c r="BE111">
        <v>128.06399999999999</v>
      </c>
      <c r="BF111">
        <v>176.64000000000001</v>
      </c>
      <c r="BG111">
        <v>779.42399999999998</v>
      </c>
      <c r="BH111">
        <v>3759.924</v>
      </c>
      <c r="BI111">
        <v>4189.257333333333</v>
      </c>
    </row>
    <row r="112" spans="1:61" hidden="1" x14ac:dyDescent="0.25">
      <c r="A112" t="s">
        <v>191</v>
      </c>
      <c r="B112" s="11">
        <v>45597</v>
      </c>
      <c r="C112" t="s">
        <v>5</v>
      </c>
      <c r="D112" t="s">
        <v>560</v>
      </c>
      <c r="F112" t="s">
        <v>80</v>
      </c>
      <c r="G112" t="s">
        <v>83</v>
      </c>
      <c r="H112" t="s">
        <v>88</v>
      </c>
      <c r="I112" s="10">
        <v>45594</v>
      </c>
      <c r="K112" t="s">
        <v>419</v>
      </c>
      <c r="L112" t="s">
        <v>89</v>
      </c>
      <c r="M112" t="s">
        <v>504</v>
      </c>
      <c r="N112">
        <v>1828.35</v>
      </c>
      <c r="O112">
        <v>1828.35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1828.35</v>
      </c>
      <c r="AE112">
        <v>150</v>
      </c>
      <c r="AF112">
        <v>190</v>
      </c>
      <c r="AH112">
        <v>0</v>
      </c>
      <c r="AL112">
        <v>0</v>
      </c>
      <c r="AN112">
        <v>48.15</v>
      </c>
      <c r="AO112">
        <v>0</v>
      </c>
      <c r="AP112">
        <v>0</v>
      </c>
      <c r="AQ112">
        <v>0</v>
      </c>
      <c r="AR112">
        <v>0</v>
      </c>
      <c r="AS112">
        <v>0</v>
      </c>
      <c r="AU112">
        <v>388.15</v>
      </c>
      <c r="AV112">
        <v>2216.5</v>
      </c>
      <c r="AX112">
        <v>2216.5</v>
      </c>
      <c r="AY112">
        <v>152.36249999999998</v>
      </c>
      <c r="AZ112">
        <v>152.36249999999998</v>
      </c>
      <c r="BA112">
        <v>50.787499999999994</v>
      </c>
      <c r="BB112">
        <v>355.51249999999993</v>
      </c>
      <c r="BC112">
        <v>365.67</v>
      </c>
      <c r="BD112">
        <v>107.79768765</v>
      </c>
      <c r="BE112">
        <v>106.04429999999999</v>
      </c>
      <c r="BF112">
        <v>146.268</v>
      </c>
      <c r="BG112">
        <v>725.77998765000007</v>
      </c>
      <c r="BH112">
        <v>2942.2799876500003</v>
      </c>
      <c r="BI112">
        <v>3297.7924876500001</v>
      </c>
    </row>
    <row r="113" spans="1:61" hidden="1" x14ac:dyDescent="0.25">
      <c r="A113" t="s">
        <v>452</v>
      </c>
      <c r="B113" s="11">
        <v>45597</v>
      </c>
      <c r="C113" t="s">
        <v>8</v>
      </c>
      <c r="D113" t="s">
        <v>597</v>
      </c>
      <c r="E113" t="s">
        <v>424</v>
      </c>
      <c r="F113" t="s">
        <v>424</v>
      </c>
      <c r="G113" t="s">
        <v>203</v>
      </c>
      <c r="H113" t="s">
        <v>81</v>
      </c>
      <c r="K113" t="s">
        <v>434</v>
      </c>
      <c r="L113" t="s">
        <v>435</v>
      </c>
      <c r="M113" t="s">
        <v>600</v>
      </c>
      <c r="N113">
        <v>8000</v>
      </c>
      <c r="O113">
        <v>8000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8000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8000</v>
      </c>
      <c r="AV113">
        <v>8000</v>
      </c>
      <c r="AX113">
        <v>8000</v>
      </c>
      <c r="AY113">
        <v>666.66666666666663</v>
      </c>
      <c r="AZ113">
        <v>0</v>
      </c>
      <c r="BA113">
        <v>0</v>
      </c>
      <c r="BB113">
        <v>666.66666666666663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8000</v>
      </c>
      <c r="BI113">
        <v>8666.6666666666661</v>
      </c>
    </row>
    <row r="114" spans="1:61" hidden="1" x14ac:dyDescent="0.25">
      <c r="A114" t="s">
        <v>458</v>
      </c>
      <c r="B114" s="11">
        <v>45597</v>
      </c>
      <c r="C114" t="s">
        <v>8</v>
      </c>
      <c r="D114" t="s">
        <v>597</v>
      </c>
      <c r="E114" t="s">
        <v>424</v>
      </c>
      <c r="F114" t="s">
        <v>424</v>
      </c>
      <c r="G114" t="s">
        <v>444</v>
      </c>
      <c r="H114" t="s">
        <v>459</v>
      </c>
      <c r="K114" t="s">
        <v>434</v>
      </c>
      <c r="L114" t="s">
        <v>601</v>
      </c>
      <c r="M114" t="s">
        <v>602</v>
      </c>
      <c r="N114">
        <v>15000</v>
      </c>
      <c r="O114">
        <v>15000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15000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15000</v>
      </c>
      <c r="AV114">
        <v>15000</v>
      </c>
      <c r="AX114">
        <v>15000</v>
      </c>
      <c r="AY114">
        <v>1250</v>
      </c>
      <c r="AZ114">
        <v>0</v>
      </c>
      <c r="BA114">
        <v>0</v>
      </c>
      <c r="BB114">
        <v>1250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15000</v>
      </c>
      <c r="BI114">
        <v>16250</v>
      </c>
    </row>
    <row r="115" spans="1:61" hidden="1" x14ac:dyDescent="0.25">
      <c r="A115" t="s">
        <v>427</v>
      </c>
      <c r="B115" s="11">
        <v>45597</v>
      </c>
      <c r="C115" t="s">
        <v>8</v>
      </c>
      <c r="D115" t="s">
        <v>597</v>
      </c>
      <c r="E115">
        <v>5</v>
      </c>
      <c r="F115" t="s">
        <v>424</v>
      </c>
      <c r="G115" t="s">
        <v>633</v>
      </c>
      <c r="H115" t="s">
        <v>428</v>
      </c>
      <c r="K115" t="s">
        <v>419</v>
      </c>
      <c r="L115" t="s">
        <v>322</v>
      </c>
      <c r="M115" t="s">
        <v>429</v>
      </c>
      <c r="N115">
        <v>8500</v>
      </c>
      <c r="O115">
        <v>8500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8500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8500</v>
      </c>
      <c r="AV115">
        <v>8500</v>
      </c>
      <c r="AX115">
        <v>8500</v>
      </c>
      <c r="AY115">
        <v>708.33333333333337</v>
      </c>
      <c r="AZ115">
        <v>0</v>
      </c>
      <c r="BA115">
        <v>0</v>
      </c>
      <c r="BB115">
        <v>708.33333333333337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8500</v>
      </c>
      <c r="BI115">
        <v>9208.3333333333339</v>
      </c>
    </row>
    <row r="116" spans="1:61" hidden="1" x14ac:dyDescent="0.25">
      <c r="A116" t="s">
        <v>603</v>
      </c>
      <c r="B116" s="11">
        <v>45597</v>
      </c>
      <c r="C116" t="s">
        <v>8</v>
      </c>
      <c r="D116" t="s">
        <v>597</v>
      </c>
      <c r="E116">
        <v>4</v>
      </c>
      <c r="F116" t="s">
        <v>424</v>
      </c>
      <c r="G116" t="s">
        <v>203</v>
      </c>
      <c r="H116" t="s">
        <v>207</v>
      </c>
      <c r="I116" s="10">
        <v>45609</v>
      </c>
      <c r="K116" t="s">
        <v>422</v>
      </c>
      <c r="L116" t="s">
        <v>208</v>
      </c>
      <c r="M116" t="s">
        <v>604</v>
      </c>
      <c r="N116">
        <v>8300</v>
      </c>
      <c r="O116">
        <v>4500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4500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4500</v>
      </c>
      <c r="AV116">
        <v>4500</v>
      </c>
      <c r="AX116">
        <v>4500</v>
      </c>
      <c r="AY116">
        <v>375</v>
      </c>
      <c r="AZ116">
        <v>0</v>
      </c>
      <c r="BA116">
        <v>0</v>
      </c>
      <c r="BB116">
        <v>375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4500</v>
      </c>
      <c r="BI116">
        <v>4875</v>
      </c>
    </row>
    <row r="117" spans="1:61" hidden="1" x14ac:dyDescent="0.25">
      <c r="A117" t="s">
        <v>659</v>
      </c>
      <c r="B117" s="11">
        <v>45597</v>
      </c>
      <c r="C117" t="s">
        <v>8</v>
      </c>
      <c r="D117" t="s">
        <v>597</v>
      </c>
      <c r="E117">
        <v>4</v>
      </c>
      <c r="F117" t="s">
        <v>424</v>
      </c>
      <c r="G117" t="s">
        <v>444</v>
      </c>
      <c r="H117" t="s">
        <v>428</v>
      </c>
      <c r="I117" s="10">
        <v>45600</v>
      </c>
      <c r="K117" t="s">
        <v>419</v>
      </c>
      <c r="L117" t="s">
        <v>211</v>
      </c>
      <c r="M117" t="s">
        <v>442</v>
      </c>
      <c r="N117">
        <v>10000</v>
      </c>
      <c r="O117">
        <v>9000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9000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9000</v>
      </c>
      <c r="AV117">
        <v>9000</v>
      </c>
      <c r="AX117">
        <v>9000</v>
      </c>
      <c r="AY117">
        <v>750</v>
      </c>
      <c r="AZ117">
        <v>0</v>
      </c>
      <c r="BA117">
        <v>0</v>
      </c>
      <c r="BB117">
        <v>750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9000</v>
      </c>
      <c r="BI117">
        <v>9750</v>
      </c>
    </row>
    <row r="118" spans="1:61" hidden="1" x14ac:dyDescent="0.25">
      <c r="A118" t="s">
        <v>660</v>
      </c>
      <c r="B118" s="11">
        <v>45597</v>
      </c>
      <c r="C118" t="s">
        <v>5</v>
      </c>
      <c r="D118" t="s">
        <v>564</v>
      </c>
      <c r="F118" t="s">
        <v>95</v>
      </c>
      <c r="G118" t="s">
        <v>561</v>
      </c>
      <c r="H118" t="s">
        <v>565</v>
      </c>
      <c r="I118" s="10">
        <v>45601</v>
      </c>
      <c r="K118" t="s">
        <v>419</v>
      </c>
      <c r="L118" t="s">
        <v>517</v>
      </c>
      <c r="M118" t="s">
        <v>92</v>
      </c>
      <c r="N118">
        <v>2462.25</v>
      </c>
      <c r="O118">
        <v>2133.9499999999998</v>
      </c>
      <c r="P118">
        <v>0</v>
      </c>
      <c r="Q118">
        <v>426.79</v>
      </c>
      <c r="R118">
        <v>0</v>
      </c>
      <c r="S118">
        <v>0</v>
      </c>
      <c r="T118">
        <v>0</v>
      </c>
      <c r="U118">
        <v>0</v>
      </c>
      <c r="V118">
        <v>33.26</v>
      </c>
      <c r="W118">
        <v>370.69</v>
      </c>
      <c r="X118">
        <v>88.26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3052.9500000000003</v>
      </c>
      <c r="AE118">
        <v>374</v>
      </c>
      <c r="AF118">
        <v>190</v>
      </c>
      <c r="AH118">
        <v>0</v>
      </c>
      <c r="AL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U118">
        <v>564</v>
      </c>
      <c r="AV118">
        <v>3616.9500000000003</v>
      </c>
      <c r="AX118">
        <v>3616.9500000000003</v>
      </c>
      <c r="AY118">
        <v>254.41250000000002</v>
      </c>
      <c r="AZ118">
        <v>254.41250000000002</v>
      </c>
      <c r="BA118">
        <v>84.804166666666674</v>
      </c>
      <c r="BB118">
        <v>593.62916666666672</v>
      </c>
      <c r="BC118">
        <v>610.59</v>
      </c>
      <c r="BD118">
        <v>45.794250000000005</v>
      </c>
      <c r="BE118">
        <v>177.0711</v>
      </c>
      <c r="BF118">
        <v>244.23600000000002</v>
      </c>
      <c r="BG118">
        <v>1077.6913500000001</v>
      </c>
      <c r="BH118">
        <v>4694.6413499999999</v>
      </c>
      <c r="BI118">
        <v>5288.2705166666674</v>
      </c>
    </row>
    <row r="119" spans="1:61" hidden="1" x14ac:dyDescent="0.25">
      <c r="A119" t="s">
        <v>175</v>
      </c>
      <c r="B119" s="11">
        <v>45597</v>
      </c>
      <c r="C119" t="s">
        <v>5</v>
      </c>
      <c r="D119" t="s">
        <v>577</v>
      </c>
      <c r="F119" t="s">
        <v>273</v>
      </c>
      <c r="G119" t="s">
        <v>178</v>
      </c>
      <c r="H119" t="s">
        <v>88</v>
      </c>
      <c r="I119" s="10">
        <v>45597</v>
      </c>
      <c r="K119" t="s">
        <v>419</v>
      </c>
      <c r="M119" t="s">
        <v>508</v>
      </c>
      <c r="N119">
        <v>2400</v>
      </c>
      <c r="O119">
        <v>2400</v>
      </c>
      <c r="P119">
        <v>0</v>
      </c>
      <c r="Q119">
        <v>480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314.18</v>
      </c>
      <c r="X119">
        <v>95.62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3289.7999999999997</v>
      </c>
      <c r="AE119">
        <v>200</v>
      </c>
      <c r="AF119">
        <v>0</v>
      </c>
      <c r="AG119">
        <v>225</v>
      </c>
      <c r="AH119">
        <v>0</v>
      </c>
      <c r="AI119">
        <v>231.83</v>
      </c>
      <c r="AL119">
        <v>0</v>
      </c>
      <c r="AN119">
        <v>115.26</v>
      </c>
      <c r="AO119">
        <v>893.5</v>
      </c>
      <c r="AP119">
        <v>0</v>
      </c>
      <c r="AQ119">
        <v>0</v>
      </c>
      <c r="AR119">
        <v>0</v>
      </c>
      <c r="AS119">
        <v>0</v>
      </c>
      <c r="AU119">
        <v>1665.5900000000001</v>
      </c>
      <c r="AV119">
        <v>4955.3899999999994</v>
      </c>
      <c r="AX119">
        <v>4955.3899999999994</v>
      </c>
      <c r="AY119">
        <v>274.14999999999998</v>
      </c>
      <c r="AZ119">
        <v>274.14999999999998</v>
      </c>
      <c r="BA119">
        <v>91.383333333333326</v>
      </c>
      <c r="BB119">
        <v>639.68333333333328</v>
      </c>
      <c r="BC119">
        <v>657.96</v>
      </c>
      <c r="BD119">
        <v>98.693999999999988</v>
      </c>
      <c r="BE119">
        <v>190.80839999999998</v>
      </c>
      <c r="BF119">
        <v>263.18399999999997</v>
      </c>
      <c r="BG119">
        <v>1210.6464000000001</v>
      </c>
      <c r="BH119">
        <v>6166.036399999999</v>
      </c>
      <c r="BI119">
        <v>6805.7197333333334</v>
      </c>
    </row>
    <row r="120" spans="1:61" hidden="1" x14ac:dyDescent="0.25">
      <c r="A120" t="s">
        <v>661</v>
      </c>
      <c r="B120" s="11">
        <v>45597</v>
      </c>
      <c r="C120" t="s">
        <v>5</v>
      </c>
      <c r="D120" t="s">
        <v>579</v>
      </c>
      <c r="F120" t="s">
        <v>283</v>
      </c>
      <c r="G120" t="s">
        <v>142</v>
      </c>
      <c r="H120" t="s">
        <v>88</v>
      </c>
      <c r="I120" s="10">
        <v>45610</v>
      </c>
      <c r="K120" t="s">
        <v>419</v>
      </c>
      <c r="M120" t="s">
        <v>504</v>
      </c>
      <c r="N120">
        <v>1840</v>
      </c>
      <c r="O120">
        <v>1042.67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1042.67</v>
      </c>
      <c r="AE120">
        <v>0</v>
      </c>
      <c r="AF120">
        <v>0</v>
      </c>
      <c r="AG120">
        <v>225</v>
      </c>
      <c r="AH120">
        <v>0</v>
      </c>
      <c r="AL120">
        <v>0</v>
      </c>
      <c r="AN120">
        <v>231.94</v>
      </c>
      <c r="AO120">
        <v>0</v>
      </c>
      <c r="AP120">
        <v>0</v>
      </c>
      <c r="AQ120">
        <v>0</v>
      </c>
      <c r="AR120">
        <v>0</v>
      </c>
      <c r="AS120">
        <v>0</v>
      </c>
      <c r="AU120">
        <v>456.94</v>
      </c>
      <c r="AV120">
        <v>1499.6100000000001</v>
      </c>
      <c r="AX120">
        <v>1499.6100000000001</v>
      </c>
      <c r="AY120">
        <v>86.889166666666668</v>
      </c>
      <c r="AZ120">
        <v>86.889166666666668</v>
      </c>
      <c r="BA120">
        <v>28.963055555555556</v>
      </c>
      <c r="BB120">
        <v>202.74138888888888</v>
      </c>
      <c r="BC120">
        <v>208.53400000000002</v>
      </c>
      <c r="BD120">
        <v>15.64005</v>
      </c>
      <c r="BE120">
        <v>60.47486</v>
      </c>
      <c r="BF120">
        <v>83.413600000000002</v>
      </c>
      <c r="BG120">
        <v>368.06250999999997</v>
      </c>
      <c r="BH120">
        <v>1867.6725100000001</v>
      </c>
      <c r="BI120">
        <v>2070.413898888889</v>
      </c>
    </row>
    <row r="121" spans="1:61" hidden="1" x14ac:dyDescent="0.25">
      <c r="A121" t="s">
        <v>298</v>
      </c>
      <c r="B121" s="11">
        <v>45597</v>
      </c>
      <c r="C121" t="s">
        <v>5</v>
      </c>
      <c r="D121" t="s">
        <v>582</v>
      </c>
      <c r="F121" t="s">
        <v>292</v>
      </c>
      <c r="G121" t="s">
        <v>566</v>
      </c>
      <c r="H121" t="s">
        <v>81</v>
      </c>
      <c r="I121" s="10">
        <v>45600</v>
      </c>
      <c r="K121" t="s">
        <v>419</v>
      </c>
      <c r="M121" t="s">
        <v>299</v>
      </c>
      <c r="N121">
        <v>1662</v>
      </c>
      <c r="O121">
        <v>1495.8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1495.8</v>
      </c>
      <c r="AE121">
        <v>380</v>
      </c>
      <c r="AF121">
        <v>190</v>
      </c>
      <c r="AH121">
        <v>0</v>
      </c>
      <c r="AL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U121">
        <v>570</v>
      </c>
      <c r="AV121">
        <v>2065.8000000000002</v>
      </c>
      <c r="AX121">
        <v>2065.8000000000002</v>
      </c>
      <c r="AY121">
        <v>124.64999999999999</v>
      </c>
      <c r="AZ121">
        <v>124.64999999999999</v>
      </c>
      <c r="BA121">
        <v>41.55</v>
      </c>
      <c r="BB121">
        <v>290.84999999999997</v>
      </c>
      <c r="BC121">
        <v>299.16000000000003</v>
      </c>
      <c r="BD121">
        <v>22.436999999999998</v>
      </c>
      <c r="BE121">
        <v>86.756399999999985</v>
      </c>
      <c r="BF121">
        <v>119.664</v>
      </c>
      <c r="BG121">
        <v>528.01740000000007</v>
      </c>
      <c r="BH121">
        <v>2593.8174000000004</v>
      </c>
      <c r="BI121">
        <v>2884.6674000000003</v>
      </c>
    </row>
    <row r="122" spans="1:61" hidden="1" x14ac:dyDescent="0.25">
      <c r="A122" t="s">
        <v>532</v>
      </c>
      <c r="B122" s="11">
        <v>45597</v>
      </c>
      <c r="C122" t="s">
        <v>6</v>
      </c>
      <c r="D122" t="s">
        <v>582</v>
      </c>
      <c r="F122" t="s">
        <v>292</v>
      </c>
      <c r="G122" t="s">
        <v>444</v>
      </c>
      <c r="H122" t="s">
        <v>195</v>
      </c>
      <c r="I122" s="10">
        <v>45597</v>
      </c>
      <c r="K122" t="s">
        <v>419</v>
      </c>
      <c r="L122" t="s">
        <v>211</v>
      </c>
      <c r="M122" t="s">
        <v>247</v>
      </c>
      <c r="N122">
        <v>1000</v>
      </c>
      <c r="O122">
        <v>1000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1000</v>
      </c>
      <c r="AE122">
        <v>400</v>
      </c>
      <c r="AF122">
        <v>0</v>
      </c>
      <c r="AH122">
        <v>0</v>
      </c>
      <c r="AL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U122">
        <v>400</v>
      </c>
      <c r="AV122">
        <v>1400</v>
      </c>
      <c r="AX122">
        <v>1400</v>
      </c>
      <c r="AY122">
        <v>0</v>
      </c>
      <c r="AZ122">
        <v>83.333333333333329</v>
      </c>
      <c r="BA122">
        <v>0</v>
      </c>
      <c r="BB122">
        <v>83.333333333333329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1483.3333333333333</v>
      </c>
      <c r="BI122">
        <v>1483.3333333333333</v>
      </c>
    </row>
  </sheetData>
  <autoFilter ref="A1:A122" xr:uid="{4E90DB20-6E76-479E-AA2A-D49BDE31C07D}">
    <filterColumn colId="0">
      <filters>
        <filter val="NIVALDO MATEUS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6719D-642C-4654-99F7-87FD6CE0AA1C}">
  <sheetPr filterMode="1">
    <pageSetUpPr fitToPage="1"/>
  </sheetPr>
  <dimension ref="A1:BJ113"/>
  <sheetViews>
    <sheetView topLeftCell="N1" workbookViewId="0">
      <selection activeCell="V126" sqref="V126"/>
    </sheetView>
  </sheetViews>
  <sheetFormatPr defaultRowHeight="15" x14ac:dyDescent="0.25"/>
  <cols>
    <col min="1" max="1" width="17" customWidth="1"/>
    <col min="2" max="2" width="14.28515625" customWidth="1"/>
    <col min="3" max="3" width="12.5703125" customWidth="1"/>
    <col min="4" max="7" width="9.140625" customWidth="1"/>
    <col min="8" max="8" width="23.85546875" customWidth="1"/>
    <col min="9" max="10" width="10.28515625" customWidth="1"/>
    <col min="11" max="11" width="14.7109375" customWidth="1"/>
    <col min="12" max="13" width="9.140625" customWidth="1"/>
    <col min="14" max="15" width="12.85546875" bestFit="1" customWidth="1"/>
    <col min="16" max="16" width="9.140625" customWidth="1"/>
    <col min="17" max="17" width="10.42578125" customWidth="1"/>
    <col min="18" max="18" width="9.140625" customWidth="1"/>
    <col min="19" max="19" width="11.42578125" bestFit="1" customWidth="1"/>
    <col min="20" max="22" width="9.140625" customWidth="1"/>
    <col min="23" max="23" width="11.85546875" bestFit="1" customWidth="1"/>
    <col min="24" max="24" width="11.42578125" bestFit="1" customWidth="1"/>
    <col min="25" max="29" width="9.140625" customWidth="1"/>
    <col min="30" max="30" width="12.85546875" bestFit="1" customWidth="1"/>
    <col min="31" max="31" width="11.28515625" bestFit="1" customWidth="1"/>
    <col min="32" max="32" width="10.28515625" bestFit="1" customWidth="1"/>
    <col min="33" max="37" width="9.140625" customWidth="1"/>
    <col min="38" max="38" width="11.85546875" customWidth="1"/>
    <col min="39" max="39" width="9.140625" customWidth="1"/>
    <col min="40" max="40" width="11.42578125" bestFit="1" customWidth="1"/>
    <col min="41" max="44" width="9.140625" customWidth="1"/>
    <col min="45" max="45" width="10.42578125" customWidth="1"/>
    <col min="46" max="46" width="9" customWidth="1"/>
    <col min="47" max="47" width="9.140625" customWidth="1"/>
    <col min="48" max="48" width="11.85546875" bestFit="1" customWidth="1"/>
    <col min="49" max="49" width="12.85546875" bestFit="1" customWidth="1"/>
    <col min="50" max="50" width="11.85546875" bestFit="1" customWidth="1"/>
    <col min="51" max="51" width="12.85546875" bestFit="1" customWidth="1"/>
    <col min="52" max="53" width="11.85546875" bestFit="1" customWidth="1"/>
    <col min="54" max="54" width="10.28515625" bestFit="1" customWidth="1"/>
    <col min="55" max="56" width="11.85546875" bestFit="1" customWidth="1"/>
    <col min="57" max="59" width="10.28515625" bestFit="1" customWidth="1"/>
    <col min="60" max="60" width="11.85546875" bestFit="1" customWidth="1"/>
    <col min="61" max="62" width="12.85546875" bestFit="1" customWidth="1"/>
  </cols>
  <sheetData>
    <row r="1" spans="1:62" ht="90" x14ac:dyDescent="0.25">
      <c r="A1" s="14" t="s">
        <v>362</v>
      </c>
      <c r="B1" s="13" t="s">
        <v>363</v>
      </c>
      <c r="C1" s="14" t="s">
        <v>2</v>
      </c>
      <c r="D1" s="14" t="s">
        <v>12</v>
      </c>
      <c r="E1" s="14" t="s">
        <v>364</v>
      </c>
      <c r="F1" s="14" t="s">
        <v>13</v>
      </c>
      <c r="G1" s="14" t="s">
        <v>14</v>
      </c>
      <c r="H1" s="14" t="s">
        <v>366</v>
      </c>
      <c r="I1" s="14" t="s">
        <v>367</v>
      </c>
      <c r="J1" s="15" t="s">
        <v>368</v>
      </c>
      <c r="K1" s="14" t="s">
        <v>369</v>
      </c>
      <c r="L1" s="14" t="s">
        <v>370</v>
      </c>
      <c r="M1" s="14" t="s">
        <v>371</v>
      </c>
      <c r="N1" s="14" t="s">
        <v>20</v>
      </c>
      <c r="O1" s="16" t="s">
        <v>372</v>
      </c>
      <c r="P1" s="14" t="s">
        <v>374</v>
      </c>
      <c r="Q1" s="17" t="s">
        <v>375</v>
      </c>
      <c r="R1" s="14" t="s">
        <v>376</v>
      </c>
      <c r="S1" s="14" t="s">
        <v>377</v>
      </c>
      <c r="T1" s="17" t="s">
        <v>378</v>
      </c>
      <c r="U1" s="14" t="s">
        <v>379</v>
      </c>
      <c r="V1" s="14" t="s">
        <v>380</v>
      </c>
      <c r="W1" s="17" t="s">
        <v>381</v>
      </c>
      <c r="X1" s="14" t="s">
        <v>382</v>
      </c>
      <c r="Y1" s="14" t="s">
        <v>383</v>
      </c>
      <c r="Z1" s="14" t="s">
        <v>384</v>
      </c>
      <c r="AA1" s="14" t="s">
        <v>385</v>
      </c>
      <c r="AB1" s="14" t="s">
        <v>386</v>
      </c>
      <c r="AC1" s="14" t="s">
        <v>373</v>
      </c>
      <c r="AD1" s="16" t="s">
        <v>387</v>
      </c>
      <c r="AE1" s="18" t="s">
        <v>388</v>
      </c>
      <c r="AF1" s="14" t="s">
        <v>389</v>
      </c>
      <c r="AG1" s="14" t="s">
        <v>390</v>
      </c>
      <c r="AH1" s="17" t="s">
        <v>391</v>
      </c>
      <c r="AI1" s="17" t="s">
        <v>392</v>
      </c>
      <c r="AJ1" s="17" t="s">
        <v>393</v>
      </c>
      <c r="AK1" s="17" t="s">
        <v>394</v>
      </c>
      <c r="AL1" s="17" t="s">
        <v>395</v>
      </c>
      <c r="AM1" s="17" t="s">
        <v>396</v>
      </c>
      <c r="AN1" s="17" t="s">
        <v>397</v>
      </c>
      <c r="AO1" s="17" t="s">
        <v>398</v>
      </c>
      <c r="AP1" s="14" t="s">
        <v>400</v>
      </c>
      <c r="AQ1" s="17" t="s">
        <v>401</v>
      </c>
      <c r="AR1" s="14" t="s">
        <v>402</v>
      </c>
      <c r="AS1" s="14" t="s">
        <v>403</v>
      </c>
      <c r="AT1" s="14" t="s">
        <v>404</v>
      </c>
      <c r="AU1" s="14" t="s">
        <v>405</v>
      </c>
      <c r="AV1" s="16" t="s">
        <v>408</v>
      </c>
      <c r="AW1" s="14" t="s">
        <v>68</v>
      </c>
      <c r="AX1" s="17" t="s">
        <v>409</v>
      </c>
      <c r="AY1" s="16" t="s">
        <v>410</v>
      </c>
      <c r="AZ1" s="14" t="s">
        <v>411</v>
      </c>
      <c r="BA1" s="14" t="s">
        <v>412</v>
      </c>
      <c r="BB1" s="14" t="s">
        <v>413</v>
      </c>
      <c r="BC1" s="17" t="s">
        <v>414</v>
      </c>
      <c r="BD1" s="17" t="s">
        <v>415</v>
      </c>
      <c r="BE1" s="17" t="s">
        <v>73</v>
      </c>
      <c r="BF1" s="17" t="s">
        <v>74</v>
      </c>
      <c r="BG1" s="17" t="s">
        <v>71</v>
      </c>
      <c r="BH1" s="17" t="s">
        <v>75</v>
      </c>
      <c r="BI1" s="17" t="s">
        <v>416</v>
      </c>
      <c r="BJ1" s="16" t="s">
        <v>417</v>
      </c>
    </row>
    <row r="2" spans="1:62" hidden="1" x14ac:dyDescent="0.25">
      <c r="A2" s="20" t="s">
        <v>300</v>
      </c>
      <c r="B2" s="19">
        <v>45689</v>
      </c>
      <c r="C2" s="20" t="s">
        <v>5</v>
      </c>
      <c r="D2" s="20" t="s">
        <v>582</v>
      </c>
      <c r="E2" s="20"/>
      <c r="F2" s="20" t="s">
        <v>292</v>
      </c>
      <c r="G2" s="20" t="s">
        <v>566</v>
      </c>
      <c r="H2" s="20" t="s">
        <v>88</v>
      </c>
      <c r="I2" s="21">
        <v>40118</v>
      </c>
      <c r="J2" s="22"/>
      <c r="K2" s="23" t="s">
        <v>419</v>
      </c>
      <c r="L2" s="24" t="s">
        <v>101</v>
      </c>
      <c r="M2" s="24" t="s">
        <v>504</v>
      </c>
      <c r="N2" s="25" t="e">
        <f>VLOOKUP(A2,#REF!,12,0)</f>
        <v>#REF!</v>
      </c>
      <c r="O2" s="25" t="e">
        <f>VLOOKUP(A2,#REF!,15,0)</f>
        <v>#REF!</v>
      </c>
      <c r="P2" s="25" t="e">
        <f>VLOOKUP(A2,#REF!,16,0)</f>
        <v>#REF!</v>
      </c>
      <c r="Q2" s="25" t="e">
        <f>VLOOKUP(A2,#REF!,17,0)</f>
        <v>#REF!</v>
      </c>
      <c r="R2" s="25" t="e">
        <f>VLOOKUP(A2,#REF!,18,0)</f>
        <v>#REF!</v>
      </c>
      <c r="S2" s="25" t="e">
        <f>VLOOKUP(A2,#REF!,19,0)</f>
        <v>#REF!</v>
      </c>
      <c r="T2" s="25" t="e">
        <f>VLOOKUP(A2,#REF!,20,0)</f>
        <v>#REF!</v>
      </c>
      <c r="U2" s="25" t="e">
        <f>VLOOKUP(A2,#REF!,21,0)</f>
        <v>#REF!</v>
      </c>
      <c r="V2" s="25" t="e">
        <f>VLOOKUP(A2,#REF!,22,0)</f>
        <v>#REF!</v>
      </c>
      <c r="W2" s="25" t="e">
        <f>VLOOKUP(A2,#REF!,23,0)</f>
        <v>#REF!</v>
      </c>
      <c r="X2" s="25" t="e">
        <f>VLOOKUP(A2,#REF!,24,0)</f>
        <v>#REF!</v>
      </c>
      <c r="Y2" s="25" t="e">
        <f>VLOOKUP(A2,#REF!,25,0)</f>
        <v>#REF!</v>
      </c>
      <c r="Z2" s="25" t="e">
        <f>VLOOKUP(A2,#REF!,26,0)</f>
        <v>#REF!</v>
      </c>
      <c r="AA2" s="25" t="e">
        <f>VLOOKUP(A2,#REF!,27,0)</f>
        <v>#REF!</v>
      </c>
      <c r="AB2" s="25" t="e">
        <f>VLOOKUP(A2,#REF!,28,0)</f>
        <v>#REF!</v>
      </c>
      <c r="AC2" s="25" t="e">
        <f>VLOOKUP(A2,#REF!,29,0)</f>
        <v>#REF!</v>
      </c>
      <c r="AD2" s="26" t="e">
        <f>SUM(O2:AC2)</f>
        <v>#REF!</v>
      </c>
      <c r="AE2" s="25" t="e">
        <f>VLOOKUP(A2,#REF!,31,0)</f>
        <v>#REF!</v>
      </c>
      <c r="AF2" s="25" t="e">
        <f>VLOOKUP(A2,#REF!,32,0)</f>
        <v>#REF!</v>
      </c>
      <c r="AG2" s="25"/>
      <c r="AH2" s="27"/>
      <c r="AI2" s="25" t="e">
        <f>VLOOKUP(A2,#REF!,30,0)</f>
        <v>#REF!</v>
      </c>
      <c r="AJ2" s="25" t="e">
        <f>VLOOKUP(A2,#REF!,31,0)</f>
        <v>#REF!</v>
      </c>
      <c r="AK2" s="25" t="e">
        <f>VLOOKUP(A2,#REF!,33,0)</f>
        <v>#REF!</v>
      </c>
      <c r="AL2" s="25" t="e">
        <f>VLOOKUP(A2,#REF!,36,0)</f>
        <v>#REF!</v>
      </c>
      <c r="AM2" s="25" t="e">
        <f>VLOOKUP(A2,#REF!,34,0)</f>
        <v>#REF!</v>
      </c>
      <c r="AN2" s="27" t="e">
        <f>VLOOKUP(A2,#REF!,35,0)</f>
        <v>#REF!</v>
      </c>
      <c r="AO2" s="27" t="e">
        <f>VLOOKUP(A2,#REF!,32,0)</f>
        <v>#REF!</v>
      </c>
      <c r="AP2" s="25" t="e">
        <f>VLOOKUP(A2,#REF!,35,0)</f>
        <v>#REF!</v>
      </c>
      <c r="AQ2" s="25" t="e">
        <f>VLOOKUP(A2,#REF!,36,0)</f>
        <v>#REF!</v>
      </c>
      <c r="AR2" s="25" t="e">
        <f>VLOOKUP(A2,#REF!,37,0)</f>
        <v>#REF!</v>
      </c>
      <c r="AS2" s="25" t="e">
        <f>VLOOKUP(A2,#REF!,38,0)</f>
        <v>#REF!</v>
      </c>
      <c r="AT2" s="25" t="e">
        <f>VLOOKUP(A2,#REF!,39,0)</f>
        <v>#REF!</v>
      </c>
      <c r="AU2" s="25"/>
      <c r="AV2" s="26" t="e">
        <f>SUM(AE2:AU2)</f>
        <v>#REF!</v>
      </c>
      <c r="AW2" s="25" t="e">
        <f>AD2+AV2</f>
        <v>#REF!</v>
      </c>
      <c r="AX2" s="25">
        <v>1113.0999999999999</v>
      </c>
      <c r="AY2" s="26" t="e">
        <f>AW2+AX2</f>
        <v>#REF!</v>
      </c>
      <c r="AZ2" s="25" t="e">
        <f>AD2/12</f>
        <v>#REF!</v>
      </c>
      <c r="BA2" s="25" t="e">
        <f>AD2/12</f>
        <v>#REF!</v>
      </c>
      <c r="BB2" s="25" t="e">
        <f>BA2/3</f>
        <v>#REF!</v>
      </c>
      <c r="BC2" s="25" t="e">
        <f>AZ2+BA2+BB2</f>
        <v>#REF!</v>
      </c>
      <c r="BD2" s="25" t="e">
        <f>VLOOKUP(A2,#REF!,43,0)</f>
        <v>#REF!</v>
      </c>
      <c r="BE2" s="25" t="e">
        <f>VLOOKUP(A2,#REF!,44,0)</f>
        <v>#REF!</v>
      </c>
      <c r="BF2" s="25" t="e">
        <f>VLOOKUP(A2,#REF!,45,0)</f>
        <v>#REF!</v>
      </c>
      <c r="BG2" s="25" t="e">
        <f>VLOOKUP(A2,#REF!,42,0)</f>
        <v>#REF!</v>
      </c>
      <c r="BH2" s="25" t="e">
        <f>SUM(BD2:BG2)</f>
        <v>#REF!</v>
      </c>
      <c r="BI2" s="25" t="e">
        <f>AY2+BH2</f>
        <v>#REF!</v>
      </c>
      <c r="BJ2" s="25" t="e">
        <f>SUM(AY2+BH2+BC2)</f>
        <v>#REF!</v>
      </c>
    </row>
    <row r="3" spans="1:62" hidden="1" x14ac:dyDescent="0.25">
      <c r="A3" s="20" t="s">
        <v>100</v>
      </c>
      <c r="B3" s="19">
        <v>45689</v>
      </c>
      <c r="C3" s="20" t="s">
        <v>5</v>
      </c>
      <c r="D3" s="20" t="s">
        <v>564</v>
      </c>
      <c r="E3" s="20"/>
      <c r="F3" s="20" t="s">
        <v>95</v>
      </c>
      <c r="G3" s="20" t="s">
        <v>566</v>
      </c>
      <c r="H3" s="20" t="s">
        <v>88</v>
      </c>
      <c r="I3" s="21">
        <v>40269</v>
      </c>
      <c r="J3" s="22"/>
      <c r="K3" s="23" t="s">
        <v>419</v>
      </c>
      <c r="L3" s="24" t="s">
        <v>89</v>
      </c>
      <c r="M3" s="24" t="s">
        <v>92</v>
      </c>
      <c r="N3" s="25" t="e">
        <f>VLOOKUP(A3,#REF!,12,0)</f>
        <v>#REF!</v>
      </c>
      <c r="O3" s="25" t="e">
        <f>VLOOKUP(A3,#REF!,15,0)</f>
        <v>#REF!</v>
      </c>
      <c r="P3" s="25" t="e">
        <f>VLOOKUP(A3,#REF!,16,0)</f>
        <v>#REF!</v>
      </c>
      <c r="Q3" s="25" t="e">
        <f>VLOOKUP(A3,#REF!,17,0)</f>
        <v>#REF!</v>
      </c>
      <c r="R3" s="25" t="e">
        <f>VLOOKUP(A3,#REF!,18,0)</f>
        <v>#REF!</v>
      </c>
      <c r="S3" s="25" t="e">
        <f>VLOOKUP(A3,#REF!,19,0)</f>
        <v>#REF!</v>
      </c>
      <c r="T3" s="25" t="e">
        <f>VLOOKUP(A3,#REF!,20,0)</f>
        <v>#REF!</v>
      </c>
      <c r="U3" s="25" t="e">
        <f>VLOOKUP(A3,#REF!,21,0)</f>
        <v>#REF!</v>
      </c>
      <c r="V3" s="25" t="e">
        <f>VLOOKUP(A3,#REF!,22,0)</f>
        <v>#REF!</v>
      </c>
      <c r="W3" s="25" t="e">
        <f>VLOOKUP(A3,#REF!,23,0)</f>
        <v>#REF!</v>
      </c>
      <c r="X3" s="25" t="e">
        <f>VLOOKUP(A3,#REF!,24,0)</f>
        <v>#REF!</v>
      </c>
      <c r="Y3" s="25" t="e">
        <f>VLOOKUP(A3,#REF!,25,0)</f>
        <v>#REF!</v>
      </c>
      <c r="Z3" s="25" t="e">
        <f>VLOOKUP(A3,#REF!,26,0)</f>
        <v>#REF!</v>
      </c>
      <c r="AA3" s="25" t="e">
        <f>VLOOKUP(A3,#REF!,27,0)</f>
        <v>#REF!</v>
      </c>
      <c r="AB3" s="25" t="e">
        <f>VLOOKUP(A3,#REF!,28,0)</f>
        <v>#REF!</v>
      </c>
      <c r="AC3" s="25" t="e">
        <f>VLOOKUP(A3,#REF!,29,0)</f>
        <v>#REF!</v>
      </c>
      <c r="AD3" s="26" t="e">
        <f t="shared" ref="AD3:AD66" si="0">SUM(O3:AC3)</f>
        <v>#REF!</v>
      </c>
      <c r="AE3" s="25" t="e">
        <f>VLOOKUP(A3,#REF!,31,0)</f>
        <v>#REF!</v>
      </c>
      <c r="AF3" s="25" t="e">
        <f>VLOOKUP(A3,#REF!,32,0)</f>
        <v>#REF!</v>
      </c>
      <c r="AG3" s="25"/>
      <c r="AH3" s="27"/>
      <c r="AI3" s="25" t="e">
        <f>VLOOKUP(A3,#REF!,30,0)</f>
        <v>#REF!</v>
      </c>
      <c r="AJ3" s="25" t="e">
        <f>VLOOKUP(A3,#REF!,31,0)</f>
        <v>#REF!</v>
      </c>
      <c r="AK3" s="25" t="e">
        <f>VLOOKUP(A3,#REF!,33,0)</f>
        <v>#REF!</v>
      </c>
      <c r="AL3" s="25" t="e">
        <f>VLOOKUP(A3,#REF!,36,0)</f>
        <v>#REF!</v>
      </c>
      <c r="AM3" s="25" t="e">
        <f>VLOOKUP(A3,#REF!,34,0)</f>
        <v>#REF!</v>
      </c>
      <c r="AN3" s="27" t="e">
        <f>VLOOKUP(A3,#REF!,35,0)</f>
        <v>#REF!</v>
      </c>
      <c r="AO3" s="27" t="e">
        <f>VLOOKUP(A3,#REF!,32,0)</f>
        <v>#REF!</v>
      </c>
      <c r="AP3" s="25" t="e">
        <f>VLOOKUP(A3,#REF!,35,0)</f>
        <v>#REF!</v>
      </c>
      <c r="AQ3" s="25" t="e">
        <f>VLOOKUP(A3,#REF!,36,0)</f>
        <v>#REF!</v>
      </c>
      <c r="AR3" s="25" t="e">
        <f>VLOOKUP(A3,#REF!,37,0)</f>
        <v>#REF!</v>
      </c>
      <c r="AS3" s="25" t="e">
        <f>VLOOKUP(A3,#REF!,38,0)</f>
        <v>#REF!</v>
      </c>
      <c r="AT3" s="25" t="e">
        <f>VLOOKUP(A3,#REF!,39,0)</f>
        <v>#REF!</v>
      </c>
      <c r="AU3" s="25"/>
      <c r="AV3" s="26" t="e">
        <f t="shared" ref="AV3:AV63" si="1">SUM(AE3:AU3)</f>
        <v>#REF!</v>
      </c>
      <c r="AW3" s="25" t="e">
        <f t="shared" ref="AW3:AW66" si="2">AD3+AV3</f>
        <v>#REF!</v>
      </c>
      <c r="AX3" s="25"/>
      <c r="AY3" s="26" t="e">
        <f t="shared" ref="AY3:AY66" si="3">AW3+AX3</f>
        <v>#REF!</v>
      </c>
      <c r="AZ3" s="25" t="e">
        <f t="shared" ref="AZ3:AZ66" si="4">AD3/12</f>
        <v>#REF!</v>
      </c>
      <c r="BA3" s="25" t="e">
        <f t="shared" ref="BA3:BA66" si="5">AD3/12</f>
        <v>#REF!</v>
      </c>
      <c r="BB3" s="25" t="e">
        <f t="shared" ref="BB3:BB66" si="6">BA3/3</f>
        <v>#REF!</v>
      </c>
      <c r="BC3" s="25" t="e">
        <f t="shared" ref="BC3:BC66" si="7">AZ3+BA3+BB3</f>
        <v>#REF!</v>
      </c>
      <c r="BD3" s="25" t="e">
        <f>VLOOKUP(A3,#REF!,43,0)</f>
        <v>#REF!</v>
      </c>
      <c r="BE3" s="25" t="e">
        <f>VLOOKUP(A3,#REF!,44,0)</f>
        <v>#REF!</v>
      </c>
      <c r="BF3" s="25" t="e">
        <f>VLOOKUP(A3,#REF!,45,0)</f>
        <v>#REF!</v>
      </c>
      <c r="BG3" s="25" t="e">
        <f>VLOOKUP(A3,#REF!,42,0)</f>
        <v>#REF!</v>
      </c>
      <c r="BH3" s="25" t="e">
        <f t="shared" ref="BH3:BH41" si="8">SUM(BD3:BG3)</f>
        <v>#REF!</v>
      </c>
      <c r="BI3" s="25" t="e">
        <f t="shared" ref="BI3:BI66" si="9">AY3+BH3</f>
        <v>#REF!</v>
      </c>
      <c r="BJ3" s="25" t="e">
        <f t="shared" ref="BJ3:BJ41" si="10">SUM(AY3+BH3+BC3)</f>
        <v>#REF!</v>
      </c>
    </row>
    <row r="4" spans="1:62" hidden="1" x14ac:dyDescent="0.25">
      <c r="A4" s="20" t="s">
        <v>128</v>
      </c>
      <c r="B4" s="19">
        <v>45689</v>
      </c>
      <c r="C4" s="20" t="s">
        <v>5</v>
      </c>
      <c r="D4" s="20" t="s">
        <v>594</v>
      </c>
      <c r="E4" s="20"/>
      <c r="F4" s="20" t="s">
        <v>356</v>
      </c>
      <c r="G4" s="20" t="s">
        <v>464</v>
      </c>
      <c r="H4" s="20" t="s">
        <v>88</v>
      </c>
      <c r="I4" s="21">
        <v>41276</v>
      </c>
      <c r="J4" s="22"/>
      <c r="K4" s="23" t="s">
        <v>419</v>
      </c>
      <c r="L4" s="24" t="s">
        <v>132</v>
      </c>
      <c r="M4" s="24" t="s">
        <v>511</v>
      </c>
      <c r="N4" s="25" t="e">
        <f>VLOOKUP(A4,#REF!,12,0)</f>
        <v>#REF!</v>
      </c>
      <c r="O4" s="25" t="e">
        <f>VLOOKUP(A4,#REF!,15,0)</f>
        <v>#REF!</v>
      </c>
      <c r="P4" s="25" t="e">
        <f>VLOOKUP(A4,#REF!,16,0)</f>
        <v>#REF!</v>
      </c>
      <c r="Q4" s="25" t="e">
        <f>VLOOKUP(A4,#REF!,17,0)</f>
        <v>#REF!</v>
      </c>
      <c r="R4" s="25" t="e">
        <f>VLOOKUP(A4,#REF!,18,0)</f>
        <v>#REF!</v>
      </c>
      <c r="S4" s="25" t="e">
        <f>VLOOKUP(A4,#REF!,19,0)</f>
        <v>#REF!</v>
      </c>
      <c r="T4" s="25" t="e">
        <f>VLOOKUP(A4,#REF!,20,0)</f>
        <v>#REF!</v>
      </c>
      <c r="U4" s="25" t="e">
        <f>VLOOKUP(A4,#REF!,21,0)</f>
        <v>#REF!</v>
      </c>
      <c r="V4" s="25" t="e">
        <f>VLOOKUP(A4,#REF!,22,0)</f>
        <v>#REF!</v>
      </c>
      <c r="W4" s="25" t="e">
        <f>VLOOKUP(A4,#REF!,23,0)</f>
        <v>#REF!</v>
      </c>
      <c r="X4" s="25" t="e">
        <f>VLOOKUP(A4,#REF!,24,0)</f>
        <v>#REF!</v>
      </c>
      <c r="Y4" s="25" t="e">
        <f>VLOOKUP(A4,#REF!,25,0)</f>
        <v>#REF!</v>
      </c>
      <c r="Z4" s="25" t="e">
        <f>VLOOKUP(A4,#REF!,26,0)</f>
        <v>#REF!</v>
      </c>
      <c r="AA4" s="25" t="e">
        <f>VLOOKUP(A4,#REF!,27,0)</f>
        <v>#REF!</v>
      </c>
      <c r="AB4" s="25" t="e">
        <f>VLOOKUP(A4,#REF!,28,0)</f>
        <v>#REF!</v>
      </c>
      <c r="AC4" s="25" t="e">
        <f>VLOOKUP(A4,#REF!,29,0)</f>
        <v>#REF!</v>
      </c>
      <c r="AD4" s="26" t="e">
        <f t="shared" si="0"/>
        <v>#REF!</v>
      </c>
      <c r="AE4" s="25" t="e">
        <f>VLOOKUP(A4,#REF!,31,0)</f>
        <v>#REF!</v>
      </c>
      <c r="AF4" s="25" t="e">
        <f>VLOOKUP(A4,#REF!,32,0)</f>
        <v>#REF!</v>
      </c>
      <c r="AG4" s="25"/>
      <c r="AH4" s="27"/>
      <c r="AI4" s="25" t="e">
        <f>VLOOKUP(A4,#REF!,30,0)</f>
        <v>#REF!</v>
      </c>
      <c r="AJ4" s="25" t="e">
        <f>VLOOKUP(A4,#REF!,31,0)</f>
        <v>#REF!</v>
      </c>
      <c r="AK4" s="25" t="e">
        <f>VLOOKUP(A4,#REF!,33,0)</f>
        <v>#REF!</v>
      </c>
      <c r="AL4" s="25" t="e">
        <f>VLOOKUP(A4,#REF!,36,0)</f>
        <v>#REF!</v>
      </c>
      <c r="AM4" s="25" t="e">
        <f>VLOOKUP(A4,#REF!,34,0)</f>
        <v>#REF!</v>
      </c>
      <c r="AN4" s="27" t="e">
        <f>VLOOKUP(A4,#REF!,35,0)</f>
        <v>#REF!</v>
      </c>
      <c r="AO4" s="27" t="e">
        <f>VLOOKUP(A4,#REF!,32,0)</f>
        <v>#REF!</v>
      </c>
      <c r="AP4" s="25" t="e">
        <f>VLOOKUP(A4,#REF!,35,0)</f>
        <v>#REF!</v>
      </c>
      <c r="AQ4" s="25" t="e">
        <f>VLOOKUP(A4,#REF!,36,0)</f>
        <v>#REF!</v>
      </c>
      <c r="AR4" s="25" t="e">
        <f>VLOOKUP(A4,#REF!,37,0)</f>
        <v>#REF!</v>
      </c>
      <c r="AS4" s="25" t="e">
        <f>VLOOKUP(A4,#REF!,38,0)</f>
        <v>#REF!</v>
      </c>
      <c r="AT4" s="25" t="e">
        <f>VLOOKUP(A4,#REF!,39,0)</f>
        <v>#REF!</v>
      </c>
      <c r="AU4" s="25"/>
      <c r="AV4" s="26" t="e">
        <f t="shared" si="1"/>
        <v>#REF!</v>
      </c>
      <c r="AW4" s="25" t="e">
        <f t="shared" si="2"/>
        <v>#REF!</v>
      </c>
      <c r="AX4" s="25"/>
      <c r="AY4" s="26" t="e">
        <f t="shared" si="3"/>
        <v>#REF!</v>
      </c>
      <c r="AZ4" s="25" t="e">
        <f t="shared" si="4"/>
        <v>#REF!</v>
      </c>
      <c r="BA4" s="25" t="e">
        <f t="shared" si="5"/>
        <v>#REF!</v>
      </c>
      <c r="BB4" s="25" t="e">
        <f t="shared" si="6"/>
        <v>#REF!</v>
      </c>
      <c r="BC4" s="25" t="e">
        <f t="shared" si="7"/>
        <v>#REF!</v>
      </c>
      <c r="BD4" s="25" t="e">
        <f>VLOOKUP(A4,#REF!,43,0)</f>
        <v>#REF!</v>
      </c>
      <c r="BE4" s="25" t="e">
        <f>VLOOKUP(A4,#REF!,44,0)</f>
        <v>#REF!</v>
      </c>
      <c r="BF4" s="25" t="e">
        <f>VLOOKUP(A4,#REF!,45,0)</f>
        <v>#REF!</v>
      </c>
      <c r="BG4" s="25" t="e">
        <f>VLOOKUP(A4,#REF!,42,0)</f>
        <v>#REF!</v>
      </c>
      <c r="BH4" s="25" t="e">
        <f t="shared" si="8"/>
        <v>#REF!</v>
      </c>
      <c r="BI4" s="25" t="e">
        <f t="shared" si="9"/>
        <v>#REF!</v>
      </c>
      <c r="BJ4" s="25" t="e">
        <f t="shared" si="10"/>
        <v>#REF!</v>
      </c>
    </row>
    <row r="5" spans="1:62" hidden="1" x14ac:dyDescent="0.25">
      <c r="A5" s="20" t="s">
        <v>328</v>
      </c>
      <c r="B5" s="19">
        <v>45689</v>
      </c>
      <c r="C5" s="20" t="s">
        <v>5</v>
      </c>
      <c r="D5" s="20" t="s">
        <v>588</v>
      </c>
      <c r="E5" s="20"/>
      <c r="F5" s="20" t="s">
        <v>312</v>
      </c>
      <c r="G5" s="20" t="s">
        <v>313</v>
      </c>
      <c r="H5" s="20" t="s">
        <v>329</v>
      </c>
      <c r="I5" s="21">
        <v>41786</v>
      </c>
      <c r="J5" s="22"/>
      <c r="K5" s="23" t="s">
        <v>419</v>
      </c>
      <c r="L5" s="24" t="s">
        <v>330</v>
      </c>
      <c r="M5" s="24" t="s">
        <v>506</v>
      </c>
      <c r="N5" s="25" t="e">
        <f>VLOOKUP(A5,#REF!,12,0)</f>
        <v>#REF!</v>
      </c>
      <c r="O5" s="25" t="e">
        <f>VLOOKUP(A5,#REF!,15,0)</f>
        <v>#REF!</v>
      </c>
      <c r="P5" s="25" t="e">
        <f>VLOOKUP(A5,#REF!,16,0)</f>
        <v>#REF!</v>
      </c>
      <c r="Q5" s="25" t="e">
        <f>VLOOKUP(A5,#REF!,17,0)</f>
        <v>#REF!</v>
      </c>
      <c r="R5" s="25" t="e">
        <f>VLOOKUP(A5,#REF!,18,0)</f>
        <v>#REF!</v>
      </c>
      <c r="S5" s="25" t="e">
        <f>VLOOKUP(A5,#REF!,19,0)</f>
        <v>#REF!</v>
      </c>
      <c r="T5" s="25" t="e">
        <f>VLOOKUP(A5,#REF!,20,0)</f>
        <v>#REF!</v>
      </c>
      <c r="U5" s="25" t="e">
        <f>VLOOKUP(A5,#REF!,21,0)</f>
        <v>#REF!</v>
      </c>
      <c r="V5" s="25" t="e">
        <f>VLOOKUP(A5,#REF!,22,0)</f>
        <v>#REF!</v>
      </c>
      <c r="W5" s="25" t="e">
        <f>VLOOKUP(A5,#REF!,23,0)</f>
        <v>#REF!</v>
      </c>
      <c r="X5" s="25" t="e">
        <f>VLOOKUP(A5,#REF!,24,0)</f>
        <v>#REF!</v>
      </c>
      <c r="Y5" s="25" t="e">
        <f>VLOOKUP(A5,#REF!,25,0)</f>
        <v>#REF!</v>
      </c>
      <c r="Z5" s="25" t="e">
        <f>VLOOKUP(A5,#REF!,26,0)</f>
        <v>#REF!</v>
      </c>
      <c r="AA5" s="25" t="e">
        <f>VLOOKUP(A5,#REF!,27,0)</f>
        <v>#REF!</v>
      </c>
      <c r="AB5" s="25" t="e">
        <f>VLOOKUP(A5,#REF!,28,0)</f>
        <v>#REF!</v>
      </c>
      <c r="AC5" s="25" t="e">
        <f>VLOOKUP(A5,#REF!,29,0)</f>
        <v>#REF!</v>
      </c>
      <c r="AD5" s="26" t="e">
        <f t="shared" si="0"/>
        <v>#REF!</v>
      </c>
      <c r="AE5" s="25" t="e">
        <f>VLOOKUP(A5,#REF!,31,0)</f>
        <v>#REF!</v>
      </c>
      <c r="AF5" s="25" t="e">
        <f>VLOOKUP(A5,#REF!,32,0)</f>
        <v>#REF!</v>
      </c>
      <c r="AG5" s="25"/>
      <c r="AH5" s="27"/>
      <c r="AI5" s="25" t="e">
        <f>VLOOKUP(A5,#REF!,30,0)</f>
        <v>#REF!</v>
      </c>
      <c r="AJ5" s="25" t="e">
        <f>VLOOKUP(A5,#REF!,31,0)</f>
        <v>#REF!</v>
      </c>
      <c r="AK5" s="25" t="e">
        <f>VLOOKUP(A5,#REF!,33,0)</f>
        <v>#REF!</v>
      </c>
      <c r="AL5" s="25" t="e">
        <f>VLOOKUP(A5,#REF!,36,0)</f>
        <v>#REF!</v>
      </c>
      <c r="AM5" s="25" t="e">
        <f>VLOOKUP(A5,#REF!,34,0)</f>
        <v>#REF!</v>
      </c>
      <c r="AN5" s="27" t="e">
        <f>VLOOKUP(A5,#REF!,35,0)</f>
        <v>#REF!</v>
      </c>
      <c r="AO5" s="27" t="e">
        <f>VLOOKUP(A5,#REF!,32,0)</f>
        <v>#REF!</v>
      </c>
      <c r="AP5" s="25" t="e">
        <f>VLOOKUP(A5,#REF!,35,0)</f>
        <v>#REF!</v>
      </c>
      <c r="AQ5" s="25" t="e">
        <f>VLOOKUP(A5,#REF!,36,0)</f>
        <v>#REF!</v>
      </c>
      <c r="AR5" s="25" t="e">
        <f>VLOOKUP(A5,#REF!,37,0)</f>
        <v>#REF!</v>
      </c>
      <c r="AS5" s="25" t="e">
        <f>VLOOKUP(A5,#REF!,38,0)</f>
        <v>#REF!</v>
      </c>
      <c r="AT5" s="25" t="e">
        <f>VLOOKUP(A5,#REF!,39,0)</f>
        <v>#REF!</v>
      </c>
      <c r="AU5" s="25"/>
      <c r="AV5" s="26" t="e">
        <f t="shared" si="1"/>
        <v>#REF!</v>
      </c>
      <c r="AW5" s="25" t="e">
        <f t="shared" si="2"/>
        <v>#REF!</v>
      </c>
      <c r="AX5" s="25"/>
      <c r="AY5" s="26" t="e">
        <f t="shared" si="3"/>
        <v>#REF!</v>
      </c>
      <c r="AZ5" s="25" t="e">
        <f t="shared" si="4"/>
        <v>#REF!</v>
      </c>
      <c r="BA5" s="25" t="e">
        <f t="shared" si="5"/>
        <v>#REF!</v>
      </c>
      <c r="BB5" s="25" t="e">
        <f t="shared" si="6"/>
        <v>#REF!</v>
      </c>
      <c r="BC5" s="25" t="e">
        <f t="shared" si="7"/>
        <v>#REF!</v>
      </c>
      <c r="BD5" s="25" t="e">
        <f>VLOOKUP(A5,#REF!,43,0)</f>
        <v>#REF!</v>
      </c>
      <c r="BE5" s="25" t="e">
        <f>VLOOKUP(A5,#REF!,44,0)</f>
        <v>#REF!</v>
      </c>
      <c r="BF5" s="25" t="e">
        <f>VLOOKUP(A5,#REF!,45,0)</f>
        <v>#REF!</v>
      </c>
      <c r="BG5" s="25" t="e">
        <f>VLOOKUP(A5,#REF!,42,0)</f>
        <v>#REF!</v>
      </c>
      <c r="BH5" s="25" t="e">
        <f t="shared" si="8"/>
        <v>#REF!</v>
      </c>
      <c r="BI5" s="25" t="e">
        <f t="shared" si="9"/>
        <v>#REF!</v>
      </c>
      <c r="BJ5" s="25" t="e">
        <f t="shared" si="10"/>
        <v>#REF!</v>
      </c>
    </row>
    <row r="6" spans="1:62" hidden="1" x14ac:dyDescent="0.25">
      <c r="A6" s="20" t="s">
        <v>420</v>
      </c>
      <c r="B6" s="19">
        <v>45689</v>
      </c>
      <c r="C6" s="20" t="s">
        <v>5</v>
      </c>
      <c r="D6" s="20" t="s">
        <v>597</v>
      </c>
      <c r="E6" s="20" t="s">
        <v>607</v>
      </c>
      <c r="F6" s="20" t="s">
        <v>80</v>
      </c>
      <c r="G6" s="20" t="s">
        <v>561</v>
      </c>
      <c r="H6" s="20" t="s">
        <v>609</v>
      </c>
      <c r="I6" s="21">
        <v>41883</v>
      </c>
      <c r="J6" s="22"/>
      <c r="K6" s="23" t="s">
        <v>419</v>
      </c>
      <c r="L6" s="24" t="s">
        <v>523</v>
      </c>
      <c r="M6" s="24" t="s">
        <v>508</v>
      </c>
      <c r="N6" s="25" t="e">
        <f>VLOOKUP(A6,#REF!,12,0)</f>
        <v>#REF!</v>
      </c>
      <c r="O6" s="25" t="e">
        <f>VLOOKUP(A6,#REF!,15,0)</f>
        <v>#REF!</v>
      </c>
      <c r="P6" s="25" t="e">
        <f>VLOOKUP(A6,#REF!,16,0)</f>
        <v>#REF!</v>
      </c>
      <c r="Q6" s="25" t="e">
        <f>VLOOKUP(A6,#REF!,17,0)</f>
        <v>#REF!</v>
      </c>
      <c r="R6" s="25" t="e">
        <f>VLOOKUP(A6,#REF!,18,0)</f>
        <v>#REF!</v>
      </c>
      <c r="S6" s="25" t="e">
        <f>VLOOKUP(A6,#REF!,19,0)</f>
        <v>#REF!</v>
      </c>
      <c r="T6" s="25" t="e">
        <f>VLOOKUP(A6,#REF!,20,0)</f>
        <v>#REF!</v>
      </c>
      <c r="U6" s="25" t="e">
        <f>VLOOKUP(A6,#REF!,21,0)</f>
        <v>#REF!</v>
      </c>
      <c r="V6" s="25" t="e">
        <f>VLOOKUP(A6,#REF!,22,0)</f>
        <v>#REF!</v>
      </c>
      <c r="W6" s="25" t="e">
        <f>VLOOKUP(A6,#REF!,23,0)</f>
        <v>#REF!</v>
      </c>
      <c r="X6" s="25" t="e">
        <f>VLOOKUP(A6,#REF!,24,0)</f>
        <v>#REF!</v>
      </c>
      <c r="Y6" s="25" t="e">
        <f>VLOOKUP(A6,#REF!,25,0)</f>
        <v>#REF!</v>
      </c>
      <c r="Z6" s="25" t="e">
        <f>VLOOKUP(A6,#REF!,26,0)</f>
        <v>#REF!</v>
      </c>
      <c r="AA6" s="25" t="e">
        <f>VLOOKUP(A6,#REF!,27,0)</f>
        <v>#REF!</v>
      </c>
      <c r="AB6" s="25" t="e">
        <f>VLOOKUP(A6,#REF!,28,0)</f>
        <v>#REF!</v>
      </c>
      <c r="AC6" s="25" t="e">
        <f>VLOOKUP(A6,#REF!,29,0)</f>
        <v>#REF!</v>
      </c>
      <c r="AD6" s="26" t="e">
        <f t="shared" si="0"/>
        <v>#REF!</v>
      </c>
      <c r="AE6" s="25" t="e">
        <f>VLOOKUP(A6,#REF!,31,0)</f>
        <v>#REF!</v>
      </c>
      <c r="AF6" s="25" t="e">
        <f>VLOOKUP(A6,#REF!,32,0)</f>
        <v>#REF!</v>
      </c>
      <c r="AG6" s="25"/>
      <c r="AH6" s="27"/>
      <c r="AI6" s="25" t="e">
        <f>VLOOKUP(A6,#REF!,30,0)</f>
        <v>#REF!</v>
      </c>
      <c r="AJ6" s="25" t="e">
        <f>VLOOKUP(A6,#REF!,31,0)</f>
        <v>#REF!</v>
      </c>
      <c r="AK6" s="25" t="e">
        <f>VLOOKUP(A6,#REF!,33,0)</f>
        <v>#REF!</v>
      </c>
      <c r="AL6" s="25" t="e">
        <f>VLOOKUP(A6,#REF!,36,0)</f>
        <v>#REF!</v>
      </c>
      <c r="AM6" s="25" t="e">
        <f>VLOOKUP(A6,#REF!,34,0)</f>
        <v>#REF!</v>
      </c>
      <c r="AN6" s="27" t="e">
        <f>VLOOKUP(A6,#REF!,35,0)</f>
        <v>#REF!</v>
      </c>
      <c r="AO6" s="27" t="e">
        <f>VLOOKUP(A6,#REF!,32,0)</f>
        <v>#REF!</v>
      </c>
      <c r="AP6" s="25" t="e">
        <f>VLOOKUP(A6,#REF!,35,0)</f>
        <v>#REF!</v>
      </c>
      <c r="AQ6" s="25" t="e">
        <f>VLOOKUP(A6,#REF!,36,0)</f>
        <v>#REF!</v>
      </c>
      <c r="AR6" s="25" t="e">
        <f>VLOOKUP(A6,#REF!,37,0)</f>
        <v>#REF!</v>
      </c>
      <c r="AS6" s="25" t="e">
        <f>VLOOKUP(A6,#REF!,38,0)</f>
        <v>#REF!</v>
      </c>
      <c r="AT6" s="25" t="e">
        <f>VLOOKUP(A6,#REF!,39,0)</f>
        <v>#REF!</v>
      </c>
      <c r="AU6" s="25"/>
      <c r="AV6" s="26" t="e">
        <f t="shared" si="1"/>
        <v>#REF!</v>
      </c>
      <c r="AW6" s="25" t="e">
        <f t="shared" si="2"/>
        <v>#REF!</v>
      </c>
      <c r="AX6" s="25"/>
      <c r="AY6" s="26" t="e">
        <f t="shared" si="3"/>
        <v>#REF!</v>
      </c>
      <c r="AZ6" s="25" t="e">
        <f t="shared" si="4"/>
        <v>#REF!</v>
      </c>
      <c r="BA6" s="25" t="e">
        <f t="shared" si="5"/>
        <v>#REF!</v>
      </c>
      <c r="BB6" s="25" t="e">
        <f t="shared" si="6"/>
        <v>#REF!</v>
      </c>
      <c r="BC6" s="25" t="e">
        <f t="shared" si="7"/>
        <v>#REF!</v>
      </c>
      <c r="BD6" s="25" t="e">
        <f>VLOOKUP(A6,#REF!,43,0)</f>
        <v>#REF!</v>
      </c>
      <c r="BE6" s="25" t="e">
        <f>VLOOKUP(A6,#REF!,44,0)</f>
        <v>#REF!</v>
      </c>
      <c r="BF6" s="25" t="e">
        <f>VLOOKUP(A6,#REF!,45,0)</f>
        <v>#REF!</v>
      </c>
      <c r="BG6" s="25" t="e">
        <f>VLOOKUP(A6,#REF!,42,0)</f>
        <v>#REF!</v>
      </c>
      <c r="BH6" s="25" t="e">
        <f t="shared" si="8"/>
        <v>#REF!</v>
      </c>
      <c r="BI6" s="25" t="e">
        <f t="shared" si="9"/>
        <v>#REF!</v>
      </c>
      <c r="BJ6" s="25" t="e">
        <f t="shared" si="10"/>
        <v>#REF!</v>
      </c>
    </row>
    <row r="7" spans="1:62" hidden="1" x14ac:dyDescent="0.25">
      <c r="A7" s="20" t="s">
        <v>106</v>
      </c>
      <c r="B7" s="19">
        <v>45689</v>
      </c>
      <c r="C7" s="20" t="s">
        <v>5</v>
      </c>
      <c r="D7" s="20" t="s">
        <v>582</v>
      </c>
      <c r="E7" s="20"/>
      <c r="F7" s="20" t="s">
        <v>292</v>
      </c>
      <c r="G7" s="20" t="s">
        <v>444</v>
      </c>
      <c r="H7" s="20" t="s">
        <v>97</v>
      </c>
      <c r="I7" s="21">
        <v>42217</v>
      </c>
      <c r="J7" s="22"/>
      <c r="K7" s="23" t="s">
        <v>419</v>
      </c>
      <c r="L7" s="24" t="s">
        <v>211</v>
      </c>
      <c r="M7" s="24" t="s">
        <v>508</v>
      </c>
      <c r="N7" s="25" t="e">
        <f>VLOOKUP(A7,#REF!,12,0)</f>
        <v>#REF!</v>
      </c>
      <c r="O7" s="25" t="e">
        <f>VLOOKUP(A7,#REF!,15,0)</f>
        <v>#REF!</v>
      </c>
      <c r="P7" s="25" t="e">
        <f>VLOOKUP(A7,#REF!,16,0)</f>
        <v>#REF!</v>
      </c>
      <c r="Q7" s="25" t="e">
        <f>VLOOKUP(A7,#REF!,17,0)</f>
        <v>#REF!</v>
      </c>
      <c r="R7" s="25" t="e">
        <f>VLOOKUP(A7,#REF!,18,0)</f>
        <v>#REF!</v>
      </c>
      <c r="S7" s="25" t="e">
        <f>VLOOKUP(A7,#REF!,19,0)</f>
        <v>#REF!</v>
      </c>
      <c r="T7" s="25" t="e">
        <f>VLOOKUP(A7,#REF!,20,0)</f>
        <v>#REF!</v>
      </c>
      <c r="U7" s="25" t="e">
        <f>VLOOKUP(A7,#REF!,21,0)</f>
        <v>#REF!</v>
      </c>
      <c r="V7" s="25" t="e">
        <f>VLOOKUP(A7,#REF!,22,0)</f>
        <v>#REF!</v>
      </c>
      <c r="W7" s="25" t="e">
        <f>VLOOKUP(A7,#REF!,23,0)</f>
        <v>#REF!</v>
      </c>
      <c r="X7" s="25" t="e">
        <f>VLOOKUP(A7,#REF!,24,0)</f>
        <v>#REF!</v>
      </c>
      <c r="Y7" s="25" t="e">
        <f>VLOOKUP(A7,#REF!,25,0)</f>
        <v>#REF!</v>
      </c>
      <c r="Z7" s="25" t="e">
        <f>VLOOKUP(A7,#REF!,26,0)</f>
        <v>#REF!</v>
      </c>
      <c r="AA7" s="25" t="e">
        <f>VLOOKUP(A7,#REF!,27,0)</f>
        <v>#REF!</v>
      </c>
      <c r="AB7" s="25" t="e">
        <f>VLOOKUP(A7,#REF!,28,0)</f>
        <v>#REF!</v>
      </c>
      <c r="AC7" s="25" t="e">
        <f>VLOOKUP(A7,#REF!,29,0)</f>
        <v>#REF!</v>
      </c>
      <c r="AD7" s="26" t="e">
        <f t="shared" si="0"/>
        <v>#REF!</v>
      </c>
      <c r="AE7" s="25" t="e">
        <f>VLOOKUP(A7,#REF!,31,0)</f>
        <v>#REF!</v>
      </c>
      <c r="AF7" s="25" t="e">
        <f>VLOOKUP(A7,#REF!,32,0)</f>
        <v>#REF!</v>
      </c>
      <c r="AG7" s="25"/>
      <c r="AH7" s="27"/>
      <c r="AI7" s="25" t="e">
        <f>VLOOKUP(A7,#REF!,30,0)</f>
        <v>#REF!</v>
      </c>
      <c r="AJ7" s="25" t="e">
        <f>VLOOKUP(A7,#REF!,31,0)</f>
        <v>#REF!</v>
      </c>
      <c r="AK7" s="25" t="e">
        <f>VLOOKUP(A7,#REF!,33,0)</f>
        <v>#REF!</v>
      </c>
      <c r="AL7" s="25" t="e">
        <f>VLOOKUP(A7,#REF!,36,0)</f>
        <v>#REF!</v>
      </c>
      <c r="AM7" s="25" t="e">
        <f>VLOOKUP(A7,#REF!,34,0)</f>
        <v>#REF!</v>
      </c>
      <c r="AN7" s="27" t="e">
        <f>VLOOKUP(A7,#REF!,35,0)</f>
        <v>#REF!</v>
      </c>
      <c r="AO7" s="27" t="e">
        <f>VLOOKUP(A7,#REF!,32,0)</f>
        <v>#REF!</v>
      </c>
      <c r="AP7" s="25" t="e">
        <f>VLOOKUP(A7,#REF!,35,0)</f>
        <v>#REF!</v>
      </c>
      <c r="AQ7" s="25" t="e">
        <f>VLOOKUP(A7,#REF!,36,0)</f>
        <v>#REF!</v>
      </c>
      <c r="AR7" s="25" t="e">
        <f>VLOOKUP(A7,#REF!,37,0)</f>
        <v>#REF!</v>
      </c>
      <c r="AS7" s="25" t="e">
        <f>VLOOKUP(A7,#REF!,38,0)</f>
        <v>#REF!</v>
      </c>
      <c r="AT7" s="25" t="e">
        <f>VLOOKUP(A7,#REF!,39,0)</f>
        <v>#REF!</v>
      </c>
      <c r="AU7" s="25"/>
      <c r="AV7" s="26" t="e">
        <f t="shared" si="1"/>
        <v>#REF!</v>
      </c>
      <c r="AW7" s="25" t="e">
        <f t="shared" si="2"/>
        <v>#REF!</v>
      </c>
      <c r="AX7" s="25"/>
      <c r="AY7" s="26" t="e">
        <f t="shared" si="3"/>
        <v>#REF!</v>
      </c>
      <c r="AZ7" s="25" t="e">
        <f t="shared" si="4"/>
        <v>#REF!</v>
      </c>
      <c r="BA7" s="25" t="e">
        <f t="shared" si="5"/>
        <v>#REF!</v>
      </c>
      <c r="BB7" s="25" t="e">
        <f t="shared" si="6"/>
        <v>#REF!</v>
      </c>
      <c r="BC7" s="25" t="e">
        <f t="shared" si="7"/>
        <v>#REF!</v>
      </c>
      <c r="BD7" s="25" t="e">
        <f>VLOOKUP(A7,#REF!,43,0)</f>
        <v>#REF!</v>
      </c>
      <c r="BE7" s="25" t="e">
        <f>VLOOKUP(A7,#REF!,44,0)</f>
        <v>#REF!</v>
      </c>
      <c r="BF7" s="25" t="e">
        <f>VLOOKUP(A7,#REF!,45,0)</f>
        <v>#REF!</v>
      </c>
      <c r="BG7" s="25" t="e">
        <f>VLOOKUP(A7,#REF!,42,0)</f>
        <v>#REF!</v>
      </c>
      <c r="BH7" s="25" t="e">
        <f t="shared" si="8"/>
        <v>#REF!</v>
      </c>
      <c r="BI7" s="25" t="e">
        <f t="shared" si="9"/>
        <v>#REF!</v>
      </c>
      <c r="BJ7" s="25" t="e">
        <f t="shared" si="10"/>
        <v>#REF!</v>
      </c>
    </row>
    <row r="8" spans="1:62" hidden="1" x14ac:dyDescent="0.25">
      <c r="A8" s="20" t="s">
        <v>469</v>
      </c>
      <c r="B8" s="19">
        <v>45689</v>
      </c>
      <c r="C8" s="20" t="s">
        <v>5</v>
      </c>
      <c r="D8" s="20" t="s">
        <v>564</v>
      </c>
      <c r="E8" s="20"/>
      <c r="F8" s="20" t="s">
        <v>95</v>
      </c>
      <c r="G8" s="20" t="s">
        <v>561</v>
      </c>
      <c r="H8" s="20" t="s">
        <v>421</v>
      </c>
      <c r="I8" s="21">
        <v>42826</v>
      </c>
      <c r="J8" s="22"/>
      <c r="K8" s="23" t="s">
        <v>419</v>
      </c>
      <c r="L8" s="24" t="s">
        <v>470</v>
      </c>
      <c r="M8" s="24" t="s">
        <v>439</v>
      </c>
      <c r="N8" s="25" t="e">
        <f>VLOOKUP(A8,#REF!,12,0)</f>
        <v>#REF!</v>
      </c>
      <c r="O8" s="25" t="e">
        <f>VLOOKUP(A8,#REF!,15,0)</f>
        <v>#REF!</v>
      </c>
      <c r="P8" s="25" t="e">
        <f>VLOOKUP(A8,#REF!,16,0)</f>
        <v>#REF!</v>
      </c>
      <c r="Q8" s="25" t="e">
        <f>VLOOKUP(A8,#REF!,17,0)</f>
        <v>#REF!</v>
      </c>
      <c r="R8" s="25" t="e">
        <f>VLOOKUP(A8,#REF!,18,0)</f>
        <v>#REF!</v>
      </c>
      <c r="S8" s="25" t="e">
        <f>VLOOKUP(A8,#REF!,19,0)</f>
        <v>#REF!</v>
      </c>
      <c r="T8" s="25" t="e">
        <f>VLOOKUP(A8,#REF!,20,0)</f>
        <v>#REF!</v>
      </c>
      <c r="U8" s="25" t="e">
        <f>VLOOKUP(A8,#REF!,21,0)</f>
        <v>#REF!</v>
      </c>
      <c r="V8" s="25" t="e">
        <f>VLOOKUP(A8,#REF!,22,0)</f>
        <v>#REF!</v>
      </c>
      <c r="W8" s="25" t="e">
        <f>VLOOKUP(A8,#REF!,23,0)</f>
        <v>#REF!</v>
      </c>
      <c r="X8" s="25" t="e">
        <f>VLOOKUP(A8,#REF!,24,0)</f>
        <v>#REF!</v>
      </c>
      <c r="Y8" s="25" t="e">
        <f>VLOOKUP(A8,#REF!,25,0)</f>
        <v>#REF!</v>
      </c>
      <c r="Z8" s="25" t="e">
        <f>VLOOKUP(A8,#REF!,26,0)</f>
        <v>#REF!</v>
      </c>
      <c r="AA8" s="25" t="e">
        <f>VLOOKUP(A8,#REF!,27,0)</f>
        <v>#REF!</v>
      </c>
      <c r="AB8" s="25" t="e">
        <f>VLOOKUP(A8,#REF!,28,0)</f>
        <v>#REF!</v>
      </c>
      <c r="AC8" s="25" t="e">
        <f>VLOOKUP(A8,#REF!,29,0)</f>
        <v>#REF!</v>
      </c>
      <c r="AD8" s="26" t="e">
        <f t="shared" si="0"/>
        <v>#REF!</v>
      </c>
      <c r="AE8" s="25" t="e">
        <f>VLOOKUP(A8,#REF!,31,0)</f>
        <v>#REF!</v>
      </c>
      <c r="AF8" s="25" t="e">
        <f>VLOOKUP(A8,#REF!,32,0)</f>
        <v>#REF!</v>
      </c>
      <c r="AG8" s="25"/>
      <c r="AH8" s="27"/>
      <c r="AI8" s="25" t="e">
        <f>VLOOKUP(A8,#REF!,30,0)</f>
        <v>#REF!</v>
      </c>
      <c r="AJ8" s="25" t="e">
        <f>VLOOKUP(A8,#REF!,31,0)</f>
        <v>#REF!</v>
      </c>
      <c r="AK8" s="25" t="e">
        <f>VLOOKUP(A8,#REF!,33,0)</f>
        <v>#REF!</v>
      </c>
      <c r="AL8" s="25" t="e">
        <f>VLOOKUP(A8,#REF!,36,0)</f>
        <v>#REF!</v>
      </c>
      <c r="AM8" s="25" t="e">
        <f>VLOOKUP(A8,#REF!,34,0)</f>
        <v>#REF!</v>
      </c>
      <c r="AN8" s="27" t="e">
        <f>VLOOKUP(A8,#REF!,35,0)</f>
        <v>#REF!</v>
      </c>
      <c r="AO8" s="27" t="e">
        <f>VLOOKUP(A8,#REF!,32,0)</f>
        <v>#REF!</v>
      </c>
      <c r="AP8" s="25" t="e">
        <f>VLOOKUP(A8,#REF!,35,0)</f>
        <v>#REF!</v>
      </c>
      <c r="AQ8" s="25" t="e">
        <f>VLOOKUP(A8,#REF!,36,0)</f>
        <v>#REF!</v>
      </c>
      <c r="AR8" s="25" t="e">
        <f>VLOOKUP(A8,#REF!,37,0)</f>
        <v>#REF!</v>
      </c>
      <c r="AS8" s="25" t="e">
        <f>VLOOKUP(A8,#REF!,38,0)</f>
        <v>#REF!</v>
      </c>
      <c r="AT8" s="25" t="e">
        <f>VLOOKUP(A8,#REF!,39,0)</f>
        <v>#REF!</v>
      </c>
      <c r="AU8" s="25"/>
      <c r="AV8" s="26" t="e">
        <f t="shared" si="1"/>
        <v>#REF!</v>
      </c>
      <c r="AW8" s="25" t="e">
        <f t="shared" si="2"/>
        <v>#REF!</v>
      </c>
      <c r="AX8" s="25"/>
      <c r="AY8" s="26" t="e">
        <f t="shared" si="3"/>
        <v>#REF!</v>
      </c>
      <c r="AZ8" s="25" t="e">
        <f t="shared" si="4"/>
        <v>#REF!</v>
      </c>
      <c r="BA8" s="25" t="e">
        <f t="shared" si="5"/>
        <v>#REF!</v>
      </c>
      <c r="BB8" s="25" t="e">
        <f t="shared" si="6"/>
        <v>#REF!</v>
      </c>
      <c r="BC8" s="25" t="e">
        <f t="shared" si="7"/>
        <v>#REF!</v>
      </c>
      <c r="BD8" s="25" t="e">
        <f>VLOOKUP(A8,#REF!,43,0)</f>
        <v>#REF!</v>
      </c>
      <c r="BE8" s="25" t="e">
        <f>VLOOKUP(A8,#REF!,44,0)</f>
        <v>#REF!</v>
      </c>
      <c r="BF8" s="25" t="e">
        <f>VLOOKUP(A8,#REF!,45,0)</f>
        <v>#REF!</v>
      </c>
      <c r="BG8" s="25" t="e">
        <f>VLOOKUP(A8,#REF!,42,0)</f>
        <v>#REF!</v>
      </c>
      <c r="BH8" s="25" t="e">
        <f t="shared" si="8"/>
        <v>#REF!</v>
      </c>
      <c r="BI8" s="25" t="e">
        <f t="shared" si="9"/>
        <v>#REF!</v>
      </c>
      <c r="BJ8" s="25" t="e">
        <f t="shared" si="10"/>
        <v>#REF!</v>
      </c>
    </row>
    <row r="9" spans="1:62" hidden="1" x14ac:dyDescent="0.25">
      <c r="A9" s="20" t="s">
        <v>157</v>
      </c>
      <c r="B9" s="19">
        <v>45689</v>
      </c>
      <c r="C9" s="20" t="s">
        <v>5</v>
      </c>
      <c r="D9" s="20" t="s">
        <v>564</v>
      </c>
      <c r="E9" s="20"/>
      <c r="F9" s="20" t="s">
        <v>95</v>
      </c>
      <c r="G9" s="20" t="s">
        <v>561</v>
      </c>
      <c r="H9" s="20" t="s">
        <v>565</v>
      </c>
      <c r="I9" s="21">
        <v>42826</v>
      </c>
      <c r="J9" s="22"/>
      <c r="K9" s="23" t="s">
        <v>419</v>
      </c>
      <c r="L9" s="24" t="s">
        <v>517</v>
      </c>
      <c r="M9" s="24" t="s">
        <v>92</v>
      </c>
      <c r="N9" s="25" t="e">
        <f>VLOOKUP(A9,#REF!,12,0)</f>
        <v>#REF!</v>
      </c>
      <c r="O9" s="25" t="e">
        <f>VLOOKUP(A9,#REF!,15,0)</f>
        <v>#REF!</v>
      </c>
      <c r="P9" s="25" t="e">
        <f>VLOOKUP(A9,#REF!,16,0)</f>
        <v>#REF!</v>
      </c>
      <c r="Q9" s="25" t="e">
        <f>VLOOKUP(A9,#REF!,17,0)</f>
        <v>#REF!</v>
      </c>
      <c r="R9" s="25" t="e">
        <f>VLOOKUP(A9,#REF!,18,0)</f>
        <v>#REF!</v>
      </c>
      <c r="S9" s="25" t="e">
        <f>VLOOKUP(A9,#REF!,19,0)</f>
        <v>#REF!</v>
      </c>
      <c r="T9" s="25" t="e">
        <f>VLOOKUP(A9,#REF!,20,0)</f>
        <v>#REF!</v>
      </c>
      <c r="U9" s="25" t="e">
        <f>VLOOKUP(A9,#REF!,21,0)</f>
        <v>#REF!</v>
      </c>
      <c r="V9" s="25" t="e">
        <f>VLOOKUP(A9,#REF!,22,0)</f>
        <v>#REF!</v>
      </c>
      <c r="W9" s="25" t="e">
        <f>VLOOKUP(A9,#REF!,23,0)</f>
        <v>#REF!</v>
      </c>
      <c r="X9" s="25" t="e">
        <f>VLOOKUP(A9,#REF!,24,0)</f>
        <v>#REF!</v>
      </c>
      <c r="Y9" s="25" t="e">
        <f>VLOOKUP(A9,#REF!,25,0)</f>
        <v>#REF!</v>
      </c>
      <c r="Z9" s="25" t="e">
        <f>VLOOKUP(A9,#REF!,26,0)</f>
        <v>#REF!</v>
      </c>
      <c r="AA9" s="25" t="e">
        <f>VLOOKUP(A9,#REF!,27,0)</f>
        <v>#REF!</v>
      </c>
      <c r="AB9" s="25" t="e">
        <f>VLOOKUP(A9,#REF!,28,0)</f>
        <v>#REF!</v>
      </c>
      <c r="AC9" s="25" t="e">
        <f>VLOOKUP(A9,#REF!,29,0)</f>
        <v>#REF!</v>
      </c>
      <c r="AD9" s="26" t="e">
        <f t="shared" si="0"/>
        <v>#REF!</v>
      </c>
      <c r="AE9" s="25" t="e">
        <f>VLOOKUP(A9,#REF!,31,0)</f>
        <v>#REF!</v>
      </c>
      <c r="AF9" s="25" t="e">
        <f>VLOOKUP(A9,#REF!,32,0)</f>
        <v>#REF!</v>
      </c>
      <c r="AG9" s="25"/>
      <c r="AH9" s="27"/>
      <c r="AI9" s="25" t="e">
        <f>VLOOKUP(A9,#REF!,30,0)</f>
        <v>#REF!</v>
      </c>
      <c r="AJ9" s="25" t="e">
        <f>VLOOKUP(A9,#REF!,31,0)</f>
        <v>#REF!</v>
      </c>
      <c r="AK9" s="25" t="e">
        <f>VLOOKUP(A9,#REF!,33,0)</f>
        <v>#REF!</v>
      </c>
      <c r="AL9" s="25" t="e">
        <f>VLOOKUP(A9,#REF!,36,0)</f>
        <v>#REF!</v>
      </c>
      <c r="AM9" s="25" t="e">
        <f>VLOOKUP(A9,#REF!,34,0)</f>
        <v>#REF!</v>
      </c>
      <c r="AN9" s="27" t="e">
        <f>VLOOKUP(A9,#REF!,35,0)</f>
        <v>#REF!</v>
      </c>
      <c r="AO9" s="27" t="e">
        <f>VLOOKUP(A9,#REF!,32,0)</f>
        <v>#REF!</v>
      </c>
      <c r="AP9" s="25" t="e">
        <f>VLOOKUP(A9,#REF!,35,0)</f>
        <v>#REF!</v>
      </c>
      <c r="AQ9" s="25" t="e">
        <f>VLOOKUP(A9,#REF!,36,0)</f>
        <v>#REF!</v>
      </c>
      <c r="AR9" s="25" t="e">
        <f>VLOOKUP(A9,#REF!,37,0)</f>
        <v>#REF!</v>
      </c>
      <c r="AS9" s="25" t="e">
        <f>VLOOKUP(A9,#REF!,38,0)</f>
        <v>#REF!</v>
      </c>
      <c r="AT9" s="25" t="e">
        <f>VLOOKUP(A9,#REF!,39,0)</f>
        <v>#REF!</v>
      </c>
      <c r="AU9" s="25"/>
      <c r="AV9" s="26" t="e">
        <f t="shared" si="1"/>
        <v>#REF!</v>
      </c>
      <c r="AW9" s="25" t="e">
        <f t="shared" si="2"/>
        <v>#REF!</v>
      </c>
      <c r="AX9" s="25"/>
      <c r="AY9" s="26" t="e">
        <f t="shared" si="3"/>
        <v>#REF!</v>
      </c>
      <c r="AZ9" s="25" t="e">
        <f t="shared" si="4"/>
        <v>#REF!</v>
      </c>
      <c r="BA9" s="25" t="e">
        <f t="shared" si="5"/>
        <v>#REF!</v>
      </c>
      <c r="BB9" s="25" t="e">
        <f t="shared" si="6"/>
        <v>#REF!</v>
      </c>
      <c r="BC9" s="25" t="e">
        <f t="shared" si="7"/>
        <v>#REF!</v>
      </c>
      <c r="BD9" s="25" t="e">
        <f>VLOOKUP(A9,#REF!,43,0)</f>
        <v>#REF!</v>
      </c>
      <c r="BE9" s="25" t="e">
        <f>VLOOKUP(A9,#REF!,44,0)</f>
        <v>#REF!</v>
      </c>
      <c r="BF9" s="25" t="e">
        <f>VLOOKUP(A9,#REF!,45,0)</f>
        <v>#REF!</v>
      </c>
      <c r="BG9" s="25" t="e">
        <f>VLOOKUP(A9,#REF!,42,0)</f>
        <v>#REF!</v>
      </c>
      <c r="BH9" s="25" t="e">
        <f t="shared" si="8"/>
        <v>#REF!</v>
      </c>
      <c r="BI9" s="25" t="e">
        <f t="shared" si="9"/>
        <v>#REF!</v>
      </c>
      <c r="BJ9" s="25" t="e">
        <f t="shared" si="10"/>
        <v>#REF!</v>
      </c>
    </row>
    <row r="10" spans="1:62" hidden="1" x14ac:dyDescent="0.25">
      <c r="A10" s="20" t="s">
        <v>545</v>
      </c>
      <c r="B10" s="19">
        <v>45689</v>
      </c>
      <c r="C10" s="20" t="s">
        <v>5</v>
      </c>
      <c r="D10" s="20" t="s">
        <v>582</v>
      </c>
      <c r="E10" s="20"/>
      <c r="F10" s="20" t="s">
        <v>292</v>
      </c>
      <c r="G10" s="20" t="s">
        <v>203</v>
      </c>
      <c r="H10" s="20" t="s">
        <v>233</v>
      </c>
      <c r="I10" s="21">
        <v>42912</v>
      </c>
      <c r="J10" s="22"/>
      <c r="K10" s="23" t="s">
        <v>422</v>
      </c>
      <c r="L10" s="24" t="s">
        <v>234</v>
      </c>
      <c r="M10" s="24" t="s">
        <v>546</v>
      </c>
      <c r="N10" s="25" t="e">
        <f>VLOOKUP(A10,#REF!,12,0)</f>
        <v>#REF!</v>
      </c>
      <c r="O10" s="25" t="e">
        <f>VLOOKUP(A10,#REF!,15,0)</f>
        <v>#REF!</v>
      </c>
      <c r="P10" s="25" t="e">
        <f>VLOOKUP(A10,#REF!,16,0)</f>
        <v>#REF!</v>
      </c>
      <c r="Q10" s="25" t="e">
        <f>VLOOKUP(A10,#REF!,17,0)</f>
        <v>#REF!</v>
      </c>
      <c r="R10" s="25" t="e">
        <f>VLOOKUP(A10,#REF!,18,0)</f>
        <v>#REF!</v>
      </c>
      <c r="S10" s="25" t="e">
        <f>VLOOKUP(A10,#REF!,19,0)</f>
        <v>#REF!</v>
      </c>
      <c r="T10" s="25" t="e">
        <f>VLOOKUP(A10,#REF!,20,0)</f>
        <v>#REF!</v>
      </c>
      <c r="U10" s="25" t="e">
        <f>VLOOKUP(A10,#REF!,21,0)</f>
        <v>#REF!</v>
      </c>
      <c r="V10" s="25" t="e">
        <f>VLOOKUP(A10,#REF!,22,0)</f>
        <v>#REF!</v>
      </c>
      <c r="W10" s="25" t="e">
        <f>VLOOKUP(A10,#REF!,23,0)</f>
        <v>#REF!</v>
      </c>
      <c r="X10" s="25" t="e">
        <f>VLOOKUP(A10,#REF!,24,0)</f>
        <v>#REF!</v>
      </c>
      <c r="Y10" s="25" t="e">
        <f>VLOOKUP(A10,#REF!,25,0)</f>
        <v>#REF!</v>
      </c>
      <c r="Z10" s="25" t="e">
        <f>VLOOKUP(A10,#REF!,26,0)</f>
        <v>#REF!</v>
      </c>
      <c r="AA10" s="25" t="e">
        <f>VLOOKUP(A10,#REF!,27,0)</f>
        <v>#REF!</v>
      </c>
      <c r="AB10" s="25" t="e">
        <f>VLOOKUP(A10,#REF!,28,0)</f>
        <v>#REF!</v>
      </c>
      <c r="AC10" s="25" t="e">
        <f>VLOOKUP(A10,#REF!,29,0)</f>
        <v>#REF!</v>
      </c>
      <c r="AD10" s="26" t="e">
        <f t="shared" si="0"/>
        <v>#REF!</v>
      </c>
      <c r="AE10" s="25" t="e">
        <f>VLOOKUP(A10,#REF!,31,0)</f>
        <v>#REF!</v>
      </c>
      <c r="AF10" s="25" t="e">
        <f>VLOOKUP(A10,#REF!,32,0)</f>
        <v>#REF!</v>
      </c>
      <c r="AG10" s="25"/>
      <c r="AH10" s="27"/>
      <c r="AI10" s="25" t="e">
        <f>VLOOKUP(A10,#REF!,30,0)</f>
        <v>#REF!</v>
      </c>
      <c r="AJ10" s="25" t="e">
        <f>VLOOKUP(A10,#REF!,31,0)</f>
        <v>#REF!</v>
      </c>
      <c r="AK10" s="25" t="e">
        <f>VLOOKUP(A10,#REF!,33,0)</f>
        <v>#REF!</v>
      </c>
      <c r="AL10" s="25" t="e">
        <f>VLOOKUP(A10,#REF!,36,0)</f>
        <v>#REF!</v>
      </c>
      <c r="AM10" s="25" t="e">
        <f>VLOOKUP(A10,#REF!,34,0)</f>
        <v>#REF!</v>
      </c>
      <c r="AN10" s="27" t="e">
        <f>VLOOKUP(A10,#REF!,35,0)</f>
        <v>#REF!</v>
      </c>
      <c r="AO10" s="27" t="e">
        <f>VLOOKUP(A10,#REF!,32,0)</f>
        <v>#REF!</v>
      </c>
      <c r="AP10" s="25" t="e">
        <f>VLOOKUP(A10,#REF!,35,0)</f>
        <v>#REF!</v>
      </c>
      <c r="AQ10" s="25" t="e">
        <f>VLOOKUP(A10,#REF!,36,0)</f>
        <v>#REF!</v>
      </c>
      <c r="AR10" s="25" t="e">
        <f>VLOOKUP(A10,#REF!,37,0)</f>
        <v>#REF!</v>
      </c>
      <c r="AS10" s="25" t="e">
        <f>VLOOKUP(A10,#REF!,38,0)</f>
        <v>#REF!</v>
      </c>
      <c r="AT10" s="25" t="e">
        <f>VLOOKUP(A10,#REF!,39,0)</f>
        <v>#REF!</v>
      </c>
      <c r="AU10" s="25"/>
      <c r="AV10" s="26" t="e">
        <f t="shared" si="1"/>
        <v>#REF!</v>
      </c>
      <c r="AW10" s="25" t="e">
        <f t="shared" si="2"/>
        <v>#REF!</v>
      </c>
      <c r="AX10" s="25">
        <v>500</v>
      </c>
      <c r="AY10" s="26" t="e">
        <f t="shared" si="3"/>
        <v>#REF!</v>
      </c>
      <c r="AZ10" s="25" t="e">
        <f t="shared" si="4"/>
        <v>#REF!</v>
      </c>
      <c r="BA10" s="25" t="e">
        <f t="shared" si="5"/>
        <v>#REF!</v>
      </c>
      <c r="BB10" s="25" t="e">
        <f t="shared" si="6"/>
        <v>#REF!</v>
      </c>
      <c r="BC10" s="25" t="e">
        <f t="shared" si="7"/>
        <v>#REF!</v>
      </c>
      <c r="BD10" s="25" t="e">
        <f>VLOOKUP(A10,#REF!,43,0)</f>
        <v>#REF!</v>
      </c>
      <c r="BE10" s="25" t="e">
        <f>VLOOKUP(A10,#REF!,44,0)</f>
        <v>#REF!</v>
      </c>
      <c r="BF10" s="25" t="e">
        <f>VLOOKUP(A10,#REF!,45,0)</f>
        <v>#REF!</v>
      </c>
      <c r="BG10" s="25" t="e">
        <f>VLOOKUP(A10,#REF!,42,0)</f>
        <v>#REF!</v>
      </c>
      <c r="BH10" s="25" t="e">
        <f t="shared" si="8"/>
        <v>#REF!</v>
      </c>
      <c r="BI10" s="25" t="e">
        <f t="shared" si="9"/>
        <v>#REF!</v>
      </c>
      <c r="BJ10" s="25" t="e">
        <f t="shared" si="10"/>
        <v>#REF!</v>
      </c>
    </row>
    <row r="11" spans="1:62" hidden="1" x14ac:dyDescent="0.25">
      <c r="A11" s="20" t="s">
        <v>592</v>
      </c>
      <c r="B11" s="19">
        <v>45689</v>
      </c>
      <c r="C11" s="20" t="s">
        <v>5</v>
      </c>
      <c r="D11" s="20" t="s">
        <v>588</v>
      </c>
      <c r="E11" s="20"/>
      <c r="F11" s="20" t="s">
        <v>312</v>
      </c>
      <c r="G11" s="20" t="s">
        <v>313</v>
      </c>
      <c r="H11" s="20" t="s">
        <v>317</v>
      </c>
      <c r="I11" s="21">
        <v>42982</v>
      </c>
      <c r="J11" s="22"/>
      <c r="K11" s="23" t="s">
        <v>419</v>
      </c>
      <c r="L11" s="24" t="s">
        <v>318</v>
      </c>
      <c r="M11" s="24" t="s">
        <v>593</v>
      </c>
      <c r="N11" s="25" t="e">
        <f>VLOOKUP(A11,#REF!,12,0)</f>
        <v>#REF!</v>
      </c>
      <c r="O11" s="25" t="e">
        <f>VLOOKUP(A11,#REF!,15,0)</f>
        <v>#REF!</v>
      </c>
      <c r="P11" s="25" t="e">
        <f>VLOOKUP(A11,#REF!,16,0)</f>
        <v>#REF!</v>
      </c>
      <c r="Q11" s="25" t="e">
        <f>VLOOKUP(A11,#REF!,17,0)</f>
        <v>#REF!</v>
      </c>
      <c r="R11" s="25" t="e">
        <f>VLOOKUP(A11,#REF!,18,0)</f>
        <v>#REF!</v>
      </c>
      <c r="S11" s="25" t="e">
        <f>VLOOKUP(A11,#REF!,19,0)</f>
        <v>#REF!</v>
      </c>
      <c r="T11" s="25" t="e">
        <f>VLOOKUP(A11,#REF!,20,0)</f>
        <v>#REF!</v>
      </c>
      <c r="U11" s="25" t="e">
        <f>VLOOKUP(A11,#REF!,21,0)</f>
        <v>#REF!</v>
      </c>
      <c r="V11" s="25" t="e">
        <f>VLOOKUP(A11,#REF!,22,0)</f>
        <v>#REF!</v>
      </c>
      <c r="W11" s="25" t="e">
        <f>VLOOKUP(A11,#REF!,23,0)</f>
        <v>#REF!</v>
      </c>
      <c r="X11" s="25" t="e">
        <f>VLOOKUP(A11,#REF!,24,0)</f>
        <v>#REF!</v>
      </c>
      <c r="Y11" s="25" t="e">
        <f>VLOOKUP(A11,#REF!,25,0)</f>
        <v>#REF!</v>
      </c>
      <c r="Z11" s="25" t="e">
        <f>VLOOKUP(A11,#REF!,26,0)</f>
        <v>#REF!</v>
      </c>
      <c r="AA11" s="25" t="e">
        <f>VLOOKUP(A11,#REF!,27,0)</f>
        <v>#REF!</v>
      </c>
      <c r="AB11" s="25" t="e">
        <f>VLOOKUP(A11,#REF!,28,0)</f>
        <v>#REF!</v>
      </c>
      <c r="AC11" s="25" t="e">
        <f>VLOOKUP(A11,#REF!,29,0)</f>
        <v>#REF!</v>
      </c>
      <c r="AD11" s="26" t="e">
        <f t="shared" si="0"/>
        <v>#REF!</v>
      </c>
      <c r="AE11" s="25" t="e">
        <f>VLOOKUP(A11,#REF!,31,0)</f>
        <v>#REF!</v>
      </c>
      <c r="AF11" s="25" t="e">
        <f>VLOOKUP(A11,#REF!,32,0)</f>
        <v>#REF!</v>
      </c>
      <c r="AG11" s="25"/>
      <c r="AH11" s="27"/>
      <c r="AI11" s="25" t="e">
        <f>VLOOKUP(A11,#REF!,30,0)</f>
        <v>#REF!</v>
      </c>
      <c r="AJ11" s="25" t="e">
        <f>VLOOKUP(A11,#REF!,31,0)</f>
        <v>#REF!</v>
      </c>
      <c r="AK11" s="25" t="e">
        <f>VLOOKUP(A11,#REF!,33,0)</f>
        <v>#REF!</v>
      </c>
      <c r="AL11" s="25" t="e">
        <f>VLOOKUP(A11,#REF!,36,0)</f>
        <v>#REF!</v>
      </c>
      <c r="AM11" s="25" t="e">
        <f>VLOOKUP(A11,#REF!,34,0)</f>
        <v>#REF!</v>
      </c>
      <c r="AN11" s="27" t="e">
        <f>VLOOKUP(A11,#REF!,35,0)</f>
        <v>#REF!</v>
      </c>
      <c r="AO11" s="27" t="e">
        <f>VLOOKUP(A11,#REF!,32,0)</f>
        <v>#REF!</v>
      </c>
      <c r="AP11" s="25" t="e">
        <f>VLOOKUP(A11,#REF!,35,0)</f>
        <v>#REF!</v>
      </c>
      <c r="AQ11" s="25" t="e">
        <f>VLOOKUP(A11,#REF!,36,0)</f>
        <v>#REF!</v>
      </c>
      <c r="AR11" s="25" t="e">
        <f>VLOOKUP(A11,#REF!,37,0)</f>
        <v>#REF!</v>
      </c>
      <c r="AS11" s="25" t="e">
        <f>VLOOKUP(A11,#REF!,38,0)</f>
        <v>#REF!</v>
      </c>
      <c r="AT11" s="25" t="e">
        <f>VLOOKUP(A11,#REF!,39,0)</f>
        <v>#REF!</v>
      </c>
      <c r="AU11" s="25"/>
      <c r="AV11" s="26" t="e">
        <f t="shared" si="1"/>
        <v>#REF!</v>
      </c>
      <c r="AW11" s="25" t="e">
        <f t="shared" si="2"/>
        <v>#REF!</v>
      </c>
      <c r="AX11" s="25">
        <v>8242</v>
      </c>
      <c r="AY11" s="26" t="e">
        <f t="shared" si="3"/>
        <v>#REF!</v>
      </c>
      <c r="AZ11" s="25" t="e">
        <f t="shared" si="4"/>
        <v>#REF!</v>
      </c>
      <c r="BA11" s="25" t="e">
        <f t="shared" si="5"/>
        <v>#REF!</v>
      </c>
      <c r="BB11" s="25" t="e">
        <f t="shared" si="6"/>
        <v>#REF!</v>
      </c>
      <c r="BC11" s="25" t="e">
        <f t="shared" si="7"/>
        <v>#REF!</v>
      </c>
      <c r="BD11" s="25" t="e">
        <f>VLOOKUP(A11,#REF!,43,0)</f>
        <v>#REF!</v>
      </c>
      <c r="BE11" s="25" t="e">
        <f>VLOOKUP(A11,#REF!,44,0)</f>
        <v>#REF!</v>
      </c>
      <c r="BF11" s="25" t="e">
        <f>VLOOKUP(A11,#REF!,45,0)</f>
        <v>#REF!</v>
      </c>
      <c r="BG11" s="25" t="e">
        <f>VLOOKUP(A11,#REF!,42,0)</f>
        <v>#REF!</v>
      </c>
      <c r="BH11" s="25" t="e">
        <f t="shared" si="8"/>
        <v>#REF!</v>
      </c>
      <c r="BI11" s="25" t="e">
        <f t="shared" si="9"/>
        <v>#REF!</v>
      </c>
      <c r="BJ11" s="25" t="e">
        <f t="shared" si="10"/>
        <v>#REF!</v>
      </c>
    </row>
    <row r="12" spans="1:62" hidden="1" x14ac:dyDescent="0.25">
      <c r="A12" s="20" t="s">
        <v>310</v>
      </c>
      <c r="B12" s="19">
        <v>45689</v>
      </c>
      <c r="C12" s="20" t="s">
        <v>5</v>
      </c>
      <c r="D12" s="20" t="s">
        <v>588</v>
      </c>
      <c r="E12" s="20"/>
      <c r="F12" s="20" t="s">
        <v>312</v>
      </c>
      <c r="G12" s="20" t="s">
        <v>313</v>
      </c>
      <c r="H12" s="20" t="s">
        <v>97</v>
      </c>
      <c r="I12" s="21">
        <v>43234</v>
      </c>
      <c r="J12" s="22"/>
      <c r="K12" s="23" t="s">
        <v>419</v>
      </c>
      <c r="L12" s="24" t="s">
        <v>314</v>
      </c>
      <c r="M12" s="24" t="s">
        <v>610</v>
      </c>
      <c r="N12" s="25" t="e">
        <f>VLOOKUP(A12,#REF!,12,0)</f>
        <v>#REF!</v>
      </c>
      <c r="O12" s="25" t="e">
        <f>VLOOKUP(A12,#REF!,15,0)</f>
        <v>#REF!</v>
      </c>
      <c r="P12" s="25" t="e">
        <f>VLOOKUP(A12,#REF!,16,0)</f>
        <v>#REF!</v>
      </c>
      <c r="Q12" s="25" t="e">
        <f>VLOOKUP(A12,#REF!,17,0)</f>
        <v>#REF!</v>
      </c>
      <c r="R12" s="25" t="e">
        <f>VLOOKUP(A12,#REF!,18,0)</f>
        <v>#REF!</v>
      </c>
      <c r="S12" s="25" t="e">
        <f>VLOOKUP(A12,#REF!,19,0)</f>
        <v>#REF!</v>
      </c>
      <c r="T12" s="25" t="e">
        <f>VLOOKUP(A12,#REF!,20,0)</f>
        <v>#REF!</v>
      </c>
      <c r="U12" s="25" t="e">
        <f>VLOOKUP(A12,#REF!,21,0)</f>
        <v>#REF!</v>
      </c>
      <c r="V12" s="25" t="e">
        <f>VLOOKUP(A12,#REF!,22,0)</f>
        <v>#REF!</v>
      </c>
      <c r="W12" s="25" t="e">
        <f>VLOOKUP(A12,#REF!,23,0)</f>
        <v>#REF!</v>
      </c>
      <c r="X12" s="25" t="e">
        <f>VLOOKUP(A12,#REF!,24,0)</f>
        <v>#REF!</v>
      </c>
      <c r="Y12" s="25" t="e">
        <f>VLOOKUP(A12,#REF!,25,0)</f>
        <v>#REF!</v>
      </c>
      <c r="Z12" s="25" t="e">
        <f>VLOOKUP(A12,#REF!,26,0)</f>
        <v>#REF!</v>
      </c>
      <c r="AA12" s="25" t="e">
        <f>VLOOKUP(A12,#REF!,27,0)</f>
        <v>#REF!</v>
      </c>
      <c r="AB12" s="25" t="e">
        <f>VLOOKUP(A12,#REF!,28,0)</f>
        <v>#REF!</v>
      </c>
      <c r="AC12" s="25" t="e">
        <f>VLOOKUP(A12,#REF!,29,0)</f>
        <v>#REF!</v>
      </c>
      <c r="AD12" s="26" t="e">
        <f t="shared" si="0"/>
        <v>#REF!</v>
      </c>
      <c r="AE12" s="25" t="e">
        <f>VLOOKUP(A12,#REF!,31,0)</f>
        <v>#REF!</v>
      </c>
      <c r="AF12" s="25" t="e">
        <f>VLOOKUP(A12,#REF!,32,0)</f>
        <v>#REF!</v>
      </c>
      <c r="AG12" s="25"/>
      <c r="AH12" s="27"/>
      <c r="AI12" s="25" t="e">
        <f>VLOOKUP(A12,#REF!,30,0)</f>
        <v>#REF!</v>
      </c>
      <c r="AJ12" s="25" t="e">
        <f>VLOOKUP(A12,#REF!,31,0)</f>
        <v>#REF!</v>
      </c>
      <c r="AK12" s="25" t="e">
        <f>VLOOKUP(A12,#REF!,33,0)</f>
        <v>#REF!</v>
      </c>
      <c r="AL12" s="25" t="e">
        <f>VLOOKUP(A12,#REF!,36,0)</f>
        <v>#REF!</v>
      </c>
      <c r="AM12" s="25" t="e">
        <f>VLOOKUP(A12,#REF!,34,0)</f>
        <v>#REF!</v>
      </c>
      <c r="AN12" s="27" t="e">
        <f>VLOOKUP(A12,#REF!,35,0)</f>
        <v>#REF!</v>
      </c>
      <c r="AO12" s="27" t="e">
        <f>VLOOKUP(A12,#REF!,32,0)</f>
        <v>#REF!</v>
      </c>
      <c r="AP12" s="25" t="e">
        <f>VLOOKUP(A12,#REF!,35,0)</f>
        <v>#REF!</v>
      </c>
      <c r="AQ12" s="25" t="e">
        <f>VLOOKUP(A12,#REF!,36,0)</f>
        <v>#REF!</v>
      </c>
      <c r="AR12" s="25" t="e">
        <f>VLOOKUP(A12,#REF!,37,0)</f>
        <v>#REF!</v>
      </c>
      <c r="AS12" s="25" t="e">
        <f>VLOOKUP(A12,#REF!,38,0)</f>
        <v>#REF!</v>
      </c>
      <c r="AT12" s="25" t="e">
        <f>VLOOKUP(A12,#REF!,39,0)</f>
        <v>#REF!</v>
      </c>
      <c r="AU12" s="25"/>
      <c r="AV12" s="26" t="e">
        <f t="shared" si="1"/>
        <v>#REF!</v>
      </c>
      <c r="AW12" s="25" t="e">
        <f t="shared" si="2"/>
        <v>#REF!</v>
      </c>
      <c r="AX12" s="25"/>
      <c r="AY12" s="26" t="e">
        <f t="shared" si="3"/>
        <v>#REF!</v>
      </c>
      <c r="AZ12" s="25" t="e">
        <f t="shared" si="4"/>
        <v>#REF!</v>
      </c>
      <c r="BA12" s="25" t="e">
        <f t="shared" si="5"/>
        <v>#REF!</v>
      </c>
      <c r="BB12" s="25" t="e">
        <f t="shared" si="6"/>
        <v>#REF!</v>
      </c>
      <c r="BC12" s="25" t="e">
        <f t="shared" si="7"/>
        <v>#REF!</v>
      </c>
      <c r="BD12" s="25" t="e">
        <f>VLOOKUP(A12,#REF!,43,0)</f>
        <v>#REF!</v>
      </c>
      <c r="BE12" s="25" t="e">
        <f>VLOOKUP(A12,#REF!,44,0)</f>
        <v>#REF!</v>
      </c>
      <c r="BF12" s="25" t="e">
        <f>VLOOKUP(A12,#REF!,45,0)</f>
        <v>#REF!</v>
      </c>
      <c r="BG12" s="25" t="e">
        <f>VLOOKUP(A12,#REF!,42,0)</f>
        <v>#REF!</v>
      </c>
      <c r="BH12" s="25" t="e">
        <f t="shared" si="8"/>
        <v>#REF!</v>
      </c>
      <c r="BI12" s="25" t="e">
        <f t="shared" si="9"/>
        <v>#REF!</v>
      </c>
      <c r="BJ12" s="25" t="e">
        <f t="shared" si="10"/>
        <v>#REF!</v>
      </c>
    </row>
    <row r="13" spans="1:62" hidden="1" x14ac:dyDescent="0.25">
      <c r="A13" s="20" t="s">
        <v>139</v>
      </c>
      <c r="B13" s="19">
        <v>45689</v>
      </c>
      <c r="C13" s="20" t="s">
        <v>5</v>
      </c>
      <c r="D13" s="20" t="s">
        <v>579</v>
      </c>
      <c r="E13" s="20"/>
      <c r="F13" s="20" t="s">
        <v>283</v>
      </c>
      <c r="G13" s="20" t="s">
        <v>142</v>
      </c>
      <c r="H13" s="20" t="s">
        <v>97</v>
      </c>
      <c r="I13" s="21">
        <v>43521</v>
      </c>
      <c r="J13" s="22"/>
      <c r="K13" s="23" t="s">
        <v>419</v>
      </c>
      <c r="L13" s="24" t="s">
        <v>535</v>
      </c>
      <c r="M13" s="24" t="s">
        <v>508</v>
      </c>
      <c r="N13" s="25" t="e">
        <f>VLOOKUP(A13,#REF!,12,0)</f>
        <v>#REF!</v>
      </c>
      <c r="O13" s="25" t="e">
        <f>VLOOKUP(A13,#REF!,15,0)</f>
        <v>#REF!</v>
      </c>
      <c r="P13" s="25" t="e">
        <f>VLOOKUP(A13,#REF!,16,0)</f>
        <v>#REF!</v>
      </c>
      <c r="Q13" s="25" t="e">
        <f>VLOOKUP(A13,#REF!,17,0)</f>
        <v>#REF!</v>
      </c>
      <c r="R13" s="25" t="e">
        <f>VLOOKUP(A13,#REF!,18,0)</f>
        <v>#REF!</v>
      </c>
      <c r="S13" s="25" t="e">
        <f>VLOOKUP(A13,#REF!,19,0)</f>
        <v>#REF!</v>
      </c>
      <c r="T13" s="25" t="e">
        <f>VLOOKUP(A13,#REF!,20,0)</f>
        <v>#REF!</v>
      </c>
      <c r="U13" s="25" t="e">
        <f>VLOOKUP(A13,#REF!,21,0)</f>
        <v>#REF!</v>
      </c>
      <c r="V13" s="25" t="e">
        <f>VLOOKUP(A13,#REF!,22,0)</f>
        <v>#REF!</v>
      </c>
      <c r="W13" s="25" t="e">
        <f>VLOOKUP(A13,#REF!,23,0)</f>
        <v>#REF!</v>
      </c>
      <c r="X13" s="25" t="e">
        <f>VLOOKUP(A13,#REF!,24,0)</f>
        <v>#REF!</v>
      </c>
      <c r="Y13" s="25" t="e">
        <f>VLOOKUP(A13,#REF!,25,0)</f>
        <v>#REF!</v>
      </c>
      <c r="Z13" s="25" t="e">
        <f>VLOOKUP(A13,#REF!,26,0)</f>
        <v>#REF!</v>
      </c>
      <c r="AA13" s="25" t="e">
        <f>VLOOKUP(A13,#REF!,27,0)</f>
        <v>#REF!</v>
      </c>
      <c r="AB13" s="25" t="e">
        <f>VLOOKUP(A13,#REF!,28,0)</f>
        <v>#REF!</v>
      </c>
      <c r="AC13" s="25" t="e">
        <f>VLOOKUP(A13,#REF!,29,0)</f>
        <v>#REF!</v>
      </c>
      <c r="AD13" s="26" t="e">
        <f t="shared" si="0"/>
        <v>#REF!</v>
      </c>
      <c r="AE13" s="25" t="e">
        <f>VLOOKUP(A13,#REF!,31,0)</f>
        <v>#REF!</v>
      </c>
      <c r="AF13" s="25" t="e">
        <f>VLOOKUP(A13,#REF!,32,0)</f>
        <v>#REF!</v>
      </c>
      <c r="AG13" s="25"/>
      <c r="AH13" s="27"/>
      <c r="AI13" s="25" t="e">
        <f>VLOOKUP(A13,#REF!,30,0)</f>
        <v>#REF!</v>
      </c>
      <c r="AJ13" s="25" t="e">
        <f>VLOOKUP(A13,#REF!,31,0)</f>
        <v>#REF!</v>
      </c>
      <c r="AK13" s="25" t="e">
        <f>VLOOKUP(A13,#REF!,33,0)</f>
        <v>#REF!</v>
      </c>
      <c r="AL13" s="25" t="e">
        <f>VLOOKUP(A13,#REF!,36,0)</f>
        <v>#REF!</v>
      </c>
      <c r="AM13" s="25" t="e">
        <f>VLOOKUP(A13,#REF!,34,0)</f>
        <v>#REF!</v>
      </c>
      <c r="AN13" s="27" t="e">
        <f>VLOOKUP(A13,#REF!,35,0)</f>
        <v>#REF!</v>
      </c>
      <c r="AO13" s="27" t="e">
        <f>VLOOKUP(A13,#REF!,32,0)</f>
        <v>#REF!</v>
      </c>
      <c r="AP13" s="25" t="e">
        <f>VLOOKUP(A13,#REF!,35,0)</f>
        <v>#REF!</v>
      </c>
      <c r="AQ13" s="25" t="e">
        <f>VLOOKUP(A13,#REF!,36,0)</f>
        <v>#REF!</v>
      </c>
      <c r="AR13" s="25" t="e">
        <f>VLOOKUP(A13,#REF!,37,0)</f>
        <v>#REF!</v>
      </c>
      <c r="AS13" s="25" t="e">
        <f>VLOOKUP(A13,#REF!,38,0)</f>
        <v>#REF!</v>
      </c>
      <c r="AT13" s="25" t="e">
        <f>VLOOKUP(A13,#REF!,39,0)</f>
        <v>#REF!</v>
      </c>
      <c r="AU13" s="25"/>
      <c r="AV13" s="26" t="e">
        <f t="shared" si="1"/>
        <v>#REF!</v>
      </c>
      <c r="AW13" s="25" t="e">
        <f t="shared" si="2"/>
        <v>#REF!</v>
      </c>
      <c r="AX13" s="25"/>
      <c r="AY13" s="26" t="e">
        <f t="shared" si="3"/>
        <v>#REF!</v>
      </c>
      <c r="AZ13" s="25" t="e">
        <f t="shared" si="4"/>
        <v>#REF!</v>
      </c>
      <c r="BA13" s="25" t="e">
        <f t="shared" si="5"/>
        <v>#REF!</v>
      </c>
      <c r="BB13" s="25" t="e">
        <f t="shared" si="6"/>
        <v>#REF!</v>
      </c>
      <c r="BC13" s="25" t="e">
        <f t="shared" si="7"/>
        <v>#REF!</v>
      </c>
      <c r="BD13" s="25" t="e">
        <f>VLOOKUP(A13,#REF!,43,0)</f>
        <v>#REF!</v>
      </c>
      <c r="BE13" s="25" t="e">
        <f>VLOOKUP(A13,#REF!,44,0)</f>
        <v>#REF!</v>
      </c>
      <c r="BF13" s="25" t="e">
        <f>VLOOKUP(A13,#REF!,45,0)</f>
        <v>#REF!</v>
      </c>
      <c r="BG13" s="25" t="e">
        <f>VLOOKUP(A13,#REF!,42,0)</f>
        <v>#REF!</v>
      </c>
      <c r="BH13" s="25" t="e">
        <f t="shared" si="8"/>
        <v>#REF!</v>
      </c>
      <c r="BI13" s="25" t="e">
        <f t="shared" si="9"/>
        <v>#REF!</v>
      </c>
      <c r="BJ13" s="25" t="e">
        <f t="shared" si="10"/>
        <v>#REF!</v>
      </c>
    </row>
    <row r="14" spans="1:62" hidden="1" x14ac:dyDescent="0.25">
      <c r="A14" s="20" t="s">
        <v>445</v>
      </c>
      <c r="B14" s="19">
        <v>45689</v>
      </c>
      <c r="C14" s="20" t="s">
        <v>5</v>
      </c>
      <c r="D14" s="20" t="s">
        <v>582</v>
      </c>
      <c r="E14" s="20"/>
      <c r="F14" s="20" t="s">
        <v>292</v>
      </c>
      <c r="G14" s="20" t="s">
        <v>444</v>
      </c>
      <c r="H14" s="20" t="s">
        <v>446</v>
      </c>
      <c r="I14" s="21">
        <v>43613</v>
      </c>
      <c r="J14" s="22"/>
      <c r="K14" s="23" t="s">
        <v>419</v>
      </c>
      <c r="L14" s="24" t="s">
        <v>596</v>
      </c>
      <c r="M14" s="24" t="s">
        <v>448</v>
      </c>
      <c r="N14" s="25" t="e">
        <f>VLOOKUP(A14,#REF!,12,0)</f>
        <v>#REF!</v>
      </c>
      <c r="O14" s="25" t="e">
        <f>VLOOKUP(A14,#REF!,15,0)</f>
        <v>#REF!</v>
      </c>
      <c r="P14" s="25" t="e">
        <f>VLOOKUP(A14,#REF!,16,0)</f>
        <v>#REF!</v>
      </c>
      <c r="Q14" s="25" t="e">
        <f>VLOOKUP(A14,#REF!,17,0)</f>
        <v>#REF!</v>
      </c>
      <c r="R14" s="25" t="e">
        <f>VLOOKUP(A14,#REF!,18,0)</f>
        <v>#REF!</v>
      </c>
      <c r="S14" s="25" t="e">
        <f>VLOOKUP(A14,#REF!,19,0)</f>
        <v>#REF!</v>
      </c>
      <c r="T14" s="25" t="e">
        <f>VLOOKUP(A14,#REF!,20,0)</f>
        <v>#REF!</v>
      </c>
      <c r="U14" s="25" t="e">
        <f>VLOOKUP(A14,#REF!,21,0)</f>
        <v>#REF!</v>
      </c>
      <c r="V14" s="25" t="e">
        <f>VLOOKUP(A14,#REF!,22,0)</f>
        <v>#REF!</v>
      </c>
      <c r="W14" s="25" t="e">
        <f>VLOOKUP(A14,#REF!,23,0)</f>
        <v>#REF!</v>
      </c>
      <c r="X14" s="25" t="e">
        <f>VLOOKUP(A14,#REF!,24,0)</f>
        <v>#REF!</v>
      </c>
      <c r="Y14" s="25" t="e">
        <f>VLOOKUP(A14,#REF!,25,0)</f>
        <v>#REF!</v>
      </c>
      <c r="Z14" s="25" t="e">
        <f>VLOOKUP(A14,#REF!,26,0)</f>
        <v>#REF!</v>
      </c>
      <c r="AA14" s="25" t="e">
        <f>VLOOKUP(A14,#REF!,27,0)</f>
        <v>#REF!</v>
      </c>
      <c r="AB14" s="25" t="e">
        <f>VLOOKUP(A14,#REF!,28,0)</f>
        <v>#REF!</v>
      </c>
      <c r="AC14" s="25" t="e">
        <f>VLOOKUP(A14,#REF!,29,0)</f>
        <v>#REF!</v>
      </c>
      <c r="AD14" s="26" t="e">
        <f t="shared" si="0"/>
        <v>#REF!</v>
      </c>
      <c r="AE14" s="25" t="e">
        <f>VLOOKUP(A14,#REF!,31,0)</f>
        <v>#REF!</v>
      </c>
      <c r="AF14" s="25" t="e">
        <f>VLOOKUP(A14,#REF!,32,0)</f>
        <v>#REF!</v>
      </c>
      <c r="AG14" s="25"/>
      <c r="AH14" s="27"/>
      <c r="AI14" s="25" t="e">
        <f>VLOOKUP(A14,#REF!,30,0)</f>
        <v>#REF!</v>
      </c>
      <c r="AJ14" s="25" t="e">
        <f>VLOOKUP(A14,#REF!,31,0)</f>
        <v>#REF!</v>
      </c>
      <c r="AK14" s="25" t="e">
        <f>VLOOKUP(A14,#REF!,33,0)</f>
        <v>#REF!</v>
      </c>
      <c r="AL14" s="25" t="e">
        <f>VLOOKUP(A14,#REF!,36,0)</f>
        <v>#REF!</v>
      </c>
      <c r="AM14" s="25" t="e">
        <f>VLOOKUP(A14,#REF!,34,0)</f>
        <v>#REF!</v>
      </c>
      <c r="AN14" s="27" t="e">
        <f>VLOOKUP(A14,#REF!,35,0)</f>
        <v>#REF!</v>
      </c>
      <c r="AO14" s="27" t="e">
        <f>VLOOKUP(A14,#REF!,32,0)</f>
        <v>#REF!</v>
      </c>
      <c r="AP14" s="25" t="e">
        <f>VLOOKUP(A14,#REF!,35,0)</f>
        <v>#REF!</v>
      </c>
      <c r="AQ14" s="25" t="e">
        <f>VLOOKUP(A14,#REF!,36,0)</f>
        <v>#REF!</v>
      </c>
      <c r="AR14" s="25" t="e">
        <f>VLOOKUP(A14,#REF!,37,0)</f>
        <v>#REF!</v>
      </c>
      <c r="AS14" s="25" t="e">
        <f>VLOOKUP(A14,#REF!,38,0)</f>
        <v>#REF!</v>
      </c>
      <c r="AT14" s="25" t="e">
        <f>VLOOKUP(A14,#REF!,39,0)</f>
        <v>#REF!</v>
      </c>
      <c r="AU14" s="25"/>
      <c r="AV14" s="26" t="e">
        <f t="shared" si="1"/>
        <v>#REF!</v>
      </c>
      <c r="AW14" s="25" t="e">
        <f t="shared" si="2"/>
        <v>#REF!</v>
      </c>
      <c r="AX14" s="25"/>
      <c r="AY14" s="26" t="e">
        <f t="shared" si="3"/>
        <v>#REF!</v>
      </c>
      <c r="AZ14" s="25" t="e">
        <f t="shared" si="4"/>
        <v>#REF!</v>
      </c>
      <c r="BA14" s="25" t="e">
        <f t="shared" si="5"/>
        <v>#REF!</v>
      </c>
      <c r="BB14" s="25" t="e">
        <f t="shared" si="6"/>
        <v>#REF!</v>
      </c>
      <c r="BC14" s="25" t="e">
        <f t="shared" si="7"/>
        <v>#REF!</v>
      </c>
      <c r="BD14" s="25" t="e">
        <f>VLOOKUP(A14,#REF!,43,0)</f>
        <v>#REF!</v>
      </c>
      <c r="BE14" s="25" t="e">
        <f>VLOOKUP(A14,#REF!,44,0)</f>
        <v>#REF!</v>
      </c>
      <c r="BF14" s="25" t="e">
        <f>VLOOKUP(A14,#REF!,45,0)</f>
        <v>#REF!</v>
      </c>
      <c r="BG14" s="25" t="e">
        <f>VLOOKUP(A14,#REF!,42,0)</f>
        <v>#REF!</v>
      </c>
      <c r="BH14" s="25" t="e">
        <f t="shared" si="8"/>
        <v>#REF!</v>
      </c>
      <c r="BI14" s="25" t="e">
        <f t="shared" si="9"/>
        <v>#REF!</v>
      </c>
      <c r="BJ14" s="25" t="e">
        <f t="shared" si="10"/>
        <v>#REF!</v>
      </c>
    </row>
    <row r="15" spans="1:62" hidden="1" x14ac:dyDescent="0.25">
      <c r="A15" s="20" t="s">
        <v>213</v>
      </c>
      <c r="B15" s="19">
        <v>45689</v>
      </c>
      <c r="C15" s="20" t="s">
        <v>5</v>
      </c>
      <c r="D15" s="20" t="s">
        <v>582</v>
      </c>
      <c r="E15" s="20"/>
      <c r="F15" s="20" t="s">
        <v>292</v>
      </c>
      <c r="G15" s="20" t="s">
        <v>203</v>
      </c>
      <c r="H15" s="20" t="s">
        <v>207</v>
      </c>
      <c r="I15" s="21">
        <v>43678</v>
      </c>
      <c r="J15" s="22"/>
      <c r="K15" s="23" t="s">
        <v>422</v>
      </c>
      <c r="L15" s="24" t="s">
        <v>208</v>
      </c>
      <c r="M15" s="24" t="s">
        <v>583</v>
      </c>
      <c r="N15" s="25" t="e">
        <f>VLOOKUP(A15,#REF!,12,0)</f>
        <v>#REF!</v>
      </c>
      <c r="O15" s="25" t="e">
        <f>VLOOKUP(A15,#REF!,15,0)</f>
        <v>#REF!</v>
      </c>
      <c r="P15" s="25" t="e">
        <f>VLOOKUP(A15,#REF!,16,0)</f>
        <v>#REF!</v>
      </c>
      <c r="Q15" s="25" t="e">
        <f>VLOOKUP(A15,#REF!,17,0)</f>
        <v>#REF!</v>
      </c>
      <c r="R15" s="25" t="e">
        <f>VLOOKUP(A15,#REF!,18,0)</f>
        <v>#REF!</v>
      </c>
      <c r="S15" s="25" t="e">
        <f>VLOOKUP(A15,#REF!,19,0)</f>
        <v>#REF!</v>
      </c>
      <c r="T15" s="25" t="e">
        <f>VLOOKUP(A15,#REF!,20,0)</f>
        <v>#REF!</v>
      </c>
      <c r="U15" s="25" t="e">
        <f>VLOOKUP(A15,#REF!,21,0)</f>
        <v>#REF!</v>
      </c>
      <c r="V15" s="25" t="e">
        <f>VLOOKUP(A15,#REF!,22,0)</f>
        <v>#REF!</v>
      </c>
      <c r="W15" s="25" t="e">
        <f>VLOOKUP(A15,#REF!,23,0)</f>
        <v>#REF!</v>
      </c>
      <c r="X15" s="25" t="e">
        <f>VLOOKUP(A15,#REF!,24,0)</f>
        <v>#REF!</v>
      </c>
      <c r="Y15" s="25" t="e">
        <f>VLOOKUP(A15,#REF!,25,0)</f>
        <v>#REF!</v>
      </c>
      <c r="Z15" s="25" t="e">
        <f>VLOOKUP(A15,#REF!,26,0)</f>
        <v>#REF!</v>
      </c>
      <c r="AA15" s="25" t="e">
        <f>VLOOKUP(A15,#REF!,27,0)</f>
        <v>#REF!</v>
      </c>
      <c r="AB15" s="25" t="e">
        <f>VLOOKUP(A15,#REF!,28,0)</f>
        <v>#REF!</v>
      </c>
      <c r="AC15" s="25" t="e">
        <f>VLOOKUP(A15,#REF!,29,0)</f>
        <v>#REF!</v>
      </c>
      <c r="AD15" s="26" t="e">
        <f t="shared" si="0"/>
        <v>#REF!</v>
      </c>
      <c r="AE15" s="25" t="e">
        <f>VLOOKUP(A15,#REF!,31,0)</f>
        <v>#REF!</v>
      </c>
      <c r="AF15" s="25" t="e">
        <f>VLOOKUP(A15,#REF!,32,0)</f>
        <v>#REF!</v>
      </c>
      <c r="AG15" s="25"/>
      <c r="AH15" s="27"/>
      <c r="AI15" s="25" t="e">
        <f>VLOOKUP(A15,#REF!,30,0)</f>
        <v>#REF!</v>
      </c>
      <c r="AJ15" s="25" t="e">
        <f>VLOOKUP(A15,#REF!,31,0)</f>
        <v>#REF!</v>
      </c>
      <c r="AK15" s="25" t="e">
        <f>VLOOKUP(A15,#REF!,33,0)</f>
        <v>#REF!</v>
      </c>
      <c r="AL15" s="25" t="e">
        <f>VLOOKUP(A15,#REF!,36,0)</f>
        <v>#REF!</v>
      </c>
      <c r="AM15" s="25" t="e">
        <f>VLOOKUP(A15,#REF!,34,0)</f>
        <v>#REF!</v>
      </c>
      <c r="AN15" s="27" t="e">
        <f>VLOOKUP(A15,#REF!,35,0)</f>
        <v>#REF!</v>
      </c>
      <c r="AO15" s="27" t="e">
        <f>VLOOKUP(A15,#REF!,32,0)</f>
        <v>#REF!</v>
      </c>
      <c r="AP15" s="25" t="e">
        <f>VLOOKUP(A15,#REF!,35,0)</f>
        <v>#REF!</v>
      </c>
      <c r="AQ15" s="25" t="e">
        <f>VLOOKUP(A15,#REF!,36,0)</f>
        <v>#REF!</v>
      </c>
      <c r="AR15" s="25" t="e">
        <f>VLOOKUP(A15,#REF!,37,0)</f>
        <v>#REF!</v>
      </c>
      <c r="AS15" s="25" t="e">
        <f>VLOOKUP(A15,#REF!,38,0)</f>
        <v>#REF!</v>
      </c>
      <c r="AT15" s="25" t="e">
        <f>VLOOKUP(A15,#REF!,39,0)</f>
        <v>#REF!</v>
      </c>
      <c r="AU15" s="25"/>
      <c r="AV15" s="26" t="e">
        <f t="shared" si="1"/>
        <v>#REF!</v>
      </c>
      <c r="AW15" s="25" t="e">
        <f t="shared" si="2"/>
        <v>#REF!</v>
      </c>
      <c r="AX15" s="25"/>
      <c r="AY15" s="26" t="e">
        <f t="shared" si="3"/>
        <v>#REF!</v>
      </c>
      <c r="AZ15" s="25" t="e">
        <f t="shared" si="4"/>
        <v>#REF!</v>
      </c>
      <c r="BA15" s="25" t="e">
        <f t="shared" si="5"/>
        <v>#REF!</v>
      </c>
      <c r="BB15" s="25" t="e">
        <f t="shared" si="6"/>
        <v>#REF!</v>
      </c>
      <c r="BC15" s="25" t="e">
        <f t="shared" si="7"/>
        <v>#REF!</v>
      </c>
      <c r="BD15" s="25" t="e">
        <f>VLOOKUP(A15,#REF!,43,0)</f>
        <v>#REF!</v>
      </c>
      <c r="BE15" s="25" t="e">
        <f>VLOOKUP(A15,#REF!,44,0)</f>
        <v>#REF!</v>
      </c>
      <c r="BF15" s="25" t="e">
        <f>VLOOKUP(A15,#REF!,45,0)</f>
        <v>#REF!</v>
      </c>
      <c r="BG15" s="25" t="e">
        <f>VLOOKUP(A15,#REF!,42,0)</f>
        <v>#REF!</v>
      </c>
      <c r="BH15" s="25" t="e">
        <f t="shared" si="8"/>
        <v>#REF!</v>
      </c>
      <c r="BI15" s="25" t="e">
        <f t="shared" si="9"/>
        <v>#REF!</v>
      </c>
      <c r="BJ15" s="25" t="e">
        <f t="shared" si="10"/>
        <v>#REF!</v>
      </c>
    </row>
    <row r="16" spans="1:62" hidden="1" x14ac:dyDescent="0.25">
      <c r="A16" s="20" t="s">
        <v>198</v>
      </c>
      <c r="B16" s="19">
        <v>45689</v>
      </c>
      <c r="C16" s="20" t="s">
        <v>5</v>
      </c>
      <c r="D16" s="20" t="s">
        <v>582</v>
      </c>
      <c r="E16" s="20"/>
      <c r="F16" s="20" t="s">
        <v>292</v>
      </c>
      <c r="G16" s="20" t="s">
        <v>203</v>
      </c>
      <c r="H16" s="20" t="s">
        <v>202</v>
      </c>
      <c r="I16" s="21">
        <v>43692</v>
      </c>
      <c r="J16" s="22"/>
      <c r="K16" s="23" t="s">
        <v>422</v>
      </c>
      <c r="L16" s="24" t="s">
        <v>204</v>
      </c>
      <c r="M16" s="24" t="s">
        <v>527</v>
      </c>
      <c r="N16" s="25" t="e">
        <f>VLOOKUP(A16,#REF!,12,0)</f>
        <v>#REF!</v>
      </c>
      <c r="O16" s="25" t="e">
        <f>VLOOKUP(A16,#REF!,15,0)</f>
        <v>#REF!</v>
      </c>
      <c r="P16" s="25" t="e">
        <f>VLOOKUP(A16,#REF!,16,0)</f>
        <v>#REF!</v>
      </c>
      <c r="Q16" s="25" t="e">
        <f>VLOOKUP(A16,#REF!,17,0)</f>
        <v>#REF!</v>
      </c>
      <c r="R16" s="25" t="e">
        <f>VLOOKUP(A16,#REF!,18,0)</f>
        <v>#REF!</v>
      </c>
      <c r="S16" s="25" t="e">
        <f>VLOOKUP(A16,#REF!,19,0)</f>
        <v>#REF!</v>
      </c>
      <c r="T16" s="25" t="e">
        <f>VLOOKUP(A16,#REF!,20,0)</f>
        <v>#REF!</v>
      </c>
      <c r="U16" s="25" t="e">
        <f>VLOOKUP(A16,#REF!,21,0)</f>
        <v>#REF!</v>
      </c>
      <c r="V16" s="25" t="e">
        <f>VLOOKUP(A16,#REF!,22,0)</f>
        <v>#REF!</v>
      </c>
      <c r="W16" s="25" t="e">
        <f>VLOOKUP(A16,#REF!,23,0)</f>
        <v>#REF!</v>
      </c>
      <c r="X16" s="25" t="e">
        <f>VLOOKUP(A16,#REF!,24,0)</f>
        <v>#REF!</v>
      </c>
      <c r="Y16" s="25" t="e">
        <f>VLOOKUP(A16,#REF!,25,0)</f>
        <v>#REF!</v>
      </c>
      <c r="Z16" s="25" t="e">
        <f>VLOOKUP(A16,#REF!,26,0)</f>
        <v>#REF!</v>
      </c>
      <c r="AA16" s="25" t="e">
        <f>VLOOKUP(A16,#REF!,27,0)</f>
        <v>#REF!</v>
      </c>
      <c r="AB16" s="25" t="e">
        <f>VLOOKUP(A16,#REF!,28,0)</f>
        <v>#REF!</v>
      </c>
      <c r="AC16" s="25" t="e">
        <f>VLOOKUP(A16,#REF!,29,0)</f>
        <v>#REF!</v>
      </c>
      <c r="AD16" s="26" t="e">
        <f t="shared" si="0"/>
        <v>#REF!</v>
      </c>
      <c r="AE16" s="25" t="e">
        <f>VLOOKUP(A16,#REF!,31,0)</f>
        <v>#REF!</v>
      </c>
      <c r="AF16" s="25" t="e">
        <f>VLOOKUP(A16,#REF!,32,0)</f>
        <v>#REF!</v>
      </c>
      <c r="AG16" s="25"/>
      <c r="AH16" s="27"/>
      <c r="AI16" s="25" t="e">
        <f>VLOOKUP(A16,#REF!,30,0)</f>
        <v>#REF!</v>
      </c>
      <c r="AJ16" s="25" t="e">
        <f>VLOOKUP(A16,#REF!,31,0)</f>
        <v>#REF!</v>
      </c>
      <c r="AK16" s="25" t="e">
        <f>VLOOKUP(A16,#REF!,33,0)</f>
        <v>#REF!</v>
      </c>
      <c r="AL16" s="25" t="e">
        <f>VLOOKUP(A16,#REF!,36,0)</f>
        <v>#REF!</v>
      </c>
      <c r="AM16" s="25" t="e">
        <f>VLOOKUP(A16,#REF!,34,0)</f>
        <v>#REF!</v>
      </c>
      <c r="AN16" s="27" t="e">
        <f>VLOOKUP(A16,#REF!,35,0)</f>
        <v>#REF!</v>
      </c>
      <c r="AO16" s="27" t="e">
        <f>VLOOKUP(A16,#REF!,32,0)</f>
        <v>#REF!</v>
      </c>
      <c r="AP16" s="25" t="e">
        <f>VLOOKUP(A16,#REF!,35,0)</f>
        <v>#REF!</v>
      </c>
      <c r="AQ16" s="25" t="e">
        <f>VLOOKUP(A16,#REF!,36,0)</f>
        <v>#REF!</v>
      </c>
      <c r="AR16" s="25" t="e">
        <f>VLOOKUP(A16,#REF!,37,0)</f>
        <v>#REF!</v>
      </c>
      <c r="AS16" s="25" t="e">
        <f>VLOOKUP(A16,#REF!,38,0)</f>
        <v>#REF!</v>
      </c>
      <c r="AT16" s="25" t="e">
        <f>VLOOKUP(A16,#REF!,39,0)</f>
        <v>#REF!</v>
      </c>
      <c r="AU16" s="25"/>
      <c r="AV16" s="26" t="e">
        <f t="shared" si="1"/>
        <v>#REF!</v>
      </c>
      <c r="AW16" s="25" t="e">
        <f t="shared" si="2"/>
        <v>#REF!</v>
      </c>
      <c r="AX16" s="25">
        <v>815</v>
      </c>
      <c r="AY16" s="26" t="e">
        <f t="shared" si="3"/>
        <v>#REF!</v>
      </c>
      <c r="AZ16" s="25" t="e">
        <f t="shared" si="4"/>
        <v>#REF!</v>
      </c>
      <c r="BA16" s="25" t="e">
        <f t="shared" si="5"/>
        <v>#REF!</v>
      </c>
      <c r="BB16" s="25" t="e">
        <f t="shared" si="6"/>
        <v>#REF!</v>
      </c>
      <c r="BC16" s="25" t="e">
        <f t="shared" si="7"/>
        <v>#REF!</v>
      </c>
      <c r="BD16" s="25" t="e">
        <f>VLOOKUP(A16,#REF!,43,0)</f>
        <v>#REF!</v>
      </c>
      <c r="BE16" s="25" t="e">
        <f>VLOOKUP(A16,#REF!,44,0)</f>
        <v>#REF!</v>
      </c>
      <c r="BF16" s="25" t="e">
        <f>VLOOKUP(A16,#REF!,45,0)</f>
        <v>#REF!</v>
      </c>
      <c r="BG16" s="25" t="e">
        <f>VLOOKUP(A16,#REF!,42,0)</f>
        <v>#REF!</v>
      </c>
      <c r="BH16" s="25" t="e">
        <f t="shared" si="8"/>
        <v>#REF!</v>
      </c>
      <c r="BI16" s="25" t="e">
        <f t="shared" si="9"/>
        <v>#REF!</v>
      </c>
      <c r="BJ16" s="25" t="e">
        <f t="shared" si="10"/>
        <v>#REF!</v>
      </c>
    </row>
    <row r="17" spans="1:62" hidden="1" x14ac:dyDescent="0.25">
      <c r="A17" s="20" t="s">
        <v>316</v>
      </c>
      <c r="B17" s="19">
        <v>45689</v>
      </c>
      <c r="C17" s="20" t="s">
        <v>5</v>
      </c>
      <c r="D17" s="20" t="s">
        <v>588</v>
      </c>
      <c r="E17" s="20"/>
      <c r="F17" s="20" t="s">
        <v>312</v>
      </c>
      <c r="G17" s="20" t="s">
        <v>313</v>
      </c>
      <c r="H17" s="20" t="s">
        <v>317</v>
      </c>
      <c r="I17" s="21">
        <v>43761</v>
      </c>
      <c r="J17" s="22"/>
      <c r="K17" s="23" t="s">
        <v>419</v>
      </c>
      <c r="L17" s="24" t="s">
        <v>318</v>
      </c>
      <c r="M17" s="24" t="s">
        <v>319</v>
      </c>
      <c r="N17" s="25" t="e">
        <f>VLOOKUP(A17,#REF!,12,0)</f>
        <v>#REF!</v>
      </c>
      <c r="O17" s="25" t="e">
        <f>VLOOKUP(A17,#REF!,15,0)</f>
        <v>#REF!</v>
      </c>
      <c r="P17" s="25" t="e">
        <f>VLOOKUP(A17,#REF!,16,0)</f>
        <v>#REF!</v>
      </c>
      <c r="Q17" s="25" t="e">
        <f>VLOOKUP(A17,#REF!,17,0)</f>
        <v>#REF!</v>
      </c>
      <c r="R17" s="25" t="e">
        <f>VLOOKUP(A17,#REF!,18,0)</f>
        <v>#REF!</v>
      </c>
      <c r="S17" s="25" t="e">
        <f>VLOOKUP(A17,#REF!,19,0)</f>
        <v>#REF!</v>
      </c>
      <c r="T17" s="25" t="e">
        <f>VLOOKUP(A17,#REF!,20,0)</f>
        <v>#REF!</v>
      </c>
      <c r="U17" s="25" t="e">
        <f>VLOOKUP(A17,#REF!,21,0)</f>
        <v>#REF!</v>
      </c>
      <c r="V17" s="25" t="e">
        <f>VLOOKUP(A17,#REF!,22,0)</f>
        <v>#REF!</v>
      </c>
      <c r="W17" s="25" t="e">
        <f>VLOOKUP(A17,#REF!,23,0)</f>
        <v>#REF!</v>
      </c>
      <c r="X17" s="25" t="e">
        <f>VLOOKUP(A17,#REF!,24,0)</f>
        <v>#REF!</v>
      </c>
      <c r="Y17" s="25" t="e">
        <f>VLOOKUP(A17,#REF!,25,0)</f>
        <v>#REF!</v>
      </c>
      <c r="Z17" s="25" t="e">
        <f>VLOOKUP(A17,#REF!,26,0)</f>
        <v>#REF!</v>
      </c>
      <c r="AA17" s="25" t="e">
        <f>VLOOKUP(A17,#REF!,27,0)</f>
        <v>#REF!</v>
      </c>
      <c r="AB17" s="25" t="e">
        <f>VLOOKUP(A17,#REF!,28,0)</f>
        <v>#REF!</v>
      </c>
      <c r="AC17" s="25" t="e">
        <f>VLOOKUP(A17,#REF!,29,0)</f>
        <v>#REF!</v>
      </c>
      <c r="AD17" s="26" t="e">
        <f t="shared" si="0"/>
        <v>#REF!</v>
      </c>
      <c r="AE17" s="25" t="e">
        <f>VLOOKUP(A17,#REF!,31,0)</f>
        <v>#REF!</v>
      </c>
      <c r="AF17" s="25" t="e">
        <f>VLOOKUP(A17,#REF!,32,0)</f>
        <v>#REF!</v>
      </c>
      <c r="AG17" s="25"/>
      <c r="AH17" s="27"/>
      <c r="AI17" s="25" t="e">
        <f>VLOOKUP(A17,#REF!,30,0)</f>
        <v>#REF!</v>
      </c>
      <c r="AJ17" s="25" t="e">
        <f>VLOOKUP(A17,#REF!,31,0)</f>
        <v>#REF!</v>
      </c>
      <c r="AK17" s="25" t="e">
        <f>VLOOKUP(A17,#REF!,33,0)</f>
        <v>#REF!</v>
      </c>
      <c r="AL17" s="25" t="e">
        <f>VLOOKUP(A17,#REF!,36,0)</f>
        <v>#REF!</v>
      </c>
      <c r="AM17" s="25" t="e">
        <f>VLOOKUP(A17,#REF!,34,0)</f>
        <v>#REF!</v>
      </c>
      <c r="AN17" s="27" t="e">
        <f>VLOOKUP(A17,#REF!,35,0)</f>
        <v>#REF!</v>
      </c>
      <c r="AO17" s="27" t="e">
        <f>VLOOKUP(A17,#REF!,32,0)</f>
        <v>#REF!</v>
      </c>
      <c r="AP17" s="25" t="e">
        <f>VLOOKUP(A17,#REF!,35,0)</f>
        <v>#REF!</v>
      </c>
      <c r="AQ17" s="25" t="e">
        <f>VLOOKUP(A17,#REF!,36,0)</f>
        <v>#REF!</v>
      </c>
      <c r="AR17" s="25" t="e">
        <f>VLOOKUP(A17,#REF!,37,0)</f>
        <v>#REF!</v>
      </c>
      <c r="AS17" s="25" t="e">
        <f>VLOOKUP(A17,#REF!,38,0)</f>
        <v>#REF!</v>
      </c>
      <c r="AT17" s="25" t="e">
        <f>VLOOKUP(A17,#REF!,39,0)</f>
        <v>#REF!</v>
      </c>
      <c r="AU17" s="25"/>
      <c r="AV17" s="26" t="e">
        <f t="shared" si="1"/>
        <v>#REF!</v>
      </c>
      <c r="AW17" s="25" t="e">
        <f t="shared" si="2"/>
        <v>#REF!</v>
      </c>
      <c r="AX17" s="25"/>
      <c r="AY17" s="26" t="e">
        <f t="shared" si="3"/>
        <v>#REF!</v>
      </c>
      <c r="AZ17" s="25" t="e">
        <f t="shared" si="4"/>
        <v>#REF!</v>
      </c>
      <c r="BA17" s="25" t="e">
        <f t="shared" si="5"/>
        <v>#REF!</v>
      </c>
      <c r="BB17" s="25" t="e">
        <f t="shared" si="6"/>
        <v>#REF!</v>
      </c>
      <c r="BC17" s="25" t="e">
        <f t="shared" si="7"/>
        <v>#REF!</v>
      </c>
      <c r="BD17" s="25" t="e">
        <f>VLOOKUP(A17,#REF!,43,0)</f>
        <v>#REF!</v>
      </c>
      <c r="BE17" s="25" t="e">
        <f>VLOOKUP(A17,#REF!,44,0)</f>
        <v>#REF!</v>
      </c>
      <c r="BF17" s="25" t="e">
        <f>VLOOKUP(A17,#REF!,45,0)</f>
        <v>#REF!</v>
      </c>
      <c r="BG17" s="25" t="e">
        <f>VLOOKUP(A17,#REF!,42,0)</f>
        <v>#REF!</v>
      </c>
      <c r="BH17" s="25" t="e">
        <f t="shared" si="8"/>
        <v>#REF!</v>
      </c>
      <c r="BI17" s="25" t="e">
        <f t="shared" si="9"/>
        <v>#REF!</v>
      </c>
      <c r="BJ17" s="25" t="e">
        <f t="shared" si="10"/>
        <v>#REF!</v>
      </c>
    </row>
    <row r="18" spans="1:62" hidden="1" x14ac:dyDescent="0.25">
      <c r="A18" s="20" t="s">
        <v>423</v>
      </c>
      <c r="B18" s="19">
        <v>45689</v>
      </c>
      <c r="C18" s="20" t="s">
        <v>8</v>
      </c>
      <c r="D18" s="20" t="s">
        <v>597</v>
      </c>
      <c r="E18" s="20">
        <v>4</v>
      </c>
      <c r="F18" s="20" t="s">
        <v>424</v>
      </c>
      <c r="G18" s="20" t="s">
        <v>203</v>
      </c>
      <c r="H18" s="20" t="s">
        <v>218</v>
      </c>
      <c r="I18" s="21">
        <v>45627</v>
      </c>
      <c r="J18" s="21"/>
      <c r="K18" s="21" t="s">
        <v>422</v>
      </c>
      <c r="L18" s="20" t="s">
        <v>219</v>
      </c>
      <c r="M18" s="20" t="s">
        <v>425</v>
      </c>
      <c r="N18" s="25">
        <v>8500</v>
      </c>
      <c r="O18" s="25">
        <v>8500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6">
        <f t="shared" si="0"/>
        <v>8500</v>
      </c>
      <c r="AE18" s="25"/>
      <c r="AF18" s="25"/>
      <c r="AG18" s="25"/>
      <c r="AH18" s="27"/>
      <c r="AI18" s="25"/>
      <c r="AJ18" s="25"/>
      <c r="AK18" s="25"/>
      <c r="AL18" s="25"/>
      <c r="AM18" s="25"/>
      <c r="AN18" s="27"/>
      <c r="AO18" s="27"/>
      <c r="AP18" s="25"/>
      <c r="AQ18" s="25"/>
      <c r="AR18" s="25"/>
      <c r="AS18" s="25"/>
      <c r="AT18" s="25"/>
      <c r="AU18" s="25"/>
      <c r="AV18" s="26">
        <f t="shared" si="1"/>
        <v>0</v>
      </c>
      <c r="AW18" s="25">
        <f t="shared" si="2"/>
        <v>8500</v>
      </c>
      <c r="AX18" s="25"/>
      <c r="AY18" s="26">
        <f t="shared" si="3"/>
        <v>8500</v>
      </c>
      <c r="AZ18" s="25">
        <f t="shared" si="4"/>
        <v>708.33333333333337</v>
      </c>
      <c r="BA18" s="25">
        <f t="shared" si="5"/>
        <v>708.33333333333337</v>
      </c>
      <c r="BB18" s="25">
        <f t="shared" si="6"/>
        <v>236.11111111111111</v>
      </c>
      <c r="BC18" s="25">
        <f t="shared" si="7"/>
        <v>1652.7777777777778</v>
      </c>
      <c r="BD18" s="25"/>
      <c r="BE18" s="25"/>
      <c r="BF18" s="25"/>
      <c r="BG18" s="25"/>
      <c r="BH18" s="25">
        <f t="shared" si="8"/>
        <v>0</v>
      </c>
      <c r="BI18" s="25">
        <f t="shared" si="9"/>
        <v>8500</v>
      </c>
      <c r="BJ18" s="25">
        <f t="shared" si="10"/>
        <v>10152.777777777777</v>
      </c>
    </row>
    <row r="19" spans="1:62" hidden="1" x14ac:dyDescent="0.25">
      <c r="A19" s="20" t="s">
        <v>118</v>
      </c>
      <c r="B19" s="19">
        <v>45689</v>
      </c>
      <c r="C19" s="20" t="s">
        <v>5</v>
      </c>
      <c r="D19" s="20" t="s">
        <v>582</v>
      </c>
      <c r="E19" s="20"/>
      <c r="F19" s="20" t="s">
        <v>292</v>
      </c>
      <c r="G19" s="20" t="s">
        <v>566</v>
      </c>
      <c r="H19" s="20" t="s">
        <v>88</v>
      </c>
      <c r="I19" s="21">
        <v>43790</v>
      </c>
      <c r="J19" s="22"/>
      <c r="K19" s="23" t="s">
        <v>419</v>
      </c>
      <c r="L19" s="24" t="s">
        <v>119</v>
      </c>
      <c r="M19" s="24" t="s">
        <v>92</v>
      </c>
      <c r="N19" s="25" t="e">
        <f>VLOOKUP(A19,#REF!,12,0)</f>
        <v>#REF!</v>
      </c>
      <c r="O19" s="25" t="e">
        <f>VLOOKUP(A19,#REF!,15,0)</f>
        <v>#REF!</v>
      </c>
      <c r="P19" s="25" t="e">
        <f>VLOOKUP(A19,#REF!,16,0)</f>
        <v>#REF!</v>
      </c>
      <c r="Q19" s="25" t="e">
        <f>VLOOKUP(A19,#REF!,17,0)</f>
        <v>#REF!</v>
      </c>
      <c r="R19" s="25" t="e">
        <f>VLOOKUP(A19,#REF!,18,0)</f>
        <v>#REF!</v>
      </c>
      <c r="S19" s="25" t="e">
        <f>VLOOKUP(A19,#REF!,19,0)</f>
        <v>#REF!</v>
      </c>
      <c r="T19" s="25" t="e">
        <f>VLOOKUP(A19,#REF!,20,0)</f>
        <v>#REF!</v>
      </c>
      <c r="U19" s="25" t="e">
        <f>VLOOKUP(A19,#REF!,21,0)</f>
        <v>#REF!</v>
      </c>
      <c r="V19" s="25" t="e">
        <f>VLOOKUP(A19,#REF!,22,0)</f>
        <v>#REF!</v>
      </c>
      <c r="W19" s="25" t="e">
        <f>VLOOKUP(A19,#REF!,23,0)</f>
        <v>#REF!</v>
      </c>
      <c r="X19" s="25" t="e">
        <f>VLOOKUP(A19,#REF!,24,0)</f>
        <v>#REF!</v>
      </c>
      <c r="Y19" s="25" t="e">
        <f>VLOOKUP(A19,#REF!,25,0)</f>
        <v>#REF!</v>
      </c>
      <c r="Z19" s="25" t="e">
        <f>VLOOKUP(A19,#REF!,26,0)</f>
        <v>#REF!</v>
      </c>
      <c r="AA19" s="25" t="e">
        <f>VLOOKUP(A19,#REF!,27,0)</f>
        <v>#REF!</v>
      </c>
      <c r="AB19" s="25" t="e">
        <f>VLOOKUP(A19,#REF!,28,0)</f>
        <v>#REF!</v>
      </c>
      <c r="AC19" s="25" t="e">
        <f>VLOOKUP(A19,#REF!,29,0)</f>
        <v>#REF!</v>
      </c>
      <c r="AD19" s="26" t="e">
        <f t="shared" si="0"/>
        <v>#REF!</v>
      </c>
      <c r="AE19" s="25" t="e">
        <f>VLOOKUP(A19,#REF!,31,0)</f>
        <v>#REF!</v>
      </c>
      <c r="AF19" s="25" t="e">
        <f>VLOOKUP(A19,#REF!,32,0)</f>
        <v>#REF!</v>
      </c>
      <c r="AG19" s="25"/>
      <c r="AH19" s="27"/>
      <c r="AI19" s="25" t="e">
        <f>VLOOKUP(A19,#REF!,30,0)</f>
        <v>#REF!</v>
      </c>
      <c r="AJ19" s="25" t="e">
        <f>VLOOKUP(A19,#REF!,31,0)</f>
        <v>#REF!</v>
      </c>
      <c r="AK19" s="25" t="e">
        <f>VLOOKUP(A19,#REF!,33,0)</f>
        <v>#REF!</v>
      </c>
      <c r="AL19" s="25" t="e">
        <f>VLOOKUP(A19,#REF!,36,0)</f>
        <v>#REF!</v>
      </c>
      <c r="AM19" s="25" t="e">
        <f>VLOOKUP(A19,#REF!,34,0)</f>
        <v>#REF!</v>
      </c>
      <c r="AN19" s="27" t="e">
        <f>VLOOKUP(A19,#REF!,35,0)</f>
        <v>#REF!</v>
      </c>
      <c r="AO19" s="27" t="e">
        <f>VLOOKUP(A19,#REF!,32,0)</f>
        <v>#REF!</v>
      </c>
      <c r="AP19" s="25" t="e">
        <f>VLOOKUP(A19,#REF!,35,0)</f>
        <v>#REF!</v>
      </c>
      <c r="AQ19" s="25" t="e">
        <f>VLOOKUP(A19,#REF!,36,0)</f>
        <v>#REF!</v>
      </c>
      <c r="AR19" s="25" t="e">
        <f>VLOOKUP(A19,#REF!,37,0)</f>
        <v>#REF!</v>
      </c>
      <c r="AS19" s="25" t="e">
        <f>VLOOKUP(A19,#REF!,38,0)</f>
        <v>#REF!</v>
      </c>
      <c r="AT19" s="25" t="e">
        <f>VLOOKUP(A19,#REF!,39,0)</f>
        <v>#REF!</v>
      </c>
      <c r="AU19" s="25"/>
      <c r="AV19" s="26" t="e">
        <f t="shared" si="1"/>
        <v>#REF!</v>
      </c>
      <c r="AW19" s="25" t="e">
        <f t="shared" si="2"/>
        <v>#REF!</v>
      </c>
      <c r="AX19" s="25"/>
      <c r="AY19" s="26" t="e">
        <f t="shared" si="3"/>
        <v>#REF!</v>
      </c>
      <c r="AZ19" s="25" t="e">
        <f t="shared" si="4"/>
        <v>#REF!</v>
      </c>
      <c r="BA19" s="25" t="e">
        <f t="shared" si="5"/>
        <v>#REF!</v>
      </c>
      <c r="BB19" s="25" t="e">
        <f t="shared" si="6"/>
        <v>#REF!</v>
      </c>
      <c r="BC19" s="25" t="e">
        <f t="shared" si="7"/>
        <v>#REF!</v>
      </c>
      <c r="BD19" s="25" t="e">
        <f>VLOOKUP(A19,#REF!,43,0)</f>
        <v>#REF!</v>
      </c>
      <c r="BE19" s="25" t="e">
        <f>VLOOKUP(A19,#REF!,44,0)</f>
        <v>#REF!</v>
      </c>
      <c r="BF19" s="25" t="e">
        <f>VLOOKUP(A19,#REF!,45,0)</f>
        <v>#REF!</v>
      </c>
      <c r="BG19" s="25" t="e">
        <f>VLOOKUP(A19,#REF!,42,0)</f>
        <v>#REF!</v>
      </c>
      <c r="BH19" s="25" t="e">
        <f t="shared" si="8"/>
        <v>#REF!</v>
      </c>
      <c r="BI19" s="25" t="e">
        <f t="shared" si="9"/>
        <v>#REF!</v>
      </c>
      <c r="BJ19" s="25" t="e">
        <f t="shared" si="10"/>
        <v>#REF!</v>
      </c>
    </row>
    <row r="20" spans="1:62" hidden="1" x14ac:dyDescent="0.25">
      <c r="A20" s="20" t="s">
        <v>169</v>
      </c>
      <c r="B20" s="19">
        <v>45689</v>
      </c>
      <c r="C20" s="20" t="s">
        <v>5</v>
      </c>
      <c r="D20" s="20" t="s">
        <v>582</v>
      </c>
      <c r="E20" s="20"/>
      <c r="F20" s="20" t="s">
        <v>292</v>
      </c>
      <c r="G20" s="20" t="s">
        <v>444</v>
      </c>
      <c r="H20" s="20" t="s">
        <v>170</v>
      </c>
      <c r="I20" s="21">
        <v>43858</v>
      </c>
      <c r="J20" s="22"/>
      <c r="K20" s="23" t="s">
        <v>419</v>
      </c>
      <c r="L20" s="24" t="s">
        <v>611</v>
      </c>
      <c r="M20" s="24" t="s">
        <v>508</v>
      </c>
      <c r="N20" s="25" t="e">
        <f>VLOOKUP(A20,#REF!,12,0)</f>
        <v>#REF!</v>
      </c>
      <c r="O20" s="25" t="e">
        <f>VLOOKUP(A20,#REF!,15,0)</f>
        <v>#REF!</v>
      </c>
      <c r="P20" s="25" t="e">
        <f>VLOOKUP(A20,#REF!,16,0)</f>
        <v>#REF!</v>
      </c>
      <c r="Q20" s="25" t="e">
        <f>VLOOKUP(A20,#REF!,17,0)</f>
        <v>#REF!</v>
      </c>
      <c r="R20" s="25" t="e">
        <f>VLOOKUP(A20,#REF!,18,0)</f>
        <v>#REF!</v>
      </c>
      <c r="S20" s="25" t="e">
        <f>VLOOKUP(A20,#REF!,19,0)</f>
        <v>#REF!</v>
      </c>
      <c r="T20" s="25" t="e">
        <f>VLOOKUP(A20,#REF!,20,0)</f>
        <v>#REF!</v>
      </c>
      <c r="U20" s="25" t="e">
        <f>VLOOKUP(A20,#REF!,21,0)</f>
        <v>#REF!</v>
      </c>
      <c r="V20" s="25" t="e">
        <f>VLOOKUP(A20,#REF!,22,0)</f>
        <v>#REF!</v>
      </c>
      <c r="W20" s="25" t="e">
        <f>VLOOKUP(A20,#REF!,23,0)</f>
        <v>#REF!</v>
      </c>
      <c r="X20" s="25" t="e">
        <f>VLOOKUP(A20,#REF!,24,0)</f>
        <v>#REF!</v>
      </c>
      <c r="Y20" s="25" t="e">
        <f>VLOOKUP(A20,#REF!,25,0)</f>
        <v>#REF!</v>
      </c>
      <c r="Z20" s="25" t="e">
        <f>VLOOKUP(A20,#REF!,26,0)</f>
        <v>#REF!</v>
      </c>
      <c r="AA20" s="25" t="e">
        <f>VLOOKUP(A20,#REF!,27,0)</f>
        <v>#REF!</v>
      </c>
      <c r="AB20" s="25" t="e">
        <f>VLOOKUP(A20,#REF!,28,0)</f>
        <v>#REF!</v>
      </c>
      <c r="AC20" s="25" t="e">
        <f>VLOOKUP(A20,#REF!,29,0)</f>
        <v>#REF!</v>
      </c>
      <c r="AD20" s="26" t="e">
        <f t="shared" si="0"/>
        <v>#REF!</v>
      </c>
      <c r="AE20" s="25" t="e">
        <f>VLOOKUP(A20,#REF!,31,0)</f>
        <v>#REF!</v>
      </c>
      <c r="AF20" s="25" t="e">
        <f>VLOOKUP(A20,#REF!,32,0)</f>
        <v>#REF!</v>
      </c>
      <c r="AG20" s="25"/>
      <c r="AH20" s="27"/>
      <c r="AI20" s="25" t="e">
        <f>VLOOKUP(A20,#REF!,30,0)</f>
        <v>#REF!</v>
      </c>
      <c r="AJ20" s="25" t="e">
        <f>VLOOKUP(A20,#REF!,31,0)</f>
        <v>#REF!</v>
      </c>
      <c r="AK20" s="25" t="e">
        <f>VLOOKUP(A20,#REF!,33,0)</f>
        <v>#REF!</v>
      </c>
      <c r="AL20" s="25" t="e">
        <f>VLOOKUP(A20,#REF!,36,0)</f>
        <v>#REF!</v>
      </c>
      <c r="AM20" s="25" t="e">
        <f>VLOOKUP(A20,#REF!,34,0)</f>
        <v>#REF!</v>
      </c>
      <c r="AN20" s="27" t="e">
        <f>VLOOKUP(A20,#REF!,35,0)</f>
        <v>#REF!</v>
      </c>
      <c r="AO20" s="27" t="e">
        <f>VLOOKUP(A20,#REF!,32,0)</f>
        <v>#REF!</v>
      </c>
      <c r="AP20" s="25" t="e">
        <f>VLOOKUP(A20,#REF!,35,0)</f>
        <v>#REF!</v>
      </c>
      <c r="AQ20" s="25" t="e">
        <f>VLOOKUP(A20,#REF!,36,0)</f>
        <v>#REF!</v>
      </c>
      <c r="AR20" s="25" t="e">
        <f>VLOOKUP(A20,#REF!,37,0)</f>
        <v>#REF!</v>
      </c>
      <c r="AS20" s="25" t="e">
        <f>VLOOKUP(A20,#REF!,38,0)</f>
        <v>#REF!</v>
      </c>
      <c r="AT20" s="25" t="e">
        <f>VLOOKUP(A20,#REF!,39,0)</f>
        <v>#REF!</v>
      </c>
      <c r="AU20" s="25"/>
      <c r="AV20" s="26" t="e">
        <f t="shared" si="1"/>
        <v>#REF!</v>
      </c>
      <c r="AW20" s="25" t="e">
        <f t="shared" si="2"/>
        <v>#REF!</v>
      </c>
      <c r="AX20" s="25"/>
      <c r="AY20" s="26" t="e">
        <f t="shared" si="3"/>
        <v>#REF!</v>
      </c>
      <c r="AZ20" s="25" t="e">
        <f t="shared" si="4"/>
        <v>#REF!</v>
      </c>
      <c r="BA20" s="25" t="e">
        <f t="shared" si="5"/>
        <v>#REF!</v>
      </c>
      <c r="BB20" s="25" t="e">
        <f t="shared" si="6"/>
        <v>#REF!</v>
      </c>
      <c r="BC20" s="25" t="e">
        <f t="shared" si="7"/>
        <v>#REF!</v>
      </c>
      <c r="BD20" s="25" t="e">
        <f>VLOOKUP(A20,#REF!,43,0)</f>
        <v>#REF!</v>
      </c>
      <c r="BE20" s="25" t="e">
        <f>VLOOKUP(A20,#REF!,44,0)</f>
        <v>#REF!</v>
      </c>
      <c r="BF20" s="25" t="e">
        <f>VLOOKUP(A20,#REF!,45,0)</f>
        <v>#REF!</v>
      </c>
      <c r="BG20" s="25" t="e">
        <f>VLOOKUP(A20,#REF!,42,0)</f>
        <v>#REF!</v>
      </c>
      <c r="BH20" s="25" t="e">
        <f t="shared" si="8"/>
        <v>#REF!</v>
      </c>
      <c r="BI20" s="25" t="e">
        <f t="shared" si="9"/>
        <v>#REF!</v>
      </c>
      <c r="BJ20" s="25" t="e">
        <f t="shared" si="10"/>
        <v>#REF!</v>
      </c>
    </row>
    <row r="21" spans="1:62" hidden="1" x14ac:dyDescent="0.25">
      <c r="A21" s="20" t="s">
        <v>450</v>
      </c>
      <c r="B21" s="19">
        <v>45689</v>
      </c>
      <c r="C21" s="20" t="s">
        <v>8</v>
      </c>
      <c r="D21" s="20" t="s">
        <v>597</v>
      </c>
      <c r="E21" s="20">
        <v>4</v>
      </c>
      <c r="F21" s="20" t="s">
        <v>424</v>
      </c>
      <c r="G21" s="20" t="s">
        <v>444</v>
      </c>
      <c r="H21" s="20" t="s">
        <v>81</v>
      </c>
      <c r="I21" s="21">
        <v>45627</v>
      </c>
      <c r="J21" s="21"/>
      <c r="K21" s="23" t="s">
        <v>419</v>
      </c>
      <c r="L21" s="24" t="s">
        <v>211</v>
      </c>
      <c r="M21" s="24" t="s">
        <v>451</v>
      </c>
      <c r="N21" s="25">
        <v>8500</v>
      </c>
      <c r="O21" s="25">
        <f>N21</f>
        <v>8500</v>
      </c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6">
        <f t="shared" si="0"/>
        <v>8500</v>
      </c>
      <c r="AE21" s="25"/>
      <c r="AF21" s="25"/>
      <c r="AG21" s="25"/>
      <c r="AH21" s="27"/>
      <c r="AI21" s="25"/>
      <c r="AJ21" s="25"/>
      <c r="AK21" s="25"/>
      <c r="AL21" s="25"/>
      <c r="AM21" s="25"/>
      <c r="AN21" s="27"/>
      <c r="AO21" s="27"/>
      <c r="AP21" s="25"/>
      <c r="AQ21" s="25"/>
      <c r="AR21" s="25"/>
      <c r="AS21" s="25"/>
      <c r="AT21" s="25"/>
      <c r="AU21" s="25"/>
      <c r="AV21" s="26">
        <f t="shared" si="1"/>
        <v>0</v>
      </c>
      <c r="AW21" s="25">
        <f t="shared" si="2"/>
        <v>8500</v>
      </c>
      <c r="AX21" s="25"/>
      <c r="AY21" s="26">
        <f t="shared" si="3"/>
        <v>8500</v>
      </c>
      <c r="AZ21" s="25">
        <f t="shared" si="4"/>
        <v>708.33333333333337</v>
      </c>
      <c r="BA21" s="25">
        <f t="shared" si="5"/>
        <v>708.33333333333337</v>
      </c>
      <c r="BB21" s="25">
        <f t="shared" si="6"/>
        <v>236.11111111111111</v>
      </c>
      <c r="BC21" s="25">
        <f t="shared" si="7"/>
        <v>1652.7777777777778</v>
      </c>
      <c r="BD21" s="25"/>
      <c r="BE21" s="25"/>
      <c r="BF21" s="25"/>
      <c r="BG21" s="25"/>
      <c r="BH21" s="25">
        <f t="shared" si="8"/>
        <v>0</v>
      </c>
      <c r="BI21" s="25">
        <f t="shared" si="9"/>
        <v>8500</v>
      </c>
      <c r="BJ21" s="25">
        <f t="shared" si="10"/>
        <v>10152.777777777777</v>
      </c>
    </row>
    <row r="22" spans="1:62" hidden="1" x14ac:dyDescent="0.25">
      <c r="A22" s="20" t="s">
        <v>324</v>
      </c>
      <c r="B22" s="19">
        <v>45689</v>
      </c>
      <c r="C22" s="20" t="s">
        <v>5</v>
      </c>
      <c r="D22" s="20" t="s">
        <v>588</v>
      </c>
      <c r="E22" s="20"/>
      <c r="F22" s="20" t="s">
        <v>312</v>
      </c>
      <c r="G22" s="20" t="s">
        <v>444</v>
      </c>
      <c r="H22" s="20" t="s">
        <v>218</v>
      </c>
      <c r="I22" s="21">
        <v>43866</v>
      </c>
      <c r="J22" s="22"/>
      <c r="K22" s="23" t="s">
        <v>422</v>
      </c>
      <c r="L22" s="24" t="s">
        <v>211</v>
      </c>
      <c r="M22" s="24" t="s">
        <v>589</v>
      </c>
      <c r="N22" s="25" t="e">
        <f>VLOOKUP(A22,#REF!,12,0)</f>
        <v>#REF!</v>
      </c>
      <c r="O22" s="25" t="e">
        <f>VLOOKUP(A22,#REF!,15,0)</f>
        <v>#REF!</v>
      </c>
      <c r="P22" s="25" t="e">
        <f>VLOOKUP(A22,#REF!,16,0)</f>
        <v>#REF!</v>
      </c>
      <c r="Q22" s="25" t="e">
        <f>VLOOKUP(A22,#REF!,17,0)</f>
        <v>#REF!</v>
      </c>
      <c r="R22" s="25" t="e">
        <f>VLOOKUP(A22,#REF!,18,0)</f>
        <v>#REF!</v>
      </c>
      <c r="S22" s="25" t="e">
        <f>VLOOKUP(A22,#REF!,19,0)</f>
        <v>#REF!</v>
      </c>
      <c r="T22" s="25" t="e">
        <f>VLOOKUP(A22,#REF!,20,0)</f>
        <v>#REF!</v>
      </c>
      <c r="U22" s="25" t="e">
        <f>VLOOKUP(A22,#REF!,21,0)</f>
        <v>#REF!</v>
      </c>
      <c r="V22" s="25" t="e">
        <f>VLOOKUP(A22,#REF!,22,0)</f>
        <v>#REF!</v>
      </c>
      <c r="W22" s="25" t="e">
        <f>VLOOKUP(A22,#REF!,23,0)</f>
        <v>#REF!</v>
      </c>
      <c r="X22" s="25" t="e">
        <f>VLOOKUP(A22,#REF!,24,0)</f>
        <v>#REF!</v>
      </c>
      <c r="Y22" s="25" t="e">
        <f>VLOOKUP(A22,#REF!,25,0)</f>
        <v>#REF!</v>
      </c>
      <c r="Z22" s="25" t="e">
        <f>VLOOKUP(A22,#REF!,26,0)</f>
        <v>#REF!</v>
      </c>
      <c r="AA22" s="25" t="e">
        <f>VLOOKUP(A22,#REF!,27,0)</f>
        <v>#REF!</v>
      </c>
      <c r="AB22" s="25" t="e">
        <f>VLOOKUP(A22,#REF!,28,0)</f>
        <v>#REF!</v>
      </c>
      <c r="AC22" s="25" t="e">
        <f>VLOOKUP(A22,#REF!,29,0)</f>
        <v>#REF!</v>
      </c>
      <c r="AD22" s="26" t="e">
        <f t="shared" si="0"/>
        <v>#REF!</v>
      </c>
      <c r="AE22" s="25" t="e">
        <f>VLOOKUP(A22,#REF!,31,0)</f>
        <v>#REF!</v>
      </c>
      <c r="AF22" s="25" t="e">
        <f>VLOOKUP(A22,#REF!,32,0)</f>
        <v>#REF!</v>
      </c>
      <c r="AG22" s="25"/>
      <c r="AH22" s="27"/>
      <c r="AI22" s="25" t="e">
        <f>VLOOKUP(A22,#REF!,30,0)</f>
        <v>#REF!</v>
      </c>
      <c r="AJ22" s="25" t="e">
        <f>VLOOKUP(A22,#REF!,31,0)</f>
        <v>#REF!</v>
      </c>
      <c r="AK22" s="25" t="e">
        <f>VLOOKUP(A22,#REF!,33,0)</f>
        <v>#REF!</v>
      </c>
      <c r="AL22" s="25" t="e">
        <f>VLOOKUP(A22,#REF!,36,0)</f>
        <v>#REF!</v>
      </c>
      <c r="AM22" s="25" t="e">
        <f>VLOOKUP(A22,#REF!,34,0)</f>
        <v>#REF!</v>
      </c>
      <c r="AN22" s="27" t="e">
        <f>VLOOKUP(A22,#REF!,35,0)</f>
        <v>#REF!</v>
      </c>
      <c r="AO22" s="27" t="e">
        <f>VLOOKUP(A22,#REF!,32,0)</f>
        <v>#REF!</v>
      </c>
      <c r="AP22" s="25" t="e">
        <f>VLOOKUP(A22,#REF!,35,0)</f>
        <v>#REF!</v>
      </c>
      <c r="AQ22" s="25" t="e">
        <f>VLOOKUP(A22,#REF!,36,0)</f>
        <v>#REF!</v>
      </c>
      <c r="AR22" s="25" t="e">
        <f>VLOOKUP(A22,#REF!,37,0)</f>
        <v>#REF!</v>
      </c>
      <c r="AS22" s="25" t="e">
        <f>VLOOKUP(A22,#REF!,38,0)</f>
        <v>#REF!</v>
      </c>
      <c r="AT22" s="25" t="e">
        <f>VLOOKUP(A22,#REF!,39,0)</f>
        <v>#REF!</v>
      </c>
      <c r="AU22" s="25"/>
      <c r="AV22" s="26" t="e">
        <f t="shared" si="1"/>
        <v>#REF!</v>
      </c>
      <c r="AW22" s="25" t="e">
        <f t="shared" si="2"/>
        <v>#REF!</v>
      </c>
      <c r="AX22" s="25"/>
      <c r="AY22" s="26" t="e">
        <f t="shared" si="3"/>
        <v>#REF!</v>
      </c>
      <c r="AZ22" s="25" t="e">
        <f t="shared" si="4"/>
        <v>#REF!</v>
      </c>
      <c r="BA22" s="25" t="e">
        <f t="shared" si="5"/>
        <v>#REF!</v>
      </c>
      <c r="BB22" s="25" t="e">
        <f t="shared" si="6"/>
        <v>#REF!</v>
      </c>
      <c r="BC22" s="25" t="e">
        <f t="shared" si="7"/>
        <v>#REF!</v>
      </c>
      <c r="BD22" s="25" t="e">
        <f>VLOOKUP(A22,#REF!,43,0)</f>
        <v>#REF!</v>
      </c>
      <c r="BE22" s="25" t="e">
        <f>VLOOKUP(A22,#REF!,44,0)</f>
        <v>#REF!</v>
      </c>
      <c r="BF22" s="25" t="e">
        <f>VLOOKUP(A22,#REF!,45,0)</f>
        <v>#REF!</v>
      </c>
      <c r="BG22" s="25" t="e">
        <f>VLOOKUP(A22,#REF!,42,0)</f>
        <v>#REF!</v>
      </c>
      <c r="BH22" s="25" t="e">
        <f t="shared" si="8"/>
        <v>#REF!</v>
      </c>
      <c r="BI22" s="25" t="e">
        <f t="shared" si="9"/>
        <v>#REF!</v>
      </c>
      <c r="BJ22" s="25" t="e">
        <f t="shared" si="10"/>
        <v>#REF!</v>
      </c>
    </row>
    <row r="23" spans="1:62" hidden="1" x14ac:dyDescent="0.25">
      <c r="A23" s="20" t="s">
        <v>320</v>
      </c>
      <c r="B23" s="19">
        <v>45689</v>
      </c>
      <c r="C23" s="20" t="s">
        <v>5</v>
      </c>
      <c r="D23" s="20" t="s">
        <v>588</v>
      </c>
      <c r="E23" s="20"/>
      <c r="F23" s="20" t="s">
        <v>312</v>
      </c>
      <c r="G23" s="20" t="s">
        <v>313</v>
      </c>
      <c r="H23" s="20" t="s">
        <v>97</v>
      </c>
      <c r="I23" s="21">
        <v>43888</v>
      </c>
      <c r="J23" s="22"/>
      <c r="K23" s="23" t="s">
        <v>419</v>
      </c>
      <c r="L23" s="24" t="s">
        <v>314</v>
      </c>
      <c r="M23" s="24" t="s">
        <v>610</v>
      </c>
      <c r="N23" s="25" t="e">
        <f>VLOOKUP(A23,#REF!,12,0)</f>
        <v>#REF!</v>
      </c>
      <c r="O23" s="25" t="e">
        <f>VLOOKUP(A23,#REF!,15,0)</f>
        <v>#REF!</v>
      </c>
      <c r="P23" s="25" t="e">
        <f>VLOOKUP(A23,#REF!,16,0)</f>
        <v>#REF!</v>
      </c>
      <c r="Q23" s="25" t="e">
        <f>VLOOKUP(A23,#REF!,17,0)</f>
        <v>#REF!</v>
      </c>
      <c r="R23" s="25" t="e">
        <f>VLOOKUP(A23,#REF!,18,0)</f>
        <v>#REF!</v>
      </c>
      <c r="S23" s="25" t="e">
        <f>VLOOKUP(A23,#REF!,19,0)</f>
        <v>#REF!</v>
      </c>
      <c r="T23" s="25" t="e">
        <f>VLOOKUP(A23,#REF!,20,0)</f>
        <v>#REF!</v>
      </c>
      <c r="U23" s="25" t="e">
        <f>VLOOKUP(A23,#REF!,21,0)</f>
        <v>#REF!</v>
      </c>
      <c r="V23" s="25" t="e">
        <f>VLOOKUP(A23,#REF!,22,0)</f>
        <v>#REF!</v>
      </c>
      <c r="W23" s="25" t="e">
        <f>VLOOKUP(A23,#REF!,23,0)</f>
        <v>#REF!</v>
      </c>
      <c r="X23" s="25" t="e">
        <f>VLOOKUP(A23,#REF!,24,0)</f>
        <v>#REF!</v>
      </c>
      <c r="Y23" s="25" t="e">
        <f>VLOOKUP(A23,#REF!,25,0)</f>
        <v>#REF!</v>
      </c>
      <c r="Z23" s="25" t="e">
        <f>VLOOKUP(A23,#REF!,26,0)</f>
        <v>#REF!</v>
      </c>
      <c r="AA23" s="25" t="e">
        <f>VLOOKUP(A23,#REF!,27,0)</f>
        <v>#REF!</v>
      </c>
      <c r="AB23" s="25" t="e">
        <f>VLOOKUP(A23,#REF!,28,0)</f>
        <v>#REF!</v>
      </c>
      <c r="AC23" s="25" t="e">
        <f>VLOOKUP(A23,#REF!,29,0)</f>
        <v>#REF!</v>
      </c>
      <c r="AD23" s="26" t="e">
        <f t="shared" si="0"/>
        <v>#REF!</v>
      </c>
      <c r="AE23" s="25" t="e">
        <f>VLOOKUP(A23,#REF!,31,0)</f>
        <v>#REF!</v>
      </c>
      <c r="AF23" s="25" t="e">
        <f>VLOOKUP(A23,#REF!,32,0)</f>
        <v>#REF!</v>
      </c>
      <c r="AG23" s="25"/>
      <c r="AH23" s="27"/>
      <c r="AI23" s="25" t="e">
        <f>VLOOKUP(A23,#REF!,30,0)</f>
        <v>#REF!</v>
      </c>
      <c r="AJ23" s="25" t="e">
        <f>VLOOKUP(A23,#REF!,31,0)</f>
        <v>#REF!</v>
      </c>
      <c r="AK23" s="25" t="e">
        <f>VLOOKUP(A23,#REF!,33,0)</f>
        <v>#REF!</v>
      </c>
      <c r="AL23" s="25" t="e">
        <f>VLOOKUP(A23,#REF!,36,0)</f>
        <v>#REF!</v>
      </c>
      <c r="AM23" s="25" t="e">
        <f>VLOOKUP(A23,#REF!,34,0)</f>
        <v>#REF!</v>
      </c>
      <c r="AN23" s="27" t="e">
        <f>VLOOKUP(A23,#REF!,35,0)</f>
        <v>#REF!</v>
      </c>
      <c r="AO23" s="27" t="e">
        <f>VLOOKUP(A23,#REF!,32,0)</f>
        <v>#REF!</v>
      </c>
      <c r="AP23" s="25" t="e">
        <f>VLOOKUP(A23,#REF!,35,0)</f>
        <v>#REF!</v>
      </c>
      <c r="AQ23" s="25" t="e">
        <f>VLOOKUP(A23,#REF!,36,0)</f>
        <v>#REF!</v>
      </c>
      <c r="AR23" s="25" t="e">
        <f>VLOOKUP(A23,#REF!,37,0)</f>
        <v>#REF!</v>
      </c>
      <c r="AS23" s="25" t="e">
        <f>VLOOKUP(A23,#REF!,38,0)</f>
        <v>#REF!</v>
      </c>
      <c r="AT23" s="25" t="e">
        <f>VLOOKUP(A23,#REF!,39,0)</f>
        <v>#REF!</v>
      </c>
      <c r="AU23" s="25"/>
      <c r="AV23" s="26" t="e">
        <f t="shared" si="1"/>
        <v>#REF!</v>
      </c>
      <c r="AW23" s="25" t="e">
        <f t="shared" si="2"/>
        <v>#REF!</v>
      </c>
      <c r="AX23" s="25"/>
      <c r="AY23" s="26" t="e">
        <f t="shared" si="3"/>
        <v>#REF!</v>
      </c>
      <c r="AZ23" s="25" t="e">
        <f t="shared" si="4"/>
        <v>#REF!</v>
      </c>
      <c r="BA23" s="25" t="e">
        <f t="shared" si="5"/>
        <v>#REF!</v>
      </c>
      <c r="BB23" s="25" t="e">
        <f t="shared" si="6"/>
        <v>#REF!</v>
      </c>
      <c r="BC23" s="25" t="e">
        <f t="shared" si="7"/>
        <v>#REF!</v>
      </c>
      <c r="BD23" s="25" t="e">
        <f>VLOOKUP(A23,#REF!,43,0)</f>
        <v>#REF!</v>
      </c>
      <c r="BE23" s="25" t="e">
        <f>VLOOKUP(A23,#REF!,44,0)</f>
        <v>#REF!</v>
      </c>
      <c r="BF23" s="25" t="e">
        <f>VLOOKUP(A23,#REF!,45,0)</f>
        <v>#REF!</v>
      </c>
      <c r="BG23" s="25" t="e">
        <f>VLOOKUP(A23,#REF!,42,0)</f>
        <v>#REF!</v>
      </c>
      <c r="BH23" s="25" t="e">
        <f t="shared" si="8"/>
        <v>#REF!</v>
      </c>
      <c r="BI23" s="25" t="e">
        <f t="shared" si="9"/>
        <v>#REF!</v>
      </c>
      <c r="BJ23" s="25" t="e">
        <f t="shared" si="10"/>
        <v>#REF!</v>
      </c>
    </row>
    <row r="24" spans="1:62" hidden="1" x14ac:dyDescent="0.25">
      <c r="A24" s="20" t="s">
        <v>77</v>
      </c>
      <c r="B24" s="19">
        <v>45689</v>
      </c>
      <c r="C24" s="20" t="s">
        <v>5</v>
      </c>
      <c r="D24" s="20" t="s">
        <v>560</v>
      </c>
      <c r="E24" s="20"/>
      <c r="F24" s="20" t="s">
        <v>80</v>
      </c>
      <c r="G24" s="20" t="s">
        <v>83</v>
      </c>
      <c r="H24" s="20" t="s">
        <v>81</v>
      </c>
      <c r="I24" s="21">
        <v>43903</v>
      </c>
      <c r="J24" s="22"/>
      <c r="K24" s="23" t="s">
        <v>419</v>
      </c>
      <c r="L24" s="24" t="s">
        <v>84</v>
      </c>
      <c r="M24" s="24" t="s">
        <v>499</v>
      </c>
      <c r="N24" s="25" t="e">
        <f>VLOOKUP(A24,#REF!,12,0)</f>
        <v>#REF!</v>
      </c>
      <c r="O24" s="25" t="e">
        <f>VLOOKUP(A24,#REF!,15,0)</f>
        <v>#REF!</v>
      </c>
      <c r="P24" s="25" t="e">
        <f>VLOOKUP(A24,#REF!,16,0)</f>
        <v>#REF!</v>
      </c>
      <c r="Q24" s="25" t="e">
        <f>VLOOKUP(A24,#REF!,17,0)</f>
        <v>#REF!</v>
      </c>
      <c r="R24" s="25" t="e">
        <f>VLOOKUP(A24,#REF!,18,0)</f>
        <v>#REF!</v>
      </c>
      <c r="S24" s="25" t="e">
        <f>VLOOKUP(A24,#REF!,19,0)</f>
        <v>#REF!</v>
      </c>
      <c r="T24" s="25" t="e">
        <f>VLOOKUP(A24,#REF!,20,0)</f>
        <v>#REF!</v>
      </c>
      <c r="U24" s="25" t="e">
        <f>VLOOKUP(A24,#REF!,21,0)</f>
        <v>#REF!</v>
      </c>
      <c r="V24" s="25" t="e">
        <f>VLOOKUP(A24,#REF!,22,0)</f>
        <v>#REF!</v>
      </c>
      <c r="W24" s="25" t="e">
        <f>VLOOKUP(A24,#REF!,23,0)</f>
        <v>#REF!</v>
      </c>
      <c r="X24" s="25" t="e">
        <f>VLOOKUP(A24,#REF!,24,0)</f>
        <v>#REF!</v>
      </c>
      <c r="Y24" s="25" t="e">
        <f>VLOOKUP(A24,#REF!,25,0)</f>
        <v>#REF!</v>
      </c>
      <c r="Z24" s="25" t="e">
        <f>VLOOKUP(A24,#REF!,26,0)</f>
        <v>#REF!</v>
      </c>
      <c r="AA24" s="25" t="e">
        <f>VLOOKUP(A24,#REF!,27,0)</f>
        <v>#REF!</v>
      </c>
      <c r="AB24" s="25" t="e">
        <f>VLOOKUP(A24,#REF!,28,0)</f>
        <v>#REF!</v>
      </c>
      <c r="AC24" s="25" t="e">
        <f>VLOOKUP(A24,#REF!,29,0)</f>
        <v>#REF!</v>
      </c>
      <c r="AD24" s="26" t="e">
        <f t="shared" si="0"/>
        <v>#REF!</v>
      </c>
      <c r="AE24" s="25" t="e">
        <f>VLOOKUP(A24,#REF!,31,0)</f>
        <v>#REF!</v>
      </c>
      <c r="AF24" s="25" t="e">
        <f>VLOOKUP(A24,#REF!,32,0)</f>
        <v>#REF!</v>
      </c>
      <c r="AG24" s="25"/>
      <c r="AH24" s="27"/>
      <c r="AI24" s="25" t="e">
        <f>VLOOKUP(A24,#REF!,30,0)</f>
        <v>#REF!</v>
      </c>
      <c r="AJ24" s="25" t="e">
        <f>VLOOKUP(A24,#REF!,31,0)</f>
        <v>#REF!</v>
      </c>
      <c r="AK24" s="25" t="e">
        <f>VLOOKUP(A24,#REF!,33,0)</f>
        <v>#REF!</v>
      </c>
      <c r="AL24" s="25" t="e">
        <f>VLOOKUP(A24,#REF!,36,0)</f>
        <v>#REF!</v>
      </c>
      <c r="AM24" s="25" t="e">
        <f>VLOOKUP(A24,#REF!,34,0)</f>
        <v>#REF!</v>
      </c>
      <c r="AN24" s="27" t="e">
        <f>VLOOKUP(A24,#REF!,35,0)</f>
        <v>#REF!</v>
      </c>
      <c r="AO24" s="27" t="e">
        <f>VLOOKUP(A24,#REF!,32,0)</f>
        <v>#REF!</v>
      </c>
      <c r="AP24" s="25" t="e">
        <f>VLOOKUP(A24,#REF!,35,0)</f>
        <v>#REF!</v>
      </c>
      <c r="AQ24" s="25" t="e">
        <f>VLOOKUP(A24,#REF!,36,0)</f>
        <v>#REF!</v>
      </c>
      <c r="AR24" s="25" t="e">
        <f>VLOOKUP(A24,#REF!,37,0)</f>
        <v>#REF!</v>
      </c>
      <c r="AS24" s="25" t="e">
        <f>VLOOKUP(A24,#REF!,38,0)</f>
        <v>#REF!</v>
      </c>
      <c r="AT24" s="25" t="e">
        <f>VLOOKUP(A24,#REF!,39,0)</f>
        <v>#REF!</v>
      </c>
      <c r="AU24" s="25"/>
      <c r="AV24" s="26" t="e">
        <f t="shared" si="1"/>
        <v>#REF!</v>
      </c>
      <c r="AW24" s="25" t="e">
        <f t="shared" si="2"/>
        <v>#REF!</v>
      </c>
      <c r="AX24" s="25"/>
      <c r="AY24" s="26" t="e">
        <f t="shared" si="3"/>
        <v>#REF!</v>
      </c>
      <c r="AZ24" s="25" t="e">
        <f t="shared" si="4"/>
        <v>#REF!</v>
      </c>
      <c r="BA24" s="25" t="e">
        <f t="shared" si="5"/>
        <v>#REF!</v>
      </c>
      <c r="BB24" s="25" t="e">
        <f t="shared" si="6"/>
        <v>#REF!</v>
      </c>
      <c r="BC24" s="25" t="e">
        <f t="shared" si="7"/>
        <v>#REF!</v>
      </c>
      <c r="BD24" s="25" t="e">
        <f>VLOOKUP(A24,#REF!,43,0)</f>
        <v>#REF!</v>
      </c>
      <c r="BE24" s="25" t="e">
        <f>VLOOKUP(A24,#REF!,44,0)</f>
        <v>#REF!</v>
      </c>
      <c r="BF24" s="25" t="e">
        <f>VLOOKUP(A24,#REF!,45,0)</f>
        <v>#REF!</v>
      </c>
      <c r="BG24" s="25" t="e">
        <f>VLOOKUP(A24,#REF!,42,0)</f>
        <v>#REF!</v>
      </c>
      <c r="BH24" s="25" t="e">
        <f t="shared" si="8"/>
        <v>#REF!</v>
      </c>
      <c r="BI24" s="25" t="e">
        <f t="shared" si="9"/>
        <v>#REF!</v>
      </c>
      <c r="BJ24" s="25" t="e">
        <f t="shared" si="10"/>
        <v>#REF!</v>
      </c>
    </row>
    <row r="25" spans="1:62" hidden="1" x14ac:dyDescent="0.25">
      <c r="A25" s="20" t="s">
        <v>307</v>
      </c>
      <c r="B25" s="19">
        <v>45689</v>
      </c>
      <c r="C25" s="20" t="s">
        <v>5</v>
      </c>
      <c r="D25" s="20" t="s">
        <v>582</v>
      </c>
      <c r="E25" s="20"/>
      <c r="F25" s="20" t="s">
        <v>292</v>
      </c>
      <c r="G25" s="20" t="s">
        <v>566</v>
      </c>
      <c r="H25" s="20" t="s">
        <v>88</v>
      </c>
      <c r="I25" s="21">
        <v>43906</v>
      </c>
      <c r="J25" s="22"/>
      <c r="K25" s="23" t="s">
        <v>419</v>
      </c>
      <c r="L25" s="24" t="s">
        <v>101</v>
      </c>
      <c r="M25" s="24" t="s">
        <v>504</v>
      </c>
      <c r="N25" s="25" t="e">
        <f>VLOOKUP(A25,#REF!,12,0)</f>
        <v>#REF!</v>
      </c>
      <c r="O25" s="25" t="e">
        <f>VLOOKUP(A25,#REF!,15,0)</f>
        <v>#REF!</v>
      </c>
      <c r="P25" s="25" t="e">
        <f>VLOOKUP(A25,#REF!,16,0)</f>
        <v>#REF!</v>
      </c>
      <c r="Q25" s="25" t="e">
        <f>VLOOKUP(A25,#REF!,17,0)</f>
        <v>#REF!</v>
      </c>
      <c r="R25" s="25" t="e">
        <f>VLOOKUP(A25,#REF!,18,0)</f>
        <v>#REF!</v>
      </c>
      <c r="S25" s="25" t="e">
        <f>VLOOKUP(A25,#REF!,19,0)</f>
        <v>#REF!</v>
      </c>
      <c r="T25" s="25" t="e">
        <f>VLOOKUP(A25,#REF!,20,0)</f>
        <v>#REF!</v>
      </c>
      <c r="U25" s="25" t="e">
        <f>VLOOKUP(A25,#REF!,21,0)</f>
        <v>#REF!</v>
      </c>
      <c r="V25" s="25" t="e">
        <f>VLOOKUP(A25,#REF!,22,0)</f>
        <v>#REF!</v>
      </c>
      <c r="W25" s="25" t="e">
        <f>VLOOKUP(A25,#REF!,23,0)</f>
        <v>#REF!</v>
      </c>
      <c r="X25" s="25" t="e">
        <f>VLOOKUP(A25,#REF!,24,0)</f>
        <v>#REF!</v>
      </c>
      <c r="Y25" s="25" t="e">
        <f>VLOOKUP(A25,#REF!,25,0)</f>
        <v>#REF!</v>
      </c>
      <c r="Z25" s="25" t="e">
        <f>VLOOKUP(A25,#REF!,26,0)</f>
        <v>#REF!</v>
      </c>
      <c r="AA25" s="25" t="e">
        <f>VLOOKUP(A25,#REF!,27,0)</f>
        <v>#REF!</v>
      </c>
      <c r="AB25" s="25" t="e">
        <f>VLOOKUP(A25,#REF!,28,0)</f>
        <v>#REF!</v>
      </c>
      <c r="AC25" s="25" t="e">
        <f>VLOOKUP(A25,#REF!,29,0)</f>
        <v>#REF!</v>
      </c>
      <c r="AD25" s="26" t="e">
        <f t="shared" si="0"/>
        <v>#REF!</v>
      </c>
      <c r="AE25" s="25" t="e">
        <f>VLOOKUP(A25,#REF!,31,0)</f>
        <v>#REF!</v>
      </c>
      <c r="AF25" s="25" t="e">
        <f>VLOOKUP(A25,#REF!,32,0)</f>
        <v>#REF!</v>
      </c>
      <c r="AG25" s="25"/>
      <c r="AH25" s="27"/>
      <c r="AI25" s="25" t="e">
        <f>VLOOKUP(A25,#REF!,30,0)</f>
        <v>#REF!</v>
      </c>
      <c r="AJ25" s="25" t="e">
        <f>VLOOKUP(A25,#REF!,31,0)</f>
        <v>#REF!</v>
      </c>
      <c r="AK25" s="25" t="e">
        <f>VLOOKUP(A25,#REF!,33,0)</f>
        <v>#REF!</v>
      </c>
      <c r="AL25" s="25" t="e">
        <f>VLOOKUP(A25,#REF!,36,0)</f>
        <v>#REF!</v>
      </c>
      <c r="AM25" s="25" t="e">
        <f>VLOOKUP(A25,#REF!,34,0)</f>
        <v>#REF!</v>
      </c>
      <c r="AN25" s="27" t="e">
        <f>VLOOKUP(A25,#REF!,35,0)</f>
        <v>#REF!</v>
      </c>
      <c r="AO25" s="27" t="e">
        <f>VLOOKUP(A25,#REF!,32,0)</f>
        <v>#REF!</v>
      </c>
      <c r="AP25" s="25" t="e">
        <f>VLOOKUP(A25,#REF!,35,0)</f>
        <v>#REF!</v>
      </c>
      <c r="AQ25" s="25" t="e">
        <f>VLOOKUP(A25,#REF!,36,0)</f>
        <v>#REF!</v>
      </c>
      <c r="AR25" s="25" t="e">
        <f>VLOOKUP(A25,#REF!,37,0)</f>
        <v>#REF!</v>
      </c>
      <c r="AS25" s="25" t="e">
        <f>VLOOKUP(A25,#REF!,38,0)</f>
        <v>#REF!</v>
      </c>
      <c r="AT25" s="25" t="e">
        <f>VLOOKUP(A25,#REF!,39,0)</f>
        <v>#REF!</v>
      </c>
      <c r="AU25" s="25"/>
      <c r="AV25" s="26" t="e">
        <f t="shared" si="1"/>
        <v>#REF!</v>
      </c>
      <c r="AW25" s="25" t="e">
        <f t="shared" si="2"/>
        <v>#REF!</v>
      </c>
      <c r="AX25" s="25"/>
      <c r="AY25" s="26" t="e">
        <f t="shared" si="3"/>
        <v>#REF!</v>
      </c>
      <c r="AZ25" s="25" t="e">
        <f t="shared" si="4"/>
        <v>#REF!</v>
      </c>
      <c r="BA25" s="25" t="e">
        <f t="shared" si="5"/>
        <v>#REF!</v>
      </c>
      <c r="BB25" s="25" t="e">
        <f t="shared" si="6"/>
        <v>#REF!</v>
      </c>
      <c r="BC25" s="25" t="e">
        <f t="shared" si="7"/>
        <v>#REF!</v>
      </c>
      <c r="BD25" s="25" t="e">
        <f>VLOOKUP(A25,#REF!,43,0)</f>
        <v>#REF!</v>
      </c>
      <c r="BE25" s="25" t="e">
        <f>VLOOKUP(A25,#REF!,44,0)</f>
        <v>#REF!</v>
      </c>
      <c r="BF25" s="25" t="e">
        <f>VLOOKUP(A25,#REF!,45,0)</f>
        <v>#REF!</v>
      </c>
      <c r="BG25" s="25" t="e">
        <f>VLOOKUP(A25,#REF!,42,0)</f>
        <v>#REF!</v>
      </c>
      <c r="BH25" s="25" t="e">
        <f t="shared" si="8"/>
        <v>#REF!</v>
      </c>
      <c r="BI25" s="25" t="e">
        <f t="shared" si="9"/>
        <v>#REF!</v>
      </c>
      <c r="BJ25" s="25" t="e">
        <f t="shared" si="10"/>
        <v>#REF!</v>
      </c>
    </row>
    <row r="26" spans="1:62" hidden="1" x14ac:dyDescent="0.25">
      <c r="A26" s="20" t="s">
        <v>339</v>
      </c>
      <c r="B26" s="19">
        <v>45689</v>
      </c>
      <c r="C26" s="20" t="s">
        <v>8</v>
      </c>
      <c r="D26" s="20" t="s">
        <v>598</v>
      </c>
      <c r="E26" s="20" t="s">
        <v>424</v>
      </c>
      <c r="F26" s="20" t="s">
        <v>424</v>
      </c>
      <c r="G26" s="20" t="s">
        <v>109</v>
      </c>
      <c r="H26" s="20" t="s">
        <v>96</v>
      </c>
      <c r="I26" s="21">
        <v>44035</v>
      </c>
      <c r="J26" s="22"/>
      <c r="K26" s="23" t="s">
        <v>419</v>
      </c>
      <c r="L26" s="24" t="s">
        <v>111</v>
      </c>
      <c r="M26" s="24" t="s">
        <v>599</v>
      </c>
      <c r="N26" s="25">
        <v>8794.51</v>
      </c>
      <c r="O26" s="25">
        <f>N26</f>
        <v>8794.51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6">
        <f t="shared" si="0"/>
        <v>8794.51</v>
      </c>
      <c r="AE26" s="25"/>
      <c r="AF26" s="25"/>
      <c r="AG26" s="25"/>
      <c r="AH26" s="27"/>
      <c r="AI26" s="25"/>
      <c r="AJ26" s="25"/>
      <c r="AK26" s="25"/>
      <c r="AL26" s="25"/>
      <c r="AM26" s="25"/>
      <c r="AN26" s="27"/>
      <c r="AO26" s="27"/>
      <c r="AP26" s="25"/>
      <c r="AQ26" s="25"/>
      <c r="AR26" s="25"/>
      <c r="AS26" s="25"/>
      <c r="AT26" s="25"/>
      <c r="AU26" s="25"/>
      <c r="AV26" s="26">
        <f t="shared" si="1"/>
        <v>0</v>
      </c>
      <c r="AW26" s="25">
        <f t="shared" si="2"/>
        <v>8794.51</v>
      </c>
      <c r="AX26" s="25"/>
      <c r="AY26" s="26">
        <f t="shared" si="3"/>
        <v>8794.51</v>
      </c>
      <c r="AZ26" s="25">
        <f t="shared" si="4"/>
        <v>732.87583333333339</v>
      </c>
      <c r="BA26" s="25">
        <f t="shared" si="5"/>
        <v>732.87583333333339</v>
      </c>
      <c r="BB26" s="25">
        <f t="shared" si="6"/>
        <v>244.29194444444445</v>
      </c>
      <c r="BC26" s="25">
        <f t="shared" si="7"/>
        <v>1710.0436111111112</v>
      </c>
      <c r="BD26" s="25"/>
      <c r="BE26" s="25"/>
      <c r="BF26" s="25"/>
      <c r="BG26" s="25"/>
      <c r="BH26" s="25">
        <f t="shared" si="8"/>
        <v>0</v>
      </c>
      <c r="BI26" s="25">
        <f t="shared" si="9"/>
        <v>8794.51</v>
      </c>
      <c r="BJ26" s="25">
        <f t="shared" si="10"/>
        <v>10504.553611111111</v>
      </c>
    </row>
    <row r="27" spans="1:62" hidden="1" x14ac:dyDescent="0.25">
      <c r="A27" s="20" t="s">
        <v>354</v>
      </c>
      <c r="B27" s="19">
        <v>45689</v>
      </c>
      <c r="C27" s="20" t="s">
        <v>5</v>
      </c>
      <c r="D27" s="20" t="s">
        <v>594</v>
      </c>
      <c r="E27" s="20"/>
      <c r="F27" s="20" t="s">
        <v>356</v>
      </c>
      <c r="G27" s="20" t="s">
        <v>464</v>
      </c>
      <c r="H27" s="20" t="s">
        <v>88</v>
      </c>
      <c r="I27" s="21">
        <v>44067</v>
      </c>
      <c r="J27" s="22"/>
      <c r="K27" s="23" t="s">
        <v>419</v>
      </c>
      <c r="L27" s="24" t="s">
        <v>132</v>
      </c>
      <c r="M27" s="24" t="s">
        <v>595</v>
      </c>
      <c r="N27" s="25" t="e">
        <f>VLOOKUP(A27,#REF!,12,0)</f>
        <v>#REF!</v>
      </c>
      <c r="O27" s="25" t="e">
        <f>VLOOKUP(A27,#REF!,15,0)</f>
        <v>#REF!</v>
      </c>
      <c r="P27" s="25" t="e">
        <f>VLOOKUP(A27,#REF!,16,0)</f>
        <v>#REF!</v>
      </c>
      <c r="Q27" s="25" t="e">
        <f>VLOOKUP(A27,#REF!,17,0)</f>
        <v>#REF!</v>
      </c>
      <c r="R27" s="25" t="e">
        <f>VLOOKUP(A27,#REF!,18,0)</f>
        <v>#REF!</v>
      </c>
      <c r="S27" s="25" t="e">
        <f>VLOOKUP(A27,#REF!,19,0)</f>
        <v>#REF!</v>
      </c>
      <c r="T27" s="25" t="e">
        <f>VLOOKUP(A27,#REF!,20,0)</f>
        <v>#REF!</v>
      </c>
      <c r="U27" s="25" t="e">
        <f>VLOOKUP(A27,#REF!,21,0)</f>
        <v>#REF!</v>
      </c>
      <c r="V27" s="25" t="e">
        <f>VLOOKUP(A27,#REF!,22,0)</f>
        <v>#REF!</v>
      </c>
      <c r="W27" s="25" t="e">
        <f>VLOOKUP(A27,#REF!,23,0)</f>
        <v>#REF!</v>
      </c>
      <c r="X27" s="25" t="e">
        <f>VLOOKUP(A27,#REF!,24,0)</f>
        <v>#REF!</v>
      </c>
      <c r="Y27" s="25" t="e">
        <f>VLOOKUP(A27,#REF!,25,0)</f>
        <v>#REF!</v>
      </c>
      <c r="Z27" s="25" t="e">
        <f>VLOOKUP(A27,#REF!,26,0)</f>
        <v>#REF!</v>
      </c>
      <c r="AA27" s="25" t="e">
        <f>VLOOKUP(A27,#REF!,27,0)</f>
        <v>#REF!</v>
      </c>
      <c r="AB27" s="25" t="e">
        <f>VLOOKUP(A27,#REF!,28,0)</f>
        <v>#REF!</v>
      </c>
      <c r="AC27" s="25" t="e">
        <f>VLOOKUP(A27,#REF!,29,0)</f>
        <v>#REF!</v>
      </c>
      <c r="AD27" s="26" t="e">
        <f t="shared" si="0"/>
        <v>#REF!</v>
      </c>
      <c r="AE27" s="25" t="e">
        <f>VLOOKUP(A27,#REF!,31,0)</f>
        <v>#REF!</v>
      </c>
      <c r="AF27" s="25" t="e">
        <f>VLOOKUP(A27,#REF!,32,0)</f>
        <v>#REF!</v>
      </c>
      <c r="AG27" s="25"/>
      <c r="AH27" s="27"/>
      <c r="AI27" s="25" t="e">
        <f>VLOOKUP(A27,#REF!,30,0)</f>
        <v>#REF!</v>
      </c>
      <c r="AJ27" s="25" t="e">
        <f>VLOOKUP(A27,#REF!,31,0)</f>
        <v>#REF!</v>
      </c>
      <c r="AK27" s="25" t="e">
        <f>VLOOKUP(A27,#REF!,33,0)</f>
        <v>#REF!</v>
      </c>
      <c r="AL27" s="25" t="e">
        <f>VLOOKUP(A27,#REF!,36,0)</f>
        <v>#REF!</v>
      </c>
      <c r="AM27" s="25" t="e">
        <f>VLOOKUP(A27,#REF!,34,0)</f>
        <v>#REF!</v>
      </c>
      <c r="AN27" s="27" t="e">
        <f>VLOOKUP(A27,#REF!,35,0)</f>
        <v>#REF!</v>
      </c>
      <c r="AO27" s="27" t="e">
        <f>VLOOKUP(A27,#REF!,32,0)</f>
        <v>#REF!</v>
      </c>
      <c r="AP27" s="25" t="e">
        <f>VLOOKUP(A27,#REF!,35,0)</f>
        <v>#REF!</v>
      </c>
      <c r="AQ27" s="25" t="e">
        <f>VLOOKUP(A27,#REF!,36,0)</f>
        <v>#REF!</v>
      </c>
      <c r="AR27" s="25" t="e">
        <f>VLOOKUP(A27,#REF!,37,0)</f>
        <v>#REF!</v>
      </c>
      <c r="AS27" s="25" t="e">
        <f>VLOOKUP(A27,#REF!,38,0)</f>
        <v>#REF!</v>
      </c>
      <c r="AT27" s="25" t="e">
        <f>VLOOKUP(A27,#REF!,39,0)</f>
        <v>#REF!</v>
      </c>
      <c r="AU27" s="25"/>
      <c r="AV27" s="26" t="e">
        <f t="shared" si="1"/>
        <v>#REF!</v>
      </c>
      <c r="AW27" s="25" t="e">
        <f t="shared" si="2"/>
        <v>#REF!</v>
      </c>
      <c r="AX27" s="25"/>
      <c r="AY27" s="26" t="e">
        <f t="shared" si="3"/>
        <v>#REF!</v>
      </c>
      <c r="AZ27" s="25" t="e">
        <f t="shared" si="4"/>
        <v>#REF!</v>
      </c>
      <c r="BA27" s="25" t="e">
        <f t="shared" si="5"/>
        <v>#REF!</v>
      </c>
      <c r="BB27" s="25" t="e">
        <f t="shared" si="6"/>
        <v>#REF!</v>
      </c>
      <c r="BC27" s="25" t="e">
        <f t="shared" si="7"/>
        <v>#REF!</v>
      </c>
      <c r="BD27" s="25" t="e">
        <f>VLOOKUP(A27,#REF!,43,0)</f>
        <v>#REF!</v>
      </c>
      <c r="BE27" s="25" t="e">
        <f>VLOOKUP(A27,#REF!,44,0)</f>
        <v>#REF!</v>
      </c>
      <c r="BF27" s="25" t="e">
        <f>VLOOKUP(A27,#REF!,45,0)</f>
        <v>#REF!</v>
      </c>
      <c r="BG27" s="25" t="e">
        <f>VLOOKUP(A27,#REF!,42,0)</f>
        <v>#REF!</v>
      </c>
      <c r="BH27" s="25" t="e">
        <f t="shared" si="8"/>
        <v>#REF!</v>
      </c>
      <c r="BI27" s="25" t="e">
        <f t="shared" si="9"/>
        <v>#REF!</v>
      </c>
      <c r="BJ27" s="25" t="e">
        <f t="shared" si="10"/>
        <v>#REF!</v>
      </c>
    </row>
    <row r="28" spans="1:62" hidden="1" x14ac:dyDescent="0.25">
      <c r="A28" s="20" t="s">
        <v>103</v>
      </c>
      <c r="B28" s="19">
        <v>45689</v>
      </c>
      <c r="C28" s="20" t="s">
        <v>5</v>
      </c>
      <c r="D28" s="20" t="s">
        <v>564</v>
      </c>
      <c r="E28" s="20"/>
      <c r="F28" s="20" t="s">
        <v>95</v>
      </c>
      <c r="G28" s="20" t="s">
        <v>566</v>
      </c>
      <c r="H28" s="20" t="s">
        <v>97</v>
      </c>
      <c r="I28" s="21">
        <v>44153</v>
      </c>
      <c r="J28" s="22"/>
      <c r="K28" s="23" t="s">
        <v>419</v>
      </c>
      <c r="L28" s="24" t="s">
        <v>507</v>
      </c>
      <c r="M28" s="24" t="s">
        <v>508</v>
      </c>
      <c r="N28" s="25" t="e">
        <f>VLOOKUP(A28,#REF!,12,0)</f>
        <v>#REF!</v>
      </c>
      <c r="O28" s="25" t="e">
        <f>VLOOKUP(A28,#REF!,15,0)</f>
        <v>#REF!</v>
      </c>
      <c r="P28" s="25" t="e">
        <f>VLOOKUP(A28,#REF!,16,0)</f>
        <v>#REF!</v>
      </c>
      <c r="Q28" s="25" t="e">
        <f>VLOOKUP(A28,#REF!,17,0)</f>
        <v>#REF!</v>
      </c>
      <c r="R28" s="25" t="e">
        <f>VLOOKUP(A28,#REF!,18,0)</f>
        <v>#REF!</v>
      </c>
      <c r="S28" s="25" t="e">
        <f>VLOOKUP(A28,#REF!,19,0)</f>
        <v>#REF!</v>
      </c>
      <c r="T28" s="25" t="e">
        <f>VLOOKUP(A28,#REF!,20,0)</f>
        <v>#REF!</v>
      </c>
      <c r="U28" s="25" t="e">
        <f>VLOOKUP(A28,#REF!,21,0)</f>
        <v>#REF!</v>
      </c>
      <c r="V28" s="25" t="e">
        <f>VLOOKUP(A28,#REF!,22,0)</f>
        <v>#REF!</v>
      </c>
      <c r="W28" s="25" t="e">
        <f>VLOOKUP(A28,#REF!,23,0)</f>
        <v>#REF!</v>
      </c>
      <c r="X28" s="25" t="e">
        <f>VLOOKUP(A28,#REF!,24,0)</f>
        <v>#REF!</v>
      </c>
      <c r="Y28" s="25" t="e">
        <f>VLOOKUP(A28,#REF!,25,0)</f>
        <v>#REF!</v>
      </c>
      <c r="Z28" s="25" t="e">
        <f>VLOOKUP(A28,#REF!,26,0)</f>
        <v>#REF!</v>
      </c>
      <c r="AA28" s="25" t="e">
        <f>VLOOKUP(A28,#REF!,27,0)</f>
        <v>#REF!</v>
      </c>
      <c r="AB28" s="25" t="e">
        <f>VLOOKUP(A28,#REF!,28,0)</f>
        <v>#REF!</v>
      </c>
      <c r="AC28" s="25" t="e">
        <f>VLOOKUP(A28,#REF!,29,0)</f>
        <v>#REF!</v>
      </c>
      <c r="AD28" s="26" t="e">
        <f t="shared" si="0"/>
        <v>#REF!</v>
      </c>
      <c r="AE28" s="25" t="e">
        <f>VLOOKUP(A28,#REF!,31,0)</f>
        <v>#REF!</v>
      </c>
      <c r="AF28" s="25" t="e">
        <f>VLOOKUP(A28,#REF!,32,0)</f>
        <v>#REF!</v>
      </c>
      <c r="AG28" s="25"/>
      <c r="AH28" s="27"/>
      <c r="AI28" s="25" t="e">
        <f>VLOOKUP(A28,#REF!,30,0)</f>
        <v>#REF!</v>
      </c>
      <c r="AJ28" s="25" t="e">
        <f>VLOOKUP(A28,#REF!,31,0)</f>
        <v>#REF!</v>
      </c>
      <c r="AK28" s="25" t="e">
        <f>VLOOKUP(A28,#REF!,33,0)</f>
        <v>#REF!</v>
      </c>
      <c r="AL28" s="25" t="e">
        <f>VLOOKUP(A28,#REF!,36,0)</f>
        <v>#REF!</v>
      </c>
      <c r="AM28" s="25" t="e">
        <f>VLOOKUP(A28,#REF!,34,0)</f>
        <v>#REF!</v>
      </c>
      <c r="AN28" s="27" t="e">
        <f>VLOOKUP(A28,#REF!,35,0)</f>
        <v>#REF!</v>
      </c>
      <c r="AO28" s="27" t="e">
        <f>VLOOKUP(A28,#REF!,32,0)</f>
        <v>#REF!</v>
      </c>
      <c r="AP28" s="25" t="e">
        <f>VLOOKUP(A28,#REF!,35,0)</f>
        <v>#REF!</v>
      </c>
      <c r="AQ28" s="25" t="e">
        <f>VLOOKUP(A28,#REF!,36,0)</f>
        <v>#REF!</v>
      </c>
      <c r="AR28" s="25" t="e">
        <f>VLOOKUP(A28,#REF!,37,0)</f>
        <v>#REF!</v>
      </c>
      <c r="AS28" s="25" t="e">
        <f>VLOOKUP(A28,#REF!,38,0)</f>
        <v>#REF!</v>
      </c>
      <c r="AT28" s="25" t="e">
        <f>VLOOKUP(A28,#REF!,39,0)</f>
        <v>#REF!</v>
      </c>
      <c r="AU28" s="25"/>
      <c r="AV28" s="26" t="e">
        <f t="shared" si="1"/>
        <v>#REF!</v>
      </c>
      <c r="AW28" s="25" t="e">
        <f t="shared" si="2"/>
        <v>#REF!</v>
      </c>
      <c r="AX28" s="25"/>
      <c r="AY28" s="26" t="e">
        <f t="shared" si="3"/>
        <v>#REF!</v>
      </c>
      <c r="AZ28" s="25" t="e">
        <f t="shared" si="4"/>
        <v>#REF!</v>
      </c>
      <c r="BA28" s="25" t="e">
        <f t="shared" si="5"/>
        <v>#REF!</v>
      </c>
      <c r="BB28" s="25" t="e">
        <f t="shared" si="6"/>
        <v>#REF!</v>
      </c>
      <c r="BC28" s="25" t="e">
        <f t="shared" si="7"/>
        <v>#REF!</v>
      </c>
      <c r="BD28" s="25" t="e">
        <f>VLOOKUP(A28,#REF!,43,0)</f>
        <v>#REF!</v>
      </c>
      <c r="BE28" s="25" t="e">
        <f>VLOOKUP(A28,#REF!,44,0)</f>
        <v>#REF!</v>
      </c>
      <c r="BF28" s="25" t="e">
        <f>VLOOKUP(A28,#REF!,45,0)</f>
        <v>#REF!</v>
      </c>
      <c r="BG28" s="25" t="e">
        <f>VLOOKUP(A28,#REF!,42,0)</f>
        <v>#REF!</v>
      </c>
      <c r="BH28" s="25" t="e">
        <f t="shared" si="8"/>
        <v>#REF!</v>
      </c>
      <c r="BI28" s="25" t="e">
        <f t="shared" si="9"/>
        <v>#REF!</v>
      </c>
      <c r="BJ28" s="25" t="e">
        <f t="shared" si="10"/>
        <v>#REF!</v>
      </c>
    </row>
    <row r="29" spans="1:62" x14ac:dyDescent="0.25">
      <c r="A29" s="20" t="s">
        <v>296</v>
      </c>
      <c r="B29" s="19">
        <v>45689</v>
      </c>
      <c r="C29" s="20" t="s">
        <v>5</v>
      </c>
      <c r="D29" s="20" t="s">
        <v>582</v>
      </c>
      <c r="E29" s="20"/>
      <c r="F29" s="20" t="s">
        <v>292</v>
      </c>
      <c r="G29" s="20" t="s">
        <v>566</v>
      </c>
      <c r="H29" s="20" t="s">
        <v>88</v>
      </c>
      <c r="I29" s="21">
        <v>44166</v>
      </c>
      <c r="J29" s="22"/>
      <c r="K29" s="23" t="s">
        <v>419</v>
      </c>
      <c r="L29" s="24" t="s">
        <v>101</v>
      </c>
      <c r="M29" s="24" t="s">
        <v>563</v>
      </c>
      <c r="N29" s="25" t="e">
        <f>VLOOKUP(A29,#REF!,12,0)</f>
        <v>#REF!</v>
      </c>
      <c r="O29" s="25" t="e">
        <f>VLOOKUP(A29,#REF!,15,0)</f>
        <v>#REF!</v>
      </c>
      <c r="P29" s="25" t="e">
        <f>VLOOKUP(A29,#REF!,16,0)</f>
        <v>#REF!</v>
      </c>
      <c r="Q29" s="25" t="e">
        <f>VLOOKUP(A29,#REF!,17,0)</f>
        <v>#REF!</v>
      </c>
      <c r="R29" s="25" t="e">
        <f>VLOOKUP(A29,#REF!,18,0)</f>
        <v>#REF!</v>
      </c>
      <c r="S29" s="25" t="e">
        <f>VLOOKUP(A29,#REF!,19,0)</f>
        <v>#REF!</v>
      </c>
      <c r="T29" s="25" t="e">
        <f>VLOOKUP(A29,#REF!,20,0)</f>
        <v>#REF!</v>
      </c>
      <c r="U29" s="25" t="e">
        <f>VLOOKUP(A29,#REF!,21,0)</f>
        <v>#REF!</v>
      </c>
      <c r="V29" s="25" t="e">
        <f>VLOOKUP(A29,#REF!,22,0)</f>
        <v>#REF!</v>
      </c>
      <c r="W29" s="25" t="e">
        <f>VLOOKUP(A29,#REF!,23,0)</f>
        <v>#REF!</v>
      </c>
      <c r="X29" s="25" t="e">
        <f>VLOOKUP(A29,#REF!,24,0)</f>
        <v>#REF!</v>
      </c>
      <c r="Y29" s="25" t="e">
        <f>VLOOKUP(A29,#REF!,25,0)</f>
        <v>#REF!</v>
      </c>
      <c r="Z29" s="25" t="e">
        <f>VLOOKUP(A29,#REF!,26,0)</f>
        <v>#REF!</v>
      </c>
      <c r="AA29" s="25" t="e">
        <f>VLOOKUP(A29,#REF!,27,0)</f>
        <v>#REF!</v>
      </c>
      <c r="AB29" s="25" t="e">
        <f>VLOOKUP(A29,#REF!,28,0)</f>
        <v>#REF!</v>
      </c>
      <c r="AC29" s="25" t="e">
        <f>VLOOKUP(A29,#REF!,29,0)</f>
        <v>#REF!</v>
      </c>
      <c r="AD29" s="26" t="e">
        <f t="shared" si="0"/>
        <v>#REF!</v>
      </c>
      <c r="AE29" s="25" t="e">
        <f>VLOOKUP(A29,#REF!,31,0)</f>
        <v>#REF!</v>
      </c>
      <c r="AF29" s="25" t="e">
        <f>VLOOKUP(A29,#REF!,32,0)</f>
        <v>#REF!</v>
      </c>
      <c r="AG29" s="25"/>
      <c r="AH29" s="27"/>
      <c r="AI29" s="25" t="e">
        <f>VLOOKUP(A29,#REF!,30,0)</f>
        <v>#REF!</v>
      </c>
      <c r="AJ29" s="25" t="e">
        <f>VLOOKUP(A29,#REF!,31,0)</f>
        <v>#REF!</v>
      </c>
      <c r="AK29" s="25" t="e">
        <f>VLOOKUP(A29,#REF!,33,0)</f>
        <v>#REF!</v>
      </c>
      <c r="AL29" s="25" t="e">
        <f>VLOOKUP(A29,#REF!,36,0)</f>
        <v>#REF!</v>
      </c>
      <c r="AM29" s="25" t="e">
        <f>VLOOKUP(A29,#REF!,34,0)</f>
        <v>#REF!</v>
      </c>
      <c r="AN29" s="27" t="e">
        <f>VLOOKUP(A29,#REF!,35,0)</f>
        <v>#REF!</v>
      </c>
      <c r="AO29" s="27" t="e">
        <f>VLOOKUP(A29,#REF!,32,0)</f>
        <v>#REF!</v>
      </c>
      <c r="AP29" s="25" t="e">
        <f>VLOOKUP(A29,#REF!,35,0)</f>
        <v>#REF!</v>
      </c>
      <c r="AQ29" s="25" t="e">
        <f>VLOOKUP(A29,#REF!,36,0)</f>
        <v>#REF!</v>
      </c>
      <c r="AR29" s="25" t="e">
        <f>VLOOKUP(A29,#REF!,37,0)</f>
        <v>#REF!</v>
      </c>
      <c r="AS29" s="25" t="e">
        <f>VLOOKUP(A29,#REF!,38,0)</f>
        <v>#REF!</v>
      </c>
      <c r="AT29" s="25" t="e">
        <f>VLOOKUP(A29,#REF!,39,0)</f>
        <v>#REF!</v>
      </c>
      <c r="AU29" s="25"/>
      <c r="AV29" s="26" t="e">
        <f t="shared" si="1"/>
        <v>#REF!</v>
      </c>
      <c r="AW29" s="25" t="e">
        <f t="shared" si="2"/>
        <v>#REF!</v>
      </c>
      <c r="AX29" s="25">
        <v>711</v>
      </c>
      <c r="AY29" s="26" t="e">
        <f t="shared" si="3"/>
        <v>#REF!</v>
      </c>
      <c r="AZ29" s="25" t="e">
        <f t="shared" si="4"/>
        <v>#REF!</v>
      </c>
      <c r="BA29" s="25" t="e">
        <f t="shared" si="5"/>
        <v>#REF!</v>
      </c>
      <c r="BB29" s="25" t="e">
        <f t="shared" si="6"/>
        <v>#REF!</v>
      </c>
      <c r="BC29" s="25" t="e">
        <f t="shared" si="7"/>
        <v>#REF!</v>
      </c>
      <c r="BD29" s="25" t="e">
        <f>VLOOKUP(A29,#REF!,43,0)</f>
        <v>#REF!</v>
      </c>
      <c r="BE29" s="25" t="e">
        <f>VLOOKUP(A29,#REF!,44,0)</f>
        <v>#REF!</v>
      </c>
      <c r="BF29" s="25" t="e">
        <f>VLOOKUP(A29,#REF!,45,0)</f>
        <v>#REF!</v>
      </c>
      <c r="BG29" s="25" t="e">
        <f>VLOOKUP(A29,#REF!,42,0)</f>
        <v>#REF!</v>
      </c>
      <c r="BH29" s="25" t="e">
        <f t="shared" si="8"/>
        <v>#REF!</v>
      </c>
      <c r="BI29" s="25" t="e">
        <f t="shared" si="9"/>
        <v>#REF!</v>
      </c>
      <c r="BJ29" s="25" t="e">
        <f t="shared" si="10"/>
        <v>#REF!</v>
      </c>
    </row>
    <row r="30" spans="1:62" hidden="1" x14ac:dyDescent="0.25">
      <c r="A30" s="20" t="s">
        <v>161</v>
      </c>
      <c r="B30" s="19">
        <v>45689</v>
      </c>
      <c r="C30" s="20" t="s">
        <v>5</v>
      </c>
      <c r="D30" s="20" t="s">
        <v>564</v>
      </c>
      <c r="E30" s="20"/>
      <c r="F30" s="20" t="s">
        <v>95</v>
      </c>
      <c r="G30" s="20" t="s">
        <v>561</v>
      </c>
      <c r="H30" s="20" t="s">
        <v>565</v>
      </c>
      <c r="I30" s="21">
        <v>44167</v>
      </c>
      <c r="J30" s="22"/>
      <c r="K30" s="23" t="s">
        <v>419</v>
      </c>
      <c r="L30" s="24" t="s">
        <v>517</v>
      </c>
      <c r="M30" s="24" t="s">
        <v>92</v>
      </c>
      <c r="N30" s="25" t="e">
        <f>VLOOKUP(A30,#REF!,12,0)</f>
        <v>#REF!</v>
      </c>
      <c r="O30" s="25" t="e">
        <f>VLOOKUP(A30,#REF!,15,0)</f>
        <v>#REF!</v>
      </c>
      <c r="P30" s="25" t="e">
        <f>VLOOKUP(A30,#REF!,16,0)</f>
        <v>#REF!</v>
      </c>
      <c r="Q30" s="25" t="e">
        <f>VLOOKUP(A30,#REF!,17,0)</f>
        <v>#REF!</v>
      </c>
      <c r="R30" s="25" t="e">
        <f>VLOOKUP(A30,#REF!,18,0)</f>
        <v>#REF!</v>
      </c>
      <c r="S30" s="25" t="e">
        <f>VLOOKUP(A30,#REF!,19,0)</f>
        <v>#REF!</v>
      </c>
      <c r="T30" s="25" t="e">
        <f>VLOOKUP(A30,#REF!,20,0)</f>
        <v>#REF!</v>
      </c>
      <c r="U30" s="25" t="e">
        <f>VLOOKUP(A30,#REF!,21,0)</f>
        <v>#REF!</v>
      </c>
      <c r="V30" s="25" t="e">
        <f>VLOOKUP(A30,#REF!,22,0)</f>
        <v>#REF!</v>
      </c>
      <c r="W30" s="25" t="e">
        <f>VLOOKUP(A30,#REF!,23,0)</f>
        <v>#REF!</v>
      </c>
      <c r="X30" s="25" t="e">
        <f>VLOOKUP(A30,#REF!,24,0)</f>
        <v>#REF!</v>
      </c>
      <c r="Y30" s="25" t="e">
        <f>VLOOKUP(A30,#REF!,25,0)</f>
        <v>#REF!</v>
      </c>
      <c r="Z30" s="25" t="e">
        <f>VLOOKUP(A30,#REF!,26,0)</f>
        <v>#REF!</v>
      </c>
      <c r="AA30" s="25" t="e">
        <f>VLOOKUP(A30,#REF!,27,0)</f>
        <v>#REF!</v>
      </c>
      <c r="AB30" s="25" t="e">
        <f>VLOOKUP(A30,#REF!,28,0)</f>
        <v>#REF!</v>
      </c>
      <c r="AC30" s="25" t="e">
        <f>VLOOKUP(A30,#REF!,29,0)</f>
        <v>#REF!</v>
      </c>
      <c r="AD30" s="26" t="e">
        <f t="shared" si="0"/>
        <v>#REF!</v>
      </c>
      <c r="AE30" s="25" t="e">
        <f>VLOOKUP(A30,#REF!,31,0)</f>
        <v>#REF!</v>
      </c>
      <c r="AF30" s="25" t="e">
        <f>VLOOKUP(A30,#REF!,32,0)</f>
        <v>#REF!</v>
      </c>
      <c r="AG30" s="25"/>
      <c r="AH30" s="27"/>
      <c r="AI30" s="25" t="e">
        <f>VLOOKUP(A30,#REF!,30,0)</f>
        <v>#REF!</v>
      </c>
      <c r="AJ30" s="25" t="e">
        <f>VLOOKUP(A30,#REF!,31,0)</f>
        <v>#REF!</v>
      </c>
      <c r="AK30" s="25" t="e">
        <f>VLOOKUP(A30,#REF!,33,0)</f>
        <v>#REF!</v>
      </c>
      <c r="AL30" s="25" t="e">
        <f>VLOOKUP(A30,#REF!,36,0)</f>
        <v>#REF!</v>
      </c>
      <c r="AM30" s="25" t="e">
        <f>VLOOKUP(A30,#REF!,34,0)</f>
        <v>#REF!</v>
      </c>
      <c r="AN30" s="27" t="e">
        <f>VLOOKUP(A30,#REF!,35,0)</f>
        <v>#REF!</v>
      </c>
      <c r="AO30" s="27" t="e">
        <f>VLOOKUP(A30,#REF!,32,0)</f>
        <v>#REF!</v>
      </c>
      <c r="AP30" s="25" t="e">
        <f>VLOOKUP(A30,#REF!,35,0)</f>
        <v>#REF!</v>
      </c>
      <c r="AQ30" s="25" t="e">
        <f>VLOOKUP(A30,#REF!,36,0)</f>
        <v>#REF!</v>
      </c>
      <c r="AR30" s="25" t="e">
        <f>VLOOKUP(A30,#REF!,37,0)</f>
        <v>#REF!</v>
      </c>
      <c r="AS30" s="25" t="e">
        <f>VLOOKUP(A30,#REF!,38,0)</f>
        <v>#REF!</v>
      </c>
      <c r="AT30" s="25" t="e">
        <f>VLOOKUP(A30,#REF!,39,0)</f>
        <v>#REF!</v>
      </c>
      <c r="AU30" s="25"/>
      <c r="AV30" s="26" t="e">
        <f t="shared" si="1"/>
        <v>#REF!</v>
      </c>
      <c r="AW30" s="25" t="e">
        <f t="shared" si="2"/>
        <v>#REF!</v>
      </c>
      <c r="AX30" s="25"/>
      <c r="AY30" s="26" t="e">
        <f t="shared" si="3"/>
        <v>#REF!</v>
      </c>
      <c r="AZ30" s="25" t="e">
        <f t="shared" si="4"/>
        <v>#REF!</v>
      </c>
      <c r="BA30" s="25" t="e">
        <f t="shared" si="5"/>
        <v>#REF!</v>
      </c>
      <c r="BB30" s="25" t="e">
        <f t="shared" si="6"/>
        <v>#REF!</v>
      </c>
      <c r="BC30" s="25" t="e">
        <f t="shared" si="7"/>
        <v>#REF!</v>
      </c>
      <c r="BD30" s="25" t="e">
        <f>VLOOKUP(A30,#REF!,43,0)</f>
        <v>#REF!</v>
      </c>
      <c r="BE30" s="25" t="e">
        <f>VLOOKUP(A30,#REF!,44,0)</f>
        <v>#REF!</v>
      </c>
      <c r="BF30" s="25" t="e">
        <f>VLOOKUP(A30,#REF!,45,0)</f>
        <v>#REF!</v>
      </c>
      <c r="BG30" s="25" t="e">
        <f>VLOOKUP(A30,#REF!,42,0)</f>
        <v>#REF!</v>
      </c>
      <c r="BH30" s="25" t="e">
        <f t="shared" si="8"/>
        <v>#REF!</v>
      </c>
      <c r="BI30" s="25" t="e">
        <f t="shared" si="9"/>
        <v>#REF!</v>
      </c>
      <c r="BJ30" s="25" t="e">
        <f t="shared" si="10"/>
        <v>#REF!</v>
      </c>
    </row>
    <row r="31" spans="1:62" hidden="1" x14ac:dyDescent="0.25">
      <c r="A31" s="20" t="s">
        <v>301</v>
      </c>
      <c r="B31" s="19">
        <v>45689</v>
      </c>
      <c r="C31" s="20" t="s">
        <v>5</v>
      </c>
      <c r="D31" s="20" t="s">
        <v>582</v>
      </c>
      <c r="E31" s="20"/>
      <c r="F31" s="20" t="s">
        <v>292</v>
      </c>
      <c r="G31" s="20" t="s">
        <v>566</v>
      </c>
      <c r="H31" s="20" t="s">
        <v>88</v>
      </c>
      <c r="I31" s="21">
        <v>44228</v>
      </c>
      <c r="J31" s="22"/>
      <c r="K31" s="23" t="s">
        <v>419</v>
      </c>
      <c r="L31" s="24" t="s">
        <v>101</v>
      </c>
      <c r="M31" s="24" t="s">
        <v>302</v>
      </c>
      <c r="N31" s="25" t="e">
        <f>VLOOKUP(A31,#REF!,12,0)</f>
        <v>#REF!</v>
      </c>
      <c r="O31" s="25" t="e">
        <f>VLOOKUP(A31,#REF!,15,0)</f>
        <v>#REF!</v>
      </c>
      <c r="P31" s="25" t="e">
        <f>VLOOKUP(A31,#REF!,16,0)</f>
        <v>#REF!</v>
      </c>
      <c r="Q31" s="25" t="e">
        <f>VLOOKUP(A31,#REF!,17,0)</f>
        <v>#REF!</v>
      </c>
      <c r="R31" s="25" t="e">
        <f>VLOOKUP(A31,#REF!,18,0)</f>
        <v>#REF!</v>
      </c>
      <c r="S31" s="25" t="e">
        <f>VLOOKUP(A31,#REF!,19,0)</f>
        <v>#REF!</v>
      </c>
      <c r="T31" s="25" t="e">
        <f>VLOOKUP(A31,#REF!,20,0)</f>
        <v>#REF!</v>
      </c>
      <c r="U31" s="25" t="e">
        <f>VLOOKUP(A31,#REF!,21,0)</f>
        <v>#REF!</v>
      </c>
      <c r="V31" s="25" t="e">
        <f>VLOOKUP(A31,#REF!,22,0)</f>
        <v>#REF!</v>
      </c>
      <c r="W31" s="25" t="e">
        <f>VLOOKUP(A31,#REF!,23,0)</f>
        <v>#REF!</v>
      </c>
      <c r="X31" s="25" t="e">
        <f>VLOOKUP(A31,#REF!,24,0)</f>
        <v>#REF!</v>
      </c>
      <c r="Y31" s="25" t="e">
        <f>VLOOKUP(A31,#REF!,25,0)</f>
        <v>#REF!</v>
      </c>
      <c r="Z31" s="25" t="e">
        <f>VLOOKUP(A31,#REF!,26,0)</f>
        <v>#REF!</v>
      </c>
      <c r="AA31" s="25" t="e">
        <f>VLOOKUP(A31,#REF!,27,0)</f>
        <v>#REF!</v>
      </c>
      <c r="AB31" s="25" t="e">
        <f>VLOOKUP(A31,#REF!,28,0)</f>
        <v>#REF!</v>
      </c>
      <c r="AC31" s="25" t="e">
        <f>VLOOKUP(A31,#REF!,29,0)</f>
        <v>#REF!</v>
      </c>
      <c r="AD31" s="26" t="e">
        <f t="shared" si="0"/>
        <v>#REF!</v>
      </c>
      <c r="AE31" s="25" t="e">
        <f>VLOOKUP(A31,#REF!,31,0)</f>
        <v>#REF!</v>
      </c>
      <c r="AF31" s="25" t="e">
        <f>VLOOKUP(A31,#REF!,32,0)</f>
        <v>#REF!</v>
      </c>
      <c r="AG31" s="25"/>
      <c r="AH31" s="27"/>
      <c r="AI31" s="25" t="e">
        <f>VLOOKUP(A31,#REF!,30,0)</f>
        <v>#REF!</v>
      </c>
      <c r="AJ31" s="25" t="e">
        <f>VLOOKUP(A31,#REF!,31,0)</f>
        <v>#REF!</v>
      </c>
      <c r="AK31" s="25" t="e">
        <f>VLOOKUP(A31,#REF!,33,0)</f>
        <v>#REF!</v>
      </c>
      <c r="AL31" s="25" t="e">
        <f>VLOOKUP(A31,#REF!,36,0)</f>
        <v>#REF!</v>
      </c>
      <c r="AM31" s="25" t="e">
        <f>VLOOKUP(A31,#REF!,34,0)</f>
        <v>#REF!</v>
      </c>
      <c r="AN31" s="27" t="e">
        <f>VLOOKUP(A31,#REF!,35,0)</f>
        <v>#REF!</v>
      </c>
      <c r="AO31" s="27" t="e">
        <f>VLOOKUP(A31,#REF!,32,0)</f>
        <v>#REF!</v>
      </c>
      <c r="AP31" s="25" t="e">
        <f>VLOOKUP(A31,#REF!,35,0)</f>
        <v>#REF!</v>
      </c>
      <c r="AQ31" s="25" t="e">
        <f>VLOOKUP(A31,#REF!,36,0)</f>
        <v>#REF!</v>
      </c>
      <c r="AR31" s="25" t="e">
        <f>VLOOKUP(A31,#REF!,37,0)</f>
        <v>#REF!</v>
      </c>
      <c r="AS31" s="25" t="e">
        <f>VLOOKUP(A31,#REF!,38,0)</f>
        <v>#REF!</v>
      </c>
      <c r="AT31" s="25" t="e">
        <f>VLOOKUP(A31,#REF!,39,0)</f>
        <v>#REF!</v>
      </c>
      <c r="AU31" s="25"/>
      <c r="AV31" s="26" t="e">
        <f t="shared" si="1"/>
        <v>#REF!</v>
      </c>
      <c r="AW31" s="25" t="e">
        <f t="shared" si="2"/>
        <v>#REF!</v>
      </c>
      <c r="AX31" s="25"/>
      <c r="AY31" s="26" t="e">
        <f t="shared" si="3"/>
        <v>#REF!</v>
      </c>
      <c r="AZ31" s="25" t="e">
        <f t="shared" si="4"/>
        <v>#REF!</v>
      </c>
      <c r="BA31" s="25" t="e">
        <f t="shared" si="5"/>
        <v>#REF!</v>
      </c>
      <c r="BB31" s="25" t="e">
        <f t="shared" si="6"/>
        <v>#REF!</v>
      </c>
      <c r="BC31" s="25" t="e">
        <f t="shared" si="7"/>
        <v>#REF!</v>
      </c>
      <c r="BD31" s="25" t="e">
        <f>VLOOKUP(A31,#REF!,43,0)</f>
        <v>#REF!</v>
      </c>
      <c r="BE31" s="25" t="e">
        <f>VLOOKUP(A31,#REF!,44,0)</f>
        <v>#REF!</v>
      </c>
      <c r="BF31" s="25" t="e">
        <f>VLOOKUP(A31,#REF!,45,0)</f>
        <v>#REF!</v>
      </c>
      <c r="BG31" s="25" t="e">
        <f>VLOOKUP(A31,#REF!,42,0)</f>
        <v>#REF!</v>
      </c>
      <c r="BH31" s="25" t="e">
        <f t="shared" si="8"/>
        <v>#REF!</v>
      </c>
      <c r="BI31" s="25" t="e">
        <f t="shared" si="9"/>
        <v>#REF!</v>
      </c>
      <c r="BJ31" s="25" t="e">
        <f t="shared" si="10"/>
        <v>#REF!</v>
      </c>
    </row>
    <row r="32" spans="1:62" hidden="1" x14ac:dyDescent="0.25">
      <c r="A32" s="20" t="s">
        <v>166</v>
      </c>
      <c r="B32" s="19">
        <v>45689</v>
      </c>
      <c r="C32" s="20" t="s">
        <v>5</v>
      </c>
      <c r="D32" s="20" t="s">
        <v>564</v>
      </c>
      <c r="E32" s="20"/>
      <c r="F32" s="20" t="s">
        <v>95</v>
      </c>
      <c r="G32" s="20" t="s">
        <v>444</v>
      </c>
      <c r="H32" s="20" t="s">
        <v>568</v>
      </c>
      <c r="I32" s="21">
        <v>44238</v>
      </c>
      <c r="J32" s="22"/>
      <c r="K32" s="23" t="s">
        <v>419</v>
      </c>
      <c r="L32" s="24" t="s">
        <v>514</v>
      </c>
      <c r="M32" s="24" t="s">
        <v>508</v>
      </c>
      <c r="N32" s="25" t="e">
        <f>VLOOKUP(A32,#REF!,12,0)</f>
        <v>#REF!</v>
      </c>
      <c r="O32" s="25" t="e">
        <f>VLOOKUP(A32,#REF!,15,0)</f>
        <v>#REF!</v>
      </c>
      <c r="P32" s="25" t="e">
        <f>VLOOKUP(A32,#REF!,16,0)</f>
        <v>#REF!</v>
      </c>
      <c r="Q32" s="25" t="e">
        <f>VLOOKUP(A32,#REF!,17,0)</f>
        <v>#REF!</v>
      </c>
      <c r="R32" s="25" t="e">
        <f>VLOOKUP(A32,#REF!,18,0)</f>
        <v>#REF!</v>
      </c>
      <c r="S32" s="25" t="e">
        <f>VLOOKUP(A32,#REF!,19,0)</f>
        <v>#REF!</v>
      </c>
      <c r="T32" s="25" t="e">
        <f>VLOOKUP(A32,#REF!,20,0)</f>
        <v>#REF!</v>
      </c>
      <c r="U32" s="25" t="e">
        <f>VLOOKUP(A32,#REF!,21,0)</f>
        <v>#REF!</v>
      </c>
      <c r="V32" s="25" t="e">
        <f>VLOOKUP(A32,#REF!,22,0)</f>
        <v>#REF!</v>
      </c>
      <c r="W32" s="25" t="e">
        <f>VLOOKUP(A32,#REF!,23,0)</f>
        <v>#REF!</v>
      </c>
      <c r="X32" s="25" t="e">
        <f>VLOOKUP(A32,#REF!,24,0)</f>
        <v>#REF!</v>
      </c>
      <c r="Y32" s="25" t="e">
        <f>VLOOKUP(A32,#REF!,25,0)</f>
        <v>#REF!</v>
      </c>
      <c r="Z32" s="25" t="e">
        <f>VLOOKUP(A32,#REF!,26,0)</f>
        <v>#REF!</v>
      </c>
      <c r="AA32" s="25" t="e">
        <f>VLOOKUP(A32,#REF!,27,0)</f>
        <v>#REF!</v>
      </c>
      <c r="AB32" s="25" t="e">
        <f>VLOOKUP(A32,#REF!,28,0)</f>
        <v>#REF!</v>
      </c>
      <c r="AC32" s="25" t="e">
        <f>VLOOKUP(A32,#REF!,29,0)</f>
        <v>#REF!</v>
      </c>
      <c r="AD32" s="26" t="e">
        <f t="shared" si="0"/>
        <v>#REF!</v>
      </c>
      <c r="AE32" s="25" t="e">
        <f>VLOOKUP(A32,#REF!,31,0)</f>
        <v>#REF!</v>
      </c>
      <c r="AF32" s="25" t="e">
        <f>VLOOKUP(A32,#REF!,32,0)</f>
        <v>#REF!</v>
      </c>
      <c r="AG32" s="25"/>
      <c r="AH32" s="27"/>
      <c r="AI32" s="25" t="e">
        <f>VLOOKUP(A32,#REF!,30,0)</f>
        <v>#REF!</v>
      </c>
      <c r="AJ32" s="25" t="e">
        <f>VLOOKUP(A32,#REF!,31,0)</f>
        <v>#REF!</v>
      </c>
      <c r="AK32" s="25" t="e">
        <f>VLOOKUP(A32,#REF!,33,0)</f>
        <v>#REF!</v>
      </c>
      <c r="AL32" s="25" t="e">
        <f>VLOOKUP(A32,#REF!,36,0)</f>
        <v>#REF!</v>
      </c>
      <c r="AM32" s="25" t="e">
        <f>VLOOKUP(A32,#REF!,34,0)</f>
        <v>#REF!</v>
      </c>
      <c r="AN32" s="27" t="e">
        <f>VLOOKUP(A32,#REF!,35,0)</f>
        <v>#REF!</v>
      </c>
      <c r="AO32" s="27" t="e">
        <f>VLOOKUP(A32,#REF!,32,0)</f>
        <v>#REF!</v>
      </c>
      <c r="AP32" s="25" t="e">
        <f>VLOOKUP(A32,#REF!,35,0)</f>
        <v>#REF!</v>
      </c>
      <c r="AQ32" s="25" t="e">
        <f>VLOOKUP(A32,#REF!,36,0)</f>
        <v>#REF!</v>
      </c>
      <c r="AR32" s="25" t="e">
        <f>VLOOKUP(A32,#REF!,37,0)</f>
        <v>#REF!</v>
      </c>
      <c r="AS32" s="25" t="e">
        <f>VLOOKUP(A32,#REF!,38,0)</f>
        <v>#REF!</v>
      </c>
      <c r="AT32" s="25" t="e">
        <f>VLOOKUP(A32,#REF!,39,0)</f>
        <v>#REF!</v>
      </c>
      <c r="AU32" s="25"/>
      <c r="AV32" s="26" t="e">
        <f t="shared" si="1"/>
        <v>#REF!</v>
      </c>
      <c r="AW32" s="25" t="e">
        <f t="shared" si="2"/>
        <v>#REF!</v>
      </c>
      <c r="AX32" s="25"/>
      <c r="AY32" s="26" t="e">
        <f t="shared" si="3"/>
        <v>#REF!</v>
      </c>
      <c r="AZ32" s="25" t="e">
        <f t="shared" si="4"/>
        <v>#REF!</v>
      </c>
      <c r="BA32" s="25" t="e">
        <f t="shared" si="5"/>
        <v>#REF!</v>
      </c>
      <c r="BB32" s="25" t="e">
        <f t="shared" si="6"/>
        <v>#REF!</v>
      </c>
      <c r="BC32" s="25" t="e">
        <f t="shared" si="7"/>
        <v>#REF!</v>
      </c>
      <c r="BD32" s="25" t="e">
        <f>VLOOKUP(A32,#REF!,43,0)</f>
        <v>#REF!</v>
      </c>
      <c r="BE32" s="25" t="e">
        <f>VLOOKUP(A32,#REF!,44,0)</f>
        <v>#REF!</v>
      </c>
      <c r="BF32" s="25" t="e">
        <f>VLOOKUP(A32,#REF!,45,0)</f>
        <v>#REF!</v>
      </c>
      <c r="BG32" s="25" t="e">
        <f>VLOOKUP(A32,#REF!,42,0)</f>
        <v>#REF!</v>
      </c>
      <c r="BH32" s="25" t="e">
        <f t="shared" si="8"/>
        <v>#REF!</v>
      </c>
      <c r="BI32" s="25" t="e">
        <f t="shared" si="9"/>
        <v>#REF!</v>
      </c>
      <c r="BJ32" s="25" t="e">
        <f t="shared" si="10"/>
        <v>#REF!</v>
      </c>
    </row>
    <row r="33" spans="1:62" hidden="1" x14ac:dyDescent="0.25">
      <c r="A33" s="20" t="s">
        <v>321</v>
      </c>
      <c r="B33" s="19">
        <v>45689</v>
      </c>
      <c r="C33" s="20" t="s">
        <v>5</v>
      </c>
      <c r="D33" s="20" t="s">
        <v>588</v>
      </c>
      <c r="E33" s="20"/>
      <c r="F33" s="20" t="s">
        <v>312</v>
      </c>
      <c r="G33" s="20" t="s">
        <v>313</v>
      </c>
      <c r="H33" s="20" t="s">
        <v>218</v>
      </c>
      <c r="I33" s="21">
        <v>44267</v>
      </c>
      <c r="J33" s="22"/>
      <c r="K33" s="23" t="s">
        <v>422</v>
      </c>
      <c r="L33" s="24" t="s">
        <v>322</v>
      </c>
      <c r="M33" s="24" t="s">
        <v>342</v>
      </c>
      <c r="N33" s="25" t="e">
        <f>VLOOKUP(A33,#REF!,12,0)</f>
        <v>#REF!</v>
      </c>
      <c r="O33" s="25" t="e">
        <f>VLOOKUP(A33,#REF!,15,0)</f>
        <v>#REF!</v>
      </c>
      <c r="P33" s="25" t="e">
        <f>VLOOKUP(A33,#REF!,16,0)</f>
        <v>#REF!</v>
      </c>
      <c r="Q33" s="25" t="e">
        <f>VLOOKUP(A33,#REF!,17,0)</f>
        <v>#REF!</v>
      </c>
      <c r="R33" s="25" t="e">
        <f>VLOOKUP(A33,#REF!,18,0)</f>
        <v>#REF!</v>
      </c>
      <c r="S33" s="25" t="e">
        <f>VLOOKUP(A33,#REF!,19,0)</f>
        <v>#REF!</v>
      </c>
      <c r="T33" s="25" t="e">
        <f>VLOOKUP(A33,#REF!,20,0)</f>
        <v>#REF!</v>
      </c>
      <c r="U33" s="25" t="e">
        <f>VLOOKUP(A33,#REF!,21,0)</f>
        <v>#REF!</v>
      </c>
      <c r="V33" s="25" t="e">
        <f>VLOOKUP(A33,#REF!,22,0)</f>
        <v>#REF!</v>
      </c>
      <c r="W33" s="25" t="e">
        <f>VLOOKUP(A33,#REF!,23,0)</f>
        <v>#REF!</v>
      </c>
      <c r="X33" s="25" t="e">
        <f>VLOOKUP(A33,#REF!,24,0)</f>
        <v>#REF!</v>
      </c>
      <c r="Y33" s="25" t="e">
        <f>VLOOKUP(A33,#REF!,25,0)</f>
        <v>#REF!</v>
      </c>
      <c r="Z33" s="25" t="e">
        <f>VLOOKUP(A33,#REF!,26,0)</f>
        <v>#REF!</v>
      </c>
      <c r="AA33" s="25" t="e">
        <f>VLOOKUP(A33,#REF!,27,0)</f>
        <v>#REF!</v>
      </c>
      <c r="AB33" s="25" t="e">
        <f>VLOOKUP(A33,#REF!,28,0)</f>
        <v>#REF!</v>
      </c>
      <c r="AC33" s="25" t="e">
        <f>VLOOKUP(A33,#REF!,29,0)</f>
        <v>#REF!</v>
      </c>
      <c r="AD33" s="26" t="e">
        <f t="shared" si="0"/>
        <v>#REF!</v>
      </c>
      <c r="AE33" s="25" t="e">
        <f>VLOOKUP(A33,#REF!,31,0)</f>
        <v>#REF!</v>
      </c>
      <c r="AF33" s="25" t="e">
        <f>VLOOKUP(A33,#REF!,32,0)</f>
        <v>#REF!</v>
      </c>
      <c r="AG33" s="25"/>
      <c r="AH33" s="27"/>
      <c r="AI33" s="25" t="e">
        <f>VLOOKUP(A33,#REF!,30,0)</f>
        <v>#REF!</v>
      </c>
      <c r="AJ33" s="25" t="e">
        <f>VLOOKUP(A33,#REF!,31,0)</f>
        <v>#REF!</v>
      </c>
      <c r="AK33" s="25" t="e">
        <f>VLOOKUP(A33,#REF!,33,0)</f>
        <v>#REF!</v>
      </c>
      <c r="AL33" s="25" t="e">
        <f>VLOOKUP(A33,#REF!,36,0)</f>
        <v>#REF!</v>
      </c>
      <c r="AM33" s="25" t="e">
        <f>VLOOKUP(A33,#REF!,34,0)</f>
        <v>#REF!</v>
      </c>
      <c r="AN33" s="27" t="e">
        <f>VLOOKUP(A33,#REF!,35,0)</f>
        <v>#REF!</v>
      </c>
      <c r="AO33" s="27" t="e">
        <f>VLOOKUP(A33,#REF!,32,0)</f>
        <v>#REF!</v>
      </c>
      <c r="AP33" s="25" t="e">
        <f>VLOOKUP(A33,#REF!,35,0)</f>
        <v>#REF!</v>
      </c>
      <c r="AQ33" s="25" t="e">
        <f>VLOOKUP(A33,#REF!,36,0)</f>
        <v>#REF!</v>
      </c>
      <c r="AR33" s="25" t="e">
        <f>VLOOKUP(A33,#REF!,37,0)</f>
        <v>#REF!</v>
      </c>
      <c r="AS33" s="25" t="e">
        <f>VLOOKUP(A33,#REF!,38,0)</f>
        <v>#REF!</v>
      </c>
      <c r="AT33" s="25" t="e">
        <f>VLOOKUP(A33,#REF!,39,0)</f>
        <v>#REF!</v>
      </c>
      <c r="AU33" s="25"/>
      <c r="AV33" s="26" t="e">
        <f t="shared" si="1"/>
        <v>#REF!</v>
      </c>
      <c r="AW33" s="25" t="e">
        <f t="shared" si="2"/>
        <v>#REF!</v>
      </c>
      <c r="AX33" s="25"/>
      <c r="AY33" s="26" t="e">
        <f t="shared" si="3"/>
        <v>#REF!</v>
      </c>
      <c r="AZ33" s="25" t="e">
        <f t="shared" si="4"/>
        <v>#REF!</v>
      </c>
      <c r="BA33" s="25" t="e">
        <f t="shared" si="5"/>
        <v>#REF!</v>
      </c>
      <c r="BB33" s="25" t="e">
        <f t="shared" si="6"/>
        <v>#REF!</v>
      </c>
      <c r="BC33" s="25" t="e">
        <f t="shared" si="7"/>
        <v>#REF!</v>
      </c>
      <c r="BD33" s="25" t="e">
        <f>VLOOKUP(A33,#REF!,43,0)</f>
        <v>#REF!</v>
      </c>
      <c r="BE33" s="25" t="e">
        <f>VLOOKUP(A33,#REF!,44,0)</f>
        <v>#REF!</v>
      </c>
      <c r="BF33" s="25" t="e">
        <f>VLOOKUP(A33,#REF!,45,0)</f>
        <v>#REF!</v>
      </c>
      <c r="BG33" s="25" t="e">
        <f>VLOOKUP(A33,#REF!,42,0)</f>
        <v>#REF!</v>
      </c>
      <c r="BH33" s="25" t="e">
        <f t="shared" si="8"/>
        <v>#REF!</v>
      </c>
      <c r="BI33" s="25" t="e">
        <f t="shared" si="9"/>
        <v>#REF!</v>
      </c>
      <c r="BJ33" s="25" t="e">
        <f t="shared" si="10"/>
        <v>#REF!</v>
      </c>
    </row>
    <row r="34" spans="1:62" hidden="1" x14ac:dyDescent="0.25">
      <c r="A34" s="20" t="s">
        <v>221</v>
      </c>
      <c r="B34" s="19">
        <v>45689</v>
      </c>
      <c r="C34" s="20" t="s">
        <v>5</v>
      </c>
      <c r="D34" s="20" t="s">
        <v>582</v>
      </c>
      <c r="E34" s="20"/>
      <c r="F34" s="20" t="s">
        <v>292</v>
      </c>
      <c r="G34" s="20" t="s">
        <v>203</v>
      </c>
      <c r="H34" s="20" t="s">
        <v>222</v>
      </c>
      <c r="I34" s="21">
        <v>44271</v>
      </c>
      <c r="J34" s="22"/>
      <c r="K34" s="23" t="s">
        <v>422</v>
      </c>
      <c r="L34" s="24" t="s">
        <v>204</v>
      </c>
      <c r="M34" s="24" t="s">
        <v>584</v>
      </c>
      <c r="N34" s="25" t="e">
        <f>VLOOKUP(A34,#REF!,12,0)</f>
        <v>#REF!</v>
      </c>
      <c r="O34" s="25" t="e">
        <f>VLOOKUP(A34,#REF!,15,0)</f>
        <v>#REF!</v>
      </c>
      <c r="P34" s="25" t="e">
        <f>VLOOKUP(A34,#REF!,16,0)</f>
        <v>#REF!</v>
      </c>
      <c r="Q34" s="25" t="e">
        <f>VLOOKUP(A34,#REF!,17,0)</f>
        <v>#REF!</v>
      </c>
      <c r="R34" s="25" t="e">
        <f>VLOOKUP(A34,#REF!,18,0)</f>
        <v>#REF!</v>
      </c>
      <c r="S34" s="25" t="e">
        <f>VLOOKUP(A34,#REF!,19,0)</f>
        <v>#REF!</v>
      </c>
      <c r="T34" s="25" t="e">
        <f>VLOOKUP(A34,#REF!,20,0)</f>
        <v>#REF!</v>
      </c>
      <c r="U34" s="25" t="e">
        <f>VLOOKUP(A34,#REF!,21,0)</f>
        <v>#REF!</v>
      </c>
      <c r="V34" s="25" t="e">
        <f>VLOOKUP(A34,#REF!,22,0)</f>
        <v>#REF!</v>
      </c>
      <c r="W34" s="25" t="e">
        <f>VLOOKUP(A34,#REF!,23,0)</f>
        <v>#REF!</v>
      </c>
      <c r="X34" s="25" t="e">
        <f>VLOOKUP(A34,#REF!,24,0)</f>
        <v>#REF!</v>
      </c>
      <c r="Y34" s="25" t="e">
        <f>VLOOKUP(A34,#REF!,25,0)</f>
        <v>#REF!</v>
      </c>
      <c r="Z34" s="25" t="e">
        <f>VLOOKUP(A34,#REF!,26,0)</f>
        <v>#REF!</v>
      </c>
      <c r="AA34" s="25" t="e">
        <f>VLOOKUP(A34,#REF!,27,0)</f>
        <v>#REF!</v>
      </c>
      <c r="AB34" s="25" t="e">
        <f>VLOOKUP(A34,#REF!,28,0)</f>
        <v>#REF!</v>
      </c>
      <c r="AC34" s="25" t="e">
        <f>VLOOKUP(A34,#REF!,29,0)</f>
        <v>#REF!</v>
      </c>
      <c r="AD34" s="26" t="e">
        <f t="shared" si="0"/>
        <v>#REF!</v>
      </c>
      <c r="AE34" s="25" t="e">
        <f>VLOOKUP(A34,#REF!,31,0)</f>
        <v>#REF!</v>
      </c>
      <c r="AF34" s="25" t="e">
        <f>VLOOKUP(A34,#REF!,32,0)</f>
        <v>#REF!</v>
      </c>
      <c r="AG34" s="25"/>
      <c r="AH34" s="27"/>
      <c r="AI34" s="25" t="e">
        <f>VLOOKUP(A34,#REF!,30,0)</f>
        <v>#REF!</v>
      </c>
      <c r="AJ34" s="25" t="e">
        <f>VLOOKUP(A34,#REF!,31,0)</f>
        <v>#REF!</v>
      </c>
      <c r="AK34" s="25" t="e">
        <f>VLOOKUP(A34,#REF!,33,0)</f>
        <v>#REF!</v>
      </c>
      <c r="AL34" s="25" t="e">
        <f>VLOOKUP(A34,#REF!,36,0)</f>
        <v>#REF!</v>
      </c>
      <c r="AM34" s="25" t="e">
        <f>VLOOKUP(A34,#REF!,34,0)</f>
        <v>#REF!</v>
      </c>
      <c r="AN34" s="27" t="e">
        <f>VLOOKUP(A34,#REF!,35,0)</f>
        <v>#REF!</v>
      </c>
      <c r="AO34" s="27" t="e">
        <f>VLOOKUP(A34,#REF!,32,0)</f>
        <v>#REF!</v>
      </c>
      <c r="AP34" s="25" t="e">
        <f>VLOOKUP(A34,#REF!,35,0)</f>
        <v>#REF!</v>
      </c>
      <c r="AQ34" s="25" t="e">
        <f>VLOOKUP(A34,#REF!,36,0)</f>
        <v>#REF!</v>
      </c>
      <c r="AR34" s="25" t="e">
        <f>VLOOKUP(A34,#REF!,37,0)</f>
        <v>#REF!</v>
      </c>
      <c r="AS34" s="25" t="e">
        <f>VLOOKUP(A34,#REF!,38,0)</f>
        <v>#REF!</v>
      </c>
      <c r="AT34" s="25" t="e">
        <f>VLOOKUP(A34,#REF!,39,0)</f>
        <v>#REF!</v>
      </c>
      <c r="AU34" s="25"/>
      <c r="AV34" s="26" t="e">
        <f t="shared" si="1"/>
        <v>#REF!</v>
      </c>
      <c r="AW34" s="25" t="e">
        <f t="shared" si="2"/>
        <v>#REF!</v>
      </c>
      <c r="AX34" s="25"/>
      <c r="AY34" s="26" t="e">
        <f t="shared" si="3"/>
        <v>#REF!</v>
      </c>
      <c r="AZ34" s="25" t="e">
        <f t="shared" si="4"/>
        <v>#REF!</v>
      </c>
      <c r="BA34" s="25" t="e">
        <f t="shared" si="5"/>
        <v>#REF!</v>
      </c>
      <c r="BB34" s="25" t="e">
        <f t="shared" si="6"/>
        <v>#REF!</v>
      </c>
      <c r="BC34" s="25" t="e">
        <f t="shared" si="7"/>
        <v>#REF!</v>
      </c>
      <c r="BD34" s="25" t="e">
        <f>VLOOKUP(A34,#REF!,43,0)</f>
        <v>#REF!</v>
      </c>
      <c r="BE34" s="25" t="e">
        <f>VLOOKUP(A34,#REF!,44,0)</f>
        <v>#REF!</v>
      </c>
      <c r="BF34" s="25" t="e">
        <f>VLOOKUP(A34,#REF!,45,0)</f>
        <v>#REF!</v>
      </c>
      <c r="BG34" s="25" t="e">
        <f>VLOOKUP(A34,#REF!,42,0)</f>
        <v>#REF!</v>
      </c>
      <c r="BH34" s="25" t="e">
        <f t="shared" si="8"/>
        <v>#REF!</v>
      </c>
      <c r="BI34" s="25" t="e">
        <f t="shared" si="9"/>
        <v>#REF!</v>
      </c>
      <c r="BJ34" s="25" t="e">
        <f t="shared" si="10"/>
        <v>#REF!</v>
      </c>
    </row>
    <row r="35" spans="1:62" hidden="1" x14ac:dyDescent="0.25">
      <c r="A35" s="20" t="s">
        <v>108</v>
      </c>
      <c r="B35" s="19">
        <v>45689</v>
      </c>
      <c r="C35" s="20" t="s">
        <v>5</v>
      </c>
      <c r="D35" s="20" t="s">
        <v>582</v>
      </c>
      <c r="E35" s="20"/>
      <c r="F35" s="20" t="s">
        <v>292</v>
      </c>
      <c r="G35" s="20" t="s">
        <v>109</v>
      </c>
      <c r="H35" s="20" t="s">
        <v>96</v>
      </c>
      <c r="I35" s="21">
        <v>44274</v>
      </c>
      <c r="J35" s="22"/>
      <c r="K35" s="23" t="s">
        <v>419</v>
      </c>
      <c r="L35" s="24" t="s">
        <v>111</v>
      </c>
      <c r="M35" s="24" t="s">
        <v>510</v>
      </c>
      <c r="N35" s="25" t="e">
        <f>VLOOKUP(A35,#REF!,12,0)</f>
        <v>#REF!</v>
      </c>
      <c r="O35" s="25" t="e">
        <f>VLOOKUP(A35,#REF!,15,0)</f>
        <v>#REF!</v>
      </c>
      <c r="P35" s="25" t="e">
        <f>VLOOKUP(A35,#REF!,16,0)</f>
        <v>#REF!</v>
      </c>
      <c r="Q35" s="25" t="e">
        <f>VLOOKUP(A35,#REF!,17,0)</f>
        <v>#REF!</v>
      </c>
      <c r="R35" s="25" t="e">
        <f>VLOOKUP(A35,#REF!,18,0)</f>
        <v>#REF!</v>
      </c>
      <c r="S35" s="25" t="e">
        <f>VLOOKUP(A35,#REF!,19,0)</f>
        <v>#REF!</v>
      </c>
      <c r="T35" s="25" t="e">
        <f>VLOOKUP(A35,#REF!,20,0)</f>
        <v>#REF!</v>
      </c>
      <c r="U35" s="25" t="e">
        <f>VLOOKUP(A35,#REF!,21,0)</f>
        <v>#REF!</v>
      </c>
      <c r="V35" s="25" t="e">
        <f>VLOOKUP(A35,#REF!,22,0)</f>
        <v>#REF!</v>
      </c>
      <c r="W35" s="25" t="e">
        <f>VLOOKUP(A35,#REF!,23,0)</f>
        <v>#REF!</v>
      </c>
      <c r="X35" s="25" t="e">
        <f>VLOOKUP(A35,#REF!,24,0)</f>
        <v>#REF!</v>
      </c>
      <c r="Y35" s="25" t="e">
        <f>VLOOKUP(A35,#REF!,25,0)</f>
        <v>#REF!</v>
      </c>
      <c r="Z35" s="25" t="e">
        <f>VLOOKUP(A35,#REF!,26,0)</f>
        <v>#REF!</v>
      </c>
      <c r="AA35" s="25" t="e">
        <f>VLOOKUP(A35,#REF!,27,0)</f>
        <v>#REF!</v>
      </c>
      <c r="AB35" s="25" t="e">
        <f>VLOOKUP(A35,#REF!,28,0)</f>
        <v>#REF!</v>
      </c>
      <c r="AC35" s="25" t="e">
        <f>VLOOKUP(A35,#REF!,29,0)</f>
        <v>#REF!</v>
      </c>
      <c r="AD35" s="26" t="e">
        <f t="shared" si="0"/>
        <v>#REF!</v>
      </c>
      <c r="AE35" s="25" t="e">
        <f>VLOOKUP(A35,#REF!,31,0)</f>
        <v>#REF!</v>
      </c>
      <c r="AF35" s="25" t="e">
        <f>VLOOKUP(A35,#REF!,32,0)</f>
        <v>#REF!</v>
      </c>
      <c r="AG35" s="25"/>
      <c r="AH35" s="28">
        <v>936</v>
      </c>
      <c r="AI35" s="25" t="e">
        <f>VLOOKUP(A35,#REF!,30,0)</f>
        <v>#REF!</v>
      </c>
      <c r="AJ35" s="25" t="e">
        <f>VLOOKUP(A35,#REF!,31,0)</f>
        <v>#REF!</v>
      </c>
      <c r="AK35" s="25" t="e">
        <f>VLOOKUP(A35,#REF!,33,0)</f>
        <v>#REF!</v>
      </c>
      <c r="AL35" s="25" t="e">
        <f>VLOOKUP(A35,#REF!,36,0)</f>
        <v>#REF!</v>
      </c>
      <c r="AM35" s="25" t="e">
        <f>VLOOKUP(A35,#REF!,34,0)</f>
        <v>#REF!</v>
      </c>
      <c r="AN35" s="27" t="e">
        <f>VLOOKUP(A35,#REF!,35,0)</f>
        <v>#REF!</v>
      </c>
      <c r="AO35" s="27" t="e">
        <f>VLOOKUP(A35,#REF!,32,0)</f>
        <v>#REF!</v>
      </c>
      <c r="AP35" s="25" t="e">
        <f>VLOOKUP(A35,#REF!,35,0)</f>
        <v>#REF!</v>
      </c>
      <c r="AQ35" s="25" t="e">
        <f>VLOOKUP(A35,#REF!,36,0)</f>
        <v>#REF!</v>
      </c>
      <c r="AR35" s="25" t="e">
        <f>VLOOKUP(A35,#REF!,37,0)</f>
        <v>#REF!</v>
      </c>
      <c r="AS35" s="25" t="e">
        <f>VLOOKUP(A35,#REF!,38,0)</f>
        <v>#REF!</v>
      </c>
      <c r="AT35" s="25" t="e">
        <f>VLOOKUP(A35,#REF!,39,0)</f>
        <v>#REF!</v>
      </c>
      <c r="AU35" s="25"/>
      <c r="AV35" s="26" t="e">
        <f t="shared" si="1"/>
        <v>#REF!</v>
      </c>
      <c r="AW35" s="25" t="e">
        <f t="shared" si="2"/>
        <v>#REF!</v>
      </c>
      <c r="AX35" s="25"/>
      <c r="AY35" s="26" t="e">
        <f t="shared" si="3"/>
        <v>#REF!</v>
      </c>
      <c r="AZ35" s="25" t="e">
        <f t="shared" si="4"/>
        <v>#REF!</v>
      </c>
      <c r="BA35" s="25" t="e">
        <f t="shared" si="5"/>
        <v>#REF!</v>
      </c>
      <c r="BB35" s="25" t="e">
        <f t="shared" si="6"/>
        <v>#REF!</v>
      </c>
      <c r="BC35" s="25" t="e">
        <f t="shared" si="7"/>
        <v>#REF!</v>
      </c>
      <c r="BD35" s="25" t="e">
        <f>VLOOKUP(A35,#REF!,43,0)</f>
        <v>#REF!</v>
      </c>
      <c r="BE35" s="25" t="e">
        <f>VLOOKUP(A35,#REF!,44,0)</f>
        <v>#REF!</v>
      </c>
      <c r="BF35" s="25" t="e">
        <f>VLOOKUP(A35,#REF!,45,0)</f>
        <v>#REF!</v>
      </c>
      <c r="BG35" s="25" t="e">
        <f>VLOOKUP(A35,#REF!,42,0)</f>
        <v>#REF!</v>
      </c>
      <c r="BH35" s="25" t="e">
        <f t="shared" si="8"/>
        <v>#REF!</v>
      </c>
      <c r="BI35" s="25" t="e">
        <f t="shared" si="9"/>
        <v>#REF!</v>
      </c>
      <c r="BJ35" s="25" t="e">
        <f t="shared" si="10"/>
        <v>#REF!</v>
      </c>
    </row>
    <row r="36" spans="1:62" hidden="1" x14ac:dyDescent="0.25">
      <c r="A36" s="20" t="s">
        <v>509</v>
      </c>
      <c r="B36" s="19">
        <v>45689</v>
      </c>
      <c r="C36" s="20" t="s">
        <v>5</v>
      </c>
      <c r="D36" s="20" t="s">
        <v>564</v>
      </c>
      <c r="E36" s="20"/>
      <c r="F36" s="20" t="s">
        <v>95</v>
      </c>
      <c r="G36" s="20" t="s">
        <v>566</v>
      </c>
      <c r="H36" s="20" t="s">
        <v>97</v>
      </c>
      <c r="I36" s="21">
        <v>44365</v>
      </c>
      <c r="J36" s="22"/>
      <c r="K36" s="23" t="s">
        <v>419</v>
      </c>
      <c r="L36" s="24" t="s">
        <v>507</v>
      </c>
      <c r="M36" s="24" t="s">
        <v>508</v>
      </c>
      <c r="N36" s="25" t="e">
        <f>VLOOKUP(A36,#REF!,12,0)</f>
        <v>#REF!</v>
      </c>
      <c r="O36" s="25" t="e">
        <f>VLOOKUP(A36,#REF!,15,0)</f>
        <v>#REF!</v>
      </c>
      <c r="P36" s="25" t="e">
        <f>VLOOKUP(A36,#REF!,16,0)</f>
        <v>#REF!</v>
      </c>
      <c r="Q36" s="25" t="e">
        <f>VLOOKUP(A36,#REF!,17,0)</f>
        <v>#REF!</v>
      </c>
      <c r="R36" s="25" t="e">
        <f>VLOOKUP(A36,#REF!,18,0)</f>
        <v>#REF!</v>
      </c>
      <c r="S36" s="25" t="e">
        <f>VLOOKUP(A36,#REF!,19,0)</f>
        <v>#REF!</v>
      </c>
      <c r="T36" s="25" t="e">
        <f>VLOOKUP(A36,#REF!,20,0)</f>
        <v>#REF!</v>
      </c>
      <c r="U36" s="25" t="e">
        <f>VLOOKUP(A36,#REF!,21,0)</f>
        <v>#REF!</v>
      </c>
      <c r="V36" s="25" t="e">
        <f>VLOOKUP(A36,#REF!,22,0)</f>
        <v>#REF!</v>
      </c>
      <c r="W36" s="25" t="e">
        <f>VLOOKUP(A36,#REF!,23,0)</f>
        <v>#REF!</v>
      </c>
      <c r="X36" s="25" t="e">
        <f>VLOOKUP(A36,#REF!,24,0)</f>
        <v>#REF!</v>
      </c>
      <c r="Y36" s="25" t="e">
        <f>VLOOKUP(A36,#REF!,25,0)</f>
        <v>#REF!</v>
      </c>
      <c r="Z36" s="25" t="e">
        <f>VLOOKUP(A36,#REF!,26,0)</f>
        <v>#REF!</v>
      </c>
      <c r="AA36" s="25" t="e">
        <f>VLOOKUP(A36,#REF!,27,0)</f>
        <v>#REF!</v>
      </c>
      <c r="AB36" s="25" t="e">
        <f>VLOOKUP(A36,#REF!,28,0)</f>
        <v>#REF!</v>
      </c>
      <c r="AC36" s="25" t="e">
        <f>VLOOKUP(A36,#REF!,29,0)</f>
        <v>#REF!</v>
      </c>
      <c r="AD36" s="26" t="e">
        <f t="shared" si="0"/>
        <v>#REF!</v>
      </c>
      <c r="AE36" s="25" t="e">
        <f>VLOOKUP(A36,#REF!,31,0)</f>
        <v>#REF!</v>
      </c>
      <c r="AF36" s="25" t="e">
        <f>VLOOKUP(A36,#REF!,32,0)</f>
        <v>#REF!</v>
      </c>
      <c r="AG36" s="25"/>
      <c r="AH36" s="27"/>
      <c r="AI36" s="25" t="e">
        <f>VLOOKUP(A36,#REF!,30,0)</f>
        <v>#REF!</v>
      </c>
      <c r="AJ36" s="25" t="e">
        <f>VLOOKUP(A36,#REF!,31,0)</f>
        <v>#REF!</v>
      </c>
      <c r="AK36" s="25" t="e">
        <f>VLOOKUP(A36,#REF!,33,0)</f>
        <v>#REF!</v>
      </c>
      <c r="AL36" s="25" t="e">
        <f>VLOOKUP(A36,#REF!,36,0)</f>
        <v>#REF!</v>
      </c>
      <c r="AM36" s="25" t="e">
        <f>VLOOKUP(A36,#REF!,34,0)</f>
        <v>#REF!</v>
      </c>
      <c r="AN36" s="27" t="e">
        <f>VLOOKUP(A36,#REF!,35,0)</f>
        <v>#REF!</v>
      </c>
      <c r="AO36" s="27" t="e">
        <f>VLOOKUP(A36,#REF!,32,0)</f>
        <v>#REF!</v>
      </c>
      <c r="AP36" s="25" t="e">
        <f>VLOOKUP(A36,#REF!,35,0)</f>
        <v>#REF!</v>
      </c>
      <c r="AQ36" s="25" t="e">
        <f>VLOOKUP(A36,#REF!,36,0)</f>
        <v>#REF!</v>
      </c>
      <c r="AR36" s="25" t="e">
        <f>VLOOKUP(A36,#REF!,37,0)</f>
        <v>#REF!</v>
      </c>
      <c r="AS36" s="25" t="e">
        <f>VLOOKUP(A36,#REF!,38,0)</f>
        <v>#REF!</v>
      </c>
      <c r="AT36" s="25" t="e">
        <f>VLOOKUP(A36,#REF!,39,0)</f>
        <v>#REF!</v>
      </c>
      <c r="AU36" s="25"/>
      <c r="AV36" s="26" t="e">
        <f t="shared" si="1"/>
        <v>#REF!</v>
      </c>
      <c r="AW36" s="25" t="e">
        <f t="shared" si="2"/>
        <v>#REF!</v>
      </c>
      <c r="AX36" s="25"/>
      <c r="AY36" s="26" t="e">
        <f t="shared" si="3"/>
        <v>#REF!</v>
      </c>
      <c r="AZ36" s="25" t="e">
        <f t="shared" si="4"/>
        <v>#REF!</v>
      </c>
      <c r="BA36" s="25" t="e">
        <f t="shared" si="5"/>
        <v>#REF!</v>
      </c>
      <c r="BB36" s="25" t="e">
        <f t="shared" si="6"/>
        <v>#REF!</v>
      </c>
      <c r="BC36" s="25" t="e">
        <f t="shared" si="7"/>
        <v>#REF!</v>
      </c>
      <c r="BD36" s="25" t="e">
        <f>VLOOKUP(A36,#REF!,43,0)</f>
        <v>#REF!</v>
      </c>
      <c r="BE36" s="25" t="e">
        <f>VLOOKUP(A36,#REF!,44,0)</f>
        <v>#REF!</v>
      </c>
      <c r="BF36" s="25" t="e">
        <f>VLOOKUP(A36,#REF!,45,0)</f>
        <v>#REF!</v>
      </c>
      <c r="BG36" s="25" t="e">
        <f>VLOOKUP(A36,#REF!,42,0)</f>
        <v>#REF!</v>
      </c>
      <c r="BH36" s="25" t="e">
        <f t="shared" si="8"/>
        <v>#REF!</v>
      </c>
      <c r="BI36" s="25" t="e">
        <f t="shared" si="9"/>
        <v>#REF!</v>
      </c>
      <c r="BJ36" s="25" t="e">
        <f t="shared" si="10"/>
        <v>#REF!</v>
      </c>
    </row>
    <row r="37" spans="1:62" hidden="1" x14ac:dyDescent="0.25">
      <c r="A37" s="20" t="s">
        <v>326</v>
      </c>
      <c r="B37" s="19">
        <v>45689</v>
      </c>
      <c r="C37" s="20" t="s">
        <v>5</v>
      </c>
      <c r="D37" s="20" t="s">
        <v>588</v>
      </c>
      <c r="E37" s="20"/>
      <c r="F37" s="20" t="s">
        <v>312</v>
      </c>
      <c r="G37" s="20" t="s">
        <v>313</v>
      </c>
      <c r="H37" s="20" t="s">
        <v>88</v>
      </c>
      <c r="I37" s="21">
        <v>44378</v>
      </c>
      <c r="J37" s="22"/>
      <c r="K37" s="23" t="s">
        <v>419</v>
      </c>
      <c r="L37" s="24" t="s">
        <v>327</v>
      </c>
      <c r="M37" s="24" t="s">
        <v>504</v>
      </c>
      <c r="N37" s="25" t="e">
        <f>VLOOKUP(A37,#REF!,12,0)</f>
        <v>#REF!</v>
      </c>
      <c r="O37" s="25" t="e">
        <f>VLOOKUP(A37,#REF!,15,0)</f>
        <v>#REF!</v>
      </c>
      <c r="P37" s="25" t="e">
        <f>VLOOKUP(A37,#REF!,16,0)</f>
        <v>#REF!</v>
      </c>
      <c r="Q37" s="25" t="e">
        <f>VLOOKUP(A37,#REF!,17,0)</f>
        <v>#REF!</v>
      </c>
      <c r="R37" s="25" t="e">
        <f>VLOOKUP(A37,#REF!,18,0)</f>
        <v>#REF!</v>
      </c>
      <c r="S37" s="25" t="e">
        <f>VLOOKUP(A37,#REF!,19,0)</f>
        <v>#REF!</v>
      </c>
      <c r="T37" s="25" t="e">
        <f>VLOOKUP(A37,#REF!,20,0)</f>
        <v>#REF!</v>
      </c>
      <c r="U37" s="25" t="e">
        <f>VLOOKUP(A37,#REF!,21,0)</f>
        <v>#REF!</v>
      </c>
      <c r="V37" s="25" t="e">
        <f>VLOOKUP(A37,#REF!,22,0)</f>
        <v>#REF!</v>
      </c>
      <c r="W37" s="25" t="e">
        <f>VLOOKUP(A37,#REF!,23,0)</f>
        <v>#REF!</v>
      </c>
      <c r="X37" s="25" t="e">
        <f>VLOOKUP(A37,#REF!,24,0)</f>
        <v>#REF!</v>
      </c>
      <c r="Y37" s="25" t="e">
        <f>VLOOKUP(A37,#REF!,25,0)</f>
        <v>#REF!</v>
      </c>
      <c r="Z37" s="25" t="e">
        <f>VLOOKUP(A37,#REF!,26,0)</f>
        <v>#REF!</v>
      </c>
      <c r="AA37" s="25" t="e">
        <f>VLOOKUP(A37,#REF!,27,0)</f>
        <v>#REF!</v>
      </c>
      <c r="AB37" s="25" t="e">
        <f>VLOOKUP(A37,#REF!,28,0)</f>
        <v>#REF!</v>
      </c>
      <c r="AC37" s="25" t="e">
        <f>VLOOKUP(A37,#REF!,29,0)</f>
        <v>#REF!</v>
      </c>
      <c r="AD37" s="26" t="e">
        <f t="shared" si="0"/>
        <v>#REF!</v>
      </c>
      <c r="AE37" s="25" t="e">
        <f>VLOOKUP(A37,#REF!,31,0)</f>
        <v>#REF!</v>
      </c>
      <c r="AF37" s="25" t="e">
        <f>VLOOKUP(A37,#REF!,32,0)</f>
        <v>#REF!</v>
      </c>
      <c r="AG37" s="25"/>
      <c r="AH37" s="27"/>
      <c r="AI37" s="25" t="e">
        <f>VLOOKUP(A37,#REF!,30,0)</f>
        <v>#REF!</v>
      </c>
      <c r="AJ37" s="25" t="e">
        <f>VLOOKUP(A37,#REF!,31,0)</f>
        <v>#REF!</v>
      </c>
      <c r="AK37" s="25" t="e">
        <f>VLOOKUP(A37,#REF!,33,0)</f>
        <v>#REF!</v>
      </c>
      <c r="AL37" s="25" t="e">
        <f>VLOOKUP(A37,#REF!,36,0)</f>
        <v>#REF!</v>
      </c>
      <c r="AM37" s="25" t="e">
        <f>VLOOKUP(A37,#REF!,34,0)</f>
        <v>#REF!</v>
      </c>
      <c r="AN37" s="27" t="e">
        <f>VLOOKUP(A37,#REF!,35,0)</f>
        <v>#REF!</v>
      </c>
      <c r="AO37" s="27" t="e">
        <f>VLOOKUP(A37,#REF!,32,0)</f>
        <v>#REF!</v>
      </c>
      <c r="AP37" s="25" t="e">
        <f>VLOOKUP(A37,#REF!,35,0)</f>
        <v>#REF!</v>
      </c>
      <c r="AQ37" s="25" t="e">
        <f>VLOOKUP(A37,#REF!,36,0)</f>
        <v>#REF!</v>
      </c>
      <c r="AR37" s="25" t="e">
        <f>VLOOKUP(A37,#REF!,37,0)</f>
        <v>#REF!</v>
      </c>
      <c r="AS37" s="25" t="e">
        <f>VLOOKUP(A37,#REF!,38,0)</f>
        <v>#REF!</v>
      </c>
      <c r="AT37" s="25" t="e">
        <f>VLOOKUP(A37,#REF!,39,0)</f>
        <v>#REF!</v>
      </c>
      <c r="AU37" s="25"/>
      <c r="AV37" s="26" t="e">
        <f t="shared" si="1"/>
        <v>#REF!</v>
      </c>
      <c r="AW37" s="25" t="e">
        <f t="shared" si="2"/>
        <v>#REF!</v>
      </c>
      <c r="AX37" s="25">
        <v>2097</v>
      </c>
      <c r="AY37" s="26" t="e">
        <f t="shared" si="3"/>
        <v>#REF!</v>
      </c>
      <c r="AZ37" s="25" t="e">
        <f t="shared" si="4"/>
        <v>#REF!</v>
      </c>
      <c r="BA37" s="25" t="e">
        <f t="shared" si="5"/>
        <v>#REF!</v>
      </c>
      <c r="BB37" s="25" t="e">
        <f t="shared" si="6"/>
        <v>#REF!</v>
      </c>
      <c r="BC37" s="25" t="e">
        <f t="shared" si="7"/>
        <v>#REF!</v>
      </c>
      <c r="BD37" s="25" t="e">
        <f>VLOOKUP(A37,#REF!,43,0)</f>
        <v>#REF!</v>
      </c>
      <c r="BE37" s="25" t="e">
        <f>VLOOKUP(A37,#REF!,44,0)</f>
        <v>#REF!</v>
      </c>
      <c r="BF37" s="25" t="e">
        <f>VLOOKUP(A37,#REF!,45,0)</f>
        <v>#REF!</v>
      </c>
      <c r="BG37" s="25" t="e">
        <f>VLOOKUP(A37,#REF!,42,0)</f>
        <v>#REF!</v>
      </c>
      <c r="BH37" s="25" t="e">
        <f t="shared" si="8"/>
        <v>#REF!</v>
      </c>
      <c r="BI37" s="25" t="e">
        <f t="shared" si="9"/>
        <v>#REF!</v>
      </c>
      <c r="BJ37" s="25" t="e">
        <f t="shared" si="10"/>
        <v>#REF!</v>
      </c>
    </row>
    <row r="38" spans="1:62" hidden="1" x14ac:dyDescent="0.25">
      <c r="A38" s="20" t="s">
        <v>215</v>
      </c>
      <c r="B38" s="19">
        <v>45689</v>
      </c>
      <c r="C38" s="20" t="s">
        <v>5</v>
      </c>
      <c r="D38" s="20" t="s">
        <v>582</v>
      </c>
      <c r="E38" s="20"/>
      <c r="F38" s="20" t="s">
        <v>292</v>
      </c>
      <c r="G38" s="20" t="s">
        <v>444</v>
      </c>
      <c r="H38" s="20" t="s">
        <v>195</v>
      </c>
      <c r="I38" s="21">
        <v>44397</v>
      </c>
      <c r="J38" s="22"/>
      <c r="K38" s="23" t="s">
        <v>419</v>
      </c>
      <c r="L38" s="24" t="s">
        <v>211</v>
      </c>
      <c r="M38" s="24" t="s">
        <v>216</v>
      </c>
      <c r="N38" s="25" t="e">
        <f>VLOOKUP(A38,#REF!,12,0)</f>
        <v>#REF!</v>
      </c>
      <c r="O38" s="25" t="e">
        <f>VLOOKUP(A38,#REF!,15,0)</f>
        <v>#REF!</v>
      </c>
      <c r="P38" s="25" t="e">
        <f>VLOOKUP(A38,#REF!,16,0)</f>
        <v>#REF!</v>
      </c>
      <c r="Q38" s="25" t="e">
        <f>VLOOKUP(A38,#REF!,17,0)</f>
        <v>#REF!</v>
      </c>
      <c r="R38" s="25" t="e">
        <f>VLOOKUP(A38,#REF!,18,0)</f>
        <v>#REF!</v>
      </c>
      <c r="S38" s="25" t="e">
        <f>VLOOKUP(A38,#REF!,19,0)</f>
        <v>#REF!</v>
      </c>
      <c r="T38" s="25" t="e">
        <f>VLOOKUP(A38,#REF!,20,0)</f>
        <v>#REF!</v>
      </c>
      <c r="U38" s="25" t="e">
        <f>VLOOKUP(A38,#REF!,21,0)</f>
        <v>#REF!</v>
      </c>
      <c r="V38" s="25" t="e">
        <f>VLOOKUP(A38,#REF!,22,0)</f>
        <v>#REF!</v>
      </c>
      <c r="W38" s="25" t="e">
        <f>VLOOKUP(A38,#REF!,23,0)</f>
        <v>#REF!</v>
      </c>
      <c r="X38" s="25" t="e">
        <f>VLOOKUP(A38,#REF!,24,0)</f>
        <v>#REF!</v>
      </c>
      <c r="Y38" s="25" t="e">
        <f>VLOOKUP(A38,#REF!,25,0)</f>
        <v>#REF!</v>
      </c>
      <c r="Z38" s="25" t="e">
        <f>VLOOKUP(A38,#REF!,26,0)</f>
        <v>#REF!</v>
      </c>
      <c r="AA38" s="25" t="e">
        <f>VLOOKUP(A38,#REF!,27,0)</f>
        <v>#REF!</v>
      </c>
      <c r="AB38" s="25" t="e">
        <f>VLOOKUP(A38,#REF!,28,0)</f>
        <v>#REF!</v>
      </c>
      <c r="AC38" s="25" t="e">
        <f>VLOOKUP(A38,#REF!,29,0)</f>
        <v>#REF!</v>
      </c>
      <c r="AD38" s="26" t="e">
        <f t="shared" si="0"/>
        <v>#REF!</v>
      </c>
      <c r="AE38" s="25" t="e">
        <f>VLOOKUP(A38,#REF!,31,0)</f>
        <v>#REF!</v>
      </c>
      <c r="AF38" s="25" t="e">
        <f>VLOOKUP(A38,#REF!,32,0)</f>
        <v>#REF!</v>
      </c>
      <c r="AG38" s="25"/>
      <c r="AH38" s="27"/>
      <c r="AI38" s="25" t="e">
        <f>VLOOKUP(A38,#REF!,30,0)</f>
        <v>#REF!</v>
      </c>
      <c r="AJ38" s="25" t="e">
        <f>VLOOKUP(A38,#REF!,31,0)</f>
        <v>#REF!</v>
      </c>
      <c r="AK38" s="25" t="e">
        <f>VLOOKUP(A38,#REF!,33,0)</f>
        <v>#REF!</v>
      </c>
      <c r="AL38" s="25" t="e">
        <f>VLOOKUP(A38,#REF!,36,0)</f>
        <v>#REF!</v>
      </c>
      <c r="AM38" s="25" t="e">
        <f>VLOOKUP(A38,#REF!,34,0)</f>
        <v>#REF!</v>
      </c>
      <c r="AN38" s="27" t="e">
        <f>VLOOKUP(A38,#REF!,35,0)</f>
        <v>#REF!</v>
      </c>
      <c r="AO38" s="27" t="e">
        <f>VLOOKUP(A38,#REF!,32,0)</f>
        <v>#REF!</v>
      </c>
      <c r="AP38" s="25" t="e">
        <f>VLOOKUP(A38,#REF!,35,0)</f>
        <v>#REF!</v>
      </c>
      <c r="AQ38" s="25" t="e">
        <f>VLOOKUP(A38,#REF!,36,0)</f>
        <v>#REF!</v>
      </c>
      <c r="AR38" s="25" t="e">
        <f>VLOOKUP(A38,#REF!,37,0)</f>
        <v>#REF!</v>
      </c>
      <c r="AS38" s="25" t="e">
        <f>VLOOKUP(A38,#REF!,38,0)</f>
        <v>#REF!</v>
      </c>
      <c r="AT38" s="25" t="e">
        <f>VLOOKUP(A38,#REF!,39,0)</f>
        <v>#REF!</v>
      </c>
      <c r="AU38" s="25"/>
      <c r="AV38" s="26" t="e">
        <f t="shared" si="1"/>
        <v>#REF!</v>
      </c>
      <c r="AW38" s="25" t="e">
        <f t="shared" si="2"/>
        <v>#REF!</v>
      </c>
      <c r="AX38" s="25"/>
      <c r="AY38" s="26" t="e">
        <f t="shared" si="3"/>
        <v>#REF!</v>
      </c>
      <c r="AZ38" s="25" t="e">
        <f t="shared" si="4"/>
        <v>#REF!</v>
      </c>
      <c r="BA38" s="25" t="e">
        <f t="shared" si="5"/>
        <v>#REF!</v>
      </c>
      <c r="BB38" s="25" t="e">
        <f t="shared" si="6"/>
        <v>#REF!</v>
      </c>
      <c r="BC38" s="25" t="e">
        <f t="shared" si="7"/>
        <v>#REF!</v>
      </c>
      <c r="BD38" s="25" t="e">
        <f>VLOOKUP(A38,#REF!,43,0)</f>
        <v>#REF!</v>
      </c>
      <c r="BE38" s="25" t="e">
        <f>VLOOKUP(A38,#REF!,44,0)</f>
        <v>#REF!</v>
      </c>
      <c r="BF38" s="25" t="e">
        <f>VLOOKUP(A38,#REF!,45,0)</f>
        <v>#REF!</v>
      </c>
      <c r="BG38" s="25" t="e">
        <f>VLOOKUP(A38,#REF!,42,0)</f>
        <v>#REF!</v>
      </c>
      <c r="BH38" s="25" t="e">
        <f t="shared" si="8"/>
        <v>#REF!</v>
      </c>
      <c r="BI38" s="25" t="e">
        <f t="shared" si="9"/>
        <v>#REF!</v>
      </c>
      <c r="BJ38" s="25" t="e">
        <f t="shared" si="10"/>
        <v>#REF!</v>
      </c>
    </row>
    <row r="39" spans="1:62" hidden="1" x14ac:dyDescent="0.25">
      <c r="A39" s="20" t="s">
        <v>217</v>
      </c>
      <c r="B39" s="19">
        <v>45689</v>
      </c>
      <c r="C39" s="20" t="s">
        <v>5</v>
      </c>
      <c r="D39" s="20" t="s">
        <v>582</v>
      </c>
      <c r="E39" s="20"/>
      <c r="F39" s="20" t="s">
        <v>292</v>
      </c>
      <c r="G39" s="20" t="s">
        <v>203</v>
      </c>
      <c r="H39" s="20" t="s">
        <v>218</v>
      </c>
      <c r="I39" s="21">
        <v>44410</v>
      </c>
      <c r="J39" s="22"/>
      <c r="K39" s="23" t="s">
        <v>422</v>
      </c>
      <c r="L39" s="24" t="s">
        <v>219</v>
      </c>
      <c r="M39" s="24" t="s">
        <v>585</v>
      </c>
      <c r="N39" s="25" t="e">
        <f>VLOOKUP(A39,#REF!,12,0)</f>
        <v>#REF!</v>
      </c>
      <c r="O39" s="25" t="e">
        <f>VLOOKUP(A39,#REF!,15,0)</f>
        <v>#REF!</v>
      </c>
      <c r="P39" s="25" t="e">
        <f>VLOOKUP(A39,#REF!,16,0)</f>
        <v>#REF!</v>
      </c>
      <c r="Q39" s="25" t="e">
        <f>VLOOKUP(A39,#REF!,17,0)</f>
        <v>#REF!</v>
      </c>
      <c r="R39" s="25" t="e">
        <f>VLOOKUP(A39,#REF!,18,0)</f>
        <v>#REF!</v>
      </c>
      <c r="S39" s="25" t="e">
        <f>VLOOKUP(A39,#REF!,19,0)</f>
        <v>#REF!</v>
      </c>
      <c r="T39" s="25" t="e">
        <f>VLOOKUP(A39,#REF!,20,0)</f>
        <v>#REF!</v>
      </c>
      <c r="U39" s="25" t="e">
        <f>VLOOKUP(A39,#REF!,21,0)</f>
        <v>#REF!</v>
      </c>
      <c r="V39" s="25" t="e">
        <f>VLOOKUP(A39,#REF!,22,0)</f>
        <v>#REF!</v>
      </c>
      <c r="W39" s="25" t="e">
        <f>VLOOKUP(A39,#REF!,23,0)</f>
        <v>#REF!</v>
      </c>
      <c r="X39" s="25" t="e">
        <f>VLOOKUP(A39,#REF!,24,0)</f>
        <v>#REF!</v>
      </c>
      <c r="Y39" s="25" t="e">
        <f>VLOOKUP(A39,#REF!,25,0)</f>
        <v>#REF!</v>
      </c>
      <c r="Z39" s="25" t="e">
        <f>VLOOKUP(A39,#REF!,26,0)</f>
        <v>#REF!</v>
      </c>
      <c r="AA39" s="25" t="e">
        <f>VLOOKUP(A39,#REF!,27,0)</f>
        <v>#REF!</v>
      </c>
      <c r="AB39" s="25" t="e">
        <f>VLOOKUP(A39,#REF!,28,0)</f>
        <v>#REF!</v>
      </c>
      <c r="AC39" s="25" t="e">
        <f>VLOOKUP(A39,#REF!,29,0)</f>
        <v>#REF!</v>
      </c>
      <c r="AD39" s="26" t="e">
        <f t="shared" si="0"/>
        <v>#REF!</v>
      </c>
      <c r="AE39" s="25" t="e">
        <f>VLOOKUP(A39,#REF!,31,0)</f>
        <v>#REF!</v>
      </c>
      <c r="AF39" s="25" t="e">
        <f>VLOOKUP(A39,#REF!,32,0)</f>
        <v>#REF!</v>
      </c>
      <c r="AG39" s="25"/>
      <c r="AH39" s="27"/>
      <c r="AI39" s="25" t="e">
        <f>VLOOKUP(A39,#REF!,30,0)</f>
        <v>#REF!</v>
      </c>
      <c r="AJ39" s="25" t="e">
        <f>VLOOKUP(A39,#REF!,31,0)</f>
        <v>#REF!</v>
      </c>
      <c r="AK39" s="25" t="e">
        <f>VLOOKUP(A39,#REF!,33,0)</f>
        <v>#REF!</v>
      </c>
      <c r="AL39" s="25" t="e">
        <f>VLOOKUP(A39,#REF!,36,0)</f>
        <v>#REF!</v>
      </c>
      <c r="AM39" s="25" t="e">
        <f>VLOOKUP(A39,#REF!,34,0)</f>
        <v>#REF!</v>
      </c>
      <c r="AN39" s="27" t="e">
        <f>VLOOKUP(A39,#REF!,35,0)</f>
        <v>#REF!</v>
      </c>
      <c r="AO39" s="27" t="e">
        <f>VLOOKUP(A39,#REF!,32,0)</f>
        <v>#REF!</v>
      </c>
      <c r="AP39" s="25" t="e">
        <f>VLOOKUP(A39,#REF!,35,0)</f>
        <v>#REF!</v>
      </c>
      <c r="AQ39" s="25" t="e">
        <f>VLOOKUP(A39,#REF!,36,0)</f>
        <v>#REF!</v>
      </c>
      <c r="AR39" s="25" t="e">
        <f>VLOOKUP(A39,#REF!,37,0)</f>
        <v>#REF!</v>
      </c>
      <c r="AS39" s="25" t="e">
        <f>VLOOKUP(A39,#REF!,38,0)</f>
        <v>#REF!</v>
      </c>
      <c r="AT39" s="25" t="e">
        <f>VLOOKUP(A39,#REF!,39,0)</f>
        <v>#REF!</v>
      </c>
      <c r="AU39" s="25"/>
      <c r="AV39" s="26" t="e">
        <f t="shared" si="1"/>
        <v>#REF!</v>
      </c>
      <c r="AW39" s="25" t="e">
        <f t="shared" si="2"/>
        <v>#REF!</v>
      </c>
      <c r="AX39" s="25"/>
      <c r="AY39" s="26" t="e">
        <f t="shared" si="3"/>
        <v>#REF!</v>
      </c>
      <c r="AZ39" s="25" t="e">
        <f t="shared" si="4"/>
        <v>#REF!</v>
      </c>
      <c r="BA39" s="25" t="e">
        <f t="shared" si="5"/>
        <v>#REF!</v>
      </c>
      <c r="BB39" s="25" t="e">
        <f t="shared" si="6"/>
        <v>#REF!</v>
      </c>
      <c r="BC39" s="25" t="e">
        <f t="shared" si="7"/>
        <v>#REF!</v>
      </c>
      <c r="BD39" s="25" t="e">
        <f>VLOOKUP(A39,#REF!,43,0)</f>
        <v>#REF!</v>
      </c>
      <c r="BE39" s="25" t="e">
        <f>VLOOKUP(A39,#REF!,44,0)</f>
        <v>#REF!</v>
      </c>
      <c r="BF39" s="25" t="e">
        <f>VLOOKUP(A39,#REF!,45,0)</f>
        <v>#REF!</v>
      </c>
      <c r="BG39" s="25" t="e">
        <f>VLOOKUP(A39,#REF!,42,0)</f>
        <v>#REF!</v>
      </c>
      <c r="BH39" s="25" t="e">
        <f t="shared" si="8"/>
        <v>#REF!</v>
      </c>
      <c r="BI39" s="25" t="e">
        <f t="shared" si="9"/>
        <v>#REF!</v>
      </c>
      <c r="BJ39" s="25" t="e">
        <f t="shared" si="10"/>
        <v>#REF!</v>
      </c>
    </row>
    <row r="40" spans="1:62" hidden="1" x14ac:dyDescent="0.25">
      <c r="A40" s="20" t="s">
        <v>148</v>
      </c>
      <c r="B40" s="19">
        <v>45689</v>
      </c>
      <c r="C40" s="20" t="s">
        <v>5</v>
      </c>
      <c r="D40" s="20" t="s">
        <v>615</v>
      </c>
      <c r="E40" s="20"/>
      <c r="F40" s="20" t="s">
        <v>150</v>
      </c>
      <c r="G40" s="20" t="s">
        <v>561</v>
      </c>
      <c r="H40" s="20" t="s">
        <v>568</v>
      </c>
      <c r="I40" s="21">
        <v>44617</v>
      </c>
      <c r="J40" s="22"/>
      <c r="K40" s="23" t="s">
        <v>419</v>
      </c>
      <c r="L40" s="24" t="s">
        <v>514</v>
      </c>
      <c r="M40" s="24" t="s">
        <v>508</v>
      </c>
      <c r="N40" s="25" t="e">
        <f>VLOOKUP(A40,#REF!,12,0)</f>
        <v>#REF!</v>
      </c>
      <c r="O40" s="25" t="e">
        <f>VLOOKUP(A40,#REF!,15,0)</f>
        <v>#REF!</v>
      </c>
      <c r="P40" s="25" t="e">
        <f>VLOOKUP(A40,#REF!,16,0)</f>
        <v>#REF!</v>
      </c>
      <c r="Q40" s="25" t="e">
        <f>VLOOKUP(A40,#REF!,17,0)</f>
        <v>#REF!</v>
      </c>
      <c r="R40" s="25" t="e">
        <f>VLOOKUP(A40,#REF!,18,0)</f>
        <v>#REF!</v>
      </c>
      <c r="S40" s="25" t="e">
        <f>VLOOKUP(A40,#REF!,19,0)</f>
        <v>#REF!</v>
      </c>
      <c r="T40" s="25" t="e">
        <f>VLOOKUP(A40,#REF!,20,0)</f>
        <v>#REF!</v>
      </c>
      <c r="U40" s="25" t="e">
        <f>VLOOKUP(A40,#REF!,21,0)</f>
        <v>#REF!</v>
      </c>
      <c r="V40" s="25" t="e">
        <f>VLOOKUP(A40,#REF!,22,0)</f>
        <v>#REF!</v>
      </c>
      <c r="W40" s="25" t="e">
        <f>VLOOKUP(A40,#REF!,23,0)</f>
        <v>#REF!</v>
      </c>
      <c r="X40" s="25" t="e">
        <f>VLOOKUP(A40,#REF!,24,0)</f>
        <v>#REF!</v>
      </c>
      <c r="Y40" s="25" t="e">
        <f>VLOOKUP(A40,#REF!,25,0)</f>
        <v>#REF!</v>
      </c>
      <c r="Z40" s="25" t="e">
        <f>VLOOKUP(A40,#REF!,26,0)</f>
        <v>#REF!</v>
      </c>
      <c r="AA40" s="25" t="e">
        <f>VLOOKUP(A40,#REF!,27,0)</f>
        <v>#REF!</v>
      </c>
      <c r="AB40" s="25" t="e">
        <f>VLOOKUP(A40,#REF!,28,0)</f>
        <v>#REF!</v>
      </c>
      <c r="AC40" s="25" t="e">
        <f>VLOOKUP(A40,#REF!,29,0)</f>
        <v>#REF!</v>
      </c>
      <c r="AD40" s="26" t="e">
        <f t="shared" si="0"/>
        <v>#REF!</v>
      </c>
      <c r="AE40" s="25" t="e">
        <f>VLOOKUP(A40,#REF!,31,0)</f>
        <v>#REF!</v>
      </c>
      <c r="AF40" s="25" t="e">
        <f>VLOOKUP(A40,#REF!,32,0)</f>
        <v>#REF!</v>
      </c>
      <c r="AG40" s="25"/>
      <c r="AH40" s="27"/>
      <c r="AI40" s="25" t="e">
        <f>VLOOKUP(A40,#REF!,30,0)</f>
        <v>#REF!</v>
      </c>
      <c r="AJ40" s="25" t="e">
        <f>VLOOKUP(A40,#REF!,31,0)</f>
        <v>#REF!</v>
      </c>
      <c r="AK40" s="25" t="e">
        <f>VLOOKUP(A40,#REF!,33,0)</f>
        <v>#REF!</v>
      </c>
      <c r="AL40" s="25" t="e">
        <f>VLOOKUP(A40,#REF!,36,0)</f>
        <v>#REF!</v>
      </c>
      <c r="AM40" s="25" t="e">
        <f>VLOOKUP(A40,#REF!,34,0)</f>
        <v>#REF!</v>
      </c>
      <c r="AN40" s="27" t="e">
        <f>VLOOKUP(A40,#REF!,35,0)</f>
        <v>#REF!</v>
      </c>
      <c r="AO40" s="27" t="e">
        <f>VLOOKUP(A40,#REF!,32,0)</f>
        <v>#REF!</v>
      </c>
      <c r="AP40" s="25" t="e">
        <f>VLOOKUP(A40,#REF!,35,0)</f>
        <v>#REF!</v>
      </c>
      <c r="AQ40" s="25" t="e">
        <f>VLOOKUP(A40,#REF!,36,0)</f>
        <v>#REF!</v>
      </c>
      <c r="AR40" s="25" t="e">
        <f>VLOOKUP(A40,#REF!,37,0)</f>
        <v>#REF!</v>
      </c>
      <c r="AS40" s="25" t="e">
        <f>VLOOKUP(A40,#REF!,38,0)</f>
        <v>#REF!</v>
      </c>
      <c r="AT40" s="25" t="e">
        <f>VLOOKUP(A40,#REF!,39,0)</f>
        <v>#REF!</v>
      </c>
      <c r="AU40" s="25"/>
      <c r="AV40" s="26" t="e">
        <f t="shared" si="1"/>
        <v>#REF!</v>
      </c>
      <c r="AW40" s="25" t="e">
        <f t="shared" si="2"/>
        <v>#REF!</v>
      </c>
      <c r="AX40" s="25"/>
      <c r="AY40" s="26" t="e">
        <f t="shared" si="3"/>
        <v>#REF!</v>
      </c>
      <c r="AZ40" s="25" t="e">
        <f t="shared" si="4"/>
        <v>#REF!</v>
      </c>
      <c r="BA40" s="25" t="e">
        <f t="shared" si="5"/>
        <v>#REF!</v>
      </c>
      <c r="BB40" s="25" t="e">
        <f t="shared" si="6"/>
        <v>#REF!</v>
      </c>
      <c r="BC40" s="25" t="e">
        <f t="shared" si="7"/>
        <v>#REF!</v>
      </c>
      <c r="BD40" s="25" t="e">
        <f>VLOOKUP(A40,#REF!,43,0)</f>
        <v>#REF!</v>
      </c>
      <c r="BE40" s="25" t="e">
        <f>VLOOKUP(A40,#REF!,44,0)</f>
        <v>#REF!</v>
      </c>
      <c r="BF40" s="25" t="e">
        <f>VLOOKUP(A40,#REF!,45,0)</f>
        <v>#REF!</v>
      </c>
      <c r="BG40" s="25" t="e">
        <f>VLOOKUP(A40,#REF!,42,0)</f>
        <v>#REF!</v>
      </c>
      <c r="BH40" s="25" t="e">
        <f t="shared" si="8"/>
        <v>#REF!</v>
      </c>
      <c r="BI40" s="25" t="e">
        <f t="shared" si="9"/>
        <v>#REF!</v>
      </c>
      <c r="BJ40" s="25" t="e">
        <f t="shared" si="10"/>
        <v>#REF!</v>
      </c>
    </row>
    <row r="41" spans="1:62" hidden="1" x14ac:dyDescent="0.25">
      <c r="A41" s="20" t="s">
        <v>278</v>
      </c>
      <c r="B41" s="19">
        <v>45689</v>
      </c>
      <c r="C41" s="20" t="s">
        <v>5</v>
      </c>
      <c r="D41" s="20" t="s">
        <v>579</v>
      </c>
      <c r="E41" s="20"/>
      <c r="F41" s="20" t="s">
        <v>283</v>
      </c>
      <c r="G41" s="20" t="s">
        <v>178</v>
      </c>
      <c r="H41" s="20" t="s">
        <v>88</v>
      </c>
      <c r="I41" s="21">
        <v>44630</v>
      </c>
      <c r="J41" s="22"/>
      <c r="K41" s="23" t="s">
        <v>419</v>
      </c>
      <c r="L41" s="24" t="s">
        <v>184</v>
      </c>
      <c r="M41" s="24" t="s">
        <v>580</v>
      </c>
      <c r="N41" s="25" t="e">
        <f>VLOOKUP(A41,#REF!,12,0)</f>
        <v>#REF!</v>
      </c>
      <c r="O41" s="25" t="e">
        <f>VLOOKUP(A41,#REF!,15,0)</f>
        <v>#REF!</v>
      </c>
      <c r="P41" s="25" t="e">
        <f>VLOOKUP(A41,#REF!,16,0)</f>
        <v>#REF!</v>
      </c>
      <c r="Q41" s="25" t="e">
        <f>VLOOKUP(A41,#REF!,17,0)</f>
        <v>#REF!</v>
      </c>
      <c r="R41" s="25" t="e">
        <f>VLOOKUP(A41,#REF!,18,0)</f>
        <v>#REF!</v>
      </c>
      <c r="S41" s="25" t="e">
        <f>VLOOKUP(A41,#REF!,19,0)</f>
        <v>#REF!</v>
      </c>
      <c r="T41" s="25" t="e">
        <f>VLOOKUP(A41,#REF!,20,0)</f>
        <v>#REF!</v>
      </c>
      <c r="U41" s="25" t="e">
        <f>VLOOKUP(A41,#REF!,21,0)</f>
        <v>#REF!</v>
      </c>
      <c r="V41" s="25" t="e">
        <f>VLOOKUP(A41,#REF!,22,0)</f>
        <v>#REF!</v>
      </c>
      <c r="W41" s="25" t="e">
        <f>VLOOKUP(A41,#REF!,23,0)</f>
        <v>#REF!</v>
      </c>
      <c r="X41" s="25" t="e">
        <f>VLOOKUP(A41,#REF!,24,0)</f>
        <v>#REF!</v>
      </c>
      <c r="Y41" s="25" t="e">
        <f>VLOOKUP(A41,#REF!,25,0)</f>
        <v>#REF!</v>
      </c>
      <c r="Z41" s="25" t="e">
        <f>VLOOKUP(A41,#REF!,26,0)</f>
        <v>#REF!</v>
      </c>
      <c r="AA41" s="25" t="e">
        <f>VLOOKUP(A41,#REF!,27,0)</f>
        <v>#REF!</v>
      </c>
      <c r="AB41" s="25" t="e">
        <f>VLOOKUP(A41,#REF!,28,0)</f>
        <v>#REF!</v>
      </c>
      <c r="AC41" s="25" t="e">
        <f>VLOOKUP(A41,#REF!,29,0)</f>
        <v>#REF!</v>
      </c>
      <c r="AD41" s="26" t="e">
        <f t="shared" si="0"/>
        <v>#REF!</v>
      </c>
      <c r="AE41" s="25" t="e">
        <f>VLOOKUP(A41,#REF!,31,0)</f>
        <v>#REF!</v>
      </c>
      <c r="AF41" s="25" t="e">
        <f>VLOOKUP(A41,#REF!,32,0)</f>
        <v>#REF!</v>
      </c>
      <c r="AG41" s="25"/>
      <c r="AH41" s="27"/>
      <c r="AI41" s="25" t="e">
        <f>VLOOKUP(A41,#REF!,30,0)</f>
        <v>#REF!</v>
      </c>
      <c r="AJ41" s="25" t="e">
        <f>VLOOKUP(A41,#REF!,31,0)</f>
        <v>#REF!</v>
      </c>
      <c r="AK41" s="25" t="e">
        <f>VLOOKUP(A41,#REF!,33,0)</f>
        <v>#REF!</v>
      </c>
      <c r="AL41" s="25" t="e">
        <f>VLOOKUP(A41,#REF!,36,0)</f>
        <v>#REF!</v>
      </c>
      <c r="AM41" s="25" t="e">
        <f>VLOOKUP(A41,#REF!,34,0)</f>
        <v>#REF!</v>
      </c>
      <c r="AN41" s="27" t="e">
        <f>VLOOKUP(A41,#REF!,35,0)</f>
        <v>#REF!</v>
      </c>
      <c r="AO41" s="27" t="e">
        <f>VLOOKUP(A41,#REF!,32,0)</f>
        <v>#REF!</v>
      </c>
      <c r="AP41" s="25" t="e">
        <f>VLOOKUP(A41,#REF!,35,0)</f>
        <v>#REF!</v>
      </c>
      <c r="AQ41" s="25" t="e">
        <f>VLOOKUP(A41,#REF!,36,0)</f>
        <v>#REF!</v>
      </c>
      <c r="AR41" s="25" t="e">
        <f>VLOOKUP(A41,#REF!,37,0)</f>
        <v>#REF!</v>
      </c>
      <c r="AS41" s="25" t="e">
        <f>VLOOKUP(A41,#REF!,38,0)</f>
        <v>#REF!</v>
      </c>
      <c r="AT41" s="25" t="e">
        <f>VLOOKUP(A41,#REF!,39,0)</f>
        <v>#REF!</v>
      </c>
      <c r="AU41" s="25"/>
      <c r="AV41" s="26" t="e">
        <f t="shared" si="1"/>
        <v>#REF!</v>
      </c>
      <c r="AW41" s="25" t="e">
        <f t="shared" si="2"/>
        <v>#REF!</v>
      </c>
      <c r="AX41" s="25"/>
      <c r="AY41" s="26" t="e">
        <f t="shared" si="3"/>
        <v>#REF!</v>
      </c>
      <c r="AZ41" s="25" t="e">
        <f t="shared" si="4"/>
        <v>#REF!</v>
      </c>
      <c r="BA41" s="25" t="e">
        <f t="shared" si="5"/>
        <v>#REF!</v>
      </c>
      <c r="BB41" s="25" t="e">
        <f t="shared" si="6"/>
        <v>#REF!</v>
      </c>
      <c r="BC41" s="25" t="e">
        <f t="shared" si="7"/>
        <v>#REF!</v>
      </c>
      <c r="BD41" s="25" t="e">
        <f>VLOOKUP(A41,#REF!,43,0)</f>
        <v>#REF!</v>
      </c>
      <c r="BE41" s="25" t="e">
        <f>VLOOKUP(A41,#REF!,44,0)</f>
        <v>#REF!</v>
      </c>
      <c r="BF41" s="25" t="e">
        <f>VLOOKUP(A41,#REF!,45,0)</f>
        <v>#REF!</v>
      </c>
      <c r="BG41" s="25" t="e">
        <f>VLOOKUP(A41,#REF!,42,0)</f>
        <v>#REF!</v>
      </c>
      <c r="BH41" s="25" t="e">
        <f t="shared" si="8"/>
        <v>#REF!</v>
      </c>
      <c r="BI41" s="25" t="e">
        <f t="shared" si="9"/>
        <v>#REF!</v>
      </c>
      <c r="BJ41" s="25" t="e">
        <f t="shared" si="10"/>
        <v>#REF!</v>
      </c>
    </row>
    <row r="42" spans="1:62" hidden="1" x14ac:dyDescent="0.25">
      <c r="A42" s="20" t="s">
        <v>662</v>
      </c>
      <c r="B42" s="19">
        <v>45689</v>
      </c>
      <c r="C42" s="20" t="s">
        <v>5</v>
      </c>
      <c r="D42" s="20" t="s">
        <v>560</v>
      </c>
      <c r="E42" s="20"/>
      <c r="F42" s="20" t="s">
        <v>80</v>
      </c>
      <c r="G42" s="20" t="s">
        <v>444</v>
      </c>
      <c r="H42" s="20" t="s">
        <v>562</v>
      </c>
      <c r="I42" s="21">
        <v>44630</v>
      </c>
      <c r="J42" s="22"/>
      <c r="K42" s="23" t="s">
        <v>419</v>
      </c>
      <c r="L42" s="24" t="s">
        <v>502</v>
      </c>
      <c r="M42" s="24" t="s">
        <v>432</v>
      </c>
      <c r="N42" s="25">
        <v>2486.84</v>
      </c>
      <c r="O42" s="25">
        <f>2486.84/30*0</f>
        <v>0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f>O42+P42+R42+S42+T42+U42+V42+W42+X42+Y42+Z42+AA42+U140+AB42+AC42</f>
        <v>0</v>
      </c>
      <c r="AE42" s="25">
        <v>0</v>
      </c>
      <c r="AF42" s="25">
        <v>142.94999999999999</v>
      </c>
      <c r="AG42" s="25"/>
      <c r="AH42" s="25"/>
      <c r="AI42" s="25">
        <v>0</v>
      </c>
      <c r="AJ42" s="25">
        <v>0</v>
      </c>
      <c r="AK42" s="25">
        <v>0</v>
      </c>
      <c r="AL42" s="25">
        <v>0</v>
      </c>
      <c r="AM42" s="25">
        <v>0</v>
      </c>
      <c r="AN42" s="25">
        <v>0</v>
      </c>
      <c r="AO42" s="25">
        <v>0</v>
      </c>
      <c r="AP42" s="25">
        <v>0</v>
      </c>
      <c r="AQ42" s="25">
        <v>0</v>
      </c>
      <c r="AR42" s="25">
        <v>0</v>
      </c>
      <c r="AS42" s="25">
        <v>0</v>
      </c>
      <c r="AT42" s="25">
        <v>0</v>
      </c>
      <c r="AU42" s="25"/>
      <c r="AV42" s="25">
        <f t="shared" si="1"/>
        <v>142.94999999999999</v>
      </c>
      <c r="AW42" s="25">
        <f t="shared" si="2"/>
        <v>142.94999999999999</v>
      </c>
      <c r="AX42" s="25"/>
      <c r="AY42" s="25">
        <f t="shared" si="3"/>
        <v>142.94999999999999</v>
      </c>
      <c r="AZ42" s="25">
        <f t="shared" si="4"/>
        <v>0</v>
      </c>
      <c r="BA42" s="25">
        <f t="shared" si="5"/>
        <v>0</v>
      </c>
      <c r="BB42" s="25">
        <f t="shared" si="6"/>
        <v>0</v>
      </c>
      <c r="BC42" s="25">
        <f t="shared" si="7"/>
        <v>0</v>
      </c>
      <c r="BD42" s="25">
        <v>0</v>
      </c>
      <c r="BE42" s="25">
        <v>0</v>
      </c>
      <c r="BF42" s="25">
        <v>0</v>
      </c>
      <c r="BG42" s="25">
        <v>0</v>
      </c>
      <c r="BH42" s="25">
        <v>0</v>
      </c>
      <c r="BI42" s="25">
        <f t="shared" si="9"/>
        <v>142.94999999999999</v>
      </c>
      <c r="BJ42" s="25">
        <f>AY42</f>
        <v>142.94999999999999</v>
      </c>
    </row>
    <row r="43" spans="1:62" hidden="1" x14ac:dyDescent="0.25">
      <c r="A43" s="20" t="s">
        <v>303</v>
      </c>
      <c r="B43" s="19">
        <v>45689</v>
      </c>
      <c r="C43" s="20" t="s">
        <v>5</v>
      </c>
      <c r="D43" s="20" t="s">
        <v>582</v>
      </c>
      <c r="E43" s="20"/>
      <c r="F43" s="20" t="s">
        <v>292</v>
      </c>
      <c r="G43" s="20" t="s">
        <v>566</v>
      </c>
      <c r="H43" s="20" t="s">
        <v>81</v>
      </c>
      <c r="I43" s="21">
        <v>44635</v>
      </c>
      <c r="J43" s="22"/>
      <c r="K43" s="23" t="s">
        <v>419</v>
      </c>
      <c r="L43" s="24" t="s">
        <v>225</v>
      </c>
      <c r="M43" s="24" t="s">
        <v>541</v>
      </c>
      <c r="N43" s="25" t="e">
        <f>VLOOKUP(A43,#REF!,12,0)</f>
        <v>#REF!</v>
      </c>
      <c r="O43" s="25" t="e">
        <f>VLOOKUP(A43,#REF!,15,0)</f>
        <v>#REF!</v>
      </c>
      <c r="P43" s="25" t="e">
        <f>VLOOKUP(A43,#REF!,16,0)</f>
        <v>#REF!</v>
      </c>
      <c r="Q43" s="25" t="e">
        <f>VLOOKUP(A43,#REF!,17,0)</f>
        <v>#REF!</v>
      </c>
      <c r="R43" s="25" t="e">
        <f>VLOOKUP(A43,#REF!,18,0)</f>
        <v>#REF!</v>
      </c>
      <c r="S43" s="25" t="e">
        <f>VLOOKUP(A43,#REF!,19,0)</f>
        <v>#REF!</v>
      </c>
      <c r="T43" s="25" t="e">
        <f>VLOOKUP(A43,#REF!,20,0)</f>
        <v>#REF!</v>
      </c>
      <c r="U43" s="25" t="e">
        <f>VLOOKUP(A43,#REF!,21,0)</f>
        <v>#REF!</v>
      </c>
      <c r="V43" s="25" t="e">
        <f>VLOOKUP(A43,#REF!,22,0)</f>
        <v>#REF!</v>
      </c>
      <c r="W43" s="25" t="e">
        <f>VLOOKUP(A43,#REF!,23,0)</f>
        <v>#REF!</v>
      </c>
      <c r="X43" s="25" t="e">
        <f>VLOOKUP(A43,#REF!,24,0)</f>
        <v>#REF!</v>
      </c>
      <c r="Y43" s="25" t="e">
        <f>VLOOKUP(A43,#REF!,25,0)</f>
        <v>#REF!</v>
      </c>
      <c r="Z43" s="25" t="e">
        <f>VLOOKUP(A43,#REF!,26,0)</f>
        <v>#REF!</v>
      </c>
      <c r="AA43" s="25" t="e">
        <f>VLOOKUP(A43,#REF!,27,0)</f>
        <v>#REF!</v>
      </c>
      <c r="AB43" s="25" t="e">
        <f>VLOOKUP(A43,#REF!,28,0)</f>
        <v>#REF!</v>
      </c>
      <c r="AC43" s="25" t="e">
        <f>VLOOKUP(A43,#REF!,29,0)</f>
        <v>#REF!</v>
      </c>
      <c r="AD43" s="26" t="e">
        <f t="shared" si="0"/>
        <v>#REF!</v>
      </c>
      <c r="AE43" s="25" t="e">
        <f>VLOOKUP(A43,#REF!,31,0)</f>
        <v>#REF!</v>
      </c>
      <c r="AF43" s="25" t="e">
        <f>VLOOKUP(A43,#REF!,32,0)</f>
        <v>#REF!</v>
      </c>
      <c r="AG43" s="25"/>
      <c r="AH43" s="27"/>
      <c r="AI43" s="25" t="e">
        <f>VLOOKUP(A43,#REF!,30,0)</f>
        <v>#REF!</v>
      </c>
      <c r="AJ43" s="25" t="e">
        <f>VLOOKUP(A43,#REF!,31,0)</f>
        <v>#REF!</v>
      </c>
      <c r="AK43" s="25" t="e">
        <f>VLOOKUP(A43,#REF!,33,0)</f>
        <v>#REF!</v>
      </c>
      <c r="AL43" s="25" t="e">
        <f>VLOOKUP(A43,#REF!,36,0)</f>
        <v>#REF!</v>
      </c>
      <c r="AM43" s="25" t="e">
        <f>VLOOKUP(A43,#REF!,34,0)</f>
        <v>#REF!</v>
      </c>
      <c r="AN43" s="27" t="e">
        <f>VLOOKUP(A43,#REF!,35,0)</f>
        <v>#REF!</v>
      </c>
      <c r="AO43" s="27" t="e">
        <f>VLOOKUP(A43,#REF!,32,0)</f>
        <v>#REF!</v>
      </c>
      <c r="AP43" s="25" t="e">
        <f>VLOOKUP(A43,#REF!,35,0)</f>
        <v>#REF!</v>
      </c>
      <c r="AQ43" s="25" t="e">
        <f>VLOOKUP(A43,#REF!,36,0)</f>
        <v>#REF!</v>
      </c>
      <c r="AR43" s="25" t="e">
        <f>VLOOKUP(A43,#REF!,37,0)</f>
        <v>#REF!</v>
      </c>
      <c r="AS43" s="25" t="e">
        <f>VLOOKUP(A43,#REF!,38,0)</f>
        <v>#REF!</v>
      </c>
      <c r="AT43" s="25" t="e">
        <f>VLOOKUP(A43,#REF!,39,0)</f>
        <v>#REF!</v>
      </c>
      <c r="AU43" s="25"/>
      <c r="AV43" s="26" t="e">
        <f t="shared" si="1"/>
        <v>#REF!</v>
      </c>
      <c r="AW43" s="25" t="e">
        <f t="shared" si="2"/>
        <v>#REF!</v>
      </c>
      <c r="AX43" s="25"/>
      <c r="AY43" s="26" t="e">
        <f t="shared" si="3"/>
        <v>#REF!</v>
      </c>
      <c r="AZ43" s="25" t="e">
        <f t="shared" si="4"/>
        <v>#REF!</v>
      </c>
      <c r="BA43" s="25" t="e">
        <f t="shared" si="5"/>
        <v>#REF!</v>
      </c>
      <c r="BB43" s="25" t="e">
        <f t="shared" si="6"/>
        <v>#REF!</v>
      </c>
      <c r="BC43" s="25" t="e">
        <f t="shared" si="7"/>
        <v>#REF!</v>
      </c>
      <c r="BD43" s="25" t="e">
        <f>VLOOKUP(A43,#REF!,43,0)</f>
        <v>#REF!</v>
      </c>
      <c r="BE43" s="25" t="e">
        <f>VLOOKUP(A43,#REF!,44,0)</f>
        <v>#REF!</v>
      </c>
      <c r="BF43" s="25" t="e">
        <f>VLOOKUP(A43,#REF!,45,0)</f>
        <v>#REF!</v>
      </c>
      <c r="BG43" s="25" t="e">
        <f>VLOOKUP(A43,#REF!,42,0)</f>
        <v>#REF!</v>
      </c>
      <c r="BH43" s="25" t="e">
        <f t="shared" ref="BH43:BH78" si="11">SUM(BD43:BG43)</f>
        <v>#REF!</v>
      </c>
      <c r="BI43" s="25" t="e">
        <f t="shared" si="9"/>
        <v>#REF!</v>
      </c>
      <c r="BJ43" s="25" t="e">
        <f t="shared" ref="BJ43:BJ105" si="12">SUM(AY43+BH43+BC43)</f>
        <v>#REF!</v>
      </c>
    </row>
    <row r="44" spans="1:62" hidden="1" x14ac:dyDescent="0.25">
      <c r="A44" s="20" t="s">
        <v>558</v>
      </c>
      <c r="B44" s="19">
        <v>45689</v>
      </c>
      <c r="C44" s="20" t="s">
        <v>5</v>
      </c>
      <c r="D44" s="20" t="s">
        <v>594</v>
      </c>
      <c r="E44" s="20"/>
      <c r="F44" s="20" t="s">
        <v>356</v>
      </c>
      <c r="G44" s="20" t="s">
        <v>464</v>
      </c>
      <c r="H44" s="20" t="s">
        <v>81</v>
      </c>
      <c r="I44" s="21">
        <v>44635</v>
      </c>
      <c r="J44" s="22"/>
      <c r="K44" s="23" t="s">
        <v>419</v>
      </c>
      <c r="L44" s="24" t="s">
        <v>270</v>
      </c>
      <c r="M44" s="24" t="s">
        <v>541</v>
      </c>
      <c r="N44" s="25" t="e">
        <f>VLOOKUP(A44,#REF!,12,0)</f>
        <v>#REF!</v>
      </c>
      <c r="O44" s="25" t="e">
        <f>VLOOKUP(A44,#REF!,15,0)</f>
        <v>#REF!</v>
      </c>
      <c r="P44" s="25" t="e">
        <f>VLOOKUP(A44,#REF!,16,0)</f>
        <v>#REF!</v>
      </c>
      <c r="Q44" s="25" t="e">
        <f>VLOOKUP(A44,#REF!,17,0)</f>
        <v>#REF!</v>
      </c>
      <c r="R44" s="25" t="e">
        <f>VLOOKUP(A44,#REF!,18,0)</f>
        <v>#REF!</v>
      </c>
      <c r="S44" s="25" t="e">
        <f>VLOOKUP(A44,#REF!,19,0)</f>
        <v>#REF!</v>
      </c>
      <c r="T44" s="25" t="e">
        <f>VLOOKUP(A44,#REF!,20,0)</f>
        <v>#REF!</v>
      </c>
      <c r="U44" s="25" t="e">
        <f>VLOOKUP(A44,#REF!,21,0)</f>
        <v>#REF!</v>
      </c>
      <c r="V44" s="25" t="e">
        <f>VLOOKUP(A44,#REF!,22,0)</f>
        <v>#REF!</v>
      </c>
      <c r="W44" s="25" t="e">
        <f>VLOOKUP(A44,#REF!,23,0)</f>
        <v>#REF!</v>
      </c>
      <c r="X44" s="25" t="e">
        <f>VLOOKUP(A44,#REF!,24,0)</f>
        <v>#REF!</v>
      </c>
      <c r="Y44" s="25" t="e">
        <f>VLOOKUP(A44,#REF!,25,0)</f>
        <v>#REF!</v>
      </c>
      <c r="Z44" s="25" t="e">
        <f>VLOOKUP(A44,#REF!,26,0)</f>
        <v>#REF!</v>
      </c>
      <c r="AA44" s="25" t="e">
        <f>VLOOKUP(A44,#REF!,27,0)</f>
        <v>#REF!</v>
      </c>
      <c r="AB44" s="25" t="e">
        <f>VLOOKUP(A44,#REF!,28,0)</f>
        <v>#REF!</v>
      </c>
      <c r="AC44" s="25" t="e">
        <f>VLOOKUP(A44,#REF!,29,0)</f>
        <v>#REF!</v>
      </c>
      <c r="AD44" s="26" t="e">
        <f t="shared" si="0"/>
        <v>#REF!</v>
      </c>
      <c r="AE44" s="25" t="e">
        <f>VLOOKUP(A44,#REF!,31,0)</f>
        <v>#REF!</v>
      </c>
      <c r="AF44" s="25" t="e">
        <f>VLOOKUP(A44,#REF!,32,0)</f>
        <v>#REF!</v>
      </c>
      <c r="AG44" s="25"/>
      <c r="AH44" s="27"/>
      <c r="AI44" s="25" t="e">
        <f>VLOOKUP(A44,#REF!,30,0)</f>
        <v>#REF!</v>
      </c>
      <c r="AJ44" s="25" t="e">
        <f>VLOOKUP(A44,#REF!,31,0)</f>
        <v>#REF!</v>
      </c>
      <c r="AK44" s="25" t="e">
        <f>VLOOKUP(A44,#REF!,33,0)</f>
        <v>#REF!</v>
      </c>
      <c r="AL44" s="25" t="e">
        <f>VLOOKUP(A44,#REF!,36,0)</f>
        <v>#REF!</v>
      </c>
      <c r="AM44" s="25" t="e">
        <f>VLOOKUP(A44,#REF!,34,0)</f>
        <v>#REF!</v>
      </c>
      <c r="AN44" s="27" t="e">
        <f>VLOOKUP(A44,#REF!,35,0)</f>
        <v>#REF!</v>
      </c>
      <c r="AO44" s="27" t="e">
        <f>VLOOKUP(A44,#REF!,32,0)</f>
        <v>#REF!</v>
      </c>
      <c r="AP44" s="25" t="e">
        <f>VLOOKUP(A44,#REF!,35,0)</f>
        <v>#REF!</v>
      </c>
      <c r="AQ44" s="25" t="e">
        <f>VLOOKUP(A44,#REF!,36,0)</f>
        <v>#REF!</v>
      </c>
      <c r="AR44" s="25" t="e">
        <f>VLOOKUP(A44,#REF!,37,0)</f>
        <v>#REF!</v>
      </c>
      <c r="AS44" s="25" t="e">
        <f>VLOOKUP(A44,#REF!,38,0)</f>
        <v>#REF!</v>
      </c>
      <c r="AT44" s="25" t="e">
        <f>VLOOKUP(A44,#REF!,39,0)</f>
        <v>#REF!</v>
      </c>
      <c r="AU44" s="25"/>
      <c r="AV44" s="26" t="e">
        <f t="shared" si="1"/>
        <v>#REF!</v>
      </c>
      <c r="AW44" s="25" t="e">
        <f t="shared" si="2"/>
        <v>#REF!</v>
      </c>
      <c r="AX44" s="25"/>
      <c r="AY44" s="26" t="e">
        <f t="shared" si="3"/>
        <v>#REF!</v>
      </c>
      <c r="AZ44" s="25" t="e">
        <f t="shared" si="4"/>
        <v>#REF!</v>
      </c>
      <c r="BA44" s="25" t="e">
        <f t="shared" si="5"/>
        <v>#REF!</v>
      </c>
      <c r="BB44" s="25" t="e">
        <f t="shared" si="6"/>
        <v>#REF!</v>
      </c>
      <c r="BC44" s="25" t="e">
        <f t="shared" si="7"/>
        <v>#REF!</v>
      </c>
      <c r="BD44" s="25" t="e">
        <f>VLOOKUP(A44,#REF!,43,0)</f>
        <v>#REF!</v>
      </c>
      <c r="BE44" s="25" t="e">
        <f>VLOOKUP(A44,#REF!,44,0)</f>
        <v>#REF!</v>
      </c>
      <c r="BF44" s="25" t="e">
        <f>VLOOKUP(A44,#REF!,45,0)</f>
        <v>#REF!</v>
      </c>
      <c r="BG44" s="25" t="e">
        <f>VLOOKUP(A44,#REF!,42,0)</f>
        <v>#REF!</v>
      </c>
      <c r="BH44" s="25" t="e">
        <f t="shared" si="11"/>
        <v>#REF!</v>
      </c>
      <c r="BI44" s="25" t="e">
        <f t="shared" si="9"/>
        <v>#REF!</v>
      </c>
      <c r="BJ44" s="25" t="e">
        <f t="shared" si="12"/>
        <v>#REF!</v>
      </c>
    </row>
    <row r="45" spans="1:62" hidden="1" x14ac:dyDescent="0.25">
      <c r="A45" s="20" t="s">
        <v>466</v>
      </c>
      <c r="B45" s="19">
        <v>45689</v>
      </c>
      <c r="C45" s="20" t="s">
        <v>5</v>
      </c>
      <c r="D45" s="20" t="s">
        <v>564</v>
      </c>
      <c r="E45" s="20"/>
      <c r="F45" s="20" t="s">
        <v>95</v>
      </c>
      <c r="G45" s="20" t="s">
        <v>203</v>
      </c>
      <c r="H45" s="20" t="s">
        <v>244</v>
      </c>
      <c r="I45" s="21">
        <v>44650</v>
      </c>
      <c r="J45" s="22"/>
      <c r="K45" s="23" t="s">
        <v>419</v>
      </c>
      <c r="L45" s="24" t="s">
        <v>245</v>
      </c>
      <c r="M45" s="24" t="s">
        <v>468</v>
      </c>
      <c r="N45" s="25" t="e">
        <f>VLOOKUP(A45,#REF!,12,0)</f>
        <v>#REF!</v>
      </c>
      <c r="O45" s="25" t="e">
        <f>VLOOKUP(A45,#REF!,15,0)</f>
        <v>#REF!</v>
      </c>
      <c r="P45" s="25" t="e">
        <f>VLOOKUP(A45,#REF!,16,0)</f>
        <v>#REF!</v>
      </c>
      <c r="Q45" s="25" t="e">
        <f>VLOOKUP(A45,#REF!,17,0)</f>
        <v>#REF!</v>
      </c>
      <c r="R45" s="25" t="e">
        <f>VLOOKUP(A45,#REF!,18,0)</f>
        <v>#REF!</v>
      </c>
      <c r="S45" s="25" t="e">
        <f>VLOOKUP(A45,#REF!,19,0)</f>
        <v>#REF!</v>
      </c>
      <c r="T45" s="25" t="e">
        <f>VLOOKUP(A45,#REF!,20,0)</f>
        <v>#REF!</v>
      </c>
      <c r="U45" s="25" t="e">
        <f>VLOOKUP(A45,#REF!,21,0)</f>
        <v>#REF!</v>
      </c>
      <c r="V45" s="25" t="e">
        <f>VLOOKUP(A45,#REF!,22,0)</f>
        <v>#REF!</v>
      </c>
      <c r="W45" s="25" t="e">
        <f>VLOOKUP(A45,#REF!,23,0)</f>
        <v>#REF!</v>
      </c>
      <c r="X45" s="25" t="e">
        <f>VLOOKUP(A45,#REF!,24,0)</f>
        <v>#REF!</v>
      </c>
      <c r="Y45" s="25" t="e">
        <f>VLOOKUP(A45,#REF!,25,0)</f>
        <v>#REF!</v>
      </c>
      <c r="Z45" s="25" t="e">
        <f>VLOOKUP(A45,#REF!,26,0)</f>
        <v>#REF!</v>
      </c>
      <c r="AA45" s="25" t="e">
        <f>VLOOKUP(A45,#REF!,27,0)</f>
        <v>#REF!</v>
      </c>
      <c r="AB45" s="25" t="e">
        <f>VLOOKUP(A45,#REF!,28,0)</f>
        <v>#REF!</v>
      </c>
      <c r="AC45" s="25" t="e">
        <f>VLOOKUP(A45,#REF!,29,0)</f>
        <v>#REF!</v>
      </c>
      <c r="AD45" s="26" t="e">
        <f t="shared" si="0"/>
        <v>#REF!</v>
      </c>
      <c r="AE45" s="25" t="e">
        <f>VLOOKUP(A45,#REF!,31,0)</f>
        <v>#REF!</v>
      </c>
      <c r="AF45" s="25" t="e">
        <f>VLOOKUP(A45,#REF!,32,0)</f>
        <v>#REF!</v>
      </c>
      <c r="AG45" s="25"/>
      <c r="AH45" s="27"/>
      <c r="AI45" s="25" t="e">
        <f>VLOOKUP(A45,#REF!,30,0)</f>
        <v>#REF!</v>
      </c>
      <c r="AJ45" s="25" t="e">
        <f>VLOOKUP(A45,#REF!,31,0)</f>
        <v>#REF!</v>
      </c>
      <c r="AK45" s="25" t="e">
        <f>VLOOKUP(A45,#REF!,33,0)</f>
        <v>#REF!</v>
      </c>
      <c r="AL45" s="25" t="e">
        <f>VLOOKUP(A45,#REF!,36,0)</f>
        <v>#REF!</v>
      </c>
      <c r="AM45" s="25" t="e">
        <f>VLOOKUP(A45,#REF!,34,0)</f>
        <v>#REF!</v>
      </c>
      <c r="AN45" s="27" t="e">
        <f>VLOOKUP(A45,#REF!,35,0)</f>
        <v>#REF!</v>
      </c>
      <c r="AO45" s="27" t="e">
        <f>VLOOKUP(A45,#REF!,32,0)</f>
        <v>#REF!</v>
      </c>
      <c r="AP45" s="25" t="e">
        <f>VLOOKUP(A45,#REF!,35,0)</f>
        <v>#REF!</v>
      </c>
      <c r="AQ45" s="25" t="e">
        <f>VLOOKUP(A45,#REF!,36,0)</f>
        <v>#REF!</v>
      </c>
      <c r="AR45" s="25" t="e">
        <f>VLOOKUP(A45,#REF!,37,0)</f>
        <v>#REF!</v>
      </c>
      <c r="AS45" s="25" t="e">
        <f>VLOOKUP(A45,#REF!,38,0)</f>
        <v>#REF!</v>
      </c>
      <c r="AT45" s="25" t="e">
        <f>VLOOKUP(A45,#REF!,39,0)</f>
        <v>#REF!</v>
      </c>
      <c r="AU45" s="25"/>
      <c r="AV45" s="26" t="e">
        <f t="shared" si="1"/>
        <v>#REF!</v>
      </c>
      <c r="AW45" s="25" t="e">
        <f t="shared" si="2"/>
        <v>#REF!</v>
      </c>
      <c r="AX45" s="25"/>
      <c r="AY45" s="26" t="e">
        <f t="shared" si="3"/>
        <v>#REF!</v>
      </c>
      <c r="AZ45" s="25" t="e">
        <f t="shared" si="4"/>
        <v>#REF!</v>
      </c>
      <c r="BA45" s="25" t="e">
        <f t="shared" si="5"/>
        <v>#REF!</v>
      </c>
      <c r="BB45" s="25" t="e">
        <f t="shared" si="6"/>
        <v>#REF!</v>
      </c>
      <c r="BC45" s="25" t="e">
        <f t="shared" si="7"/>
        <v>#REF!</v>
      </c>
      <c r="BD45" s="25" t="e">
        <f>VLOOKUP(A45,#REF!,43,0)</f>
        <v>#REF!</v>
      </c>
      <c r="BE45" s="25" t="e">
        <f>VLOOKUP(A45,#REF!,44,0)</f>
        <v>#REF!</v>
      </c>
      <c r="BF45" s="25" t="e">
        <f>VLOOKUP(A45,#REF!,45,0)</f>
        <v>#REF!</v>
      </c>
      <c r="BG45" s="25" t="e">
        <f>VLOOKUP(A45,#REF!,42,0)</f>
        <v>#REF!</v>
      </c>
      <c r="BH45" s="25" t="e">
        <f t="shared" si="11"/>
        <v>#REF!</v>
      </c>
      <c r="BI45" s="25" t="e">
        <f t="shared" si="9"/>
        <v>#REF!</v>
      </c>
      <c r="BJ45" s="25" t="e">
        <f t="shared" si="12"/>
        <v>#REF!</v>
      </c>
    </row>
    <row r="46" spans="1:62" hidden="1" x14ac:dyDescent="0.25">
      <c r="A46" s="20" t="s">
        <v>183</v>
      </c>
      <c r="B46" s="19">
        <v>45689</v>
      </c>
      <c r="C46" s="20" t="s">
        <v>5</v>
      </c>
      <c r="D46" s="20" t="s">
        <v>577</v>
      </c>
      <c r="E46" s="20"/>
      <c r="F46" s="20" t="s">
        <v>273</v>
      </c>
      <c r="G46" s="20" t="s">
        <v>178</v>
      </c>
      <c r="H46" s="20" t="s">
        <v>97</v>
      </c>
      <c r="I46" s="21">
        <v>44698</v>
      </c>
      <c r="J46" s="22"/>
      <c r="K46" s="23" t="s">
        <v>419</v>
      </c>
      <c r="L46" s="24" t="s">
        <v>524</v>
      </c>
      <c r="M46" s="24" t="s">
        <v>511</v>
      </c>
      <c r="N46" s="25" t="e">
        <f>VLOOKUP(A46,#REF!,12,0)</f>
        <v>#REF!</v>
      </c>
      <c r="O46" s="25" t="e">
        <f>VLOOKUP(A46,#REF!,15,0)</f>
        <v>#REF!</v>
      </c>
      <c r="P46" s="25" t="e">
        <f>VLOOKUP(A46,#REF!,16,0)</f>
        <v>#REF!</v>
      </c>
      <c r="Q46" s="25" t="e">
        <f>VLOOKUP(A46,#REF!,17,0)</f>
        <v>#REF!</v>
      </c>
      <c r="R46" s="25" t="e">
        <f>VLOOKUP(A46,#REF!,18,0)</f>
        <v>#REF!</v>
      </c>
      <c r="S46" s="25" t="e">
        <f>VLOOKUP(A46,#REF!,19,0)</f>
        <v>#REF!</v>
      </c>
      <c r="T46" s="25" t="e">
        <f>VLOOKUP(A46,#REF!,20,0)</f>
        <v>#REF!</v>
      </c>
      <c r="U46" s="25" t="e">
        <f>VLOOKUP(A46,#REF!,21,0)</f>
        <v>#REF!</v>
      </c>
      <c r="V46" s="25" t="e">
        <f>VLOOKUP(A46,#REF!,22,0)</f>
        <v>#REF!</v>
      </c>
      <c r="W46" s="25" t="e">
        <f>VLOOKUP(A46,#REF!,23,0)</f>
        <v>#REF!</v>
      </c>
      <c r="X46" s="25" t="e">
        <f>VLOOKUP(A46,#REF!,24,0)</f>
        <v>#REF!</v>
      </c>
      <c r="Y46" s="25" t="e">
        <f>VLOOKUP(A46,#REF!,25,0)</f>
        <v>#REF!</v>
      </c>
      <c r="Z46" s="25" t="e">
        <f>VLOOKUP(A46,#REF!,26,0)</f>
        <v>#REF!</v>
      </c>
      <c r="AA46" s="25" t="e">
        <f>VLOOKUP(A46,#REF!,27,0)</f>
        <v>#REF!</v>
      </c>
      <c r="AB46" s="25" t="e">
        <f>VLOOKUP(A46,#REF!,28,0)</f>
        <v>#REF!</v>
      </c>
      <c r="AC46" s="25" t="e">
        <f>VLOOKUP(A46,#REF!,29,0)</f>
        <v>#REF!</v>
      </c>
      <c r="AD46" s="26" t="e">
        <f t="shared" si="0"/>
        <v>#REF!</v>
      </c>
      <c r="AE46" s="25" t="e">
        <f>VLOOKUP(A46,#REF!,31,0)</f>
        <v>#REF!</v>
      </c>
      <c r="AF46" s="25" t="e">
        <f>VLOOKUP(A46,#REF!,32,0)</f>
        <v>#REF!</v>
      </c>
      <c r="AG46" s="25"/>
      <c r="AH46" s="27"/>
      <c r="AI46" s="25" t="e">
        <f>VLOOKUP(A46,#REF!,30,0)</f>
        <v>#REF!</v>
      </c>
      <c r="AJ46" s="25" t="e">
        <f>VLOOKUP(A46,#REF!,31,0)</f>
        <v>#REF!</v>
      </c>
      <c r="AK46" s="25" t="e">
        <f>VLOOKUP(A46,#REF!,33,0)</f>
        <v>#REF!</v>
      </c>
      <c r="AL46" s="25" t="e">
        <f>VLOOKUP(A46,#REF!,36,0)</f>
        <v>#REF!</v>
      </c>
      <c r="AM46" s="25" t="e">
        <f>VLOOKUP(A46,#REF!,34,0)</f>
        <v>#REF!</v>
      </c>
      <c r="AN46" s="27" t="e">
        <f>VLOOKUP(A46,#REF!,35,0)</f>
        <v>#REF!</v>
      </c>
      <c r="AO46" s="27" t="e">
        <f>VLOOKUP(A46,#REF!,32,0)</f>
        <v>#REF!</v>
      </c>
      <c r="AP46" s="25" t="e">
        <f>VLOOKUP(A46,#REF!,35,0)</f>
        <v>#REF!</v>
      </c>
      <c r="AQ46" s="25" t="e">
        <f>VLOOKUP(A46,#REF!,36,0)</f>
        <v>#REF!</v>
      </c>
      <c r="AR46" s="25" t="e">
        <f>VLOOKUP(A46,#REF!,37,0)</f>
        <v>#REF!</v>
      </c>
      <c r="AS46" s="25" t="e">
        <f>VLOOKUP(A46,#REF!,38,0)</f>
        <v>#REF!</v>
      </c>
      <c r="AT46" s="25" t="e">
        <f>VLOOKUP(A46,#REF!,39,0)</f>
        <v>#REF!</v>
      </c>
      <c r="AU46" s="25"/>
      <c r="AV46" s="26" t="e">
        <f t="shared" si="1"/>
        <v>#REF!</v>
      </c>
      <c r="AW46" s="25" t="e">
        <f t="shared" si="2"/>
        <v>#REF!</v>
      </c>
      <c r="AX46" s="25"/>
      <c r="AY46" s="26" t="e">
        <f t="shared" si="3"/>
        <v>#REF!</v>
      </c>
      <c r="AZ46" s="25" t="e">
        <f t="shared" si="4"/>
        <v>#REF!</v>
      </c>
      <c r="BA46" s="25" t="e">
        <f t="shared" si="5"/>
        <v>#REF!</v>
      </c>
      <c r="BB46" s="25" t="e">
        <f t="shared" si="6"/>
        <v>#REF!</v>
      </c>
      <c r="BC46" s="25" t="e">
        <f t="shared" si="7"/>
        <v>#REF!</v>
      </c>
      <c r="BD46" s="25" t="e">
        <f>VLOOKUP(A46,#REF!,43,0)</f>
        <v>#REF!</v>
      </c>
      <c r="BE46" s="25" t="e">
        <f>VLOOKUP(A46,#REF!,44,0)</f>
        <v>#REF!</v>
      </c>
      <c r="BF46" s="25" t="e">
        <f>VLOOKUP(A46,#REF!,45,0)</f>
        <v>#REF!</v>
      </c>
      <c r="BG46" s="25" t="e">
        <f>VLOOKUP(A46,#REF!,42,0)</f>
        <v>#REF!</v>
      </c>
      <c r="BH46" s="25" t="e">
        <f t="shared" si="11"/>
        <v>#REF!</v>
      </c>
      <c r="BI46" s="25" t="e">
        <f t="shared" si="9"/>
        <v>#REF!</v>
      </c>
      <c r="BJ46" s="25" t="e">
        <f t="shared" si="12"/>
        <v>#REF!</v>
      </c>
    </row>
    <row r="47" spans="1:62" hidden="1" x14ac:dyDescent="0.25">
      <c r="A47" s="20" t="s">
        <v>181</v>
      </c>
      <c r="B47" s="19">
        <v>45689</v>
      </c>
      <c r="C47" s="20" t="s">
        <v>5</v>
      </c>
      <c r="D47" s="20" t="s">
        <v>577</v>
      </c>
      <c r="E47" s="20"/>
      <c r="F47" s="20" t="s">
        <v>273</v>
      </c>
      <c r="G47" s="20" t="s">
        <v>178</v>
      </c>
      <c r="H47" s="20" t="s">
        <v>88</v>
      </c>
      <c r="I47" s="21">
        <v>44698</v>
      </c>
      <c r="J47" s="22"/>
      <c r="K47" s="23" t="s">
        <v>419</v>
      </c>
      <c r="L47" s="24" t="s">
        <v>184</v>
      </c>
      <c r="M47" s="24" t="s">
        <v>508</v>
      </c>
      <c r="N47" s="25" t="e">
        <f>VLOOKUP(A47,#REF!,12,0)</f>
        <v>#REF!</v>
      </c>
      <c r="O47" s="25" t="e">
        <f>VLOOKUP(A47,#REF!,15,0)</f>
        <v>#REF!</v>
      </c>
      <c r="P47" s="25" t="e">
        <f>VLOOKUP(A47,#REF!,16,0)</f>
        <v>#REF!</v>
      </c>
      <c r="Q47" s="25" t="e">
        <f>VLOOKUP(A47,#REF!,17,0)</f>
        <v>#REF!</v>
      </c>
      <c r="R47" s="25" t="e">
        <f>VLOOKUP(A47,#REF!,18,0)</f>
        <v>#REF!</v>
      </c>
      <c r="S47" s="25" t="e">
        <f>VLOOKUP(A47,#REF!,19,0)</f>
        <v>#REF!</v>
      </c>
      <c r="T47" s="25" t="e">
        <f>VLOOKUP(A47,#REF!,20,0)</f>
        <v>#REF!</v>
      </c>
      <c r="U47" s="25" t="e">
        <f>VLOOKUP(A47,#REF!,21,0)</f>
        <v>#REF!</v>
      </c>
      <c r="V47" s="25" t="e">
        <f>VLOOKUP(A47,#REF!,22,0)</f>
        <v>#REF!</v>
      </c>
      <c r="W47" s="25" t="e">
        <f>VLOOKUP(A47,#REF!,23,0)</f>
        <v>#REF!</v>
      </c>
      <c r="X47" s="25" t="e">
        <f>VLOOKUP(A47,#REF!,24,0)</f>
        <v>#REF!</v>
      </c>
      <c r="Y47" s="25" t="e">
        <f>VLOOKUP(A47,#REF!,25,0)</f>
        <v>#REF!</v>
      </c>
      <c r="Z47" s="25" t="e">
        <f>VLOOKUP(A47,#REF!,26,0)</f>
        <v>#REF!</v>
      </c>
      <c r="AA47" s="25" t="e">
        <f>VLOOKUP(A47,#REF!,27,0)</f>
        <v>#REF!</v>
      </c>
      <c r="AB47" s="25" t="e">
        <f>VLOOKUP(A47,#REF!,28,0)</f>
        <v>#REF!</v>
      </c>
      <c r="AC47" s="25" t="e">
        <f>VLOOKUP(A47,#REF!,29,0)</f>
        <v>#REF!</v>
      </c>
      <c r="AD47" s="26" t="e">
        <f t="shared" si="0"/>
        <v>#REF!</v>
      </c>
      <c r="AE47" s="25" t="e">
        <f>VLOOKUP(A47,#REF!,31,0)</f>
        <v>#REF!</v>
      </c>
      <c r="AF47" s="25" t="e">
        <f>VLOOKUP(A47,#REF!,32,0)</f>
        <v>#REF!</v>
      </c>
      <c r="AG47" s="25"/>
      <c r="AH47" s="27"/>
      <c r="AI47" s="25" t="e">
        <f>VLOOKUP(A47,#REF!,30,0)</f>
        <v>#REF!</v>
      </c>
      <c r="AJ47" s="25" t="e">
        <f>VLOOKUP(A47,#REF!,31,0)</f>
        <v>#REF!</v>
      </c>
      <c r="AK47" s="25" t="e">
        <f>VLOOKUP(A47,#REF!,33,0)</f>
        <v>#REF!</v>
      </c>
      <c r="AL47" s="25" t="e">
        <f>VLOOKUP(A47,#REF!,36,0)</f>
        <v>#REF!</v>
      </c>
      <c r="AM47" s="25" t="e">
        <f>VLOOKUP(A47,#REF!,34,0)</f>
        <v>#REF!</v>
      </c>
      <c r="AN47" s="27" t="e">
        <f>VLOOKUP(A47,#REF!,35,0)</f>
        <v>#REF!</v>
      </c>
      <c r="AO47" s="27" t="e">
        <f>VLOOKUP(A47,#REF!,32,0)</f>
        <v>#REF!</v>
      </c>
      <c r="AP47" s="25" t="e">
        <f>VLOOKUP(A47,#REF!,35,0)</f>
        <v>#REF!</v>
      </c>
      <c r="AQ47" s="25" t="e">
        <f>VLOOKUP(A47,#REF!,36,0)</f>
        <v>#REF!</v>
      </c>
      <c r="AR47" s="25" t="e">
        <f>VLOOKUP(A47,#REF!,37,0)</f>
        <v>#REF!</v>
      </c>
      <c r="AS47" s="25" t="e">
        <f>VLOOKUP(A47,#REF!,38,0)</f>
        <v>#REF!</v>
      </c>
      <c r="AT47" s="25" t="e">
        <f>VLOOKUP(A47,#REF!,39,0)</f>
        <v>#REF!</v>
      </c>
      <c r="AU47" s="25"/>
      <c r="AV47" s="26" t="e">
        <f t="shared" si="1"/>
        <v>#REF!</v>
      </c>
      <c r="AW47" s="25" t="e">
        <f t="shared" si="2"/>
        <v>#REF!</v>
      </c>
      <c r="AX47" s="25"/>
      <c r="AY47" s="26" t="e">
        <f t="shared" si="3"/>
        <v>#REF!</v>
      </c>
      <c r="AZ47" s="25" t="e">
        <f t="shared" si="4"/>
        <v>#REF!</v>
      </c>
      <c r="BA47" s="25" t="e">
        <f t="shared" si="5"/>
        <v>#REF!</v>
      </c>
      <c r="BB47" s="25" t="e">
        <f t="shared" si="6"/>
        <v>#REF!</v>
      </c>
      <c r="BC47" s="25" t="e">
        <f t="shared" si="7"/>
        <v>#REF!</v>
      </c>
      <c r="BD47" s="25" t="e">
        <f>VLOOKUP(A47,#REF!,43,0)</f>
        <v>#REF!</v>
      </c>
      <c r="BE47" s="25" t="e">
        <f>VLOOKUP(A47,#REF!,44,0)</f>
        <v>#REF!</v>
      </c>
      <c r="BF47" s="25" t="e">
        <f>VLOOKUP(A47,#REF!,45,0)</f>
        <v>#REF!</v>
      </c>
      <c r="BG47" s="25" t="e">
        <f>VLOOKUP(A47,#REF!,42,0)</f>
        <v>#REF!</v>
      </c>
      <c r="BH47" s="25" t="e">
        <f t="shared" si="11"/>
        <v>#REF!</v>
      </c>
      <c r="BI47" s="25" t="e">
        <f t="shared" si="9"/>
        <v>#REF!</v>
      </c>
      <c r="BJ47" s="25" t="e">
        <f t="shared" si="12"/>
        <v>#REF!</v>
      </c>
    </row>
    <row r="48" spans="1:62" hidden="1" x14ac:dyDescent="0.25">
      <c r="A48" s="20" t="s">
        <v>281</v>
      </c>
      <c r="B48" s="19">
        <v>45689</v>
      </c>
      <c r="C48" s="20" t="s">
        <v>5</v>
      </c>
      <c r="D48" s="20" t="s">
        <v>579</v>
      </c>
      <c r="E48" s="20"/>
      <c r="F48" s="20" t="s">
        <v>283</v>
      </c>
      <c r="G48" s="20" t="s">
        <v>142</v>
      </c>
      <c r="H48" s="20" t="s">
        <v>88</v>
      </c>
      <c r="I48" s="21">
        <v>44700</v>
      </c>
      <c r="J48" s="22"/>
      <c r="K48" s="23" t="s">
        <v>419</v>
      </c>
      <c r="L48" s="24" t="s">
        <v>147</v>
      </c>
      <c r="M48" s="24" t="s">
        <v>92</v>
      </c>
      <c r="N48" s="25" t="e">
        <f>VLOOKUP(A48,#REF!,12,0)</f>
        <v>#REF!</v>
      </c>
      <c r="O48" s="25" t="e">
        <f>VLOOKUP(A48,#REF!,15,0)</f>
        <v>#REF!</v>
      </c>
      <c r="P48" s="25" t="e">
        <f>VLOOKUP(A48,#REF!,16,0)</f>
        <v>#REF!</v>
      </c>
      <c r="Q48" s="25" t="e">
        <f>VLOOKUP(A48,#REF!,17,0)</f>
        <v>#REF!</v>
      </c>
      <c r="R48" s="25" t="e">
        <f>VLOOKUP(A48,#REF!,18,0)</f>
        <v>#REF!</v>
      </c>
      <c r="S48" s="25" t="e">
        <f>VLOOKUP(A48,#REF!,19,0)</f>
        <v>#REF!</v>
      </c>
      <c r="T48" s="25" t="e">
        <f>VLOOKUP(A48,#REF!,20,0)</f>
        <v>#REF!</v>
      </c>
      <c r="U48" s="25" t="e">
        <f>VLOOKUP(A48,#REF!,21,0)</f>
        <v>#REF!</v>
      </c>
      <c r="V48" s="25" t="e">
        <f>VLOOKUP(A48,#REF!,22,0)</f>
        <v>#REF!</v>
      </c>
      <c r="W48" s="25" t="e">
        <f>VLOOKUP(A48,#REF!,23,0)</f>
        <v>#REF!</v>
      </c>
      <c r="X48" s="25" t="e">
        <f>VLOOKUP(A48,#REF!,24,0)</f>
        <v>#REF!</v>
      </c>
      <c r="Y48" s="25" t="e">
        <f>VLOOKUP(A48,#REF!,25,0)</f>
        <v>#REF!</v>
      </c>
      <c r="Z48" s="25" t="e">
        <f>VLOOKUP(A48,#REF!,26,0)</f>
        <v>#REF!</v>
      </c>
      <c r="AA48" s="25" t="e">
        <f>VLOOKUP(A48,#REF!,27,0)</f>
        <v>#REF!</v>
      </c>
      <c r="AB48" s="25" t="e">
        <f>VLOOKUP(A48,#REF!,28,0)</f>
        <v>#REF!</v>
      </c>
      <c r="AC48" s="25" t="e">
        <f>VLOOKUP(A48,#REF!,29,0)</f>
        <v>#REF!</v>
      </c>
      <c r="AD48" s="26" t="e">
        <f t="shared" si="0"/>
        <v>#REF!</v>
      </c>
      <c r="AE48" s="25" t="e">
        <f>VLOOKUP(A48,#REF!,31,0)</f>
        <v>#REF!</v>
      </c>
      <c r="AF48" s="25" t="e">
        <f>VLOOKUP(A48,#REF!,32,0)</f>
        <v>#REF!</v>
      </c>
      <c r="AG48" s="25"/>
      <c r="AH48" s="27"/>
      <c r="AI48" s="25" t="e">
        <f>VLOOKUP(A48,#REF!,30,0)</f>
        <v>#REF!</v>
      </c>
      <c r="AJ48" s="25" t="e">
        <f>VLOOKUP(A48,#REF!,31,0)</f>
        <v>#REF!</v>
      </c>
      <c r="AK48" s="25" t="e">
        <f>VLOOKUP(A48,#REF!,33,0)</f>
        <v>#REF!</v>
      </c>
      <c r="AL48" s="25" t="e">
        <f>VLOOKUP(A48,#REF!,36,0)</f>
        <v>#REF!</v>
      </c>
      <c r="AM48" s="25" t="e">
        <f>VLOOKUP(A48,#REF!,34,0)</f>
        <v>#REF!</v>
      </c>
      <c r="AN48" s="27" t="e">
        <f>VLOOKUP(A48,#REF!,35,0)</f>
        <v>#REF!</v>
      </c>
      <c r="AO48" s="27" t="e">
        <f>VLOOKUP(A48,#REF!,32,0)</f>
        <v>#REF!</v>
      </c>
      <c r="AP48" s="25" t="e">
        <f>VLOOKUP(A48,#REF!,35,0)</f>
        <v>#REF!</v>
      </c>
      <c r="AQ48" s="25" t="e">
        <f>VLOOKUP(A48,#REF!,36,0)</f>
        <v>#REF!</v>
      </c>
      <c r="AR48" s="25" t="e">
        <f>VLOOKUP(A48,#REF!,37,0)</f>
        <v>#REF!</v>
      </c>
      <c r="AS48" s="25" t="e">
        <f>VLOOKUP(A48,#REF!,38,0)</f>
        <v>#REF!</v>
      </c>
      <c r="AT48" s="25" t="e">
        <f>VLOOKUP(A48,#REF!,39,0)</f>
        <v>#REF!</v>
      </c>
      <c r="AU48" s="25"/>
      <c r="AV48" s="26" t="e">
        <f t="shared" si="1"/>
        <v>#REF!</v>
      </c>
      <c r="AW48" s="25" t="e">
        <f t="shared" si="2"/>
        <v>#REF!</v>
      </c>
      <c r="AX48" s="25"/>
      <c r="AY48" s="26" t="e">
        <f t="shared" si="3"/>
        <v>#REF!</v>
      </c>
      <c r="AZ48" s="25" t="e">
        <f t="shared" si="4"/>
        <v>#REF!</v>
      </c>
      <c r="BA48" s="25" t="e">
        <f t="shared" si="5"/>
        <v>#REF!</v>
      </c>
      <c r="BB48" s="25" t="e">
        <f t="shared" si="6"/>
        <v>#REF!</v>
      </c>
      <c r="BC48" s="25" t="e">
        <f t="shared" si="7"/>
        <v>#REF!</v>
      </c>
      <c r="BD48" s="25" t="e">
        <f>VLOOKUP(A48,#REF!,43,0)</f>
        <v>#REF!</v>
      </c>
      <c r="BE48" s="25" t="e">
        <f>VLOOKUP(A48,#REF!,44,0)</f>
        <v>#REF!</v>
      </c>
      <c r="BF48" s="25" t="e">
        <f>VLOOKUP(A48,#REF!,45,0)</f>
        <v>#REF!</v>
      </c>
      <c r="BG48" s="25" t="e">
        <f>VLOOKUP(A48,#REF!,42,0)</f>
        <v>#REF!</v>
      </c>
      <c r="BH48" s="25" t="e">
        <f t="shared" si="11"/>
        <v>#REF!</v>
      </c>
      <c r="BI48" s="25" t="e">
        <f t="shared" si="9"/>
        <v>#REF!</v>
      </c>
      <c r="BJ48" s="25" t="e">
        <f t="shared" si="12"/>
        <v>#REF!</v>
      </c>
    </row>
    <row r="49" spans="1:62" hidden="1" x14ac:dyDescent="0.25">
      <c r="A49" s="20" t="s">
        <v>616</v>
      </c>
      <c r="B49" s="19">
        <v>45689</v>
      </c>
      <c r="C49" s="20" t="s">
        <v>5</v>
      </c>
      <c r="D49" s="20" t="s">
        <v>594</v>
      </c>
      <c r="E49" s="20"/>
      <c r="F49" s="20" t="s">
        <v>356</v>
      </c>
      <c r="G49" s="20" t="s">
        <v>464</v>
      </c>
      <c r="H49" s="20" t="s">
        <v>88</v>
      </c>
      <c r="I49" s="21">
        <v>44757</v>
      </c>
      <c r="J49" s="22"/>
      <c r="K49" s="23" t="s">
        <v>419</v>
      </c>
      <c r="L49" s="24" t="s">
        <v>132</v>
      </c>
      <c r="M49" s="24" t="s">
        <v>505</v>
      </c>
      <c r="N49" s="25" t="e">
        <f>VLOOKUP(A49,#REF!,12,0)</f>
        <v>#REF!</v>
      </c>
      <c r="O49" s="25" t="e">
        <f>VLOOKUP(A49,#REF!,15,0)</f>
        <v>#REF!</v>
      </c>
      <c r="P49" s="25" t="e">
        <f>VLOOKUP(A49,#REF!,16,0)</f>
        <v>#REF!</v>
      </c>
      <c r="Q49" s="25" t="e">
        <f>VLOOKUP(A49,#REF!,17,0)</f>
        <v>#REF!</v>
      </c>
      <c r="R49" s="25" t="e">
        <f>VLOOKUP(A49,#REF!,18,0)</f>
        <v>#REF!</v>
      </c>
      <c r="S49" s="25" t="e">
        <f>VLOOKUP(A49,#REF!,19,0)</f>
        <v>#REF!</v>
      </c>
      <c r="T49" s="25" t="e">
        <f>VLOOKUP(A49,#REF!,20,0)</f>
        <v>#REF!</v>
      </c>
      <c r="U49" s="25" t="e">
        <f>VLOOKUP(A49,#REF!,21,0)</f>
        <v>#REF!</v>
      </c>
      <c r="V49" s="25" t="e">
        <f>VLOOKUP(A49,#REF!,22,0)</f>
        <v>#REF!</v>
      </c>
      <c r="W49" s="25" t="e">
        <f>VLOOKUP(A49,#REF!,23,0)</f>
        <v>#REF!</v>
      </c>
      <c r="X49" s="25" t="e">
        <f>VLOOKUP(A49,#REF!,24,0)</f>
        <v>#REF!</v>
      </c>
      <c r="Y49" s="25" t="e">
        <f>VLOOKUP(A49,#REF!,25,0)</f>
        <v>#REF!</v>
      </c>
      <c r="Z49" s="25" t="e">
        <f>VLOOKUP(A49,#REF!,26,0)</f>
        <v>#REF!</v>
      </c>
      <c r="AA49" s="25" t="e">
        <f>VLOOKUP(A49,#REF!,27,0)</f>
        <v>#REF!</v>
      </c>
      <c r="AB49" s="25" t="e">
        <f>VLOOKUP(A49,#REF!,28,0)</f>
        <v>#REF!</v>
      </c>
      <c r="AC49" s="25" t="e">
        <f>VLOOKUP(A49,#REF!,29,0)</f>
        <v>#REF!</v>
      </c>
      <c r="AD49" s="26" t="e">
        <f t="shared" si="0"/>
        <v>#REF!</v>
      </c>
      <c r="AE49" s="25" t="e">
        <f>VLOOKUP(A49,#REF!,31,0)</f>
        <v>#REF!</v>
      </c>
      <c r="AF49" s="25" t="e">
        <f>VLOOKUP(A49,#REF!,32,0)</f>
        <v>#REF!</v>
      </c>
      <c r="AG49" s="25"/>
      <c r="AH49" s="27"/>
      <c r="AI49" s="25" t="e">
        <f>VLOOKUP(A49,#REF!,30,0)</f>
        <v>#REF!</v>
      </c>
      <c r="AJ49" s="25" t="e">
        <f>VLOOKUP(A49,#REF!,31,0)</f>
        <v>#REF!</v>
      </c>
      <c r="AK49" s="25" t="e">
        <f>VLOOKUP(A49,#REF!,33,0)</f>
        <v>#REF!</v>
      </c>
      <c r="AL49" s="25" t="e">
        <f>VLOOKUP(A49,#REF!,36,0)</f>
        <v>#REF!</v>
      </c>
      <c r="AM49" s="25" t="e">
        <f>VLOOKUP(A49,#REF!,34,0)</f>
        <v>#REF!</v>
      </c>
      <c r="AN49" s="27" t="e">
        <f>VLOOKUP(A49,#REF!,35,0)</f>
        <v>#REF!</v>
      </c>
      <c r="AO49" s="27" t="e">
        <f>VLOOKUP(A49,#REF!,32,0)</f>
        <v>#REF!</v>
      </c>
      <c r="AP49" s="25" t="e">
        <f>VLOOKUP(A49,#REF!,35,0)</f>
        <v>#REF!</v>
      </c>
      <c r="AQ49" s="25" t="e">
        <f>VLOOKUP(A49,#REF!,36,0)</f>
        <v>#REF!</v>
      </c>
      <c r="AR49" s="25" t="e">
        <f>VLOOKUP(A49,#REF!,37,0)</f>
        <v>#REF!</v>
      </c>
      <c r="AS49" s="25" t="e">
        <f>VLOOKUP(A49,#REF!,38,0)</f>
        <v>#REF!</v>
      </c>
      <c r="AT49" s="25" t="e">
        <f>VLOOKUP(A49,#REF!,39,0)</f>
        <v>#REF!</v>
      </c>
      <c r="AU49" s="25"/>
      <c r="AV49" s="26" t="e">
        <f t="shared" si="1"/>
        <v>#REF!</v>
      </c>
      <c r="AW49" s="25" t="e">
        <f t="shared" si="2"/>
        <v>#REF!</v>
      </c>
      <c r="AX49" s="25"/>
      <c r="AY49" s="26" t="e">
        <f t="shared" si="3"/>
        <v>#REF!</v>
      </c>
      <c r="AZ49" s="25" t="e">
        <f t="shared" si="4"/>
        <v>#REF!</v>
      </c>
      <c r="BA49" s="25" t="e">
        <f t="shared" si="5"/>
        <v>#REF!</v>
      </c>
      <c r="BB49" s="25" t="e">
        <f t="shared" si="6"/>
        <v>#REF!</v>
      </c>
      <c r="BC49" s="25" t="e">
        <f t="shared" si="7"/>
        <v>#REF!</v>
      </c>
      <c r="BD49" s="25" t="e">
        <f>VLOOKUP(A49,#REF!,43,0)</f>
        <v>#REF!</v>
      </c>
      <c r="BE49" s="25" t="e">
        <f>VLOOKUP(A49,#REF!,44,0)</f>
        <v>#REF!</v>
      </c>
      <c r="BF49" s="25" t="e">
        <f>VLOOKUP(A49,#REF!,45,0)</f>
        <v>#REF!</v>
      </c>
      <c r="BG49" s="25" t="e">
        <f>VLOOKUP(A49,#REF!,42,0)</f>
        <v>#REF!</v>
      </c>
      <c r="BH49" s="25" t="e">
        <f t="shared" si="11"/>
        <v>#REF!</v>
      </c>
      <c r="BI49" s="25" t="e">
        <f t="shared" si="9"/>
        <v>#REF!</v>
      </c>
      <c r="BJ49" s="25" t="e">
        <f t="shared" si="12"/>
        <v>#REF!</v>
      </c>
    </row>
    <row r="50" spans="1:62" hidden="1" x14ac:dyDescent="0.25">
      <c r="A50" s="20" t="s">
        <v>540</v>
      </c>
      <c r="B50" s="19">
        <v>45689</v>
      </c>
      <c r="C50" s="20" t="s">
        <v>5</v>
      </c>
      <c r="D50" s="20" t="s">
        <v>579</v>
      </c>
      <c r="E50" s="20"/>
      <c r="F50" s="20" t="s">
        <v>283</v>
      </c>
      <c r="G50" s="20" t="s">
        <v>142</v>
      </c>
      <c r="H50" s="20" t="s">
        <v>81</v>
      </c>
      <c r="I50" s="21">
        <v>44769</v>
      </c>
      <c r="J50" s="22"/>
      <c r="K50" s="23" t="s">
        <v>419</v>
      </c>
      <c r="L50" s="24" t="s">
        <v>285</v>
      </c>
      <c r="M50" s="24" t="s">
        <v>541</v>
      </c>
      <c r="N50" s="25" t="e">
        <f>VLOOKUP(A50,#REF!,12,0)</f>
        <v>#REF!</v>
      </c>
      <c r="O50" s="25" t="e">
        <f>VLOOKUP(A50,#REF!,15,0)</f>
        <v>#REF!</v>
      </c>
      <c r="P50" s="25" t="e">
        <f>VLOOKUP(A50,#REF!,16,0)</f>
        <v>#REF!</v>
      </c>
      <c r="Q50" s="25" t="e">
        <f>VLOOKUP(A50,#REF!,17,0)</f>
        <v>#REF!</v>
      </c>
      <c r="R50" s="25" t="e">
        <f>VLOOKUP(A50,#REF!,18,0)</f>
        <v>#REF!</v>
      </c>
      <c r="S50" s="25" t="e">
        <f>VLOOKUP(A50,#REF!,19,0)</f>
        <v>#REF!</v>
      </c>
      <c r="T50" s="25" t="e">
        <f>VLOOKUP(A50,#REF!,20,0)</f>
        <v>#REF!</v>
      </c>
      <c r="U50" s="25" t="e">
        <f>VLOOKUP(A50,#REF!,21,0)</f>
        <v>#REF!</v>
      </c>
      <c r="V50" s="25" t="e">
        <f>VLOOKUP(A50,#REF!,22,0)</f>
        <v>#REF!</v>
      </c>
      <c r="W50" s="25" t="e">
        <f>VLOOKUP(A50,#REF!,23,0)</f>
        <v>#REF!</v>
      </c>
      <c r="X50" s="25" t="e">
        <f>VLOOKUP(A50,#REF!,24,0)</f>
        <v>#REF!</v>
      </c>
      <c r="Y50" s="25" t="e">
        <f>VLOOKUP(A50,#REF!,25,0)</f>
        <v>#REF!</v>
      </c>
      <c r="Z50" s="25" t="e">
        <f>VLOOKUP(A50,#REF!,26,0)</f>
        <v>#REF!</v>
      </c>
      <c r="AA50" s="25" t="e">
        <f>VLOOKUP(A50,#REF!,27,0)</f>
        <v>#REF!</v>
      </c>
      <c r="AB50" s="25" t="e">
        <f>VLOOKUP(A50,#REF!,28,0)</f>
        <v>#REF!</v>
      </c>
      <c r="AC50" s="25" t="e">
        <f>VLOOKUP(A50,#REF!,29,0)</f>
        <v>#REF!</v>
      </c>
      <c r="AD50" s="26" t="e">
        <f t="shared" si="0"/>
        <v>#REF!</v>
      </c>
      <c r="AE50" s="25" t="e">
        <f>VLOOKUP(A50,#REF!,31,0)</f>
        <v>#REF!</v>
      </c>
      <c r="AF50" s="25" t="e">
        <f>VLOOKUP(A50,#REF!,32,0)</f>
        <v>#REF!</v>
      </c>
      <c r="AG50" s="25"/>
      <c r="AH50" s="27"/>
      <c r="AI50" s="25" t="e">
        <f>VLOOKUP(A50,#REF!,30,0)</f>
        <v>#REF!</v>
      </c>
      <c r="AJ50" s="25" t="e">
        <f>VLOOKUP(A50,#REF!,31,0)</f>
        <v>#REF!</v>
      </c>
      <c r="AK50" s="25" t="e">
        <f>VLOOKUP(A50,#REF!,33,0)</f>
        <v>#REF!</v>
      </c>
      <c r="AL50" s="25" t="e">
        <f>VLOOKUP(A50,#REF!,36,0)</f>
        <v>#REF!</v>
      </c>
      <c r="AM50" s="25" t="e">
        <f>VLOOKUP(A50,#REF!,34,0)</f>
        <v>#REF!</v>
      </c>
      <c r="AN50" s="27" t="e">
        <f>VLOOKUP(A50,#REF!,35,0)</f>
        <v>#REF!</v>
      </c>
      <c r="AO50" s="27" t="e">
        <f>VLOOKUP(A50,#REF!,32,0)</f>
        <v>#REF!</v>
      </c>
      <c r="AP50" s="25" t="e">
        <f>VLOOKUP(A50,#REF!,35,0)</f>
        <v>#REF!</v>
      </c>
      <c r="AQ50" s="25" t="e">
        <f>VLOOKUP(A50,#REF!,36,0)</f>
        <v>#REF!</v>
      </c>
      <c r="AR50" s="25" t="e">
        <f>VLOOKUP(A50,#REF!,37,0)</f>
        <v>#REF!</v>
      </c>
      <c r="AS50" s="25" t="e">
        <f>VLOOKUP(A50,#REF!,38,0)</f>
        <v>#REF!</v>
      </c>
      <c r="AT50" s="25" t="e">
        <f>VLOOKUP(A50,#REF!,39,0)</f>
        <v>#REF!</v>
      </c>
      <c r="AU50" s="25"/>
      <c r="AV50" s="26" t="e">
        <f t="shared" si="1"/>
        <v>#REF!</v>
      </c>
      <c r="AW50" s="25" t="e">
        <f t="shared" si="2"/>
        <v>#REF!</v>
      </c>
      <c r="AX50" s="25"/>
      <c r="AY50" s="26" t="e">
        <f t="shared" si="3"/>
        <v>#REF!</v>
      </c>
      <c r="AZ50" s="25" t="e">
        <f t="shared" si="4"/>
        <v>#REF!</v>
      </c>
      <c r="BA50" s="25" t="e">
        <f t="shared" si="5"/>
        <v>#REF!</v>
      </c>
      <c r="BB50" s="25" t="e">
        <f t="shared" si="6"/>
        <v>#REF!</v>
      </c>
      <c r="BC50" s="25" t="e">
        <f t="shared" si="7"/>
        <v>#REF!</v>
      </c>
      <c r="BD50" s="25" t="e">
        <f>VLOOKUP(A50,#REF!,43,0)</f>
        <v>#REF!</v>
      </c>
      <c r="BE50" s="25" t="e">
        <f>VLOOKUP(A50,#REF!,44,0)</f>
        <v>#REF!</v>
      </c>
      <c r="BF50" s="25" t="e">
        <f>VLOOKUP(A50,#REF!,45,0)</f>
        <v>#REF!</v>
      </c>
      <c r="BG50" s="25" t="e">
        <f>VLOOKUP(A50,#REF!,42,0)</f>
        <v>#REF!</v>
      </c>
      <c r="BH50" s="25" t="e">
        <f t="shared" si="11"/>
        <v>#REF!</v>
      </c>
      <c r="BI50" s="25" t="e">
        <f t="shared" si="9"/>
        <v>#REF!</v>
      </c>
      <c r="BJ50" s="25" t="e">
        <f t="shared" si="12"/>
        <v>#REF!</v>
      </c>
    </row>
    <row r="51" spans="1:62" hidden="1" x14ac:dyDescent="0.25">
      <c r="A51" s="20" t="s">
        <v>304</v>
      </c>
      <c r="B51" s="19">
        <v>45689</v>
      </c>
      <c r="C51" s="20" t="s">
        <v>5</v>
      </c>
      <c r="D51" s="20" t="s">
        <v>582</v>
      </c>
      <c r="E51" s="20"/>
      <c r="F51" s="20" t="s">
        <v>292</v>
      </c>
      <c r="G51" s="20" t="s">
        <v>444</v>
      </c>
      <c r="H51" s="20" t="s">
        <v>81</v>
      </c>
      <c r="I51" s="21">
        <v>44783</v>
      </c>
      <c r="J51" s="22"/>
      <c r="K51" s="23" t="s">
        <v>419</v>
      </c>
      <c r="L51" s="24" t="s">
        <v>211</v>
      </c>
      <c r="M51" s="24" t="s">
        <v>617</v>
      </c>
      <c r="N51" s="25" t="e">
        <f>VLOOKUP(A51,#REF!,12,0)</f>
        <v>#REF!</v>
      </c>
      <c r="O51" s="25" t="e">
        <f>VLOOKUP(A51,#REF!,15,0)</f>
        <v>#REF!</v>
      </c>
      <c r="P51" s="25" t="e">
        <f>VLOOKUP(A51,#REF!,16,0)</f>
        <v>#REF!</v>
      </c>
      <c r="Q51" s="25" t="e">
        <f>VLOOKUP(A51,#REF!,17,0)</f>
        <v>#REF!</v>
      </c>
      <c r="R51" s="25" t="e">
        <f>VLOOKUP(A51,#REF!,18,0)</f>
        <v>#REF!</v>
      </c>
      <c r="S51" s="25" t="e">
        <f>VLOOKUP(A51,#REF!,19,0)</f>
        <v>#REF!</v>
      </c>
      <c r="T51" s="25" t="e">
        <f>VLOOKUP(A51,#REF!,20,0)</f>
        <v>#REF!</v>
      </c>
      <c r="U51" s="25" t="e">
        <f>VLOOKUP(A51,#REF!,21,0)</f>
        <v>#REF!</v>
      </c>
      <c r="V51" s="25" t="e">
        <f>VLOOKUP(A51,#REF!,22,0)</f>
        <v>#REF!</v>
      </c>
      <c r="W51" s="25" t="e">
        <f>VLOOKUP(A51,#REF!,23,0)</f>
        <v>#REF!</v>
      </c>
      <c r="X51" s="25" t="e">
        <f>VLOOKUP(A51,#REF!,24,0)</f>
        <v>#REF!</v>
      </c>
      <c r="Y51" s="25" t="e">
        <f>VLOOKUP(A51,#REF!,25,0)</f>
        <v>#REF!</v>
      </c>
      <c r="Z51" s="25" t="e">
        <f>VLOOKUP(A51,#REF!,26,0)</f>
        <v>#REF!</v>
      </c>
      <c r="AA51" s="25" t="e">
        <f>VLOOKUP(A51,#REF!,27,0)</f>
        <v>#REF!</v>
      </c>
      <c r="AB51" s="25" t="e">
        <f>VLOOKUP(A51,#REF!,28,0)</f>
        <v>#REF!</v>
      </c>
      <c r="AC51" s="25" t="e">
        <f>VLOOKUP(A51,#REF!,29,0)</f>
        <v>#REF!</v>
      </c>
      <c r="AD51" s="26" t="e">
        <f t="shared" si="0"/>
        <v>#REF!</v>
      </c>
      <c r="AE51" s="25" t="e">
        <f>VLOOKUP(A51,#REF!,31,0)</f>
        <v>#REF!</v>
      </c>
      <c r="AF51" s="25" t="e">
        <f>VLOOKUP(A51,#REF!,32,0)</f>
        <v>#REF!</v>
      </c>
      <c r="AG51" s="25"/>
      <c r="AH51" s="27"/>
      <c r="AI51" s="25" t="e">
        <f>VLOOKUP(A51,#REF!,30,0)</f>
        <v>#REF!</v>
      </c>
      <c r="AJ51" s="25" t="e">
        <f>VLOOKUP(A51,#REF!,31,0)</f>
        <v>#REF!</v>
      </c>
      <c r="AK51" s="25" t="e">
        <f>VLOOKUP(A51,#REF!,33,0)</f>
        <v>#REF!</v>
      </c>
      <c r="AL51" s="25" t="e">
        <f>VLOOKUP(A51,#REF!,36,0)</f>
        <v>#REF!</v>
      </c>
      <c r="AM51" s="25" t="e">
        <f>VLOOKUP(A51,#REF!,34,0)</f>
        <v>#REF!</v>
      </c>
      <c r="AN51" s="27" t="e">
        <f>VLOOKUP(A51,#REF!,35,0)</f>
        <v>#REF!</v>
      </c>
      <c r="AO51" s="27" t="e">
        <f>VLOOKUP(A51,#REF!,32,0)</f>
        <v>#REF!</v>
      </c>
      <c r="AP51" s="25" t="e">
        <f>VLOOKUP(A51,#REF!,35,0)</f>
        <v>#REF!</v>
      </c>
      <c r="AQ51" s="25" t="e">
        <f>VLOOKUP(A51,#REF!,36,0)</f>
        <v>#REF!</v>
      </c>
      <c r="AR51" s="25" t="e">
        <f>VLOOKUP(A51,#REF!,37,0)</f>
        <v>#REF!</v>
      </c>
      <c r="AS51" s="25" t="e">
        <f>VLOOKUP(A51,#REF!,38,0)</f>
        <v>#REF!</v>
      </c>
      <c r="AT51" s="25" t="e">
        <f>VLOOKUP(A51,#REF!,39,0)</f>
        <v>#REF!</v>
      </c>
      <c r="AU51" s="25"/>
      <c r="AV51" s="26" t="e">
        <f t="shared" si="1"/>
        <v>#REF!</v>
      </c>
      <c r="AW51" s="25" t="e">
        <f t="shared" si="2"/>
        <v>#REF!</v>
      </c>
      <c r="AX51" s="25"/>
      <c r="AY51" s="26" t="e">
        <f t="shared" si="3"/>
        <v>#REF!</v>
      </c>
      <c r="AZ51" s="25" t="e">
        <f t="shared" si="4"/>
        <v>#REF!</v>
      </c>
      <c r="BA51" s="25" t="e">
        <f t="shared" si="5"/>
        <v>#REF!</v>
      </c>
      <c r="BB51" s="25" t="e">
        <f t="shared" si="6"/>
        <v>#REF!</v>
      </c>
      <c r="BC51" s="25" t="e">
        <f t="shared" si="7"/>
        <v>#REF!</v>
      </c>
      <c r="BD51" s="25" t="e">
        <f>VLOOKUP(A51,#REF!,43,0)</f>
        <v>#REF!</v>
      </c>
      <c r="BE51" s="25" t="e">
        <f>VLOOKUP(A51,#REF!,44,0)</f>
        <v>#REF!</v>
      </c>
      <c r="BF51" s="25" t="e">
        <f>VLOOKUP(A51,#REF!,45,0)</f>
        <v>#REF!</v>
      </c>
      <c r="BG51" s="25" t="e">
        <f>VLOOKUP(A51,#REF!,42,0)</f>
        <v>#REF!</v>
      </c>
      <c r="BH51" s="25" t="e">
        <f t="shared" si="11"/>
        <v>#REF!</v>
      </c>
      <c r="BI51" s="25" t="e">
        <f t="shared" si="9"/>
        <v>#REF!</v>
      </c>
      <c r="BJ51" s="25" t="e">
        <f t="shared" si="12"/>
        <v>#REF!</v>
      </c>
    </row>
    <row r="52" spans="1:62" hidden="1" x14ac:dyDescent="0.25">
      <c r="A52" s="20" t="s">
        <v>590</v>
      </c>
      <c r="B52" s="19">
        <v>45689</v>
      </c>
      <c r="C52" s="20" t="s">
        <v>5</v>
      </c>
      <c r="D52" s="20" t="s">
        <v>588</v>
      </c>
      <c r="E52" s="20"/>
      <c r="F52" s="20" t="s">
        <v>312</v>
      </c>
      <c r="G52" s="20" t="s">
        <v>313</v>
      </c>
      <c r="H52" s="20" t="s">
        <v>329</v>
      </c>
      <c r="I52" s="21">
        <v>44868</v>
      </c>
      <c r="J52" s="22"/>
      <c r="K52" s="23" t="s">
        <v>419</v>
      </c>
      <c r="L52" s="24" t="s">
        <v>330</v>
      </c>
      <c r="M52" s="24" t="s">
        <v>591</v>
      </c>
      <c r="N52" s="25" t="e">
        <f>VLOOKUP(A52,#REF!,12,0)</f>
        <v>#REF!</v>
      </c>
      <c r="O52" s="25" t="e">
        <f>VLOOKUP(A52,#REF!,15,0)</f>
        <v>#REF!</v>
      </c>
      <c r="P52" s="25" t="e">
        <f>VLOOKUP(A52,#REF!,16,0)</f>
        <v>#REF!</v>
      </c>
      <c r="Q52" s="25" t="e">
        <f>VLOOKUP(A52,#REF!,17,0)</f>
        <v>#REF!</v>
      </c>
      <c r="R52" s="25" t="e">
        <f>VLOOKUP(A52,#REF!,18,0)</f>
        <v>#REF!</v>
      </c>
      <c r="S52" s="25" t="e">
        <f>VLOOKUP(A52,#REF!,19,0)</f>
        <v>#REF!</v>
      </c>
      <c r="T52" s="25" t="e">
        <f>VLOOKUP(A52,#REF!,20,0)</f>
        <v>#REF!</v>
      </c>
      <c r="U52" s="25" t="e">
        <f>VLOOKUP(A52,#REF!,21,0)</f>
        <v>#REF!</v>
      </c>
      <c r="V52" s="25" t="e">
        <f>VLOOKUP(A52,#REF!,22,0)</f>
        <v>#REF!</v>
      </c>
      <c r="W52" s="25" t="e">
        <f>VLOOKUP(A52,#REF!,23,0)</f>
        <v>#REF!</v>
      </c>
      <c r="X52" s="25" t="e">
        <f>VLOOKUP(A52,#REF!,24,0)</f>
        <v>#REF!</v>
      </c>
      <c r="Y52" s="25" t="e">
        <f>VLOOKUP(A52,#REF!,25,0)</f>
        <v>#REF!</v>
      </c>
      <c r="Z52" s="25" t="e">
        <f>VLOOKUP(A52,#REF!,26,0)</f>
        <v>#REF!</v>
      </c>
      <c r="AA52" s="25" t="e">
        <f>VLOOKUP(A52,#REF!,27,0)</f>
        <v>#REF!</v>
      </c>
      <c r="AB52" s="25" t="e">
        <f>VLOOKUP(A52,#REF!,28,0)</f>
        <v>#REF!</v>
      </c>
      <c r="AC52" s="25" t="e">
        <f>VLOOKUP(A52,#REF!,29,0)</f>
        <v>#REF!</v>
      </c>
      <c r="AD52" s="26" t="e">
        <f t="shared" si="0"/>
        <v>#REF!</v>
      </c>
      <c r="AE52" s="25" t="e">
        <f>VLOOKUP(A52,#REF!,31,0)</f>
        <v>#REF!</v>
      </c>
      <c r="AF52" s="25" t="e">
        <f>VLOOKUP(A52,#REF!,32,0)</f>
        <v>#REF!</v>
      </c>
      <c r="AG52" s="25"/>
      <c r="AH52" s="27"/>
      <c r="AI52" s="25" t="e">
        <f>VLOOKUP(A52,#REF!,30,0)</f>
        <v>#REF!</v>
      </c>
      <c r="AJ52" s="25" t="e">
        <f>VLOOKUP(A52,#REF!,31,0)</f>
        <v>#REF!</v>
      </c>
      <c r="AK52" s="25" t="e">
        <f>VLOOKUP(A52,#REF!,33,0)</f>
        <v>#REF!</v>
      </c>
      <c r="AL52" s="25" t="e">
        <f>VLOOKUP(A52,#REF!,36,0)</f>
        <v>#REF!</v>
      </c>
      <c r="AM52" s="25" t="e">
        <f>VLOOKUP(A52,#REF!,34,0)</f>
        <v>#REF!</v>
      </c>
      <c r="AN52" s="27" t="e">
        <f>VLOOKUP(A52,#REF!,35,0)</f>
        <v>#REF!</v>
      </c>
      <c r="AO52" s="27" t="e">
        <f>VLOOKUP(A52,#REF!,32,0)</f>
        <v>#REF!</v>
      </c>
      <c r="AP52" s="25" t="e">
        <f>VLOOKUP(A52,#REF!,35,0)</f>
        <v>#REF!</v>
      </c>
      <c r="AQ52" s="25" t="e">
        <f>VLOOKUP(A52,#REF!,36,0)</f>
        <v>#REF!</v>
      </c>
      <c r="AR52" s="25" t="e">
        <f>VLOOKUP(A52,#REF!,37,0)</f>
        <v>#REF!</v>
      </c>
      <c r="AS52" s="25" t="e">
        <f>VLOOKUP(A52,#REF!,38,0)</f>
        <v>#REF!</v>
      </c>
      <c r="AT52" s="25" t="e">
        <f>VLOOKUP(A52,#REF!,39,0)</f>
        <v>#REF!</v>
      </c>
      <c r="AU52" s="25"/>
      <c r="AV52" s="26" t="e">
        <f t="shared" si="1"/>
        <v>#REF!</v>
      </c>
      <c r="AW52" s="25" t="e">
        <f t="shared" si="2"/>
        <v>#REF!</v>
      </c>
      <c r="AX52" s="25"/>
      <c r="AY52" s="26" t="e">
        <f t="shared" si="3"/>
        <v>#REF!</v>
      </c>
      <c r="AZ52" s="25" t="e">
        <f t="shared" si="4"/>
        <v>#REF!</v>
      </c>
      <c r="BA52" s="25" t="e">
        <f t="shared" si="5"/>
        <v>#REF!</v>
      </c>
      <c r="BB52" s="25" t="e">
        <f t="shared" si="6"/>
        <v>#REF!</v>
      </c>
      <c r="BC52" s="25" t="e">
        <f t="shared" si="7"/>
        <v>#REF!</v>
      </c>
      <c r="BD52" s="25" t="e">
        <f>VLOOKUP(A52,#REF!,43,0)</f>
        <v>#REF!</v>
      </c>
      <c r="BE52" s="25" t="e">
        <f>VLOOKUP(A52,#REF!,44,0)</f>
        <v>#REF!</v>
      </c>
      <c r="BF52" s="25" t="e">
        <f>VLOOKUP(A52,#REF!,45,0)</f>
        <v>#REF!</v>
      </c>
      <c r="BG52" s="25" t="e">
        <f>VLOOKUP(A52,#REF!,42,0)</f>
        <v>#REF!</v>
      </c>
      <c r="BH52" s="25" t="e">
        <f t="shared" si="11"/>
        <v>#REF!</v>
      </c>
      <c r="BI52" s="25" t="e">
        <f t="shared" si="9"/>
        <v>#REF!</v>
      </c>
      <c r="BJ52" s="25" t="e">
        <f t="shared" si="12"/>
        <v>#REF!</v>
      </c>
    </row>
    <row r="53" spans="1:62" hidden="1" x14ac:dyDescent="0.25">
      <c r="A53" s="20" t="s">
        <v>168</v>
      </c>
      <c r="B53" s="19">
        <v>45689</v>
      </c>
      <c r="C53" s="20" t="s">
        <v>5</v>
      </c>
      <c r="D53" s="20" t="s">
        <v>564</v>
      </c>
      <c r="E53" s="20"/>
      <c r="F53" s="20" t="s">
        <v>95</v>
      </c>
      <c r="G53" s="20" t="s">
        <v>561</v>
      </c>
      <c r="H53" s="20" t="s">
        <v>567</v>
      </c>
      <c r="I53" s="21">
        <v>44876</v>
      </c>
      <c r="J53" s="22"/>
      <c r="K53" s="23" t="s">
        <v>419</v>
      </c>
      <c r="L53" s="24" t="s">
        <v>174</v>
      </c>
      <c r="M53" s="24" t="s">
        <v>92</v>
      </c>
      <c r="N53" s="25" t="e">
        <f>VLOOKUP(A53,#REF!,12,0)</f>
        <v>#REF!</v>
      </c>
      <c r="O53" s="25" t="e">
        <f>VLOOKUP(A53,#REF!,15,0)</f>
        <v>#REF!</v>
      </c>
      <c r="P53" s="25" t="e">
        <f>VLOOKUP(A53,#REF!,16,0)</f>
        <v>#REF!</v>
      </c>
      <c r="Q53" s="25" t="e">
        <f>VLOOKUP(A53,#REF!,17,0)</f>
        <v>#REF!</v>
      </c>
      <c r="R53" s="25" t="e">
        <f>VLOOKUP(A53,#REF!,18,0)</f>
        <v>#REF!</v>
      </c>
      <c r="S53" s="25" t="e">
        <f>VLOOKUP(A53,#REF!,19,0)</f>
        <v>#REF!</v>
      </c>
      <c r="T53" s="25" t="e">
        <f>VLOOKUP(A53,#REF!,20,0)</f>
        <v>#REF!</v>
      </c>
      <c r="U53" s="25" t="e">
        <f>VLOOKUP(A53,#REF!,21,0)</f>
        <v>#REF!</v>
      </c>
      <c r="V53" s="25" t="e">
        <f>VLOOKUP(A53,#REF!,22,0)</f>
        <v>#REF!</v>
      </c>
      <c r="W53" s="25" t="e">
        <f>VLOOKUP(A53,#REF!,23,0)</f>
        <v>#REF!</v>
      </c>
      <c r="X53" s="25" t="e">
        <f>VLOOKUP(A53,#REF!,24,0)</f>
        <v>#REF!</v>
      </c>
      <c r="Y53" s="25" t="e">
        <f>VLOOKUP(A53,#REF!,25,0)</f>
        <v>#REF!</v>
      </c>
      <c r="Z53" s="25" t="e">
        <f>VLOOKUP(A53,#REF!,26,0)</f>
        <v>#REF!</v>
      </c>
      <c r="AA53" s="25" t="e">
        <f>VLOOKUP(A53,#REF!,27,0)</f>
        <v>#REF!</v>
      </c>
      <c r="AB53" s="25" t="e">
        <f>VLOOKUP(A53,#REF!,28,0)</f>
        <v>#REF!</v>
      </c>
      <c r="AC53" s="25" t="e">
        <f>VLOOKUP(A53,#REF!,29,0)</f>
        <v>#REF!</v>
      </c>
      <c r="AD53" s="26" t="e">
        <f t="shared" si="0"/>
        <v>#REF!</v>
      </c>
      <c r="AE53" s="25" t="e">
        <f>VLOOKUP(A53,#REF!,31,0)</f>
        <v>#REF!</v>
      </c>
      <c r="AF53" s="25" t="e">
        <f>VLOOKUP(A53,#REF!,32,0)</f>
        <v>#REF!</v>
      </c>
      <c r="AG53" s="25"/>
      <c r="AH53" s="27"/>
      <c r="AI53" s="25" t="e">
        <f>VLOOKUP(A53,#REF!,30,0)</f>
        <v>#REF!</v>
      </c>
      <c r="AJ53" s="25" t="e">
        <f>VLOOKUP(A53,#REF!,31,0)</f>
        <v>#REF!</v>
      </c>
      <c r="AK53" s="25" t="e">
        <f>VLOOKUP(A53,#REF!,33,0)</f>
        <v>#REF!</v>
      </c>
      <c r="AL53" s="25" t="e">
        <f>VLOOKUP(A53,#REF!,36,0)</f>
        <v>#REF!</v>
      </c>
      <c r="AM53" s="25" t="e">
        <f>VLOOKUP(A53,#REF!,34,0)</f>
        <v>#REF!</v>
      </c>
      <c r="AN53" s="27" t="e">
        <f>VLOOKUP(A53,#REF!,35,0)</f>
        <v>#REF!</v>
      </c>
      <c r="AO53" s="27" t="e">
        <f>VLOOKUP(A53,#REF!,32,0)</f>
        <v>#REF!</v>
      </c>
      <c r="AP53" s="25" t="e">
        <f>VLOOKUP(A53,#REF!,35,0)</f>
        <v>#REF!</v>
      </c>
      <c r="AQ53" s="25" t="e">
        <f>VLOOKUP(A53,#REF!,36,0)</f>
        <v>#REF!</v>
      </c>
      <c r="AR53" s="25" t="e">
        <f>VLOOKUP(A53,#REF!,37,0)</f>
        <v>#REF!</v>
      </c>
      <c r="AS53" s="25" t="e">
        <f>VLOOKUP(A53,#REF!,38,0)</f>
        <v>#REF!</v>
      </c>
      <c r="AT53" s="25" t="e">
        <f>VLOOKUP(A53,#REF!,39,0)</f>
        <v>#REF!</v>
      </c>
      <c r="AU53" s="25"/>
      <c r="AV53" s="26" t="e">
        <f t="shared" si="1"/>
        <v>#REF!</v>
      </c>
      <c r="AW53" s="25" t="e">
        <f t="shared" si="2"/>
        <v>#REF!</v>
      </c>
      <c r="AX53" s="25"/>
      <c r="AY53" s="26" t="e">
        <f t="shared" si="3"/>
        <v>#REF!</v>
      </c>
      <c r="AZ53" s="25" t="e">
        <f t="shared" si="4"/>
        <v>#REF!</v>
      </c>
      <c r="BA53" s="25" t="e">
        <f t="shared" si="5"/>
        <v>#REF!</v>
      </c>
      <c r="BB53" s="25" t="e">
        <f t="shared" si="6"/>
        <v>#REF!</v>
      </c>
      <c r="BC53" s="25" t="e">
        <f t="shared" si="7"/>
        <v>#REF!</v>
      </c>
      <c r="BD53" s="25" t="e">
        <f>VLOOKUP(A53,#REF!,43,0)</f>
        <v>#REF!</v>
      </c>
      <c r="BE53" s="25" t="e">
        <f>VLOOKUP(A53,#REF!,44,0)</f>
        <v>#REF!</v>
      </c>
      <c r="BF53" s="25" t="e">
        <f>VLOOKUP(A53,#REF!,45,0)</f>
        <v>#REF!</v>
      </c>
      <c r="BG53" s="25" t="e">
        <f>VLOOKUP(A53,#REF!,42,0)</f>
        <v>#REF!</v>
      </c>
      <c r="BH53" s="25" t="e">
        <f t="shared" si="11"/>
        <v>#REF!</v>
      </c>
      <c r="BI53" s="25" t="e">
        <f t="shared" si="9"/>
        <v>#REF!</v>
      </c>
      <c r="BJ53" s="25" t="e">
        <f t="shared" si="12"/>
        <v>#REF!</v>
      </c>
    </row>
    <row r="54" spans="1:62" hidden="1" x14ac:dyDescent="0.25">
      <c r="A54" s="20" t="s">
        <v>306</v>
      </c>
      <c r="B54" s="19">
        <v>45689</v>
      </c>
      <c r="C54" s="20" t="s">
        <v>5</v>
      </c>
      <c r="D54" s="20" t="s">
        <v>582</v>
      </c>
      <c r="E54" s="20"/>
      <c r="F54" s="20" t="s">
        <v>292</v>
      </c>
      <c r="G54" s="20" t="s">
        <v>566</v>
      </c>
      <c r="H54" s="20" t="s">
        <v>88</v>
      </c>
      <c r="I54" s="21">
        <v>44942</v>
      </c>
      <c r="J54" s="22"/>
      <c r="K54" s="23" t="s">
        <v>419</v>
      </c>
      <c r="L54" s="24" t="s">
        <v>101</v>
      </c>
      <c r="M54" s="24" t="s">
        <v>559</v>
      </c>
      <c r="N54" s="25" t="e">
        <f>VLOOKUP(A54,#REF!,12,0)</f>
        <v>#REF!</v>
      </c>
      <c r="O54" s="25" t="e">
        <f>VLOOKUP(A54,#REF!,15,0)</f>
        <v>#REF!</v>
      </c>
      <c r="P54" s="25" t="e">
        <f>VLOOKUP(A54,#REF!,16,0)</f>
        <v>#REF!</v>
      </c>
      <c r="Q54" s="25" t="e">
        <f>VLOOKUP(A54,#REF!,17,0)</f>
        <v>#REF!</v>
      </c>
      <c r="R54" s="25" t="e">
        <f>VLOOKUP(A54,#REF!,18,0)</f>
        <v>#REF!</v>
      </c>
      <c r="S54" s="25" t="e">
        <f>VLOOKUP(A54,#REF!,19,0)</f>
        <v>#REF!</v>
      </c>
      <c r="T54" s="25" t="e">
        <f>VLOOKUP(A54,#REF!,20,0)</f>
        <v>#REF!</v>
      </c>
      <c r="U54" s="25" t="e">
        <f>VLOOKUP(A54,#REF!,21,0)</f>
        <v>#REF!</v>
      </c>
      <c r="V54" s="25" t="e">
        <f>VLOOKUP(A54,#REF!,22,0)</f>
        <v>#REF!</v>
      </c>
      <c r="W54" s="25" t="e">
        <f>VLOOKUP(A54,#REF!,23,0)</f>
        <v>#REF!</v>
      </c>
      <c r="X54" s="25" t="e">
        <f>VLOOKUP(A54,#REF!,24,0)</f>
        <v>#REF!</v>
      </c>
      <c r="Y54" s="25" t="e">
        <f>VLOOKUP(A54,#REF!,25,0)</f>
        <v>#REF!</v>
      </c>
      <c r="Z54" s="25" t="e">
        <f>VLOOKUP(A54,#REF!,26,0)</f>
        <v>#REF!</v>
      </c>
      <c r="AA54" s="25" t="e">
        <f>VLOOKUP(A54,#REF!,27,0)</f>
        <v>#REF!</v>
      </c>
      <c r="AB54" s="25" t="e">
        <f>VLOOKUP(A54,#REF!,28,0)</f>
        <v>#REF!</v>
      </c>
      <c r="AC54" s="25" t="e">
        <f>VLOOKUP(A54,#REF!,29,0)</f>
        <v>#REF!</v>
      </c>
      <c r="AD54" s="26" t="e">
        <f t="shared" si="0"/>
        <v>#REF!</v>
      </c>
      <c r="AE54" s="25" t="e">
        <f>VLOOKUP(A54,#REF!,31,0)</f>
        <v>#REF!</v>
      </c>
      <c r="AF54" s="25" t="e">
        <f>VLOOKUP(A54,#REF!,32,0)</f>
        <v>#REF!</v>
      </c>
      <c r="AG54" s="25"/>
      <c r="AH54" s="27"/>
      <c r="AI54" s="25" t="e">
        <f>VLOOKUP(A54,#REF!,30,0)</f>
        <v>#REF!</v>
      </c>
      <c r="AJ54" s="25" t="e">
        <f>VLOOKUP(A54,#REF!,31,0)</f>
        <v>#REF!</v>
      </c>
      <c r="AK54" s="25" t="e">
        <f>VLOOKUP(A54,#REF!,33,0)</f>
        <v>#REF!</v>
      </c>
      <c r="AL54" s="25" t="e">
        <f>VLOOKUP(A54,#REF!,36,0)</f>
        <v>#REF!</v>
      </c>
      <c r="AM54" s="25" t="e">
        <f>VLOOKUP(A54,#REF!,34,0)</f>
        <v>#REF!</v>
      </c>
      <c r="AN54" s="27" t="e">
        <f>VLOOKUP(A54,#REF!,35,0)</f>
        <v>#REF!</v>
      </c>
      <c r="AO54" s="27" t="e">
        <f>VLOOKUP(A54,#REF!,32,0)</f>
        <v>#REF!</v>
      </c>
      <c r="AP54" s="25" t="e">
        <f>VLOOKUP(A54,#REF!,35,0)</f>
        <v>#REF!</v>
      </c>
      <c r="AQ54" s="25" t="e">
        <f>VLOOKUP(A54,#REF!,36,0)</f>
        <v>#REF!</v>
      </c>
      <c r="AR54" s="25" t="e">
        <f>VLOOKUP(A54,#REF!,37,0)</f>
        <v>#REF!</v>
      </c>
      <c r="AS54" s="25" t="e">
        <f>VLOOKUP(A54,#REF!,38,0)</f>
        <v>#REF!</v>
      </c>
      <c r="AT54" s="25" t="e">
        <f>VLOOKUP(A54,#REF!,39,0)</f>
        <v>#REF!</v>
      </c>
      <c r="AU54" s="25"/>
      <c r="AV54" s="26" t="e">
        <f t="shared" si="1"/>
        <v>#REF!</v>
      </c>
      <c r="AW54" s="25" t="e">
        <f t="shared" si="2"/>
        <v>#REF!</v>
      </c>
      <c r="AX54" s="25"/>
      <c r="AY54" s="26" t="e">
        <f t="shared" si="3"/>
        <v>#REF!</v>
      </c>
      <c r="AZ54" s="25" t="e">
        <f t="shared" si="4"/>
        <v>#REF!</v>
      </c>
      <c r="BA54" s="25" t="e">
        <f t="shared" si="5"/>
        <v>#REF!</v>
      </c>
      <c r="BB54" s="25" t="e">
        <f t="shared" si="6"/>
        <v>#REF!</v>
      </c>
      <c r="BC54" s="25" t="e">
        <f t="shared" si="7"/>
        <v>#REF!</v>
      </c>
      <c r="BD54" s="25" t="e">
        <f>VLOOKUP(A54,#REF!,43,0)</f>
        <v>#REF!</v>
      </c>
      <c r="BE54" s="25" t="e">
        <f>VLOOKUP(A54,#REF!,44,0)</f>
        <v>#REF!</v>
      </c>
      <c r="BF54" s="25" t="e">
        <f>VLOOKUP(A54,#REF!,45,0)</f>
        <v>#REF!</v>
      </c>
      <c r="BG54" s="25" t="e">
        <f>VLOOKUP(A54,#REF!,42,0)</f>
        <v>#REF!</v>
      </c>
      <c r="BH54" s="25" t="e">
        <f t="shared" si="11"/>
        <v>#REF!</v>
      </c>
      <c r="BI54" s="25" t="e">
        <f t="shared" si="9"/>
        <v>#REF!</v>
      </c>
      <c r="BJ54" s="25" t="e">
        <f t="shared" si="12"/>
        <v>#REF!</v>
      </c>
    </row>
    <row r="55" spans="1:62" hidden="1" x14ac:dyDescent="0.25">
      <c r="A55" s="20" t="s">
        <v>553</v>
      </c>
      <c r="B55" s="19">
        <v>45689</v>
      </c>
      <c r="C55" s="20" t="s">
        <v>5</v>
      </c>
      <c r="D55" s="20" t="s">
        <v>588</v>
      </c>
      <c r="E55" s="20"/>
      <c r="F55" s="20" t="s">
        <v>312</v>
      </c>
      <c r="G55" s="20" t="s">
        <v>313</v>
      </c>
      <c r="H55" s="20" t="s">
        <v>88</v>
      </c>
      <c r="I55" s="21">
        <v>44956</v>
      </c>
      <c r="J55" s="22"/>
      <c r="K55" s="23" t="s">
        <v>419</v>
      </c>
      <c r="L55" s="24" t="s">
        <v>327</v>
      </c>
      <c r="M55" s="24" t="s">
        <v>504</v>
      </c>
      <c r="N55" s="25" t="e">
        <f>VLOOKUP(A55,#REF!,12,0)</f>
        <v>#REF!</v>
      </c>
      <c r="O55" s="25" t="e">
        <f>VLOOKUP(A55,#REF!,15,0)</f>
        <v>#REF!</v>
      </c>
      <c r="P55" s="25" t="e">
        <f>VLOOKUP(A55,#REF!,16,0)</f>
        <v>#REF!</v>
      </c>
      <c r="Q55" s="25" t="e">
        <f>VLOOKUP(A55,#REF!,17,0)</f>
        <v>#REF!</v>
      </c>
      <c r="R55" s="25" t="e">
        <f>VLOOKUP(A55,#REF!,18,0)</f>
        <v>#REF!</v>
      </c>
      <c r="S55" s="25" t="e">
        <f>VLOOKUP(A55,#REF!,19,0)</f>
        <v>#REF!</v>
      </c>
      <c r="T55" s="25" t="e">
        <f>VLOOKUP(A55,#REF!,20,0)</f>
        <v>#REF!</v>
      </c>
      <c r="U55" s="25" t="e">
        <f>VLOOKUP(A55,#REF!,21,0)</f>
        <v>#REF!</v>
      </c>
      <c r="V55" s="25" t="e">
        <f>VLOOKUP(A55,#REF!,22,0)</f>
        <v>#REF!</v>
      </c>
      <c r="W55" s="25" t="e">
        <f>VLOOKUP(A55,#REF!,23,0)</f>
        <v>#REF!</v>
      </c>
      <c r="X55" s="25" t="e">
        <f>VLOOKUP(A55,#REF!,24,0)</f>
        <v>#REF!</v>
      </c>
      <c r="Y55" s="25" t="e">
        <f>VLOOKUP(A55,#REF!,25,0)</f>
        <v>#REF!</v>
      </c>
      <c r="Z55" s="25" t="e">
        <f>VLOOKUP(A55,#REF!,26,0)</f>
        <v>#REF!</v>
      </c>
      <c r="AA55" s="25" t="e">
        <f>VLOOKUP(A55,#REF!,27,0)</f>
        <v>#REF!</v>
      </c>
      <c r="AB55" s="25" t="e">
        <f>VLOOKUP(A55,#REF!,28,0)</f>
        <v>#REF!</v>
      </c>
      <c r="AC55" s="25" t="e">
        <f>VLOOKUP(A55,#REF!,29,0)</f>
        <v>#REF!</v>
      </c>
      <c r="AD55" s="26" t="e">
        <f t="shared" si="0"/>
        <v>#REF!</v>
      </c>
      <c r="AE55" s="25" t="e">
        <f>VLOOKUP(A55,#REF!,31,0)</f>
        <v>#REF!</v>
      </c>
      <c r="AF55" s="25" t="e">
        <f>VLOOKUP(A55,#REF!,32,0)</f>
        <v>#REF!</v>
      </c>
      <c r="AG55" s="25"/>
      <c r="AH55" s="27"/>
      <c r="AI55" s="25" t="e">
        <f>VLOOKUP(A55,#REF!,30,0)</f>
        <v>#REF!</v>
      </c>
      <c r="AJ55" s="25" t="e">
        <f>VLOOKUP(A55,#REF!,31,0)</f>
        <v>#REF!</v>
      </c>
      <c r="AK55" s="25" t="e">
        <f>VLOOKUP(A55,#REF!,33,0)</f>
        <v>#REF!</v>
      </c>
      <c r="AL55" s="25" t="e">
        <f>VLOOKUP(A55,#REF!,36,0)</f>
        <v>#REF!</v>
      </c>
      <c r="AM55" s="25" t="e">
        <f>VLOOKUP(A55,#REF!,34,0)</f>
        <v>#REF!</v>
      </c>
      <c r="AN55" s="27" t="e">
        <f>VLOOKUP(A55,#REF!,35,0)</f>
        <v>#REF!</v>
      </c>
      <c r="AO55" s="27" t="e">
        <f>VLOOKUP(A55,#REF!,32,0)</f>
        <v>#REF!</v>
      </c>
      <c r="AP55" s="25" t="e">
        <f>VLOOKUP(A55,#REF!,35,0)</f>
        <v>#REF!</v>
      </c>
      <c r="AQ55" s="25" t="e">
        <f>VLOOKUP(A55,#REF!,36,0)</f>
        <v>#REF!</v>
      </c>
      <c r="AR55" s="25" t="e">
        <f>VLOOKUP(A55,#REF!,37,0)</f>
        <v>#REF!</v>
      </c>
      <c r="AS55" s="25" t="e">
        <f>VLOOKUP(A55,#REF!,38,0)</f>
        <v>#REF!</v>
      </c>
      <c r="AT55" s="25" t="e">
        <f>VLOOKUP(A55,#REF!,39,0)</f>
        <v>#REF!</v>
      </c>
      <c r="AU55" s="25"/>
      <c r="AV55" s="26" t="e">
        <f t="shared" si="1"/>
        <v>#REF!</v>
      </c>
      <c r="AW55" s="25" t="e">
        <f t="shared" si="2"/>
        <v>#REF!</v>
      </c>
      <c r="AX55" s="25"/>
      <c r="AY55" s="26" t="e">
        <f t="shared" si="3"/>
        <v>#REF!</v>
      </c>
      <c r="AZ55" s="25" t="e">
        <f t="shared" si="4"/>
        <v>#REF!</v>
      </c>
      <c r="BA55" s="25" t="e">
        <f t="shared" si="5"/>
        <v>#REF!</v>
      </c>
      <c r="BB55" s="25" t="e">
        <f t="shared" si="6"/>
        <v>#REF!</v>
      </c>
      <c r="BC55" s="25" t="e">
        <f t="shared" si="7"/>
        <v>#REF!</v>
      </c>
      <c r="BD55" s="25" t="e">
        <f>VLOOKUP(A55,#REF!,43,0)</f>
        <v>#REF!</v>
      </c>
      <c r="BE55" s="25" t="e">
        <f>VLOOKUP(A55,#REF!,44,0)</f>
        <v>#REF!</v>
      </c>
      <c r="BF55" s="25" t="e">
        <f>VLOOKUP(A55,#REF!,45,0)</f>
        <v>#REF!</v>
      </c>
      <c r="BG55" s="25" t="e">
        <f>VLOOKUP(A55,#REF!,42,0)</f>
        <v>#REF!</v>
      </c>
      <c r="BH55" s="25" t="e">
        <f t="shared" si="11"/>
        <v>#REF!</v>
      </c>
      <c r="BI55" s="25" t="e">
        <f t="shared" si="9"/>
        <v>#REF!</v>
      </c>
      <c r="BJ55" s="25" t="e">
        <f t="shared" si="12"/>
        <v>#REF!</v>
      </c>
    </row>
    <row r="56" spans="1:62" hidden="1" x14ac:dyDescent="0.25">
      <c r="A56" s="20" t="s">
        <v>146</v>
      </c>
      <c r="B56" s="19">
        <v>45689</v>
      </c>
      <c r="C56" s="20" t="s">
        <v>5</v>
      </c>
      <c r="D56" s="20" t="s">
        <v>579</v>
      </c>
      <c r="E56" s="20"/>
      <c r="F56" s="20" t="s">
        <v>283</v>
      </c>
      <c r="G56" s="20" t="s">
        <v>142</v>
      </c>
      <c r="H56" s="20" t="s">
        <v>88</v>
      </c>
      <c r="I56" s="21">
        <v>44964</v>
      </c>
      <c r="J56" s="22"/>
      <c r="K56" s="23" t="s">
        <v>419</v>
      </c>
      <c r="L56" s="24" t="s">
        <v>147</v>
      </c>
      <c r="M56" s="24" t="s">
        <v>505</v>
      </c>
      <c r="N56" s="25" t="e">
        <f>VLOOKUP(A56,#REF!,12,0)</f>
        <v>#REF!</v>
      </c>
      <c r="O56" s="25" t="e">
        <f>VLOOKUP(A56,#REF!,15,0)</f>
        <v>#REF!</v>
      </c>
      <c r="P56" s="25" t="e">
        <f>VLOOKUP(A56,#REF!,16,0)</f>
        <v>#REF!</v>
      </c>
      <c r="Q56" s="25" t="e">
        <f>VLOOKUP(A56,#REF!,17,0)</f>
        <v>#REF!</v>
      </c>
      <c r="R56" s="25" t="e">
        <f>VLOOKUP(A56,#REF!,18,0)</f>
        <v>#REF!</v>
      </c>
      <c r="S56" s="25" t="e">
        <f>VLOOKUP(A56,#REF!,19,0)</f>
        <v>#REF!</v>
      </c>
      <c r="T56" s="25" t="e">
        <f>VLOOKUP(A56,#REF!,20,0)</f>
        <v>#REF!</v>
      </c>
      <c r="U56" s="25" t="e">
        <f>VLOOKUP(A56,#REF!,21,0)</f>
        <v>#REF!</v>
      </c>
      <c r="V56" s="25" t="e">
        <f>VLOOKUP(A56,#REF!,22,0)</f>
        <v>#REF!</v>
      </c>
      <c r="W56" s="25" t="e">
        <f>VLOOKUP(A56,#REF!,23,0)</f>
        <v>#REF!</v>
      </c>
      <c r="X56" s="25" t="e">
        <f>VLOOKUP(A56,#REF!,24,0)</f>
        <v>#REF!</v>
      </c>
      <c r="Y56" s="25" t="e">
        <f>VLOOKUP(A56,#REF!,25,0)</f>
        <v>#REF!</v>
      </c>
      <c r="Z56" s="25" t="e">
        <f>VLOOKUP(A56,#REF!,26,0)</f>
        <v>#REF!</v>
      </c>
      <c r="AA56" s="25" t="e">
        <f>VLOOKUP(A56,#REF!,27,0)</f>
        <v>#REF!</v>
      </c>
      <c r="AB56" s="25" t="e">
        <f>VLOOKUP(A56,#REF!,28,0)</f>
        <v>#REF!</v>
      </c>
      <c r="AC56" s="25" t="e">
        <f>VLOOKUP(A56,#REF!,29,0)</f>
        <v>#REF!</v>
      </c>
      <c r="AD56" s="26" t="e">
        <f t="shared" si="0"/>
        <v>#REF!</v>
      </c>
      <c r="AE56" s="25" t="e">
        <f>VLOOKUP(A56,#REF!,31,0)</f>
        <v>#REF!</v>
      </c>
      <c r="AF56" s="25" t="e">
        <f>VLOOKUP(A56,#REF!,32,0)</f>
        <v>#REF!</v>
      </c>
      <c r="AG56" s="25"/>
      <c r="AH56" s="27"/>
      <c r="AI56" s="25" t="e">
        <f>VLOOKUP(A56,#REF!,30,0)</f>
        <v>#REF!</v>
      </c>
      <c r="AJ56" s="25" t="e">
        <f>VLOOKUP(A56,#REF!,31,0)</f>
        <v>#REF!</v>
      </c>
      <c r="AK56" s="25" t="e">
        <f>VLOOKUP(A56,#REF!,33,0)</f>
        <v>#REF!</v>
      </c>
      <c r="AL56" s="25" t="e">
        <f>VLOOKUP(A56,#REF!,36,0)</f>
        <v>#REF!</v>
      </c>
      <c r="AM56" s="25" t="e">
        <f>VLOOKUP(A56,#REF!,34,0)</f>
        <v>#REF!</v>
      </c>
      <c r="AN56" s="27" t="e">
        <f>VLOOKUP(A56,#REF!,35,0)</f>
        <v>#REF!</v>
      </c>
      <c r="AO56" s="27" t="e">
        <f>VLOOKUP(A56,#REF!,32,0)</f>
        <v>#REF!</v>
      </c>
      <c r="AP56" s="25" t="e">
        <f>VLOOKUP(A56,#REF!,35,0)</f>
        <v>#REF!</v>
      </c>
      <c r="AQ56" s="25" t="e">
        <f>VLOOKUP(A56,#REF!,36,0)</f>
        <v>#REF!</v>
      </c>
      <c r="AR56" s="25" t="e">
        <f>VLOOKUP(A56,#REF!,37,0)</f>
        <v>#REF!</v>
      </c>
      <c r="AS56" s="25" t="e">
        <f>VLOOKUP(A56,#REF!,38,0)</f>
        <v>#REF!</v>
      </c>
      <c r="AT56" s="25" t="e">
        <f>VLOOKUP(A56,#REF!,39,0)</f>
        <v>#REF!</v>
      </c>
      <c r="AU56" s="25"/>
      <c r="AV56" s="26" t="e">
        <f t="shared" si="1"/>
        <v>#REF!</v>
      </c>
      <c r="AW56" s="25" t="e">
        <f t="shared" si="2"/>
        <v>#REF!</v>
      </c>
      <c r="AX56" s="25"/>
      <c r="AY56" s="26" t="e">
        <f t="shared" si="3"/>
        <v>#REF!</v>
      </c>
      <c r="AZ56" s="25" t="e">
        <f t="shared" si="4"/>
        <v>#REF!</v>
      </c>
      <c r="BA56" s="25" t="e">
        <f t="shared" si="5"/>
        <v>#REF!</v>
      </c>
      <c r="BB56" s="25" t="e">
        <f t="shared" si="6"/>
        <v>#REF!</v>
      </c>
      <c r="BC56" s="25" t="e">
        <f t="shared" si="7"/>
        <v>#REF!</v>
      </c>
      <c r="BD56" s="25" t="e">
        <f>VLOOKUP(A56,#REF!,43,0)</f>
        <v>#REF!</v>
      </c>
      <c r="BE56" s="25" t="e">
        <f>VLOOKUP(A56,#REF!,44,0)</f>
        <v>#REF!</v>
      </c>
      <c r="BF56" s="25" t="e">
        <f>VLOOKUP(A56,#REF!,45,0)</f>
        <v>#REF!</v>
      </c>
      <c r="BG56" s="25" t="e">
        <f>VLOOKUP(A56,#REF!,42,0)</f>
        <v>#REF!</v>
      </c>
      <c r="BH56" s="25" t="e">
        <f t="shared" si="11"/>
        <v>#REF!</v>
      </c>
      <c r="BI56" s="25" t="e">
        <f t="shared" si="9"/>
        <v>#REF!</v>
      </c>
      <c r="BJ56" s="25" t="e">
        <f t="shared" si="12"/>
        <v>#REF!</v>
      </c>
    </row>
    <row r="57" spans="1:62" hidden="1" x14ac:dyDescent="0.25">
      <c r="A57" s="20" t="s">
        <v>555</v>
      </c>
      <c r="B57" s="19">
        <v>45689</v>
      </c>
      <c r="C57" s="20" t="s">
        <v>5</v>
      </c>
      <c r="D57" s="20" t="s">
        <v>582</v>
      </c>
      <c r="E57" s="20"/>
      <c r="F57" s="20" t="s">
        <v>292</v>
      </c>
      <c r="G57" s="20" t="s">
        <v>203</v>
      </c>
      <c r="H57" s="20" t="s">
        <v>207</v>
      </c>
      <c r="I57" s="21">
        <v>44980</v>
      </c>
      <c r="J57" s="22"/>
      <c r="K57" s="23" t="s">
        <v>422</v>
      </c>
      <c r="L57" s="24" t="s">
        <v>208</v>
      </c>
      <c r="M57" s="24" t="s">
        <v>584</v>
      </c>
      <c r="N57" s="25" t="e">
        <f>VLOOKUP(A57,#REF!,12,0)</f>
        <v>#REF!</v>
      </c>
      <c r="O57" s="25" t="e">
        <f>VLOOKUP(A57,#REF!,15,0)</f>
        <v>#REF!</v>
      </c>
      <c r="P57" s="25" t="e">
        <f>VLOOKUP(A57,#REF!,16,0)</f>
        <v>#REF!</v>
      </c>
      <c r="Q57" s="25" t="e">
        <f>VLOOKUP(A57,#REF!,17,0)</f>
        <v>#REF!</v>
      </c>
      <c r="R57" s="25" t="e">
        <f>VLOOKUP(A57,#REF!,18,0)</f>
        <v>#REF!</v>
      </c>
      <c r="S57" s="25" t="e">
        <f>VLOOKUP(A57,#REF!,19,0)</f>
        <v>#REF!</v>
      </c>
      <c r="T57" s="25" t="e">
        <f>VLOOKUP(A57,#REF!,20,0)</f>
        <v>#REF!</v>
      </c>
      <c r="U57" s="25" t="e">
        <f>VLOOKUP(A57,#REF!,21,0)</f>
        <v>#REF!</v>
      </c>
      <c r="V57" s="25" t="e">
        <f>VLOOKUP(A57,#REF!,22,0)</f>
        <v>#REF!</v>
      </c>
      <c r="W57" s="25" t="e">
        <f>VLOOKUP(A57,#REF!,23,0)</f>
        <v>#REF!</v>
      </c>
      <c r="X57" s="25" t="e">
        <f>VLOOKUP(A57,#REF!,24,0)</f>
        <v>#REF!</v>
      </c>
      <c r="Y57" s="25" t="e">
        <f>VLOOKUP(A57,#REF!,25,0)</f>
        <v>#REF!</v>
      </c>
      <c r="Z57" s="25" t="e">
        <f>VLOOKUP(A57,#REF!,26,0)</f>
        <v>#REF!</v>
      </c>
      <c r="AA57" s="25" t="e">
        <f>VLOOKUP(A57,#REF!,27,0)</f>
        <v>#REF!</v>
      </c>
      <c r="AB57" s="25" t="e">
        <f>VLOOKUP(A57,#REF!,28,0)</f>
        <v>#REF!</v>
      </c>
      <c r="AC57" s="25" t="e">
        <f>VLOOKUP(A57,#REF!,29,0)</f>
        <v>#REF!</v>
      </c>
      <c r="AD57" s="26" t="e">
        <f t="shared" si="0"/>
        <v>#REF!</v>
      </c>
      <c r="AE57" s="25" t="e">
        <f>VLOOKUP(A57,#REF!,31,0)</f>
        <v>#REF!</v>
      </c>
      <c r="AF57" s="25" t="e">
        <f>VLOOKUP(A57,#REF!,32,0)</f>
        <v>#REF!</v>
      </c>
      <c r="AG57" s="25"/>
      <c r="AH57" s="27"/>
      <c r="AI57" s="25" t="e">
        <f>VLOOKUP(A57,#REF!,30,0)</f>
        <v>#REF!</v>
      </c>
      <c r="AJ57" s="25" t="e">
        <f>VLOOKUP(A57,#REF!,31,0)</f>
        <v>#REF!</v>
      </c>
      <c r="AK57" s="25" t="e">
        <f>VLOOKUP(A57,#REF!,33,0)</f>
        <v>#REF!</v>
      </c>
      <c r="AL57" s="25" t="e">
        <f>VLOOKUP(A57,#REF!,36,0)</f>
        <v>#REF!</v>
      </c>
      <c r="AM57" s="25" t="e">
        <f>VLOOKUP(A57,#REF!,34,0)</f>
        <v>#REF!</v>
      </c>
      <c r="AN57" s="27" t="e">
        <f>VLOOKUP(A57,#REF!,35,0)</f>
        <v>#REF!</v>
      </c>
      <c r="AO57" s="27" t="e">
        <f>VLOOKUP(A57,#REF!,32,0)</f>
        <v>#REF!</v>
      </c>
      <c r="AP57" s="25" t="e">
        <f>VLOOKUP(A57,#REF!,35,0)</f>
        <v>#REF!</v>
      </c>
      <c r="AQ57" s="25" t="e">
        <f>VLOOKUP(A57,#REF!,36,0)</f>
        <v>#REF!</v>
      </c>
      <c r="AR57" s="25" t="e">
        <f>VLOOKUP(A57,#REF!,37,0)</f>
        <v>#REF!</v>
      </c>
      <c r="AS57" s="25" t="e">
        <f>VLOOKUP(A57,#REF!,38,0)</f>
        <v>#REF!</v>
      </c>
      <c r="AT57" s="25" t="e">
        <f>VLOOKUP(A57,#REF!,39,0)</f>
        <v>#REF!</v>
      </c>
      <c r="AU57" s="25"/>
      <c r="AV57" s="26" t="e">
        <f t="shared" si="1"/>
        <v>#REF!</v>
      </c>
      <c r="AW57" s="25" t="e">
        <f t="shared" si="2"/>
        <v>#REF!</v>
      </c>
      <c r="AX57" s="25"/>
      <c r="AY57" s="26" t="e">
        <f t="shared" si="3"/>
        <v>#REF!</v>
      </c>
      <c r="AZ57" s="25" t="e">
        <f t="shared" si="4"/>
        <v>#REF!</v>
      </c>
      <c r="BA57" s="25" t="e">
        <f t="shared" si="5"/>
        <v>#REF!</v>
      </c>
      <c r="BB57" s="25" t="e">
        <f t="shared" si="6"/>
        <v>#REF!</v>
      </c>
      <c r="BC57" s="25" t="e">
        <f t="shared" si="7"/>
        <v>#REF!</v>
      </c>
      <c r="BD57" s="25" t="e">
        <f>VLOOKUP(A57,#REF!,43,0)</f>
        <v>#REF!</v>
      </c>
      <c r="BE57" s="25" t="e">
        <f>VLOOKUP(A57,#REF!,44,0)</f>
        <v>#REF!</v>
      </c>
      <c r="BF57" s="25" t="e">
        <f>VLOOKUP(A57,#REF!,45,0)</f>
        <v>#REF!</v>
      </c>
      <c r="BG57" s="25" t="e">
        <f>VLOOKUP(A57,#REF!,42,0)</f>
        <v>#REF!</v>
      </c>
      <c r="BH57" s="25" t="e">
        <f t="shared" si="11"/>
        <v>#REF!</v>
      </c>
      <c r="BI57" s="25" t="e">
        <f t="shared" si="9"/>
        <v>#REF!</v>
      </c>
      <c r="BJ57" s="25" t="e">
        <f t="shared" si="12"/>
        <v>#REF!</v>
      </c>
    </row>
    <row r="58" spans="1:62" hidden="1" x14ac:dyDescent="0.25">
      <c r="A58" s="20" t="s">
        <v>456</v>
      </c>
      <c r="B58" s="19">
        <v>45689</v>
      </c>
      <c r="C58" s="20" t="s">
        <v>8</v>
      </c>
      <c r="D58" s="20" t="s">
        <v>597</v>
      </c>
      <c r="E58" s="20">
        <v>4</v>
      </c>
      <c r="F58" s="20" t="s">
        <v>424</v>
      </c>
      <c r="G58" s="20" t="s">
        <v>203</v>
      </c>
      <c r="H58" s="20" t="s">
        <v>240</v>
      </c>
      <c r="I58" s="21">
        <v>44991</v>
      </c>
      <c r="J58" s="22"/>
      <c r="K58" s="23" t="s">
        <v>422</v>
      </c>
      <c r="L58" s="24" t="s">
        <v>241</v>
      </c>
      <c r="M58" s="24" t="s">
        <v>457</v>
      </c>
      <c r="N58" s="25">
        <v>8000</v>
      </c>
      <c r="O58" s="25">
        <f>N58</f>
        <v>8000</v>
      </c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6">
        <f t="shared" si="0"/>
        <v>8000</v>
      </c>
      <c r="AE58" s="25"/>
      <c r="AF58" s="25"/>
      <c r="AG58" s="25"/>
      <c r="AH58" s="27"/>
      <c r="AI58" s="25"/>
      <c r="AJ58" s="25"/>
      <c r="AK58" s="25"/>
      <c r="AL58" s="25"/>
      <c r="AM58" s="25"/>
      <c r="AN58" s="27"/>
      <c r="AO58" s="27"/>
      <c r="AP58" s="25"/>
      <c r="AQ58" s="25"/>
      <c r="AR58" s="25"/>
      <c r="AS58" s="25"/>
      <c r="AT58" s="25"/>
      <c r="AU58" s="25"/>
      <c r="AV58" s="26">
        <f t="shared" si="1"/>
        <v>0</v>
      </c>
      <c r="AW58" s="25">
        <f t="shared" si="2"/>
        <v>8000</v>
      </c>
      <c r="AX58" s="25"/>
      <c r="AY58" s="26">
        <f t="shared" si="3"/>
        <v>8000</v>
      </c>
      <c r="AZ58" s="25">
        <f t="shared" si="4"/>
        <v>666.66666666666663</v>
      </c>
      <c r="BA58" s="25">
        <f t="shared" si="5"/>
        <v>666.66666666666663</v>
      </c>
      <c r="BB58" s="25">
        <f t="shared" si="6"/>
        <v>222.2222222222222</v>
      </c>
      <c r="BC58" s="25">
        <f t="shared" si="7"/>
        <v>1555.5555555555554</v>
      </c>
      <c r="BD58" s="25"/>
      <c r="BE58" s="25"/>
      <c r="BF58" s="25"/>
      <c r="BG58" s="25"/>
      <c r="BH58" s="25">
        <f t="shared" si="11"/>
        <v>0</v>
      </c>
      <c r="BI58" s="25">
        <f t="shared" si="9"/>
        <v>8000</v>
      </c>
      <c r="BJ58" s="25">
        <f t="shared" si="12"/>
        <v>9555.5555555555547</v>
      </c>
    </row>
    <row r="59" spans="1:62" hidden="1" x14ac:dyDescent="0.25">
      <c r="A59" s="20" t="s">
        <v>334</v>
      </c>
      <c r="B59" s="19">
        <v>45689</v>
      </c>
      <c r="C59" s="20" t="s">
        <v>5</v>
      </c>
      <c r="D59" s="20" t="s">
        <v>588</v>
      </c>
      <c r="E59" s="20"/>
      <c r="F59" s="20" t="s">
        <v>312</v>
      </c>
      <c r="G59" s="20" t="s">
        <v>313</v>
      </c>
      <c r="H59" s="20" t="s">
        <v>329</v>
      </c>
      <c r="I59" s="21">
        <v>45021</v>
      </c>
      <c r="J59" s="22"/>
      <c r="K59" s="23" t="s">
        <v>419</v>
      </c>
      <c r="L59" s="24" t="s">
        <v>330</v>
      </c>
      <c r="M59" s="24" t="s">
        <v>504</v>
      </c>
      <c r="N59" s="25" t="e">
        <f>VLOOKUP(A59,#REF!,12,0)</f>
        <v>#REF!</v>
      </c>
      <c r="O59" s="25" t="e">
        <f>VLOOKUP(A59,#REF!,15,0)</f>
        <v>#REF!</v>
      </c>
      <c r="P59" s="25" t="e">
        <f>VLOOKUP(A59,#REF!,16,0)</f>
        <v>#REF!</v>
      </c>
      <c r="Q59" s="25" t="e">
        <f>VLOOKUP(A59,#REF!,17,0)</f>
        <v>#REF!</v>
      </c>
      <c r="R59" s="25" t="e">
        <f>VLOOKUP(A59,#REF!,18,0)</f>
        <v>#REF!</v>
      </c>
      <c r="S59" s="25" t="e">
        <f>VLOOKUP(A59,#REF!,19,0)</f>
        <v>#REF!</v>
      </c>
      <c r="T59" s="25" t="e">
        <f>VLOOKUP(A59,#REF!,20,0)</f>
        <v>#REF!</v>
      </c>
      <c r="U59" s="25" t="e">
        <f>VLOOKUP(A59,#REF!,21,0)</f>
        <v>#REF!</v>
      </c>
      <c r="V59" s="25" t="e">
        <f>VLOOKUP(A59,#REF!,22,0)</f>
        <v>#REF!</v>
      </c>
      <c r="W59" s="25" t="e">
        <f>VLOOKUP(A59,#REF!,23,0)</f>
        <v>#REF!</v>
      </c>
      <c r="X59" s="25" t="e">
        <f>VLOOKUP(A59,#REF!,24,0)</f>
        <v>#REF!</v>
      </c>
      <c r="Y59" s="25" t="e">
        <f>VLOOKUP(A59,#REF!,25,0)</f>
        <v>#REF!</v>
      </c>
      <c r="Z59" s="25" t="e">
        <f>VLOOKUP(A59,#REF!,26,0)</f>
        <v>#REF!</v>
      </c>
      <c r="AA59" s="25" t="e">
        <f>VLOOKUP(A59,#REF!,27,0)</f>
        <v>#REF!</v>
      </c>
      <c r="AB59" s="25" t="e">
        <f>VLOOKUP(A59,#REF!,28,0)</f>
        <v>#REF!</v>
      </c>
      <c r="AC59" s="25" t="e">
        <f>VLOOKUP(A59,#REF!,29,0)</f>
        <v>#REF!</v>
      </c>
      <c r="AD59" s="26" t="e">
        <f t="shared" si="0"/>
        <v>#REF!</v>
      </c>
      <c r="AE59" s="25" t="e">
        <f>VLOOKUP(A59,#REF!,31,0)</f>
        <v>#REF!</v>
      </c>
      <c r="AF59" s="25" t="e">
        <f>VLOOKUP(A59,#REF!,32,0)</f>
        <v>#REF!</v>
      </c>
      <c r="AG59" s="25"/>
      <c r="AH59" s="27"/>
      <c r="AI59" s="25" t="e">
        <f>VLOOKUP(A59,#REF!,30,0)</f>
        <v>#REF!</v>
      </c>
      <c r="AJ59" s="25" t="e">
        <f>VLOOKUP(A59,#REF!,31,0)</f>
        <v>#REF!</v>
      </c>
      <c r="AK59" s="25" t="e">
        <f>VLOOKUP(A59,#REF!,33,0)</f>
        <v>#REF!</v>
      </c>
      <c r="AL59" s="25" t="e">
        <f>VLOOKUP(A59,#REF!,36,0)</f>
        <v>#REF!</v>
      </c>
      <c r="AM59" s="25" t="e">
        <f>VLOOKUP(A59,#REF!,34,0)</f>
        <v>#REF!</v>
      </c>
      <c r="AN59" s="27" t="e">
        <f>VLOOKUP(A59,#REF!,35,0)</f>
        <v>#REF!</v>
      </c>
      <c r="AO59" s="27" t="e">
        <f>VLOOKUP(A59,#REF!,32,0)</f>
        <v>#REF!</v>
      </c>
      <c r="AP59" s="25" t="e">
        <f>VLOOKUP(A59,#REF!,35,0)</f>
        <v>#REF!</v>
      </c>
      <c r="AQ59" s="25" t="e">
        <f>VLOOKUP(A59,#REF!,36,0)</f>
        <v>#REF!</v>
      </c>
      <c r="AR59" s="25" t="e">
        <f>VLOOKUP(A59,#REF!,37,0)</f>
        <v>#REF!</v>
      </c>
      <c r="AS59" s="25" t="e">
        <f>VLOOKUP(A59,#REF!,38,0)</f>
        <v>#REF!</v>
      </c>
      <c r="AT59" s="25" t="e">
        <f>VLOOKUP(A59,#REF!,39,0)</f>
        <v>#REF!</v>
      </c>
      <c r="AU59" s="25"/>
      <c r="AV59" s="26" t="e">
        <f t="shared" si="1"/>
        <v>#REF!</v>
      </c>
      <c r="AW59" s="25" t="e">
        <f t="shared" si="2"/>
        <v>#REF!</v>
      </c>
      <c r="AX59" s="25"/>
      <c r="AY59" s="26" t="e">
        <f t="shared" si="3"/>
        <v>#REF!</v>
      </c>
      <c r="AZ59" s="25" t="e">
        <f t="shared" si="4"/>
        <v>#REF!</v>
      </c>
      <c r="BA59" s="25" t="e">
        <f t="shared" si="5"/>
        <v>#REF!</v>
      </c>
      <c r="BB59" s="25" t="e">
        <f t="shared" si="6"/>
        <v>#REF!</v>
      </c>
      <c r="BC59" s="25" t="e">
        <f t="shared" si="7"/>
        <v>#REF!</v>
      </c>
      <c r="BD59" s="25" t="e">
        <f>VLOOKUP(A59,#REF!,43,0)</f>
        <v>#REF!</v>
      </c>
      <c r="BE59" s="25" t="e">
        <f>VLOOKUP(A59,#REF!,44,0)</f>
        <v>#REF!</v>
      </c>
      <c r="BF59" s="25" t="e">
        <f>VLOOKUP(A59,#REF!,45,0)</f>
        <v>#REF!</v>
      </c>
      <c r="BG59" s="25" t="e">
        <f>VLOOKUP(A59,#REF!,42,0)</f>
        <v>#REF!</v>
      </c>
      <c r="BH59" s="25" t="e">
        <f t="shared" si="11"/>
        <v>#REF!</v>
      </c>
      <c r="BI59" s="25" t="e">
        <f t="shared" si="9"/>
        <v>#REF!</v>
      </c>
      <c r="BJ59" s="25" t="e">
        <f t="shared" si="12"/>
        <v>#REF!</v>
      </c>
    </row>
    <row r="60" spans="1:62" hidden="1" x14ac:dyDescent="0.25">
      <c r="A60" s="20" t="s">
        <v>153</v>
      </c>
      <c r="B60" s="19">
        <v>45689</v>
      </c>
      <c r="C60" s="20" t="s">
        <v>5</v>
      </c>
      <c r="D60" s="20" t="s">
        <v>564</v>
      </c>
      <c r="E60" s="20"/>
      <c r="F60" s="20" t="s">
        <v>95</v>
      </c>
      <c r="G60" s="20" t="s">
        <v>561</v>
      </c>
      <c r="H60" s="20" t="s">
        <v>565</v>
      </c>
      <c r="I60" s="21">
        <v>45026</v>
      </c>
      <c r="J60" s="22"/>
      <c r="K60" s="23" t="s">
        <v>419</v>
      </c>
      <c r="L60" s="24" t="s">
        <v>517</v>
      </c>
      <c r="M60" s="24" t="s">
        <v>92</v>
      </c>
      <c r="N60" s="25" t="e">
        <f>VLOOKUP(A60,#REF!,12,0)</f>
        <v>#REF!</v>
      </c>
      <c r="O60" s="25" t="e">
        <f>VLOOKUP(A60,#REF!,15,0)</f>
        <v>#REF!</v>
      </c>
      <c r="P60" s="25" t="e">
        <f>VLOOKUP(A60,#REF!,16,0)</f>
        <v>#REF!</v>
      </c>
      <c r="Q60" s="25" t="e">
        <f>VLOOKUP(A60,#REF!,17,0)</f>
        <v>#REF!</v>
      </c>
      <c r="R60" s="25" t="e">
        <f>VLOOKUP(A60,#REF!,18,0)</f>
        <v>#REF!</v>
      </c>
      <c r="S60" s="25" t="e">
        <f>VLOOKUP(A60,#REF!,19,0)</f>
        <v>#REF!</v>
      </c>
      <c r="T60" s="25" t="e">
        <f>VLOOKUP(A60,#REF!,20,0)</f>
        <v>#REF!</v>
      </c>
      <c r="U60" s="25" t="e">
        <f>VLOOKUP(A60,#REF!,21,0)</f>
        <v>#REF!</v>
      </c>
      <c r="V60" s="25" t="e">
        <f>VLOOKUP(A60,#REF!,22,0)</f>
        <v>#REF!</v>
      </c>
      <c r="W60" s="25" t="e">
        <f>VLOOKUP(A60,#REF!,23,0)</f>
        <v>#REF!</v>
      </c>
      <c r="X60" s="25" t="e">
        <f>VLOOKUP(A60,#REF!,24,0)</f>
        <v>#REF!</v>
      </c>
      <c r="Y60" s="25" t="e">
        <f>VLOOKUP(A60,#REF!,25,0)</f>
        <v>#REF!</v>
      </c>
      <c r="Z60" s="25" t="e">
        <f>VLOOKUP(A60,#REF!,26,0)</f>
        <v>#REF!</v>
      </c>
      <c r="AA60" s="25" t="e">
        <f>VLOOKUP(A60,#REF!,27,0)</f>
        <v>#REF!</v>
      </c>
      <c r="AB60" s="25" t="e">
        <f>VLOOKUP(A60,#REF!,28,0)</f>
        <v>#REF!</v>
      </c>
      <c r="AC60" s="25" t="e">
        <f>VLOOKUP(A60,#REF!,29,0)</f>
        <v>#REF!</v>
      </c>
      <c r="AD60" s="26" t="e">
        <f t="shared" si="0"/>
        <v>#REF!</v>
      </c>
      <c r="AE60" s="25" t="e">
        <f>VLOOKUP(A60,#REF!,31,0)</f>
        <v>#REF!</v>
      </c>
      <c r="AF60" s="25" t="e">
        <f>VLOOKUP(A60,#REF!,32,0)</f>
        <v>#REF!</v>
      </c>
      <c r="AG60" s="25"/>
      <c r="AH60" s="27"/>
      <c r="AI60" s="25" t="e">
        <f>VLOOKUP(A60,#REF!,30,0)</f>
        <v>#REF!</v>
      </c>
      <c r="AJ60" s="25" t="e">
        <f>VLOOKUP(A60,#REF!,31,0)</f>
        <v>#REF!</v>
      </c>
      <c r="AK60" s="25" t="e">
        <f>VLOOKUP(A60,#REF!,33,0)</f>
        <v>#REF!</v>
      </c>
      <c r="AL60" s="25" t="e">
        <f>VLOOKUP(A60,#REF!,36,0)</f>
        <v>#REF!</v>
      </c>
      <c r="AM60" s="25" t="e">
        <f>VLOOKUP(A60,#REF!,34,0)</f>
        <v>#REF!</v>
      </c>
      <c r="AN60" s="27" t="e">
        <f>VLOOKUP(A60,#REF!,35,0)</f>
        <v>#REF!</v>
      </c>
      <c r="AO60" s="27" t="e">
        <f>VLOOKUP(A60,#REF!,32,0)</f>
        <v>#REF!</v>
      </c>
      <c r="AP60" s="25" t="e">
        <f>VLOOKUP(A60,#REF!,35,0)</f>
        <v>#REF!</v>
      </c>
      <c r="AQ60" s="25" t="e">
        <f>VLOOKUP(A60,#REF!,36,0)</f>
        <v>#REF!</v>
      </c>
      <c r="AR60" s="25" t="e">
        <f>VLOOKUP(A60,#REF!,37,0)</f>
        <v>#REF!</v>
      </c>
      <c r="AS60" s="25" t="e">
        <f>VLOOKUP(A60,#REF!,38,0)</f>
        <v>#REF!</v>
      </c>
      <c r="AT60" s="25" t="e">
        <f>VLOOKUP(A60,#REF!,39,0)</f>
        <v>#REF!</v>
      </c>
      <c r="AU60" s="25"/>
      <c r="AV60" s="26" t="e">
        <f t="shared" si="1"/>
        <v>#REF!</v>
      </c>
      <c r="AW60" s="25" t="e">
        <f t="shared" si="2"/>
        <v>#REF!</v>
      </c>
      <c r="AX60" s="25"/>
      <c r="AY60" s="26" t="e">
        <f t="shared" si="3"/>
        <v>#REF!</v>
      </c>
      <c r="AZ60" s="25" t="e">
        <f t="shared" si="4"/>
        <v>#REF!</v>
      </c>
      <c r="BA60" s="25" t="e">
        <f t="shared" si="5"/>
        <v>#REF!</v>
      </c>
      <c r="BB60" s="25" t="e">
        <f t="shared" si="6"/>
        <v>#REF!</v>
      </c>
      <c r="BC60" s="25" t="e">
        <f t="shared" si="7"/>
        <v>#REF!</v>
      </c>
      <c r="BD60" s="25" t="e">
        <f>VLOOKUP(A60,#REF!,43,0)</f>
        <v>#REF!</v>
      </c>
      <c r="BE60" s="25" t="e">
        <f>VLOOKUP(A60,#REF!,44,0)</f>
        <v>#REF!</v>
      </c>
      <c r="BF60" s="25" t="e">
        <f>VLOOKUP(A60,#REF!,45,0)</f>
        <v>#REF!</v>
      </c>
      <c r="BG60" s="25" t="e">
        <f>VLOOKUP(A60,#REF!,42,0)</f>
        <v>#REF!</v>
      </c>
      <c r="BH60" s="25" t="e">
        <f t="shared" si="11"/>
        <v>#REF!</v>
      </c>
      <c r="BI60" s="25" t="e">
        <f t="shared" si="9"/>
        <v>#REF!</v>
      </c>
      <c r="BJ60" s="25" t="e">
        <f t="shared" si="12"/>
        <v>#REF!</v>
      </c>
    </row>
    <row r="61" spans="1:62" hidden="1" x14ac:dyDescent="0.25">
      <c r="A61" s="20" t="s">
        <v>86</v>
      </c>
      <c r="B61" s="19">
        <v>45689</v>
      </c>
      <c r="C61" s="20" t="s">
        <v>5</v>
      </c>
      <c r="D61" s="20" t="s">
        <v>560</v>
      </c>
      <c r="E61" s="20"/>
      <c r="F61" s="20" t="s">
        <v>80</v>
      </c>
      <c r="G61" s="20" t="s">
        <v>83</v>
      </c>
      <c r="H61" s="20" t="s">
        <v>88</v>
      </c>
      <c r="I61" s="21">
        <v>45027</v>
      </c>
      <c r="J61" s="22"/>
      <c r="K61" s="23" t="s">
        <v>419</v>
      </c>
      <c r="L61" s="24" t="s">
        <v>89</v>
      </c>
      <c r="M61" s="24" t="s">
        <v>563</v>
      </c>
      <c r="N61" s="25" t="e">
        <f>VLOOKUP(A61,#REF!,12,0)</f>
        <v>#REF!</v>
      </c>
      <c r="O61" s="25" t="e">
        <f>VLOOKUP(A61,#REF!,15,0)</f>
        <v>#REF!</v>
      </c>
      <c r="P61" s="25" t="e">
        <f>VLOOKUP(A61,#REF!,16,0)</f>
        <v>#REF!</v>
      </c>
      <c r="Q61" s="25" t="e">
        <f>VLOOKUP(A61,#REF!,17,0)</f>
        <v>#REF!</v>
      </c>
      <c r="R61" s="25" t="e">
        <f>VLOOKUP(A61,#REF!,18,0)</f>
        <v>#REF!</v>
      </c>
      <c r="S61" s="25" t="e">
        <f>VLOOKUP(A61,#REF!,19,0)</f>
        <v>#REF!</v>
      </c>
      <c r="T61" s="25" t="e">
        <f>VLOOKUP(A61,#REF!,20,0)</f>
        <v>#REF!</v>
      </c>
      <c r="U61" s="25" t="e">
        <f>VLOOKUP(A61,#REF!,21,0)</f>
        <v>#REF!</v>
      </c>
      <c r="V61" s="25" t="e">
        <f>VLOOKUP(A61,#REF!,22,0)</f>
        <v>#REF!</v>
      </c>
      <c r="W61" s="25" t="e">
        <f>VLOOKUP(A61,#REF!,23,0)</f>
        <v>#REF!</v>
      </c>
      <c r="X61" s="25" t="e">
        <f>VLOOKUP(A61,#REF!,24,0)</f>
        <v>#REF!</v>
      </c>
      <c r="Y61" s="25" t="e">
        <f>VLOOKUP(A61,#REF!,25,0)</f>
        <v>#REF!</v>
      </c>
      <c r="Z61" s="25" t="e">
        <f>VLOOKUP(A61,#REF!,26,0)</f>
        <v>#REF!</v>
      </c>
      <c r="AA61" s="25" t="e">
        <f>VLOOKUP(A61,#REF!,27,0)</f>
        <v>#REF!</v>
      </c>
      <c r="AB61" s="25" t="e">
        <f>VLOOKUP(A61,#REF!,28,0)</f>
        <v>#REF!</v>
      </c>
      <c r="AC61" s="25" t="e">
        <f>VLOOKUP(A61,#REF!,29,0)</f>
        <v>#REF!</v>
      </c>
      <c r="AD61" s="26" t="e">
        <f t="shared" si="0"/>
        <v>#REF!</v>
      </c>
      <c r="AE61" s="25" t="e">
        <f>VLOOKUP(A61,#REF!,31,0)</f>
        <v>#REF!</v>
      </c>
      <c r="AF61" s="25" t="e">
        <f>VLOOKUP(A61,#REF!,32,0)</f>
        <v>#REF!</v>
      </c>
      <c r="AG61" s="25"/>
      <c r="AH61" s="27"/>
      <c r="AI61" s="25" t="e">
        <f>VLOOKUP(A61,#REF!,30,0)</f>
        <v>#REF!</v>
      </c>
      <c r="AJ61" s="25" t="e">
        <f>VLOOKUP(A61,#REF!,31,0)</f>
        <v>#REF!</v>
      </c>
      <c r="AK61" s="25" t="e">
        <f>VLOOKUP(A61,#REF!,33,0)</f>
        <v>#REF!</v>
      </c>
      <c r="AL61" s="25" t="e">
        <f>VLOOKUP(A61,#REF!,36,0)</f>
        <v>#REF!</v>
      </c>
      <c r="AM61" s="25" t="e">
        <f>VLOOKUP(A61,#REF!,34,0)</f>
        <v>#REF!</v>
      </c>
      <c r="AN61" s="27" t="e">
        <f>VLOOKUP(A61,#REF!,35,0)</f>
        <v>#REF!</v>
      </c>
      <c r="AO61" s="27" t="e">
        <f>VLOOKUP(A61,#REF!,32,0)</f>
        <v>#REF!</v>
      </c>
      <c r="AP61" s="25" t="e">
        <f>VLOOKUP(A61,#REF!,35,0)</f>
        <v>#REF!</v>
      </c>
      <c r="AQ61" s="25" t="e">
        <f>VLOOKUP(A61,#REF!,36,0)</f>
        <v>#REF!</v>
      </c>
      <c r="AR61" s="25" t="e">
        <f>VLOOKUP(A61,#REF!,37,0)</f>
        <v>#REF!</v>
      </c>
      <c r="AS61" s="25" t="e">
        <f>VLOOKUP(A61,#REF!,38,0)</f>
        <v>#REF!</v>
      </c>
      <c r="AT61" s="25" t="e">
        <f>VLOOKUP(A61,#REF!,39,0)</f>
        <v>#REF!</v>
      </c>
      <c r="AU61" s="25"/>
      <c r="AV61" s="26" t="e">
        <f t="shared" si="1"/>
        <v>#REF!</v>
      </c>
      <c r="AW61" s="25" t="e">
        <f t="shared" si="2"/>
        <v>#REF!</v>
      </c>
      <c r="AX61" s="25"/>
      <c r="AY61" s="26" t="e">
        <f t="shared" si="3"/>
        <v>#REF!</v>
      </c>
      <c r="AZ61" s="25" t="e">
        <f t="shared" si="4"/>
        <v>#REF!</v>
      </c>
      <c r="BA61" s="25" t="e">
        <f t="shared" si="5"/>
        <v>#REF!</v>
      </c>
      <c r="BB61" s="25" t="e">
        <f t="shared" si="6"/>
        <v>#REF!</v>
      </c>
      <c r="BC61" s="25" t="e">
        <f t="shared" si="7"/>
        <v>#REF!</v>
      </c>
      <c r="BD61" s="25" t="e">
        <f>VLOOKUP(A61,#REF!,43,0)</f>
        <v>#REF!</v>
      </c>
      <c r="BE61" s="25" t="e">
        <f>VLOOKUP(A61,#REF!,44,0)</f>
        <v>#REF!</v>
      </c>
      <c r="BF61" s="25" t="e">
        <f>VLOOKUP(A61,#REF!,45,0)</f>
        <v>#REF!</v>
      </c>
      <c r="BG61" s="25" t="e">
        <f>VLOOKUP(A61,#REF!,42,0)</f>
        <v>#REF!</v>
      </c>
      <c r="BH61" s="25" t="e">
        <f t="shared" si="11"/>
        <v>#REF!</v>
      </c>
      <c r="BI61" s="25" t="e">
        <f t="shared" si="9"/>
        <v>#REF!</v>
      </c>
      <c r="BJ61" s="25" t="e">
        <f t="shared" si="12"/>
        <v>#REF!</v>
      </c>
    </row>
    <row r="62" spans="1:62" hidden="1" x14ac:dyDescent="0.25">
      <c r="A62" s="20" t="s">
        <v>463</v>
      </c>
      <c r="B62" s="19">
        <v>45689</v>
      </c>
      <c r="C62" s="20" t="s">
        <v>5</v>
      </c>
      <c r="D62" s="20" t="s">
        <v>594</v>
      </c>
      <c r="E62" s="20"/>
      <c r="F62" s="20" t="s">
        <v>356</v>
      </c>
      <c r="G62" s="20" t="s">
        <v>464</v>
      </c>
      <c r="H62" s="20" t="s">
        <v>195</v>
      </c>
      <c r="I62" s="21">
        <v>45040</v>
      </c>
      <c r="J62" s="22"/>
      <c r="K62" s="23" t="s">
        <v>419</v>
      </c>
      <c r="L62" s="24" t="s">
        <v>465</v>
      </c>
      <c r="M62" s="24" t="s">
        <v>432</v>
      </c>
      <c r="N62" s="25" t="e">
        <f>VLOOKUP(A62,#REF!,12,0)</f>
        <v>#REF!</v>
      </c>
      <c r="O62" s="25" t="e">
        <f>VLOOKUP(A62,#REF!,15,0)</f>
        <v>#REF!</v>
      </c>
      <c r="P62" s="25" t="e">
        <f>VLOOKUP(A62,#REF!,16,0)</f>
        <v>#REF!</v>
      </c>
      <c r="Q62" s="25" t="e">
        <f>VLOOKUP(A62,#REF!,17,0)</f>
        <v>#REF!</v>
      </c>
      <c r="R62" s="25" t="e">
        <f>VLOOKUP(A62,#REF!,18,0)</f>
        <v>#REF!</v>
      </c>
      <c r="S62" s="25" t="e">
        <f>VLOOKUP(A62,#REF!,19,0)</f>
        <v>#REF!</v>
      </c>
      <c r="T62" s="25" t="e">
        <f>VLOOKUP(A62,#REF!,20,0)</f>
        <v>#REF!</v>
      </c>
      <c r="U62" s="25" t="e">
        <f>VLOOKUP(A62,#REF!,21,0)</f>
        <v>#REF!</v>
      </c>
      <c r="V62" s="25" t="e">
        <f>VLOOKUP(A62,#REF!,22,0)</f>
        <v>#REF!</v>
      </c>
      <c r="W62" s="25" t="e">
        <f>VLOOKUP(A62,#REF!,23,0)</f>
        <v>#REF!</v>
      </c>
      <c r="X62" s="25" t="e">
        <f>VLOOKUP(A62,#REF!,24,0)</f>
        <v>#REF!</v>
      </c>
      <c r="Y62" s="25" t="e">
        <f>VLOOKUP(A62,#REF!,25,0)</f>
        <v>#REF!</v>
      </c>
      <c r="Z62" s="25" t="e">
        <f>VLOOKUP(A62,#REF!,26,0)</f>
        <v>#REF!</v>
      </c>
      <c r="AA62" s="25" t="e">
        <f>VLOOKUP(A62,#REF!,27,0)</f>
        <v>#REF!</v>
      </c>
      <c r="AB62" s="25" t="e">
        <f>VLOOKUP(A62,#REF!,28,0)</f>
        <v>#REF!</v>
      </c>
      <c r="AC62" s="25" t="e">
        <f>VLOOKUP(A62,#REF!,29,0)</f>
        <v>#REF!</v>
      </c>
      <c r="AD62" s="26" t="e">
        <f t="shared" si="0"/>
        <v>#REF!</v>
      </c>
      <c r="AE62" s="25" t="e">
        <f>VLOOKUP(A62,#REF!,31,0)</f>
        <v>#REF!</v>
      </c>
      <c r="AF62" s="25" t="e">
        <f>VLOOKUP(A62,#REF!,32,0)</f>
        <v>#REF!</v>
      </c>
      <c r="AG62" s="25"/>
      <c r="AH62" s="27"/>
      <c r="AI62" s="25" t="e">
        <f>VLOOKUP(A62,#REF!,30,0)</f>
        <v>#REF!</v>
      </c>
      <c r="AJ62" s="25" t="e">
        <f>VLOOKUP(A62,#REF!,31,0)</f>
        <v>#REF!</v>
      </c>
      <c r="AK62" s="25" t="e">
        <f>VLOOKUP(A62,#REF!,33,0)</f>
        <v>#REF!</v>
      </c>
      <c r="AL62" s="25" t="e">
        <f>VLOOKUP(A62,#REF!,36,0)</f>
        <v>#REF!</v>
      </c>
      <c r="AM62" s="25" t="e">
        <f>VLOOKUP(A62,#REF!,34,0)</f>
        <v>#REF!</v>
      </c>
      <c r="AN62" s="27" t="e">
        <f>VLOOKUP(A62,#REF!,35,0)</f>
        <v>#REF!</v>
      </c>
      <c r="AO62" s="27" t="e">
        <f>VLOOKUP(A62,#REF!,32,0)</f>
        <v>#REF!</v>
      </c>
      <c r="AP62" s="25" t="e">
        <f>VLOOKUP(A62,#REF!,35,0)</f>
        <v>#REF!</v>
      </c>
      <c r="AQ62" s="25" t="e">
        <f>VLOOKUP(A62,#REF!,36,0)</f>
        <v>#REF!</v>
      </c>
      <c r="AR62" s="25" t="e">
        <f>VLOOKUP(A62,#REF!,37,0)</f>
        <v>#REF!</v>
      </c>
      <c r="AS62" s="25" t="e">
        <f>VLOOKUP(A62,#REF!,38,0)</f>
        <v>#REF!</v>
      </c>
      <c r="AT62" s="25" t="e">
        <f>VLOOKUP(A62,#REF!,39,0)</f>
        <v>#REF!</v>
      </c>
      <c r="AU62" s="25"/>
      <c r="AV62" s="26" t="e">
        <f t="shared" si="1"/>
        <v>#REF!</v>
      </c>
      <c r="AW62" s="25" t="e">
        <f t="shared" si="2"/>
        <v>#REF!</v>
      </c>
      <c r="AX62" s="25"/>
      <c r="AY62" s="26" t="e">
        <f t="shared" si="3"/>
        <v>#REF!</v>
      </c>
      <c r="AZ62" s="25" t="e">
        <f t="shared" si="4"/>
        <v>#REF!</v>
      </c>
      <c r="BA62" s="25" t="e">
        <f t="shared" si="5"/>
        <v>#REF!</v>
      </c>
      <c r="BB62" s="25" t="e">
        <f t="shared" si="6"/>
        <v>#REF!</v>
      </c>
      <c r="BC62" s="25" t="e">
        <f t="shared" si="7"/>
        <v>#REF!</v>
      </c>
      <c r="BD62" s="25" t="e">
        <f>VLOOKUP(A62,#REF!,43,0)</f>
        <v>#REF!</v>
      </c>
      <c r="BE62" s="25" t="e">
        <f>VLOOKUP(A62,#REF!,44,0)</f>
        <v>#REF!</v>
      </c>
      <c r="BF62" s="25" t="e">
        <f>VLOOKUP(A62,#REF!,45,0)</f>
        <v>#REF!</v>
      </c>
      <c r="BG62" s="25" t="e">
        <f>VLOOKUP(A62,#REF!,42,0)</f>
        <v>#REF!</v>
      </c>
      <c r="BH62" s="25" t="e">
        <f t="shared" si="11"/>
        <v>#REF!</v>
      </c>
      <c r="BI62" s="25" t="e">
        <f t="shared" si="9"/>
        <v>#REF!</v>
      </c>
      <c r="BJ62" s="25" t="e">
        <f t="shared" si="12"/>
        <v>#REF!</v>
      </c>
    </row>
    <row r="63" spans="1:62" hidden="1" x14ac:dyDescent="0.25">
      <c r="A63" s="20" t="s">
        <v>144</v>
      </c>
      <c r="B63" s="19">
        <v>45689</v>
      </c>
      <c r="C63" s="20" t="s">
        <v>5</v>
      </c>
      <c r="D63" s="20" t="s">
        <v>579</v>
      </c>
      <c r="E63" s="20"/>
      <c r="F63" s="20" t="s">
        <v>283</v>
      </c>
      <c r="G63" s="20" t="s">
        <v>142</v>
      </c>
      <c r="H63" s="20" t="s">
        <v>97</v>
      </c>
      <c r="I63" s="21">
        <v>45103</v>
      </c>
      <c r="J63" s="22"/>
      <c r="K63" s="23" t="s">
        <v>419</v>
      </c>
      <c r="L63" s="24" t="s">
        <v>535</v>
      </c>
      <c r="M63" s="24" t="s">
        <v>508</v>
      </c>
      <c r="N63" s="25" t="e">
        <f>VLOOKUP(A63,#REF!,12,0)</f>
        <v>#REF!</v>
      </c>
      <c r="O63" s="25" t="e">
        <f>VLOOKUP(A63,#REF!,15,0)</f>
        <v>#REF!</v>
      </c>
      <c r="P63" s="25" t="e">
        <f>VLOOKUP(A63,#REF!,16,0)</f>
        <v>#REF!</v>
      </c>
      <c r="Q63" s="25" t="e">
        <f>VLOOKUP(A63,#REF!,17,0)</f>
        <v>#REF!</v>
      </c>
      <c r="R63" s="25" t="e">
        <f>VLOOKUP(A63,#REF!,18,0)</f>
        <v>#REF!</v>
      </c>
      <c r="S63" s="25" t="e">
        <f>VLOOKUP(A63,#REF!,19,0)</f>
        <v>#REF!</v>
      </c>
      <c r="T63" s="25" t="e">
        <f>VLOOKUP(A63,#REF!,20,0)</f>
        <v>#REF!</v>
      </c>
      <c r="U63" s="25" t="e">
        <f>VLOOKUP(A63,#REF!,21,0)</f>
        <v>#REF!</v>
      </c>
      <c r="V63" s="25" t="e">
        <f>VLOOKUP(A63,#REF!,22,0)</f>
        <v>#REF!</v>
      </c>
      <c r="W63" s="25" t="e">
        <f>VLOOKUP(A63,#REF!,23,0)</f>
        <v>#REF!</v>
      </c>
      <c r="X63" s="25" t="e">
        <f>VLOOKUP(A63,#REF!,24,0)</f>
        <v>#REF!</v>
      </c>
      <c r="Y63" s="25" t="e">
        <f>VLOOKUP(A63,#REF!,25,0)</f>
        <v>#REF!</v>
      </c>
      <c r="Z63" s="25" t="e">
        <f>VLOOKUP(A63,#REF!,26,0)</f>
        <v>#REF!</v>
      </c>
      <c r="AA63" s="25" t="e">
        <f>VLOOKUP(A63,#REF!,27,0)</f>
        <v>#REF!</v>
      </c>
      <c r="AB63" s="25" t="e">
        <f>VLOOKUP(A63,#REF!,28,0)</f>
        <v>#REF!</v>
      </c>
      <c r="AC63" s="25" t="e">
        <f>VLOOKUP(A63,#REF!,29,0)</f>
        <v>#REF!</v>
      </c>
      <c r="AD63" s="26" t="e">
        <f t="shared" si="0"/>
        <v>#REF!</v>
      </c>
      <c r="AE63" s="25" t="e">
        <f>VLOOKUP(A63,#REF!,31,0)</f>
        <v>#REF!</v>
      </c>
      <c r="AF63" s="25" t="e">
        <f>VLOOKUP(A63,#REF!,32,0)</f>
        <v>#REF!</v>
      </c>
      <c r="AG63" s="25"/>
      <c r="AH63" s="27"/>
      <c r="AI63" s="25" t="e">
        <f>VLOOKUP(A63,#REF!,30,0)</f>
        <v>#REF!</v>
      </c>
      <c r="AJ63" s="25" t="e">
        <f>VLOOKUP(A63,#REF!,31,0)</f>
        <v>#REF!</v>
      </c>
      <c r="AK63" s="25" t="e">
        <f>VLOOKUP(A63,#REF!,33,0)</f>
        <v>#REF!</v>
      </c>
      <c r="AL63" s="25" t="e">
        <f>VLOOKUP(A63,#REF!,36,0)</f>
        <v>#REF!</v>
      </c>
      <c r="AM63" s="25" t="e">
        <f>VLOOKUP(A63,#REF!,34,0)</f>
        <v>#REF!</v>
      </c>
      <c r="AN63" s="27" t="e">
        <f>VLOOKUP(A63,#REF!,35,0)</f>
        <v>#REF!</v>
      </c>
      <c r="AO63" s="27" t="e">
        <f>VLOOKUP(A63,#REF!,32,0)</f>
        <v>#REF!</v>
      </c>
      <c r="AP63" s="25" t="e">
        <f>VLOOKUP(A63,#REF!,35,0)</f>
        <v>#REF!</v>
      </c>
      <c r="AQ63" s="25" t="e">
        <f>VLOOKUP(A63,#REF!,36,0)</f>
        <v>#REF!</v>
      </c>
      <c r="AR63" s="25" t="e">
        <f>VLOOKUP(A63,#REF!,37,0)</f>
        <v>#REF!</v>
      </c>
      <c r="AS63" s="25" t="e">
        <f>VLOOKUP(A63,#REF!,38,0)</f>
        <v>#REF!</v>
      </c>
      <c r="AT63" s="25" t="e">
        <f>VLOOKUP(A63,#REF!,39,0)</f>
        <v>#REF!</v>
      </c>
      <c r="AU63" s="25"/>
      <c r="AV63" s="26" t="e">
        <f t="shared" si="1"/>
        <v>#REF!</v>
      </c>
      <c r="AW63" s="25" t="e">
        <f t="shared" si="2"/>
        <v>#REF!</v>
      </c>
      <c r="AX63" s="25"/>
      <c r="AY63" s="26" t="e">
        <f t="shared" si="3"/>
        <v>#REF!</v>
      </c>
      <c r="AZ63" s="25" t="e">
        <f t="shared" si="4"/>
        <v>#REF!</v>
      </c>
      <c r="BA63" s="25" t="e">
        <f t="shared" si="5"/>
        <v>#REF!</v>
      </c>
      <c r="BB63" s="25" t="e">
        <f t="shared" si="6"/>
        <v>#REF!</v>
      </c>
      <c r="BC63" s="25" t="e">
        <f t="shared" si="7"/>
        <v>#REF!</v>
      </c>
      <c r="BD63" s="25" t="e">
        <f>VLOOKUP(A63,#REF!,43,0)</f>
        <v>#REF!</v>
      </c>
      <c r="BE63" s="25" t="e">
        <f>VLOOKUP(A63,#REF!,44,0)</f>
        <v>#REF!</v>
      </c>
      <c r="BF63" s="25" t="e">
        <f>VLOOKUP(A63,#REF!,45,0)</f>
        <v>#REF!</v>
      </c>
      <c r="BG63" s="25" t="e">
        <f>VLOOKUP(A63,#REF!,42,0)</f>
        <v>#REF!</v>
      </c>
      <c r="BH63" s="25" t="e">
        <f t="shared" si="11"/>
        <v>#REF!</v>
      </c>
      <c r="BI63" s="25" t="e">
        <f t="shared" si="9"/>
        <v>#REF!</v>
      </c>
      <c r="BJ63" s="25" t="e">
        <f t="shared" si="12"/>
        <v>#REF!</v>
      </c>
    </row>
    <row r="64" spans="1:62" hidden="1" x14ac:dyDescent="0.25">
      <c r="A64" s="20" t="s">
        <v>663</v>
      </c>
      <c r="B64" s="19">
        <v>45689</v>
      </c>
      <c r="C64" s="20" t="s">
        <v>623</v>
      </c>
      <c r="D64" s="20" t="s">
        <v>564</v>
      </c>
      <c r="E64" s="20"/>
      <c r="F64" s="20" t="s">
        <v>95</v>
      </c>
      <c r="G64" s="20" t="s">
        <v>109</v>
      </c>
      <c r="H64" s="20" t="s">
        <v>96</v>
      </c>
      <c r="I64" s="21">
        <v>45105</v>
      </c>
      <c r="J64" s="22"/>
      <c r="K64" s="23" t="s">
        <v>419</v>
      </c>
      <c r="L64" s="24" t="s">
        <v>111</v>
      </c>
      <c r="M64" s="24" t="s">
        <v>623</v>
      </c>
      <c r="N64" s="25">
        <v>664</v>
      </c>
      <c r="O64" s="25">
        <v>1700</v>
      </c>
      <c r="P64" s="25">
        <v>0</v>
      </c>
      <c r="Q64" s="25">
        <v>0</v>
      </c>
      <c r="R64" s="25">
        <v>0</v>
      </c>
      <c r="S64" s="25">
        <v>0</v>
      </c>
      <c r="T64" s="25">
        <v>0</v>
      </c>
      <c r="U64" s="25">
        <v>0</v>
      </c>
      <c r="V64" s="25">
        <v>0</v>
      </c>
      <c r="W64" s="25">
        <v>0</v>
      </c>
      <c r="X64" s="25">
        <v>0</v>
      </c>
      <c r="Y64" s="25">
        <v>0</v>
      </c>
      <c r="Z64" s="25">
        <v>0</v>
      </c>
      <c r="AA64" s="25">
        <v>0</v>
      </c>
      <c r="AB64" s="25">
        <v>0</v>
      </c>
      <c r="AC64" s="25">
        <v>0</v>
      </c>
      <c r="AD64" s="25">
        <f>O64+P64+R64+S64+T64+U64+V64+W64+X64+Y64+Z64+AA64+U162+AB64+AC64</f>
        <v>1700</v>
      </c>
      <c r="AE64" s="25">
        <v>205</v>
      </c>
      <c r="AF64" s="25">
        <v>0</v>
      </c>
      <c r="AG64" s="25"/>
      <c r="AH64" s="25"/>
      <c r="AI64" s="25">
        <v>0</v>
      </c>
      <c r="AJ64" s="25">
        <v>0</v>
      </c>
      <c r="AK64" s="25">
        <v>0</v>
      </c>
      <c r="AL64" s="25">
        <v>0</v>
      </c>
      <c r="AM64" s="25">
        <v>0</v>
      </c>
      <c r="AN64" s="25">
        <v>0</v>
      </c>
      <c r="AO64" s="25">
        <v>0</v>
      </c>
      <c r="AP64" s="25">
        <v>0</v>
      </c>
      <c r="AQ64" s="25">
        <v>0</v>
      </c>
      <c r="AR64" s="25">
        <v>0</v>
      </c>
      <c r="AS64" s="25">
        <v>0</v>
      </c>
      <c r="AT64" s="25">
        <v>0</v>
      </c>
      <c r="AU64" s="25"/>
      <c r="AV64" s="25">
        <f t="shared" ref="AV64" si="13">SUM(AE64:AU64)</f>
        <v>205</v>
      </c>
      <c r="AW64" s="25">
        <f t="shared" si="2"/>
        <v>1905</v>
      </c>
      <c r="AX64" s="25"/>
      <c r="AY64" s="25">
        <f t="shared" si="3"/>
        <v>1905</v>
      </c>
      <c r="AZ64" s="25">
        <v>0</v>
      </c>
      <c r="BA64" s="25">
        <v>0</v>
      </c>
      <c r="BB64" s="25">
        <v>0</v>
      </c>
      <c r="BC64" s="25">
        <f t="shared" si="7"/>
        <v>0</v>
      </c>
      <c r="BD64" s="25">
        <v>0</v>
      </c>
      <c r="BE64" s="25">
        <v>0</v>
      </c>
      <c r="BF64" s="25">
        <v>0</v>
      </c>
      <c r="BG64" s="25">
        <v>0</v>
      </c>
      <c r="BH64" s="25">
        <v>0</v>
      </c>
      <c r="BI64" s="25">
        <f t="shared" si="9"/>
        <v>1905</v>
      </c>
      <c r="BJ64" s="25">
        <f>AY64</f>
        <v>1905</v>
      </c>
    </row>
    <row r="65" spans="1:62" hidden="1" x14ac:dyDescent="0.25">
      <c r="A65" s="20" t="s">
        <v>430</v>
      </c>
      <c r="B65" s="19">
        <v>45689</v>
      </c>
      <c r="C65" s="20" t="s">
        <v>5</v>
      </c>
      <c r="D65" s="20" t="s">
        <v>577</v>
      </c>
      <c r="E65" s="20"/>
      <c r="F65" s="20" t="s">
        <v>273</v>
      </c>
      <c r="G65" s="20" t="s">
        <v>178</v>
      </c>
      <c r="H65" s="20" t="s">
        <v>195</v>
      </c>
      <c r="I65" s="21">
        <v>45111</v>
      </c>
      <c r="J65" s="22"/>
      <c r="K65" s="23" t="s">
        <v>419</v>
      </c>
      <c r="L65" s="24" t="s">
        <v>431</v>
      </c>
      <c r="M65" s="24" t="s">
        <v>432</v>
      </c>
      <c r="N65" s="25" t="e">
        <f>VLOOKUP(A65,#REF!,12,0)</f>
        <v>#REF!</v>
      </c>
      <c r="O65" s="25" t="e">
        <f>VLOOKUP(A65,#REF!,15,0)</f>
        <v>#REF!</v>
      </c>
      <c r="P65" s="25" t="e">
        <f>VLOOKUP(A65,#REF!,16,0)</f>
        <v>#REF!</v>
      </c>
      <c r="Q65" s="25" t="e">
        <f>VLOOKUP(A65,#REF!,17,0)</f>
        <v>#REF!</v>
      </c>
      <c r="R65" s="25" t="e">
        <f>VLOOKUP(A65,#REF!,18,0)</f>
        <v>#REF!</v>
      </c>
      <c r="S65" s="25" t="e">
        <f>VLOOKUP(A65,#REF!,19,0)</f>
        <v>#REF!</v>
      </c>
      <c r="T65" s="25" t="e">
        <f>VLOOKUP(A65,#REF!,20,0)</f>
        <v>#REF!</v>
      </c>
      <c r="U65" s="25" t="e">
        <f>VLOOKUP(A65,#REF!,21,0)</f>
        <v>#REF!</v>
      </c>
      <c r="V65" s="25" t="e">
        <f>VLOOKUP(A65,#REF!,22,0)</f>
        <v>#REF!</v>
      </c>
      <c r="W65" s="25" t="e">
        <f>VLOOKUP(A65,#REF!,23,0)</f>
        <v>#REF!</v>
      </c>
      <c r="X65" s="25" t="e">
        <f>VLOOKUP(A65,#REF!,24,0)</f>
        <v>#REF!</v>
      </c>
      <c r="Y65" s="25" t="e">
        <f>VLOOKUP(A65,#REF!,25,0)</f>
        <v>#REF!</v>
      </c>
      <c r="Z65" s="25" t="e">
        <f>VLOOKUP(A65,#REF!,26,0)</f>
        <v>#REF!</v>
      </c>
      <c r="AA65" s="25" t="e">
        <f>VLOOKUP(A65,#REF!,27,0)</f>
        <v>#REF!</v>
      </c>
      <c r="AB65" s="25" t="e">
        <f>VLOOKUP(A65,#REF!,28,0)</f>
        <v>#REF!</v>
      </c>
      <c r="AC65" s="25" t="e">
        <f>VLOOKUP(A65,#REF!,29,0)</f>
        <v>#REF!</v>
      </c>
      <c r="AD65" s="26" t="e">
        <f t="shared" si="0"/>
        <v>#REF!</v>
      </c>
      <c r="AE65" s="25" t="e">
        <f>VLOOKUP(A65,#REF!,31,0)</f>
        <v>#REF!</v>
      </c>
      <c r="AF65" s="25" t="e">
        <f>VLOOKUP(A65,#REF!,32,0)</f>
        <v>#REF!</v>
      </c>
      <c r="AG65" s="25"/>
      <c r="AH65" s="27"/>
      <c r="AI65" s="25" t="e">
        <f>VLOOKUP(A65,#REF!,30,0)</f>
        <v>#REF!</v>
      </c>
      <c r="AJ65" s="25" t="e">
        <f>VLOOKUP(A65,#REF!,31,0)</f>
        <v>#REF!</v>
      </c>
      <c r="AK65" s="25" t="e">
        <f>VLOOKUP(A65,#REF!,33,0)</f>
        <v>#REF!</v>
      </c>
      <c r="AL65" s="25" t="e">
        <f>VLOOKUP(A65,#REF!,36,0)</f>
        <v>#REF!</v>
      </c>
      <c r="AM65" s="25" t="e">
        <f>VLOOKUP(A65,#REF!,34,0)</f>
        <v>#REF!</v>
      </c>
      <c r="AN65" s="27" t="e">
        <f>VLOOKUP(A65,#REF!,35,0)</f>
        <v>#REF!</v>
      </c>
      <c r="AO65" s="27" t="e">
        <f>VLOOKUP(A65,#REF!,32,0)</f>
        <v>#REF!</v>
      </c>
      <c r="AP65" s="25" t="e">
        <f>VLOOKUP(A65,#REF!,35,0)</f>
        <v>#REF!</v>
      </c>
      <c r="AQ65" s="25" t="e">
        <f>VLOOKUP(A65,#REF!,36,0)</f>
        <v>#REF!</v>
      </c>
      <c r="AR65" s="25" t="e">
        <f>VLOOKUP(A65,#REF!,37,0)</f>
        <v>#REF!</v>
      </c>
      <c r="AS65" s="25" t="e">
        <f>VLOOKUP(A65,#REF!,38,0)</f>
        <v>#REF!</v>
      </c>
      <c r="AT65" s="25" t="e">
        <f>VLOOKUP(A65,#REF!,39,0)</f>
        <v>#REF!</v>
      </c>
      <c r="AU65" s="25"/>
      <c r="AV65" s="26" t="e">
        <f t="shared" ref="AV65:AV113" si="14">SUM(AE65:AU65)</f>
        <v>#REF!</v>
      </c>
      <c r="AW65" s="25" t="e">
        <f t="shared" si="2"/>
        <v>#REF!</v>
      </c>
      <c r="AX65" s="25"/>
      <c r="AY65" s="26" t="e">
        <f t="shared" si="3"/>
        <v>#REF!</v>
      </c>
      <c r="AZ65" s="25" t="e">
        <f t="shared" si="4"/>
        <v>#REF!</v>
      </c>
      <c r="BA65" s="25" t="e">
        <f t="shared" si="5"/>
        <v>#REF!</v>
      </c>
      <c r="BB65" s="25" t="e">
        <f t="shared" si="6"/>
        <v>#REF!</v>
      </c>
      <c r="BC65" s="25" t="e">
        <f t="shared" si="7"/>
        <v>#REF!</v>
      </c>
      <c r="BD65" s="25" t="e">
        <f>VLOOKUP(A65,#REF!,43,0)</f>
        <v>#REF!</v>
      </c>
      <c r="BE65" s="25" t="e">
        <f>VLOOKUP(A65,#REF!,44,0)</f>
        <v>#REF!</v>
      </c>
      <c r="BF65" s="25" t="e">
        <f>VLOOKUP(A65,#REF!,45,0)</f>
        <v>#REF!</v>
      </c>
      <c r="BG65" s="25" t="e">
        <f>VLOOKUP(A65,#REF!,42,0)</f>
        <v>#REF!</v>
      </c>
      <c r="BH65" s="25" t="e">
        <f t="shared" si="11"/>
        <v>#REF!</v>
      </c>
      <c r="BI65" s="25" t="e">
        <f t="shared" si="9"/>
        <v>#REF!</v>
      </c>
      <c r="BJ65" s="25" t="e">
        <f t="shared" si="12"/>
        <v>#REF!</v>
      </c>
    </row>
    <row r="66" spans="1:62" hidden="1" x14ac:dyDescent="0.25">
      <c r="A66" s="20" t="s">
        <v>624</v>
      </c>
      <c r="B66" s="19">
        <v>45689</v>
      </c>
      <c r="C66" s="20" t="s">
        <v>5</v>
      </c>
      <c r="D66" s="20" t="s">
        <v>564</v>
      </c>
      <c r="E66" s="20"/>
      <c r="F66" s="20" t="s">
        <v>95</v>
      </c>
      <c r="G66" s="20" t="s">
        <v>561</v>
      </c>
      <c r="H66" s="20" t="s">
        <v>568</v>
      </c>
      <c r="I66" s="21">
        <v>45117</v>
      </c>
      <c r="J66" s="22"/>
      <c r="K66" s="23" t="s">
        <v>419</v>
      </c>
      <c r="L66" s="24" t="s">
        <v>514</v>
      </c>
      <c r="M66" s="24" t="s">
        <v>92</v>
      </c>
      <c r="N66" s="25" t="e">
        <f>VLOOKUP(A66,#REF!,12,0)</f>
        <v>#REF!</v>
      </c>
      <c r="O66" s="25" t="e">
        <f>VLOOKUP(A66,#REF!,15,0)</f>
        <v>#REF!</v>
      </c>
      <c r="P66" s="25" t="e">
        <f>VLOOKUP(A66,#REF!,16,0)</f>
        <v>#REF!</v>
      </c>
      <c r="Q66" s="25" t="e">
        <f>VLOOKUP(A66,#REF!,17,0)</f>
        <v>#REF!</v>
      </c>
      <c r="R66" s="25" t="e">
        <f>VLOOKUP(A66,#REF!,18,0)</f>
        <v>#REF!</v>
      </c>
      <c r="S66" s="25" t="e">
        <f>VLOOKUP(A66,#REF!,19,0)</f>
        <v>#REF!</v>
      </c>
      <c r="T66" s="25" t="e">
        <f>VLOOKUP(A66,#REF!,20,0)</f>
        <v>#REF!</v>
      </c>
      <c r="U66" s="25" t="e">
        <f>VLOOKUP(A66,#REF!,21,0)</f>
        <v>#REF!</v>
      </c>
      <c r="V66" s="25" t="e">
        <f>VLOOKUP(A66,#REF!,22,0)</f>
        <v>#REF!</v>
      </c>
      <c r="W66" s="25" t="e">
        <f>VLOOKUP(A66,#REF!,23,0)</f>
        <v>#REF!</v>
      </c>
      <c r="X66" s="25" t="e">
        <f>VLOOKUP(A66,#REF!,24,0)</f>
        <v>#REF!</v>
      </c>
      <c r="Y66" s="25" t="e">
        <f>VLOOKUP(A66,#REF!,25,0)</f>
        <v>#REF!</v>
      </c>
      <c r="Z66" s="25" t="e">
        <f>VLOOKUP(A66,#REF!,26,0)</f>
        <v>#REF!</v>
      </c>
      <c r="AA66" s="25" t="e">
        <f>VLOOKUP(A66,#REF!,27,0)</f>
        <v>#REF!</v>
      </c>
      <c r="AB66" s="25" t="e">
        <f>VLOOKUP(A66,#REF!,28,0)</f>
        <v>#REF!</v>
      </c>
      <c r="AC66" s="25" t="e">
        <f>VLOOKUP(A66,#REF!,29,0)</f>
        <v>#REF!</v>
      </c>
      <c r="AD66" s="26" t="e">
        <f t="shared" si="0"/>
        <v>#REF!</v>
      </c>
      <c r="AE66" s="25" t="e">
        <f>VLOOKUP(A66,#REF!,31,0)</f>
        <v>#REF!</v>
      </c>
      <c r="AF66" s="25" t="e">
        <f>VLOOKUP(A66,#REF!,32,0)</f>
        <v>#REF!</v>
      </c>
      <c r="AG66" s="25"/>
      <c r="AH66" s="27"/>
      <c r="AI66" s="25" t="e">
        <f>VLOOKUP(A66,#REF!,30,0)</f>
        <v>#REF!</v>
      </c>
      <c r="AJ66" s="25" t="e">
        <f>VLOOKUP(A66,#REF!,31,0)</f>
        <v>#REF!</v>
      </c>
      <c r="AK66" s="25" t="e">
        <f>VLOOKUP(A66,#REF!,33,0)</f>
        <v>#REF!</v>
      </c>
      <c r="AL66" s="25" t="e">
        <f>VLOOKUP(A66,#REF!,36,0)</f>
        <v>#REF!</v>
      </c>
      <c r="AM66" s="25" t="e">
        <f>VLOOKUP(A66,#REF!,34,0)</f>
        <v>#REF!</v>
      </c>
      <c r="AN66" s="27" t="e">
        <f>VLOOKUP(A66,#REF!,35,0)</f>
        <v>#REF!</v>
      </c>
      <c r="AO66" s="27" t="e">
        <f>VLOOKUP(A66,#REF!,32,0)</f>
        <v>#REF!</v>
      </c>
      <c r="AP66" s="25" t="e">
        <f>VLOOKUP(A66,#REF!,35,0)</f>
        <v>#REF!</v>
      </c>
      <c r="AQ66" s="25" t="e">
        <f>VLOOKUP(A66,#REF!,36,0)</f>
        <v>#REF!</v>
      </c>
      <c r="AR66" s="25" t="e">
        <f>VLOOKUP(A66,#REF!,37,0)</f>
        <v>#REF!</v>
      </c>
      <c r="AS66" s="25" t="e">
        <f>VLOOKUP(A66,#REF!,38,0)</f>
        <v>#REF!</v>
      </c>
      <c r="AT66" s="25" t="e">
        <f>VLOOKUP(A66,#REF!,39,0)</f>
        <v>#REF!</v>
      </c>
      <c r="AU66" s="25"/>
      <c r="AV66" s="26" t="e">
        <f t="shared" si="14"/>
        <v>#REF!</v>
      </c>
      <c r="AW66" s="25" t="e">
        <f t="shared" si="2"/>
        <v>#REF!</v>
      </c>
      <c r="AX66" s="25"/>
      <c r="AY66" s="26" t="e">
        <f t="shared" si="3"/>
        <v>#REF!</v>
      </c>
      <c r="AZ66" s="25" t="e">
        <f t="shared" si="4"/>
        <v>#REF!</v>
      </c>
      <c r="BA66" s="25" t="e">
        <f t="shared" si="5"/>
        <v>#REF!</v>
      </c>
      <c r="BB66" s="25" t="e">
        <f t="shared" si="6"/>
        <v>#REF!</v>
      </c>
      <c r="BC66" s="25" t="e">
        <f t="shared" si="7"/>
        <v>#REF!</v>
      </c>
      <c r="BD66" s="25" t="e">
        <f>VLOOKUP(A66,#REF!,43,0)</f>
        <v>#REF!</v>
      </c>
      <c r="BE66" s="25" t="e">
        <f>VLOOKUP(A66,#REF!,44,0)</f>
        <v>#REF!</v>
      </c>
      <c r="BF66" s="25" t="e">
        <f>VLOOKUP(A66,#REF!,45,0)</f>
        <v>#REF!</v>
      </c>
      <c r="BG66" s="25" t="e">
        <f>VLOOKUP(A66,#REF!,42,0)</f>
        <v>#REF!</v>
      </c>
      <c r="BH66" s="25" t="e">
        <f t="shared" si="11"/>
        <v>#REF!</v>
      </c>
      <c r="BI66" s="25" t="e">
        <f t="shared" si="9"/>
        <v>#REF!</v>
      </c>
      <c r="BJ66" s="25" t="e">
        <f t="shared" si="12"/>
        <v>#REF!</v>
      </c>
    </row>
    <row r="67" spans="1:62" hidden="1" x14ac:dyDescent="0.25">
      <c r="A67" s="20" t="s">
        <v>136</v>
      </c>
      <c r="B67" s="19">
        <v>45689</v>
      </c>
      <c r="C67" s="20" t="s">
        <v>5</v>
      </c>
      <c r="D67" s="20" t="s">
        <v>594</v>
      </c>
      <c r="E67" s="20"/>
      <c r="F67" s="20" t="s">
        <v>356</v>
      </c>
      <c r="G67" s="20" t="s">
        <v>464</v>
      </c>
      <c r="H67" s="20" t="s">
        <v>97</v>
      </c>
      <c r="I67" s="21">
        <v>45117</v>
      </c>
      <c r="J67" s="22"/>
      <c r="K67" s="23" t="s">
        <v>419</v>
      </c>
      <c r="L67" s="24" t="s">
        <v>513</v>
      </c>
      <c r="M67" s="24" t="s">
        <v>508</v>
      </c>
      <c r="N67" s="25" t="e">
        <f>VLOOKUP(A67,#REF!,12,0)</f>
        <v>#REF!</v>
      </c>
      <c r="O67" s="25" t="e">
        <f>VLOOKUP(A67,#REF!,15,0)</f>
        <v>#REF!</v>
      </c>
      <c r="P67" s="25" t="e">
        <f>VLOOKUP(A67,#REF!,16,0)</f>
        <v>#REF!</v>
      </c>
      <c r="Q67" s="25" t="e">
        <f>VLOOKUP(A67,#REF!,17,0)</f>
        <v>#REF!</v>
      </c>
      <c r="R67" s="25" t="e">
        <f>VLOOKUP(A67,#REF!,18,0)</f>
        <v>#REF!</v>
      </c>
      <c r="S67" s="25" t="e">
        <f>VLOOKUP(A67,#REF!,19,0)</f>
        <v>#REF!</v>
      </c>
      <c r="T67" s="25" t="e">
        <f>VLOOKUP(A67,#REF!,20,0)</f>
        <v>#REF!</v>
      </c>
      <c r="U67" s="25" t="e">
        <f>VLOOKUP(A67,#REF!,21,0)</f>
        <v>#REF!</v>
      </c>
      <c r="V67" s="25" t="e">
        <f>VLOOKUP(A67,#REF!,22,0)</f>
        <v>#REF!</v>
      </c>
      <c r="W67" s="25" t="e">
        <f>VLOOKUP(A67,#REF!,23,0)</f>
        <v>#REF!</v>
      </c>
      <c r="X67" s="25" t="e">
        <f>VLOOKUP(A67,#REF!,24,0)</f>
        <v>#REF!</v>
      </c>
      <c r="Y67" s="25" t="e">
        <f>VLOOKUP(A67,#REF!,25,0)</f>
        <v>#REF!</v>
      </c>
      <c r="Z67" s="25" t="e">
        <f>VLOOKUP(A67,#REF!,26,0)</f>
        <v>#REF!</v>
      </c>
      <c r="AA67" s="25" t="e">
        <f>VLOOKUP(A67,#REF!,27,0)</f>
        <v>#REF!</v>
      </c>
      <c r="AB67" s="25" t="e">
        <f>VLOOKUP(A67,#REF!,28,0)</f>
        <v>#REF!</v>
      </c>
      <c r="AC67" s="25" t="e">
        <f>VLOOKUP(A67,#REF!,29,0)</f>
        <v>#REF!</v>
      </c>
      <c r="AD67" s="26" t="e">
        <f t="shared" ref="AD67:AD108" si="15">SUM(O67:AC67)</f>
        <v>#REF!</v>
      </c>
      <c r="AE67" s="25" t="e">
        <f>VLOOKUP(A67,#REF!,31,0)</f>
        <v>#REF!</v>
      </c>
      <c r="AF67" s="25" t="e">
        <f>VLOOKUP(A67,#REF!,32,0)</f>
        <v>#REF!</v>
      </c>
      <c r="AG67" s="25"/>
      <c r="AH67" s="27"/>
      <c r="AI67" s="25" t="e">
        <f>VLOOKUP(A67,#REF!,30,0)</f>
        <v>#REF!</v>
      </c>
      <c r="AJ67" s="25" t="e">
        <f>VLOOKUP(A67,#REF!,31,0)</f>
        <v>#REF!</v>
      </c>
      <c r="AK67" s="25" t="e">
        <f>VLOOKUP(A67,#REF!,33,0)</f>
        <v>#REF!</v>
      </c>
      <c r="AL67" s="25" t="e">
        <f>VLOOKUP(A67,#REF!,36,0)</f>
        <v>#REF!</v>
      </c>
      <c r="AM67" s="25" t="e">
        <f>VLOOKUP(A67,#REF!,34,0)</f>
        <v>#REF!</v>
      </c>
      <c r="AN67" s="27" t="e">
        <f>VLOOKUP(A67,#REF!,35,0)</f>
        <v>#REF!</v>
      </c>
      <c r="AO67" s="27" t="e">
        <f>VLOOKUP(A67,#REF!,32,0)</f>
        <v>#REF!</v>
      </c>
      <c r="AP67" s="25" t="e">
        <f>VLOOKUP(A67,#REF!,35,0)</f>
        <v>#REF!</v>
      </c>
      <c r="AQ67" s="25" t="e">
        <f>VLOOKUP(A67,#REF!,36,0)</f>
        <v>#REF!</v>
      </c>
      <c r="AR67" s="25" t="e">
        <f>VLOOKUP(A67,#REF!,37,0)</f>
        <v>#REF!</v>
      </c>
      <c r="AS67" s="25" t="e">
        <f>VLOOKUP(A67,#REF!,38,0)</f>
        <v>#REF!</v>
      </c>
      <c r="AT67" s="25" t="e">
        <f>VLOOKUP(A67,#REF!,39,0)</f>
        <v>#REF!</v>
      </c>
      <c r="AU67" s="25"/>
      <c r="AV67" s="26" t="e">
        <f t="shared" si="14"/>
        <v>#REF!</v>
      </c>
      <c r="AW67" s="25" t="e">
        <f t="shared" ref="AW67:AW113" si="16">AD67+AV67</f>
        <v>#REF!</v>
      </c>
      <c r="AX67" s="25"/>
      <c r="AY67" s="26" t="e">
        <f t="shared" ref="AY67:AY113" si="17">AW67+AX67</f>
        <v>#REF!</v>
      </c>
      <c r="AZ67" s="25" t="e">
        <f t="shared" ref="AZ67:AZ78" si="18">AD67/12</f>
        <v>#REF!</v>
      </c>
      <c r="BA67" s="25" t="e">
        <f t="shared" ref="BA67:BA78" si="19">AD67/12</f>
        <v>#REF!</v>
      </c>
      <c r="BB67" s="25" t="e">
        <f t="shared" ref="BB67:BB80" si="20">BA67/3</f>
        <v>#REF!</v>
      </c>
      <c r="BC67" s="25" t="e">
        <f t="shared" ref="BC67:BC113" si="21">AZ67+BA67+BB67</f>
        <v>#REF!</v>
      </c>
      <c r="BD67" s="25" t="e">
        <f>VLOOKUP(A67,#REF!,43,0)</f>
        <v>#REF!</v>
      </c>
      <c r="BE67" s="25" t="e">
        <f>VLOOKUP(A67,#REF!,44,0)</f>
        <v>#REF!</v>
      </c>
      <c r="BF67" s="25" t="e">
        <f>VLOOKUP(A67,#REF!,45,0)</f>
        <v>#REF!</v>
      </c>
      <c r="BG67" s="25" t="e">
        <f>VLOOKUP(A67,#REF!,42,0)</f>
        <v>#REF!</v>
      </c>
      <c r="BH67" s="25" t="e">
        <f t="shared" si="11"/>
        <v>#REF!</v>
      </c>
      <c r="BI67" s="25" t="e">
        <f t="shared" ref="BI67:BI113" si="22">AY67+BH67</f>
        <v>#REF!</v>
      </c>
      <c r="BJ67" s="25" t="e">
        <f t="shared" si="12"/>
        <v>#REF!</v>
      </c>
    </row>
    <row r="68" spans="1:62" hidden="1" x14ac:dyDescent="0.25">
      <c r="A68" s="20" t="s">
        <v>503</v>
      </c>
      <c r="B68" s="19">
        <v>45689</v>
      </c>
      <c r="C68" s="20" t="s">
        <v>5</v>
      </c>
      <c r="D68" s="20" t="s">
        <v>560</v>
      </c>
      <c r="E68" s="20"/>
      <c r="F68" s="20" t="s">
        <v>80</v>
      </c>
      <c r="G68" s="20" t="s">
        <v>83</v>
      </c>
      <c r="H68" s="20" t="s">
        <v>88</v>
      </c>
      <c r="I68" s="21">
        <v>45119</v>
      </c>
      <c r="J68" s="22"/>
      <c r="K68" s="23" t="s">
        <v>419</v>
      </c>
      <c r="L68" s="24" t="s">
        <v>89</v>
      </c>
      <c r="M68" s="24" t="s">
        <v>504</v>
      </c>
      <c r="N68" s="25" t="e">
        <f>VLOOKUP(A68,#REF!,12,0)</f>
        <v>#REF!</v>
      </c>
      <c r="O68" s="25" t="e">
        <f>VLOOKUP(A68,#REF!,15,0)</f>
        <v>#REF!</v>
      </c>
      <c r="P68" s="25" t="e">
        <f>VLOOKUP(A68,#REF!,16,0)</f>
        <v>#REF!</v>
      </c>
      <c r="Q68" s="25" t="e">
        <f>VLOOKUP(A68,#REF!,17,0)</f>
        <v>#REF!</v>
      </c>
      <c r="R68" s="25" t="e">
        <f>VLOOKUP(A68,#REF!,18,0)</f>
        <v>#REF!</v>
      </c>
      <c r="S68" s="25" t="e">
        <f>VLOOKUP(A68,#REF!,19,0)</f>
        <v>#REF!</v>
      </c>
      <c r="T68" s="25" t="e">
        <f>VLOOKUP(A68,#REF!,20,0)</f>
        <v>#REF!</v>
      </c>
      <c r="U68" s="25" t="e">
        <f>VLOOKUP(A68,#REF!,21,0)</f>
        <v>#REF!</v>
      </c>
      <c r="V68" s="25" t="e">
        <f>VLOOKUP(A68,#REF!,22,0)</f>
        <v>#REF!</v>
      </c>
      <c r="W68" s="25" t="e">
        <f>VLOOKUP(A68,#REF!,23,0)</f>
        <v>#REF!</v>
      </c>
      <c r="X68" s="25" t="e">
        <f>VLOOKUP(A68,#REF!,24,0)</f>
        <v>#REF!</v>
      </c>
      <c r="Y68" s="25" t="e">
        <f>VLOOKUP(A68,#REF!,25,0)</f>
        <v>#REF!</v>
      </c>
      <c r="Z68" s="25" t="e">
        <f>VLOOKUP(A68,#REF!,26,0)</f>
        <v>#REF!</v>
      </c>
      <c r="AA68" s="25" t="e">
        <f>VLOOKUP(A68,#REF!,27,0)</f>
        <v>#REF!</v>
      </c>
      <c r="AB68" s="25" t="e">
        <f>VLOOKUP(A68,#REF!,28,0)</f>
        <v>#REF!</v>
      </c>
      <c r="AC68" s="25" t="e">
        <f>VLOOKUP(A68,#REF!,29,0)</f>
        <v>#REF!</v>
      </c>
      <c r="AD68" s="26" t="e">
        <f t="shared" si="15"/>
        <v>#REF!</v>
      </c>
      <c r="AE68" s="25" t="e">
        <f>VLOOKUP(A68,#REF!,31,0)</f>
        <v>#REF!</v>
      </c>
      <c r="AF68" s="25" t="e">
        <f>VLOOKUP(A68,#REF!,32,0)</f>
        <v>#REF!</v>
      </c>
      <c r="AG68" s="25"/>
      <c r="AH68" s="27"/>
      <c r="AI68" s="25" t="e">
        <f>VLOOKUP(A68,#REF!,30,0)</f>
        <v>#REF!</v>
      </c>
      <c r="AJ68" s="25" t="e">
        <f>VLOOKUP(A68,#REF!,31,0)</f>
        <v>#REF!</v>
      </c>
      <c r="AK68" s="25" t="e">
        <f>VLOOKUP(A68,#REF!,33,0)</f>
        <v>#REF!</v>
      </c>
      <c r="AL68" s="25" t="e">
        <f>VLOOKUP(A68,#REF!,36,0)</f>
        <v>#REF!</v>
      </c>
      <c r="AM68" s="25" t="e">
        <f>VLOOKUP(A68,#REF!,34,0)</f>
        <v>#REF!</v>
      </c>
      <c r="AN68" s="27" t="e">
        <f>VLOOKUP(A68,#REF!,35,0)</f>
        <v>#REF!</v>
      </c>
      <c r="AO68" s="27" t="e">
        <f>VLOOKUP(A68,#REF!,32,0)</f>
        <v>#REF!</v>
      </c>
      <c r="AP68" s="25" t="e">
        <f>VLOOKUP(A68,#REF!,35,0)</f>
        <v>#REF!</v>
      </c>
      <c r="AQ68" s="25" t="e">
        <f>VLOOKUP(A68,#REF!,36,0)</f>
        <v>#REF!</v>
      </c>
      <c r="AR68" s="25" t="e">
        <f>VLOOKUP(A68,#REF!,37,0)</f>
        <v>#REF!</v>
      </c>
      <c r="AS68" s="25" t="e">
        <f>VLOOKUP(A68,#REF!,38,0)</f>
        <v>#REF!</v>
      </c>
      <c r="AT68" s="25" t="e">
        <f>VLOOKUP(A68,#REF!,39,0)</f>
        <v>#REF!</v>
      </c>
      <c r="AU68" s="25"/>
      <c r="AV68" s="26" t="e">
        <f t="shared" si="14"/>
        <v>#REF!</v>
      </c>
      <c r="AW68" s="25" t="e">
        <f t="shared" si="16"/>
        <v>#REF!</v>
      </c>
      <c r="AX68" s="25"/>
      <c r="AY68" s="26" t="e">
        <f t="shared" si="17"/>
        <v>#REF!</v>
      </c>
      <c r="AZ68" s="25" t="e">
        <f t="shared" si="18"/>
        <v>#REF!</v>
      </c>
      <c r="BA68" s="25" t="e">
        <f t="shared" si="19"/>
        <v>#REF!</v>
      </c>
      <c r="BB68" s="25" t="e">
        <f t="shared" si="20"/>
        <v>#REF!</v>
      </c>
      <c r="BC68" s="25" t="e">
        <f t="shared" si="21"/>
        <v>#REF!</v>
      </c>
      <c r="BD68" s="25" t="e">
        <f>VLOOKUP(A68,#REF!,43,0)</f>
        <v>#REF!</v>
      </c>
      <c r="BE68" s="25" t="e">
        <f>VLOOKUP(A68,#REF!,44,0)</f>
        <v>#REF!</v>
      </c>
      <c r="BF68" s="25" t="e">
        <f>VLOOKUP(A68,#REF!,45,0)</f>
        <v>#REF!</v>
      </c>
      <c r="BG68" s="25" t="e">
        <f>VLOOKUP(A68,#REF!,42,0)</f>
        <v>#REF!</v>
      </c>
      <c r="BH68" s="25" t="e">
        <f t="shared" si="11"/>
        <v>#REF!</v>
      </c>
      <c r="BI68" s="25" t="e">
        <f t="shared" si="22"/>
        <v>#REF!</v>
      </c>
      <c r="BJ68" s="25" t="e">
        <f t="shared" si="12"/>
        <v>#REF!</v>
      </c>
    </row>
    <row r="69" spans="1:62" hidden="1" x14ac:dyDescent="0.25">
      <c r="A69" s="20" t="s">
        <v>512</v>
      </c>
      <c r="B69" s="19">
        <v>45689</v>
      </c>
      <c r="C69" s="20" t="s">
        <v>5</v>
      </c>
      <c r="D69" s="20" t="s">
        <v>594</v>
      </c>
      <c r="E69" s="20"/>
      <c r="F69" s="20" t="s">
        <v>356</v>
      </c>
      <c r="G69" s="20" t="s">
        <v>464</v>
      </c>
      <c r="H69" s="20" t="s">
        <v>97</v>
      </c>
      <c r="I69" s="21">
        <v>45223</v>
      </c>
      <c r="J69" s="22"/>
      <c r="K69" s="23" t="s">
        <v>419</v>
      </c>
      <c r="L69" s="24" t="s">
        <v>513</v>
      </c>
      <c r="M69" s="24" t="s">
        <v>508</v>
      </c>
      <c r="N69" s="25" t="e">
        <f>VLOOKUP(A69,#REF!,12,0)</f>
        <v>#REF!</v>
      </c>
      <c r="O69" s="25" t="e">
        <f>VLOOKUP(A69,#REF!,15,0)</f>
        <v>#REF!</v>
      </c>
      <c r="P69" s="25" t="e">
        <f>VLOOKUP(A69,#REF!,16,0)</f>
        <v>#REF!</v>
      </c>
      <c r="Q69" s="25" t="e">
        <f>VLOOKUP(A69,#REF!,17,0)</f>
        <v>#REF!</v>
      </c>
      <c r="R69" s="25" t="e">
        <f>VLOOKUP(A69,#REF!,18,0)</f>
        <v>#REF!</v>
      </c>
      <c r="S69" s="25" t="e">
        <f>VLOOKUP(A69,#REF!,19,0)</f>
        <v>#REF!</v>
      </c>
      <c r="T69" s="25" t="e">
        <f>VLOOKUP(A69,#REF!,20,0)</f>
        <v>#REF!</v>
      </c>
      <c r="U69" s="25" t="e">
        <f>VLOOKUP(A69,#REF!,21,0)</f>
        <v>#REF!</v>
      </c>
      <c r="V69" s="25" t="e">
        <f>VLOOKUP(A69,#REF!,22,0)</f>
        <v>#REF!</v>
      </c>
      <c r="W69" s="25" t="e">
        <f>VLOOKUP(A69,#REF!,23,0)</f>
        <v>#REF!</v>
      </c>
      <c r="X69" s="25" t="e">
        <f>VLOOKUP(A69,#REF!,24,0)</f>
        <v>#REF!</v>
      </c>
      <c r="Y69" s="25" t="e">
        <f>VLOOKUP(A69,#REF!,25,0)</f>
        <v>#REF!</v>
      </c>
      <c r="Z69" s="25" t="e">
        <f>VLOOKUP(A69,#REF!,26,0)</f>
        <v>#REF!</v>
      </c>
      <c r="AA69" s="25" t="e">
        <f>VLOOKUP(A69,#REF!,27,0)</f>
        <v>#REF!</v>
      </c>
      <c r="AB69" s="25" t="e">
        <f>VLOOKUP(A69,#REF!,28,0)</f>
        <v>#REF!</v>
      </c>
      <c r="AC69" s="25" t="e">
        <f>VLOOKUP(A69,#REF!,29,0)</f>
        <v>#REF!</v>
      </c>
      <c r="AD69" s="26" t="e">
        <f t="shared" si="15"/>
        <v>#REF!</v>
      </c>
      <c r="AE69" s="25" t="e">
        <f>VLOOKUP(A69,#REF!,31,0)</f>
        <v>#REF!</v>
      </c>
      <c r="AF69" s="25" t="e">
        <f>VLOOKUP(A69,#REF!,32,0)</f>
        <v>#REF!</v>
      </c>
      <c r="AG69" s="25"/>
      <c r="AH69" s="27"/>
      <c r="AI69" s="25" t="e">
        <f>VLOOKUP(A69,#REF!,30,0)</f>
        <v>#REF!</v>
      </c>
      <c r="AJ69" s="25" t="e">
        <f>VLOOKUP(A69,#REF!,31,0)</f>
        <v>#REF!</v>
      </c>
      <c r="AK69" s="25" t="e">
        <f>VLOOKUP(A69,#REF!,33,0)</f>
        <v>#REF!</v>
      </c>
      <c r="AL69" s="25" t="e">
        <f>VLOOKUP(A69,#REF!,36,0)</f>
        <v>#REF!</v>
      </c>
      <c r="AM69" s="25" t="e">
        <f>VLOOKUP(A69,#REF!,34,0)</f>
        <v>#REF!</v>
      </c>
      <c r="AN69" s="27" t="e">
        <f>VLOOKUP(A69,#REF!,35,0)</f>
        <v>#REF!</v>
      </c>
      <c r="AO69" s="27" t="e">
        <f>VLOOKUP(A69,#REF!,32,0)</f>
        <v>#REF!</v>
      </c>
      <c r="AP69" s="25" t="e">
        <f>VLOOKUP(A69,#REF!,35,0)</f>
        <v>#REF!</v>
      </c>
      <c r="AQ69" s="25" t="e">
        <f>VLOOKUP(A69,#REF!,36,0)</f>
        <v>#REF!</v>
      </c>
      <c r="AR69" s="25" t="e">
        <f>VLOOKUP(A69,#REF!,37,0)</f>
        <v>#REF!</v>
      </c>
      <c r="AS69" s="25" t="e">
        <f>VLOOKUP(A69,#REF!,38,0)</f>
        <v>#REF!</v>
      </c>
      <c r="AT69" s="25" t="e">
        <f>VLOOKUP(A69,#REF!,39,0)</f>
        <v>#REF!</v>
      </c>
      <c r="AU69" s="25"/>
      <c r="AV69" s="26" t="e">
        <f t="shared" si="14"/>
        <v>#REF!</v>
      </c>
      <c r="AW69" s="25" t="e">
        <f t="shared" si="16"/>
        <v>#REF!</v>
      </c>
      <c r="AX69" s="25"/>
      <c r="AY69" s="26" t="e">
        <f t="shared" si="17"/>
        <v>#REF!</v>
      </c>
      <c r="AZ69" s="25" t="e">
        <f t="shared" si="18"/>
        <v>#REF!</v>
      </c>
      <c r="BA69" s="25" t="e">
        <f t="shared" si="19"/>
        <v>#REF!</v>
      </c>
      <c r="BB69" s="25" t="e">
        <f t="shared" si="20"/>
        <v>#REF!</v>
      </c>
      <c r="BC69" s="25" t="e">
        <f t="shared" si="21"/>
        <v>#REF!</v>
      </c>
      <c r="BD69" s="25" t="e">
        <f>VLOOKUP(A69,#REF!,43,0)</f>
        <v>#REF!</v>
      </c>
      <c r="BE69" s="25" t="e">
        <f>VLOOKUP(A69,#REF!,44,0)</f>
        <v>#REF!</v>
      </c>
      <c r="BF69" s="25" t="e">
        <f>VLOOKUP(A69,#REF!,45,0)</f>
        <v>#REF!</v>
      </c>
      <c r="BG69" s="25" t="e">
        <f>VLOOKUP(A69,#REF!,42,0)</f>
        <v>#REF!</v>
      </c>
      <c r="BH69" s="25" t="e">
        <f t="shared" si="11"/>
        <v>#REF!</v>
      </c>
      <c r="BI69" s="25" t="e">
        <f t="shared" si="22"/>
        <v>#REF!</v>
      </c>
      <c r="BJ69" s="25" t="e">
        <f t="shared" si="12"/>
        <v>#REF!</v>
      </c>
    </row>
    <row r="70" spans="1:62" hidden="1" x14ac:dyDescent="0.25">
      <c r="A70" s="20" t="s">
        <v>271</v>
      </c>
      <c r="B70" s="19">
        <v>45689</v>
      </c>
      <c r="C70" s="20" t="s">
        <v>5</v>
      </c>
      <c r="D70" s="20" t="s">
        <v>577</v>
      </c>
      <c r="E70" s="20"/>
      <c r="F70" s="20" t="s">
        <v>273</v>
      </c>
      <c r="G70" s="20" t="s">
        <v>178</v>
      </c>
      <c r="H70" s="20" t="s">
        <v>88</v>
      </c>
      <c r="I70" s="21">
        <v>45237</v>
      </c>
      <c r="J70" s="22"/>
      <c r="K70" s="23" t="s">
        <v>419</v>
      </c>
      <c r="L70" s="24" t="s">
        <v>184</v>
      </c>
      <c r="M70" s="24" t="s">
        <v>504</v>
      </c>
      <c r="N70" s="25" t="e">
        <f>VLOOKUP(A70,#REF!,12,0)</f>
        <v>#REF!</v>
      </c>
      <c r="O70" s="25" t="e">
        <f>VLOOKUP(A70,#REF!,15,0)</f>
        <v>#REF!</v>
      </c>
      <c r="P70" s="25" t="e">
        <f>VLOOKUP(A70,#REF!,16,0)</f>
        <v>#REF!</v>
      </c>
      <c r="Q70" s="25" t="e">
        <f>VLOOKUP(A70,#REF!,17,0)</f>
        <v>#REF!</v>
      </c>
      <c r="R70" s="25" t="e">
        <f>VLOOKUP(A70,#REF!,18,0)</f>
        <v>#REF!</v>
      </c>
      <c r="S70" s="25" t="e">
        <f>VLOOKUP(A70,#REF!,19,0)</f>
        <v>#REF!</v>
      </c>
      <c r="T70" s="25" t="e">
        <f>VLOOKUP(A70,#REF!,20,0)</f>
        <v>#REF!</v>
      </c>
      <c r="U70" s="25" t="e">
        <f>VLOOKUP(A70,#REF!,21,0)</f>
        <v>#REF!</v>
      </c>
      <c r="V70" s="25" t="e">
        <f>VLOOKUP(A70,#REF!,22,0)</f>
        <v>#REF!</v>
      </c>
      <c r="W70" s="25" t="e">
        <f>VLOOKUP(A70,#REF!,23,0)</f>
        <v>#REF!</v>
      </c>
      <c r="X70" s="25" t="e">
        <f>VLOOKUP(A70,#REF!,24,0)</f>
        <v>#REF!</v>
      </c>
      <c r="Y70" s="25" t="e">
        <f>VLOOKUP(A70,#REF!,25,0)</f>
        <v>#REF!</v>
      </c>
      <c r="Z70" s="25" t="e">
        <f>VLOOKUP(A70,#REF!,26,0)</f>
        <v>#REF!</v>
      </c>
      <c r="AA70" s="25" t="e">
        <f>VLOOKUP(A70,#REF!,27,0)</f>
        <v>#REF!</v>
      </c>
      <c r="AB70" s="25" t="e">
        <f>VLOOKUP(A70,#REF!,28,0)</f>
        <v>#REF!</v>
      </c>
      <c r="AC70" s="25" t="e">
        <f>VLOOKUP(A70,#REF!,29,0)</f>
        <v>#REF!</v>
      </c>
      <c r="AD70" s="26" t="e">
        <f t="shared" si="15"/>
        <v>#REF!</v>
      </c>
      <c r="AE70" s="25" t="e">
        <f>VLOOKUP(A70,#REF!,31,0)</f>
        <v>#REF!</v>
      </c>
      <c r="AF70" s="25" t="e">
        <f>VLOOKUP(A70,#REF!,32,0)</f>
        <v>#REF!</v>
      </c>
      <c r="AG70" s="25"/>
      <c r="AH70" s="27"/>
      <c r="AI70" s="25" t="e">
        <f>VLOOKUP(A70,#REF!,30,0)</f>
        <v>#REF!</v>
      </c>
      <c r="AJ70" s="25" t="e">
        <f>VLOOKUP(A70,#REF!,31,0)</f>
        <v>#REF!</v>
      </c>
      <c r="AK70" s="25" t="e">
        <f>VLOOKUP(A70,#REF!,33,0)</f>
        <v>#REF!</v>
      </c>
      <c r="AL70" s="25" t="e">
        <f>VLOOKUP(A70,#REF!,36,0)</f>
        <v>#REF!</v>
      </c>
      <c r="AM70" s="25" t="e">
        <f>VLOOKUP(A70,#REF!,34,0)</f>
        <v>#REF!</v>
      </c>
      <c r="AN70" s="27" t="e">
        <f>VLOOKUP(A70,#REF!,35,0)</f>
        <v>#REF!</v>
      </c>
      <c r="AO70" s="27" t="e">
        <f>VLOOKUP(A70,#REF!,32,0)</f>
        <v>#REF!</v>
      </c>
      <c r="AP70" s="25" t="e">
        <f>VLOOKUP(A70,#REF!,35,0)</f>
        <v>#REF!</v>
      </c>
      <c r="AQ70" s="25" t="e">
        <f>VLOOKUP(A70,#REF!,36,0)</f>
        <v>#REF!</v>
      </c>
      <c r="AR70" s="25" t="e">
        <f>VLOOKUP(A70,#REF!,37,0)</f>
        <v>#REF!</v>
      </c>
      <c r="AS70" s="25" t="e">
        <f>VLOOKUP(A70,#REF!,38,0)</f>
        <v>#REF!</v>
      </c>
      <c r="AT70" s="25" t="e">
        <f>VLOOKUP(A70,#REF!,39,0)</f>
        <v>#REF!</v>
      </c>
      <c r="AU70" s="25"/>
      <c r="AV70" s="26" t="e">
        <f t="shared" si="14"/>
        <v>#REF!</v>
      </c>
      <c r="AW70" s="25" t="e">
        <f t="shared" si="16"/>
        <v>#REF!</v>
      </c>
      <c r="AX70" s="25"/>
      <c r="AY70" s="26" t="e">
        <f t="shared" si="17"/>
        <v>#REF!</v>
      </c>
      <c r="AZ70" s="25" t="e">
        <f t="shared" si="18"/>
        <v>#REF!</v>
      </c>
      <c r="BA70" s="25" t="e">
        <f t="shared" si="19"/>
        <v>#REF!</v>
      </c>
      <c r="BB70" s="25" t="e">
        <f t="shared" si="20"/>
        <v>#REF!</v>
      </c>
      <c r="BC70" s="25" t="e">
        <f t="shared" si="21"/>
        <v>#REF!</v>
      </c>
      <c r="BD70" s="25" t="e">
        <f>VLOOKUP(A70,#REF!,43,0)</f>
        <v>#REF!</v>
      </c>
      <c r="BE70" s="25" t="e">
        <f>VLOOKUP(A70,#REF!,44,0)</f>
        <v>#REF!</v>
      </c>
      <c r="BF70" s="25" t="e">
        <f>VLOOKUP(A70,#REF!,45,0)</f>
        <v>#REF!</v>
      </c>
      <c r="BG70" s="25" t="e">
        <f>VLOOKUP(A70,#REF!,42,0)</f>
        <v>#REF!</v>
      </c>
      <c r="BH70" s="25" t="e">
        <f t="shared" si="11"/>
        <v>#REF!</v>
      </c>
      <c r="BI70" s="25" t="e">
        <f t="shared" si="22"/>
        <v>#REF!</v>
      </c>
      <c r="BJ70" s="25" t="e">
        <f t="shared" si="12"/>
        <v>#REF!</v>
      </c>
    </row>
    <row r="71" spans="1:62" hidden="1" x14ac:dyDescent="0.25">
      <c r="A71" s="20" t="s">
        <v>332</v>
      </c>
      <c r="B71" s="19">
        <v>45689</v>
      </c>
      <c r="C71" s="20" t="s">
        <v>5</v>
      </c>
      <c r="D71" s="20" t="s">
        <v>588</v>
      </c>
      <c r="E71" s="20"/>
      <c r="F71" s="20" t="s">
        <v>312</v>
      </c>
      <c r="G71" s="20" t="s">
        <v>313</v>
      </c>
      <c r="H71" s="20" t="s">
        <v>88</v>
      </c>
      <c r="I71" s="21">
        <v>45238</v>
      </c>
      <c r="J71" s="22"/>
      <c r="K71" s="23" t="s">
        <v>419</v>
      </c>
      <c r="L71" s="24" t="s">
        <v>327</v>
      </c>
      <c r="M71" s="24" t="s">
        <v>504</v>
      </c>
      <c r="N71" s="25" t="e">
        <f>VLOOKUP(A71,#REF!,12,0)</f>
        <v>#REF!</v>
      </c>
      <c r="O71" s="25" t="e">
        <f>VLOOKUP(A71,#REF!,15,0)</f>
        <v>#REF!</v>
      </c>
      <c r="P71" s="25" t="e">
        <f>VLOOKUP(A71,#REF!,16,0)</f>
        <v>#REF!</v>
      </c>
      <c r="Q71" s="25" t="e">
        <f>VLOOKUP(A71,#REF!,17,0)</f>
        <v>#REF!</v>
      </c>
      <c r="R71" s="25" t="e">
        <f>VLOOKUP(A71,#REF!,18,0)</f>
        <v>#REF!</v>
      </c>
      <c r="S71" s="25" t="e">
        <f>VLOOKUP(A71,#REF!,19,0)</f>
        <v>#REF!</v>
      </c>
      <c r="T71" s="25" t="e">
        <f>VLOOKUP(A71,#REF!,20,0)</f>
        <v>#REF!</v>
      </c>
      <c r="U71" s="25" t="e">
        <f>VLOOKUP(A71,#REF!,21,0)</f>
        <v>#REF!</v>
      </c>
      <c r="V71" s="25" t="e">
        <f>VLOOKUP(A71,#REF!,22,0)</f>
        <v>#REF!</v>
      </c>
      <c r="W71" s="25" t="e">
        <f>VLOOKUP(A71,#REF!,23,0)</f>
        <v>#REF!</v>
      </c>
      <c r="X71" s="25" t="e">
        <f>VLOOKUP(A71,#REF!,24,0)</f>
        <v>#REF!</v>
      </c>
      <c r="Y71" s="25" t="e">
        <f>VLOOKUP(A71,#REF!,25,0)</f>
        <v>#REF!</v>
      </c>
      <c r="Z71" s="25" t="e">
        <f>VLOOKUP(A71,#REF!,26,0)</f>
        <v>#REF!</v>
      </c>
      <c r="AA71" s="25" t="e">
        <f>VLOOKUP(A71,#REF!,27,0)</f>
        <v>#REF!</v>
      </c>
      <c r="AB71" s="25" t="e">
        <f>VLOOKUP(A71,#REF!,28,0)</f>
        <v>#REF!</v>
      </c>
      <c r="AC71" s="25" t="e">
        <f>VLOOKUP(A71,#REF!,29,0)</f>
        <v>#REF!</v>
      </c>
      <c r="AD71" s="26" t="e">
        <f t="shared" si="15"/>
        <v>#REF!</v>
      </c>
      <c r="AE71" s="25" t="e">
        <f>VLOOKUP(A71,#REF!,31,0)</f>
        <v>#REF!</v>
      </c>
      <c r="AF71" s="25" t="e">
        <f>VLOOKUP(A71,#REF!,32,0)</f>
        <v>#REF!</v>
      </c>
      <c r="AG71" s="25"/>
      <c r="AH71" s="27"/>
      <c r="AI71" s="25" t="e">
        <f>VLOOKUP(A71,#REF!,30,0)</f>
        <v>#REF!</v>
      </c>
      <c r="AJ71" s="25" t="e">
        <f>VLOOKUP(A71,#REF!,31,0)</f>
        <v>#REF!</v>
      </c>
      <c r="AK71" s="25" t="e">
        <f>VLOOKUP(A71,#REF!,33,0)</f>
        <v>#REF!</v>
      </c>
      <c r="AL71" s="25" t="e">
        <f>VLOOKUP(A71,#REF!,36,0)</f>
        <v>#REF!</v>
      </c>
      <c r="AM71" s="25" t="e">
        <f>VLOOKUP(A71,#REF!,34,0)</f>
        <v>#REF!</v>
      </c>
      <c r="AN71" s="27" t="e">
        <f>VLOOKUP(A71,#REF!,35,0)</f>
        <v>#REF!</v>
      </c>
      <c r="AO71" s="27" t="e">
        <f>VLOOKUP(A71,#REF!,32,0)</f>
        <v>#REF!</v>
      </c>
      <c r="AP71" s="25" t="e">
        <f>VLOOKUP(A71,#REF!,35,0)</f>
        <v>#REF!</v>
      </c>
      <c r="AQ71" s="25" t="e">
        <f>VLOOKUP(A71,#REF!,36,0)</f>
        <v>#REF!</v>
      </c>
      <c r="AR71" s="25" t="e">
        <f>VLOOKUP(A71,#REF!,37,0)</f>
        <v>#REF!</v>
      </c>
      <c r="AS71" s="25" t="e">
        <f>VLOOKUP(A71,#REF!,38,0)</f>
        <v>#REF!</v>
      </c>
      <c r="AT71" s="25" t="e">
        <f>VLOOKUP(A71,#REF!,39,0)</f>
        <v>#REF!</v>
      </c>
      <c r="AU71" s="25"/>
      <c r="AV71" s="26" t="e">
        <f t="shared" si="14"/>
        <v>#REF!</v>
      </c>
      <c r="AW71" s="25" t="e">
        <f t="shared" si="16"/>
        <v>#REF!</v>
      </c>
      <c r="AX71" s="25"/>
      <c r="AY71" s="26" t="e">
        <f t="shared" si="17"/>
        <v>#REF!</v>
      </c>
      <c r="AZ71" s="25" t="e">
        <f t="shared" si="18"/>
        <v>#REF!</v>
      </c>
      <c r="BA71" s="25" t="e">
        <f t="shared" si="19"/>
        <v>#REF!</v>
      </c>
      <c r="BB71" s="25" t="e">
        <f t="shared" si="20"/>
        <v>#REF!</v>
      </c>
      <c r="BC71" s="25" t="e">
        <f t="shared" si="21"/>
        <v>#REF!</v>
      </c>
      <c r="BD71" s="25" t="e">
        <f>VLOOKUP(A71,#REF!,43,0)</f>
        <v>#REF!</v>
      </c>
      <c r="BE71" s="25" t="e">
        <f>VLOOKUP(A71,#REF!,44,0)</f>
        <v>#REF!</v>
      </c>
      <c r="BF71" s="25" t="e">
        <f>VLOOKUP(A71,#REF!,45,0)</f>
        <v>#REF!</v>
      </c>
      <c r="BG71" s="25" t="e">
        <f>VLOOKUP(A71,#REF!,42,0)</f>
        <v>#REF!</v>
      </c>
      <c r="BH71" s="25" t="e">
        <f t="shared" si="11"/>
        <v>#REF!</v>
      </c>
      <c r="BI71" s="25" t="e">
        <f t="shared" si="22"/>
        <v>#REF!</v>
      </c>
      <c r="BJ71" s="25" t="e">
        <f t="shared" si="12"/>
        <v>#REF!</v>
      </c>
    </row>
    <row r="72" spans="1:62" hidden="1" x14ac:dyDescent="0.25">
      <c r="A72" s="20" t="s">
        <v>189</v>
      </c>
      <c r="B72" s="19">
        <v>45689</v>
      </c>
      <c r="C72" s="20" t="s">
        <v>5</v>
      </c>
      <c r="D72" s="20" t="s">
        <v>560</v>
      </c>
      <c r="E72" s="20"/>
      <c r="F72" s="20" t="s">
        <v>80</v>
      </c>
      <c r="G72" s="20" t="s">
        <v>83</v>
      </c>
      <c r="H72" s="20" t="s">
        <v>97</v>
      </c>
      <c r="I72" s="21">
        <v>45261</v>
      </c>
      <c r="J72" s="22"/>
      <c r="K72" s="23" t="s">
        <v>419</v>
      </c>
      <c r="L72" s="24" t="s">
        <v>525</v>
      </c>
      <c r="M72" s="24" t="s">
        <v>508</v>
      </c>
      <c r="N72" s="25" t="e">
        <f>VLOOKUP(A72,#REF!,12,0)</f>
        <v>#REF!</v>
      </c>
      <c r="O72" s="25" t="e">
        <f>VLOOKUP(A72,#REF!,15,0)</f>
        <v>#REF!</v>
      </c>
      <c r="P72" s="25" t="e">
        <f>VLOOKUP(A72,#REF!,16,0)</f>
        <v>#REF!</v>
      </c>
      <c r="Q72" s="25" t="e">
        <f>VLOOKUP(A72,#REF!,17,0)</f>
        <v>#REF!</v>
      </c>
      <c r="R72" s="25" t="e">
        <f>VLOOKUP(A72,#REF!,18,0)</f>
        <v>#REF!</v>
      </c>
      <c r="S72" s="25" t="e">
        <f>VLOOKUP(A72,#REF!,19,0)</f>
        <v>#REF!</v>
      </c>
      <c r="T72" s="25" t="e">
        <f>VLOOKUP(A72,#REF!,20,0)</f>
        <v>#REF!</v>
      </c>
      <c r="U72" s="25" t="e">
        <f>VLOOKUP(A72,#REF!,21,0)</f>
        <v>#REF!</v>
      </c>
      <c r="V72" s="25" t="e">
        <f>VLOOKUP(A72,#REF!,22,0)</f>
        <v>#REF!</v>
      </c>
      <c r="W72" s="25" t="e">
        <f>VLOOKUP(A72,#REF!,23,0)</f>
        <v>#REF!</v>
      </c>
      <c r="X72" s="25" t="e">
        <f>VLOOKUP(A72,#REF!,24,0)</f>
        <v>#REF!</v>
      </c>
      <c r="Y72" s="25" t="e">
        <f>VLOOKUP(A72,#REF!,25,0)</f>
        <v>#REF!</v>
      </c>
      <c r="Z72" s="25" t="e">
        <f>VLOOKUP(A72,#REF!,26,0)</f>
        <v>#REF!</v>
      </c>
      <c r="AA72" s="25" t="e">
        <f>VLOOKUP(A72,#REF!,27,0)</f>
        <v>#REF!</v>
      </c>
      <c r="AB72" s="25" t="e">
        <f>VLOOKUP(A72,#REF!,28,0)</f>
        <v>#REF!</v>
      </c>
      <c r="AC72" s="25" t="e">
        <f>VLOOKUP(A72,#REF!,29,0)</f>
        <v>#REF!</v>
      </c>
      <c r="AD72" s="26" t="e">
        <f t="shared" si="15"/>
        <v>#REF!</v>
      </c>
      <c r="AE72" s="25" t="e">
        <f>VLOOKUP(A72,#REF!,31,0)</f>
        <v>#REF!</v>
      </c>
      <c r="AF72" s="25" t="e">
        <f>VLOOKUP(A72,#REF!,32,0)</f>
        <v>#REF!</v>
      </c>
      <c r="AG72" s="25"/>
      <c r="AH72" s="27"/>
      <c r="AI72" s="25" t="e">
        <f>VLOOKUP(A72,#REF!,30,0)</f>
        <v>#REF!</v>
      </c>
      <c r="AJ72" s="25" t="e">
        <f>VLOOKUP(A72,#REF!,31,0)</f>
        <v>#REF!</v>
      </c>
      <c r="AK72" s="25" t="e">
        <f>VLOOKUP(A72,#REF!,33,0)</f>
        <v>#REF!</v>
      </c>
      <c r="AL72" s="25" t="e">
        <f>VLOOKUP(A72,#REF!,36,0)</f>
        <v>#REF!</v>
      </c>
      <c r="AM72" s="25" t="e">
        <f>VLOOKUP(A72,#REF!,34,0)</f>
        <v>#REF!</v>
      </c>
      <c r="AN72" s="27" t="e">
        <f>VLOOKUP(A72,#REF!,35,0)</f>
        <v>#REF!</v>
      </c>
      <c r="AO72" s="27" t="e">
        <f>VLOOKUP(A72,#REF!,32,0)</f>
        <v>#REF!</v>
      </c>
      <c r="AP72" s="25" t="e">
        <f>VLOOKUP(A72,#REF!,35,0)</f>
        <v>#REF!</v>
      </c>
      <c r="AQ72" s="25" t="e">
        <f>VLOOKUP(A72,#REF!,36,0)</f>
        <v>#REF!</v>
      </c>
      <c r="AR72" s="25" t="e">
        <f>VLOOKUP(A72,#REF!,37,0)</f>
        <v>#REF!</v>
      </c>
      <c r="AS72" s="25" t="e">
        <f>VLOOKUP(A72,#REF!,38,0)</f>
        <v>#REF!</v>
      </c>
      <c r="AT72" s="25" t="e">
        <f>VLOOKUP(A72,#REF!,39,0)</f>
        <v>#REF!</v>
      </c>
      <c r="AU72" s="25"/>
      <c r="AV72" s="26" t="e">
        <f t="shared" si="14"/>
        <v>#REF!</v>
      </c>
      <c r="AW72" s="25" t="e">
        <f t="shared" si="16"/>
        <v>#REF!</v>
      </c>
      <c r="AX72" s="25"/>
      <c r="AY72" s="26" t="e">
        <f t="shared" si="17"/>
        <v>#REF!</v>
      </c>
      <c r="AZ72" s="25" t="e">
        <f t="shared" si="18"/>
        <v>#REF!</v>
      </c>
      <c r="BA72" s="25" t="e">
        <f t="shared" si="19"/>
        <v>#REF!</v>
      </c>
      <c r="BB72" s="25" t="e">
        <f t="shared" si="20"/>
        <v>#REF!</v>
      </c>
      <c r="BC72" s="25" t="e">
        <f t="shared" si="21"/>
        <v>#REF!</v>
      </c>
      <c r="BD72" s="25" t="e">
        <f>VLOOKUP(A72,#REF!,43,0)</f>
        <v>#REF!</v>
      </c>
      <c r="BE72" s="25" t="e">
        <f>VLOOKUP(A72,#REF!,44,0)</f>
        <v>#REF!</v>
      </c>
      <c r="BF72" s="25" t="e">
        <f>VLOOKUP(A72,#REF!,45,0)</f>
        <v>#REF!</v>
      </c>
      <c r="BG72" s="25" t="e">
        <f>VLOOKUP(A72,#REF!,42,0)</f>
        <v>#REF!</v>
      </c>
      <c r="BH72" s="25" t="e">
        <f t="shared" si="11"/>
        <v>#REF!</v>
      </c>
      <c r="BI72" s="25" t="e">
        <f t="shared" si="22"/>
        <v>#REF!</v>
      </c>
      <c r="BJ72" s="25" t="e">
        <f t="shared" si="12"/>
        <v>#REF!</v>
      </c>
    </row>
    <row r="73" spans="1:62" hidden="1" x14ac:dyDescent="0.25">
      <c r="A73" s="20" t="s">
        <v>224</v>
      </c>
      <c r="B73" s="19">
        <v>45689</v>
      </c>
      <c r="C73" s="20" t="s">
        <v>5</v>
      </c>
      <c r="D73" s="20" t="s">
        <v>582</v>
      </c>
      <c r="E73" s="20"/>
      <c r="F73" s="20" t="s">
        <v>292</v>
      </c>
      <c r="G73" s="20" t="s">
        <v>566</v>
      </c>
      <c r="H73" s="20" t="s">
        <v>195</v>
      </c>
      <c r="I73" s="21">
        <v>45301</v>
      </c>
      <c r="J73" s="22"/>
      <c r="K73" s="23" t="s">
        <v>419</v>
      </c>
      <c r="L73" s="24" t="s">
        <v>447</v>
      </c>
      <c r="M73" s="24" t="s">
        <v>212</v>
      </c>
      <c r="N73" s="25" t="e">
        <f>VLOOKUP(A73,#REF!,12,0)</f>
        <v>#REF!</v>
      </c>
      <c r="O73" s="25" t="e">
        <f>VLOOKUP(A73,#REF!,15,0)</f>
        <v>#REF!</v>
      </c>
      <c r="P73" s="25" t="e">
        <f>VLOOKUP(A73,#REF!,16,0)</f>
        <v>#REF!</v>
      </c>
      <c r="Q73" s="25" t="e">
        <f>VLOOKUP(A73,#REF!,17,0)</f>
        <v>#REF!</v>
      </c>
      <c r="R73" s="25" t="e">
        <f>VLOOKUP(A73,#REF!,18,0)</f>
        <v>#REF!</v>
      </c>
      <c r="S73" s="25" t="e">
        <f>VLOOKUP(A73,#REF!,19,0)</f>
        <v>#REF!</v>
      </c>
      <c r="T73" s="25" t="e">
        <f>VLOOKUP(A73,#REF!,20,0)</f>
        <v>#REF!</v>
      </c>
      <c r="U73" s="25" t="e">
        <f>VLOOKUP(A73,#REF!,21,0)</f>
        <v>#REF!</v>
      </c>
      <c r="V73" s="25" t="e">
        <f>VLOOKUP(A73,#REF!,22,0)</f>
        <v>#REF!</v>
      </c>
      <c r="W73" s="25" t="e">
        <f>VLOOKUP(A73,#REF!,23,0)</f>
        <v>#REF!</v>
      </c>
      <c r="X73" s="25" t="e">
        <f>VLOOKUP(A73,#REF!,24,0)</f>
        <v>#REF!</v>
      </c>
      <c r="Y73" s="25" t="e">
        <f>VLOOKUP(A73,#REF!,25,0)</f>
        <v>#REF!</v>
      </c>
      <c r="Z73" s="25" t="e">
        <f>VLOOKUP(A73,#REF!,26,0)</f>
        <v>#REF!</v>
      </c>
      <c r="AA73" s="25" t="e">
        <f>VLOOKUP(A73,#REF!,27,0)</f>
        <v>#REF!</v>
      </c>
      <c r="AB73" s="25" t="e">
        <f>VLOOKUP(A73,#REF!,28,0)</f>
        <v>#REF!</v>
      </c>
      <c r="AC73" s="25" t="e">
        <f>VLOOKUP(A73,#REF!,29,0)</f>
        <v>#REF!</v>
      </c>
      <c r="AD73" s="26" t="e">
        <f t="shared" si="15"/>
        <v>#REF!</v>
      </c>
      <c r="AE73" s="25" t="e">
        <f>VLOOKUP(A73,#REF!,31,0)</f>
        <v>#REF!</v>
      </c>
      <c r="AF73" s="25" t="e">
        <f>VLOOKUP(A73,#REF!,32,0)</f>
        <v>#REF!</v>
      </c>
      <c r="AG73" s="25"/>
      <c r="AH73" s="27"/>
      <c r="AI73" s="25" t="e">
        <f>VLOOKUP(A73,#REF!,30,0)</f>
        <v>#REF!</v>
      </c>
      <c r="AJ73" s="25" t="e">
        <f>VLOOKUP(A73,#REF!,31,0)</f>
        <v>#REF!</v>
      </c>
      <c r="AK73" s="25" t="e">
        <f>VLOOKUP(A73,#REF!,33,0)</f>
        <v>#REF!</v>
      </c>
      <c r="AL73" s="25" t="e">
        <f>VLOOKUP(A73,#REF!,36,0)</f>
        <v>#REF!</v>
      </c>
      <c r="AM73" s="25" t="e">
        <f>VLOOKUP(A73,#REF!,34,0)</f>
        <v>#REF!</v>
      </c>
      <c r="AN73" s="27" t="e">
        <f>VLOOKUP(A73,#REF!,35,0)</f>
        <v>#REF!</v>
      </c>
      <c r="AO73" s="27" t="e">
        <f>VLOOKUP(A73,#REF!,32,0)</f>
        <v>#REF!</v>
      </c>
      <c r="AP73" s="25" t="e">
        <f>VLOOKUP(A73,#REF!,35,0)</f>
        <v>#REF!</v>
      </c>
      <c r="AQ73" s="25" t="e">
        <f>VLOOKUP(A73,#REF!,36,0)</f>
        <v>#REF!</v>
      </c>
      <c r="AR73" s="25" t="e">
        <f>VLOOKUP(A73,#REF!,37,0)</f>
        <v>#REF!</v>
      </c>
      <c r="AS73" s="25" t="e">
        <f>VLOOKUP(A73,#REF!,38,0)</f>
        <v>#REF!</v>
      </c>
      <c r="AT73" s="25" t="e">
        <f>VLOOKUP(A73,#REF!,39,0)</f>
        <v>#REF!</v>
      </c>
      <c r="AU73" s="25"/>
      <c r="AV73" s="26" t="e">
        <f t="shared" si="14"/>
        <v>#REF!</v>
      </c>
      <c r="AW73" s="25" t="e">
        <f t="shared" si="16"/>
        <v>#REF!</v>
      </c>
      <c r="AX73" s="25"/>
      <c r="AY73" s="26" t="e">
        <f t="shared" si="17"/>
        <v>#REF!</v>
      </c>
      <c r="AZ73" s="25" t="e">
        <f t="shared" si="18"/>
        <v>#REF!</v>
      </c>
      <c r="BA73" s="25" t="e">
        <f t="shared" si="19"/>
        <v>#REF!</v>
      </c>
      <c r="BB73" s="25" t="e">
        <f t="shared" si="20"/>
        <v>#REF!</v>
      </c>
      <c r="BC73" s="25" t="e">
        <f t="shared" si="21"/>
        <v>#REF!</v>
      </c>
      <c r="BD73" s="25" t="e">
        <f>VLOOKUP(A73,#REF!,43,0)</f>
        <v>#REF!</v>
      </c>
      <c r="BE73" s="25" t="e">
        <f>VLOOKUP(A73,#REF!,44,0)</f>
        <v>#REF!</v>
      </c>
      <c r="BF73" s="25" t="e">
        <f>VLOOKUP(A73,#REF!,45,0)</f>
        <v>#REF!</v>
      </c>
      <c r="BG73" s="25" t="e">
        <f>VLOOKUP(A73,#REF!,42,0)</f>
        <v>#REF!</v>
      </c>
      <c r="BH73" s="25" t="e">
        <f t="shared" si="11"/>
        <v>#REF!</v>
      </c>
      <c r="BI73" s="25" t="e">
        <f t="shared" si="22"/>
        <v>#REF!</v>
      </c>
      <c r="BJ73" s="25" t="e">
        <f t="shared" si="12"/>
        <v>#REF!</v>
      </c>
    </row>
    <row r="74" spans="1:62" hidden="1" x14ac:dyDescent="0.25">
      <c r="A74" s="20" t="s">
        <v>475</v>
      </c>
      <c r="B74" s="19">
        <v>45689</v>
      </c>
      <c r="C74" s="20" t="s">
        <v>5</v>
      </c>
      <c r="D74" s="20" t="s">
        <v>594</v>
      </c>
      <c r="E74" s="20"/>
      <c r="F74" s="20" t="s">
        <v>356</v>
      </c>
      <c r="G74" s="20" t="s">
        <v>464</v>
      </c>
      <c r="H74" s="20" t="s">
        <v>81</v>
      </c>
      <c r="I74" s="21">
        <v>45323</v>
      </c>
      <c r="J74" s="22"/>
      <c r="K74" s="23" t="s">
        <v>419</v>
      </c>
      <c r="L74" s="24" t="s">
        <v>270</v>
      </c>
      <c r="M74" s="24" t="s">
        <v>541</v>
      </c>
      <c r="N74" s="25" t="e">
        <f>VLOOKUP(A74,#REF!,12,0)</f>
        <v>#REF!</v>
      </c>
      <c r="O74" s="25" t="e">
        <f>VLOOKUP(A74,#REF!,15,0)</f>
        <v>#REF!</v>
      </c>
      <c r="P74" s="25" t="e">
        <f>VLOOKUP(A74,#REF!,16,0)</f>
        <v>#REF!</v>
      </c>
      <c r="Q74" s="25" t="e">
        <f>VLOOKUP(A74,#REF!,17,0)</f>
        <v>#REF!</v>
      </c>
      <c r="R74" s="25" t="e">
        <f>VLOOKUP(A74,#REF!,18,0)</f>
        <v>#REF!</v>
      </c>
      <c r="S74" s="25" t="e">
        <f>VLOOKUP(A74,#REF!,19,0)</f>
        <v>#REF!</v>
      </c>
      <c r="T74" s="25" t="e">
        <f>VLOOKUP(A74,#REF!,20,0)</f>
        <v>#REF!</v>
      </c>
      <c r="U74" s="25" t="e">
        <f>VLOOKUP(A74,#REF!,21,0)</f>
        <v>#REF!</v>
      </c>
      <c r="V74" s="25" t="e">
        <f>VLOOKUP(A74,#REF!,22,0)</f>
        <v>#REF!</v>
      </c>
      <c r="W74" s="25" t="e">
        <f>VLOOKUP(A74,#REF!,23,0)</f>
        <v>#REF!</v>
      </c>
      <c r="X74" s="25" t="e">
        <f>VLOOKUP(A74,#REF!,24,0)</f>
        <v>#REF!</v>
      </c>
      <c r="Y74" s="25" t="e">
        <f>VLOOKUP(A74,#REF!,25,0)</f>
        <v>#REF!</v>
      </c>
      <c r="Z74" s="25" t="e">
        <f>VLOOKUP(A74,#REF!,26,0)</f>
        <v>#REF!</v>
      </c>
      <c r="AA74" s="25" t="e">
        <f>VLOOKUP(A74,#REF!,27,0)</f>
        <v>#REF!</v>
      </c>
      <c r="AB74" s="25" t="e">
        <f>VLOOKUP(A74,#REF!,28,0)</f>
        <v>#REF!</v>
      </c>
      <c r="AC74" s="25" t="e">
        <f>VLOOKUP(A74,#REF!,29,0)</f>
        <v>#REF!</v>
      </c>
      <c r="AD74" s="26" t="e">
        <f t="shared" si="15"/>
        <v>#REF!</v>
      </c>
      <c r="AE74" s="25" t="e">
        <f>VLOOKUP(A74,#REF!,31,0)</f>
        <v>#REF!</v>
      </c>
      <c r="AF74" s="25" t="e">
        <f>VLOOKUP(A74,#REF!,32,0)</f>
        <v>#REF!</v>
      </c>
      <c r="AG74" s="25"/>
      <c r="AH74" s="27"/>
      <c r="AI74" s="25" t="e">
        <f>VLOOKUP(A74,#REF!,30,0)</f>
        <v>#REF!</v>
      </c>
      <c r="AJ74" s="25" t="e">
        <f>VLOOKUP(A74,#REF!,31,0)</f>
        <v>#REF!</v>
      </c>
      <c r="AK74" s="25" t="e">
        <f>VLOOKUP(A74,#REF!,33,0)</f>
        <v>#REF!</v>
      </c>
      <c r="AL74" s="25" t="e">
        <f>VLOOKUP(A74,#REF!,36,0)</f>
        <v>#REF!</v>
      </c>
      <c r="AM74" s="25" t="e">
        <f>VLOOKUP(A74,#REF!,34,0)</f>
        <v>#REF!</v>
      </c>
      <c r="AN74" s="27" t="e">
        <f>VLOOKUP(A74,#REF!,35,0)</f>
        <v>#REF!</v>
      </c>
      <c r="AO74" s="27" t="e">
        <f>VLOOKUP(A74,#REF!,32,0)</f>
        <v>#REF!</v>
      </c>
      <c r="AP74" s="25" t="e">
        <f>VLOOKUP(A74,#REF!,35,0)</f>
        <v>#REF!</v>
      </c>
      <c r="AQ74" s="25" t="e">
        <f>VLOOKUP(A74,#REF!,36,0)</f>
        <v>#REF!</v>
      </c>
      <c r="AR74" s="25" t="e">
        <f>VLOOKUP(A74,#REF!,37,0)</f>
        <v>#REF!</v>
      </c>
      <c r="AS74" s="25" t="e">
        <f>VLOOKUP(A74,#REF!,38,0)</f>
        <v>#REF!</v>
      </c>
      <c r="AT74" s="25" t="e">
        <f>VLOOKUP(A74,#REF!,39,0)</f>
        <v>#REF!</v>
      </c>
      <c r="AU74" s="25"/>
      <c r="AV74" s="26" t="e">
        <f t="shared" si="14"/>
        <v>#REF!</v>
      </c>
      <c r="AW74" s="25" t="e">
        <f t="shared" si="16"/>
        <v>#REF!</v>
      </c>
      <c r="AX74" s="25"/>
      <c r="AY74" s="26" t="e">
        <f t="shared" si="17"/>
        <v>#REF!</v>
      </c>
      <c r="AZ74" s="25" t="e">
        <f t="shared" si="18"/>
        <v>#REF!</v>
      </c>
      <c r="BA74" s="25" t="e">
        <f t="shared" si="19"/>
        <v>#REF!</v>
      </c>
      <c r="BB74" s="25" t="e">
        <f t="shared" si="20"/>
        <v>#REF!</v>
      </c>
      <c r="BC74" s="25" t="e">
        <f t="shared" si="21"/>
        <v>#REF!</v>
      </c>
      <c r="BD74" s="25" t="e">
        <f>VLOOKUP(A74,#REF!,43,0)</f>
        <v>#REF!</v>
      </c>
      <c r="BE74" s="25" t="e">
        <f>VLOOKUP(A74,#REF!,44,0)</f>
        <v>#REF!</v>
      </c>
      <c r="BF74" s="25" t="e">
        <f>VLOOKUP(A74,#REF!,45,0)</f>
        <v>#REF!</v>
      </c>
      <c r="BG74" s="25" t="e">
        <f>VLOOKUP(A74,#REF!,42,0)</f>
        <v>#REF!</v>
      </c>
      <c r="BH74" s="25" t="e">
        <f t="shared" si="11"/>
        <v>#REF!</v>
      </c>
      <c r="BI74" s="25" t="e">
        <f t="shared" si="22"/>
        <v>#REF!</v>
      </c>
      <c r="BJ74" s="25" t="e">
        <f t="shared" si="12"/>
        <v>#REF!</v>
      </c>
    </row>
    <row r="75" spans="1:62" hidden="1" x14ac:dyDescent="0.25">
      <c r="A75" s="20" t="s">
        <v>518</v>
      </c>
      <c r="B75" s="19">
        <v>45689</v>
      </c>
      <c r="C75" s="20" t="s">
        <v>5</v>
      </c>
      <c r="D75" s="20" t="s">
        <v>564</v>
      </c>
      <c r="E75" s="20"/>
      <c r="F75" s="20" t="s">
        <v>95</v>
      </c>
      <c r="G75" s="20" t="s">
        <v>561</v>
      </c>
      <c r="H75" s="20" t="s">
        <v>565</v>
      </c>
      <c r="I75" s="21">
        <v>45327</v>
      </c>
      <c r="J75" s="22"/>
      <c r="K75" s="23" t="s">
        <v>419</v>
      </c>
      <c r="L75" s="24" t="s">
        <v>517</v>
      </c>
      <c r="M75" s="24" t="s">
        <v>92</v>
      </c>
      <c r="N75" s="25" t="e">
        <f>VLOOKUP(A75,#REF!,12,0)</f>
        <v>#REF!</v>
      </c>
      <c r="O75" s="25" t="e">
        <f>VLOOKUP(A75,#REF!,15,0)</f>
        <v>#REF!</v>
      </c>
      <c r="P75" s="25" t="e">
        <f>VLOOKUP(A75,#REF!,16,0)</f>
        <v>#REF!</v>
      </c>
      <c r="Q75" s="25" t="e">
        <f>VLOOKUP(A75,#REF!,17,0)</f>
        <v>#REF!</v>
      </c>
      <c r="R75" s="25" t="e">
        <f>VLOOKUP(A75,#REF!,18,0)</f>
        <v>#REF!</v>
      </c>
      <c r="S75" s="25" t="e">
        <f>VLOOKUP(A75,#REF!,19,0)</f>
        <v>#REF!</v>
      </c>
      <c r="T75" s="25" t="e">
        <f>VLOOKUP(A75,#REF!,20,0)</f>
        <v>#REF!</v>
      </c>
      <c r="U75" s="25" t="e">
        <f>VLOOKUP(A75,#REF!,21,0)</f>
        <v>#REF!</v>
      </c>
      <c r="V75" s="25" t="e">
        <f>VLOOKUP(A75,#REF!,22,0)</f>
        <v>#REF!</v>
      </c>
      <c r="W75" s="25" t="e">
        <f>VLOOKUP(A75,#REF!,23,0)</f>
        <v>#REF!</v>
      </c>
      <c r="X75" s="25" t="e">
        <f>VLOOKUP(A75,#REF!,24,0)</f>
        <v>#REF!</v>
      </c>
      <c r="Y75" s="25" t="e">
        <f>VLOOKUP(A75,#REF!,25,0)</f>
        <v>#REF!</v>
      </c>
      <c r="Z75" s="25" t="e">
        <f>VLOOKUP(A75,#REF!,26,0)</f>
        <v>#REF!</v>
      </c>
      <c r="AA75" s="25" t="e">
        <f>VLOOKUP(A75,#REF!,27,0)</f>
        <v>#REF!</v>
      </c>
      <c r="AB75" s="25" t="e">
        <f>VLOOKUP(A75,#REF!,28,0)</f>
        <v>#REF!</v>
      </c>
      <c r="AC75" s="25" t="e">
        <f>VLOOKUP(A75,#REF!,29,0)</f>
        <v>#REF!</v>
      </c>
      <c r="AD75" s="26" t="e">
        <f t="shared" si="15"/>
        <v>#REF!</v>
      </c>
      <c r="AE75" s="25" t="e">
        <f>VLOOKUP(A75,#REF!,31,0)</f>
        <v>#REF!</v>
      </c>
      <c r="AF75" s="25" t="e">
        <f>VLOOKUP(A75,#REF!,32,0)</f>
        <v>#REF!</v>
      </c>
      <c r="AG75" s="25"/>
      <c r="AH75" s="27"/>
      <c r="AI75" s="25" t="e">
        <f>VLOOKUP(A75,#REF!,30,0)</f>
        <v>#REF!</v>
      </c>
      <c r="AJ75" s="25" t="e">
        <f>VLOOKUP(A75,#REF!,31,0)</f>
        <v>#REF!</v>
      </c>
      <c r="AK75" s="25" t="e">
        <f>VLOOKUP(A75,#REF!,33,0)</f>
        <v>#REF!</v>
      </c>
      <c r="AL75" s="25" t="e">
        <f>VLOOKUP(A75,#REF!,36,0)</f>
        <v>#REF!</v>
      </c>
      <c r="AM75" s="25" t="e">
        <f>VLOOKUP(A75,#REF!,34,0)</f>
        <v>#REF!</v>
      </c>
      <c r="AN75" s="27" t="e">
        <f>VLOOKUP(A75,#REF!,35,0)</f>
        <v>#REF!</v>
      </c>
      <c r="AO75" s="27" t="e">
        <f>VLOOKUP(A75,#REF!,32,0)</f>
        <v>#REF!</v>
      </c>
      <c r="AP75" s="25" t="e">
        <f>VLOOKUP(A75,#REF!,35,0)</f>
        <v>#REF!</v>
      </c>
      <c r="AQ75" s="25" t="e">
        <f>VLOOKUP(A75,#REF!,36,0)</f>
        <v>#REF!</v>
      </c>
      <c r="AR75" s="25" t="e">
        <f>VLOOKUP(A75,#REF!,37,0)</f>
        <v>#REF!</v>
      </c>
      <c r="AS75" s="25" t="e">
        <f>VLOOKUP(A75,#REF!,38,0)</f>
        <v>#REF!</v>
      </c>
      <c r="AT75" s="25" t="e">
        <f>VLOOKUP(A75,#REF!,39,0)</f>
        <v>#REF!</v>
      </c>
      <c r="AU75" s="25"/>
      <c r="AV75" s="26" t="e">
        <f t="shared" si="14"/>
        <v>#REF!</v>
      </c>
      <c r="AW75" s="25" t="e">
        <f t="shared" si="16"/>
        <v>#REF!</v>
      </c>
      <c r="AX75" s="25"/>
      <c r="AY75" s="26" t="e">
        <f t="shared" si="17"/>
        <v>#REF!</v>
      </c>
      <c r="AZ75" s="25" t="e">
        <f t="shared" si="18"/>
        <v>#REF!</v>
      </c>
      <c r="BA75" s="25" t="e">
        <f t="shared" si="19"/>
        <v>#REF!</v>
      </c>
      <c r="BB75" s="25" t="e">
        <f t="shared" si="20"/>
        <v>#REF!</v>
      </c>
      <c r="BC75" s="25" t="e">
        <f t="shared" si="21"/>
        <v>#REF!</v>
      </c>
      <c r="BD75" s="25" t="e">
        <f>VLOOKUP(A75,#REF!,43,0)</f>
        <v>#REF!</v>
      </c>
      <c r="BE75" s="25" t="e">
        <f>VLOOKUP(A75,#REF!,44,0)</f>
        <v>#REF!</v>
      </c>
      <c r="BF75" s="25" t="e">
        <f>VLOOKUP(A75,#REF!,45,0)</f>
        <v>#REF!</v>
      </c>
      <c r="BG75" s="25" t="e">
        <f>VLOOKUP(A75,#REF!,42,0)</f>
        <v>#REF!</v>
      </c>
      <c r="BH75" s="25" t="e">
        <f t="shared" si="11"/>
        <v>#REF!</v>
      </c>
      <c r="BI75" s="25" t="e">
        <f t="shared" si="22"/>
        <v>#REF!</v>
      </c>
      <c r="BJ75" s="25" t="e">
        <f t="shared" si="12"/>
        <v>#REF!</v>
      </c>
    </row>
    <row r="76" spans="1:62" hidden="1" x14ac:dyDescent="0.25">
      <c r="A76" s="20" t="s">
        <v>581</v>
      </c>
      <c r="B76" s="19">
        <v>45689</v>
      </c>
      <c r="C76" s="20" t="s">
        <v>5</v>
      </c>
      <c r="D76" s="20" t="s">
        <v>579</v>
      </c>
      <c r="E76" s="20"/>
      <c r="F76" s="20" t="s">
        <v>283</v>
      </c>
      <c r="G76" s="20" t="s">
        <v>142</v>
      </c>
      <c r="H76" s="20" t="s">
        <v>88</v>
      </c>
      <c r="I76" s="21">
        <v>45327</v>
      </c>
      <c r="J76" s="22"/>
      <c r="K76" s="23" t="s">
        <v>419</v>
      </c>
      <c r="L76" s="24" t="s">
        <v>147</v>
      </c>
      <c r="M76" s="24" t="s">
        <v>92</v>
      </c>
      <c r="N76" s="25" t="e">
        <f>VLOOKUP(A76,#REF!,12,0)</f>
        <v>#REF!</v>
      </c>
      <c r="O76" s="25" t="e">
        <f>VLOOKUP(A76,#REF!,15,0)</f>
        <v>#REF!</v>
      </c>
      <c r="P76" s="25" t="e">
        <f>VLOOKUP(A76,#REF!,16,0)</f>
        <v>#REF!</v>
      </c>
      <c r="Q76" s="25" t="e">
        <f>VLOOKUP(A76,#REF!,17,0)</f>
        <v>#REF!</v>
      </c>
      <c r="R76" s="25" t="e">
        <f>VLOOKUP(A76,#REF!,18,0)</f>
        <v>#REF!</v>
      </c>
      <c r="S76" s="25" t="e">
        <f>VLOOKUP(A76,#REF!,19,0)</f>
        <v>#REF!</v>
      </c>
      <c r="T76" s="25" t="e">
        <f>VLOOKUP(A76,#REF!,20,0)</f>
        <v>#REF!</v>
      </c>
      <c r="U76" s="25" t="e">
        <f>VLOOKUP(A76,#REF!,21,0)</f>
        <v>#REF!</v>
      </c>
      <c r="V76" s="25" t="e">
        <f>VLOOKUP(A76,#REF!,22,0)</f>
        <v>#REF!</v>
      </c>
      <c r="W76" s="25" t="e">
        <f>VLOOKUP(A76,#REF!,23,0)</f>
        <v>#REF!</v>
      </c>
      <c r="X76" s="25" t="e">
        <f>VLOOKUP(A76,#REF!,24,0)</f>
        <v>#REF!</v>
      </c>
      <c r="Y76" s="25" t="e">
        <f>VLOOKUP(A76,#REF!,25,0)</f>
        <v>#REF!</v>
      </c>
      <c r="Z76" s="25" t="e">
        <f>VLOOKUP(A76,#REF!,26,0)</f>
        <v>#REF!</v>
      </c>
      <c r="AA76" s="25" t="e">
        <f>VLOOKUP(A76,#REF!,27,0)</f>
        <v>#REF!</v>
      </c>
      <c r="AB76" s="25" t="e">
        <f>VLOOKUP(A76,#REF!,28,0)</f>
        <v>#REF!</v>
      </c>
      <c r="AC76" s="25" t="e">
        <f>VLOOKUP(A76,#REF!,29,0)</f>
        <v>#REF!</v>
      </c>
      <c r="AD76" s="26" t="e">
        <f t="shared" si="15"/>
        <v>#REF!</v>
      </c>
      <c r="AE76" s="25" t="e">
        <f>VLOOKUP(A76,#REF!,31,0)</f>
        <v>#REF!</v>
      </c>
      <c r="AF76" s="25" t="e">
        <f>VLOOKUP(A76,#REF!,32,0)</f>
        <v>#REF!</v>
      </c>
      <c r="AG76" s="25"/>
      <c r="AH76" s="27"/>
      <c r="AI76" s="25" t="e">
        <f>VLOOKUP(A76,#REF!,30,0)</f>
        <v>#REF!</v>
      </c>
      <c r="AJ76" s="25" t="e">
        <f>VLOOKUP(A76,#REF!,31,0)</f>
        <v>#REF!</v>
      </c>
      <c r="AK76" s="25" t="e">
        <f>VLOOKUP(A76,#REF!,33,0)</f>
        <v>#REF!</v>
      </c>
      <c r="AL76" s="25" t="e">
        <f>VLOOKUP(A76,#REF!,36,0)</f>
        <v>#REF!</v>
      </c>
      <c r="AM76" s="25" t="e">
        <f>VLOOKUP(A76,#REF!,34,0)</f>
        <v>#REF!</v>
      </c>
      <c r="AN76" s="27" t="e">
        <f>VLOOKUP(A76,#REF!,35,0)</f>
        <v>#REF!</v>
      </c>
      <c r="AO76" s="27" t="e">
        <f>VLOOKUP(A76,#REF!,32,0)</f>
        <v>#REF!</v>
      </c>
      <c r="AP76" s="25" t="e">
        <f>VLOOKUP(A76,#REF!,35,0)</f>
        <v>#REF!</v>
      </c>
      <c r="AQ76" s="25" t="e">
        <f>VLOOKUP(A76,#REF!,36,0)</f>
        <v>#REF!</v>
      </c>
      <c r="AR76" s="25" t="e">
        <f>VLOOKUP(A76,#REF!,37,0)</f>
        <v>#REF!</v>
      </c>
      <c r="AS76" s="25" t="e">
        <f>VLOOKUP(A76,#REF!,38,0)</f>
        <v>#REF!</v>
      </c>
      <c r="AT76" s="25" t="e">
        <f>VLOOKUP(A76,#REF!,39,0)</f>
        <v>#REF!</v>
      </c>
      <c r="AU76" s="25"/>
      <c r="AV76" s="26" t="e">
        <f t="shared" si="14"/>
        <v>#REF!</v>
      </c>
      <c r="AW76" s="25" t="e">
        <f t="shared" si="16"/>
        <v>#REF!</v>
      </c>
      <c r="AX76" s="25"/>
      <c r="AY76" s="26" t="e">
        <f t="shared" si="17"/>
        <v>#REF!</v>
      </c>
      <c r="AZ76" s="25" t="e">
        <f t="shared" si="18"/>
        <v>#REF!</v>
      </c>
      <c r="BA76" s="25" t="e">
        <f t="shared" si="19"/>
        <v>#REF!</v>
      </c>
      <c r="BB76" s="25" t="e">
        <f t="shared" si="20"/>
        <v>#REF!</v>
      </c>
      <c r="BC76" s="25" t="e">
        <f t="shared" si="21"/>
        <v>#REF!</v>
      </c>
      <c r="BD76" s="25" t="e">
        <f>VLOOKUP(A76,#REF!,43,0)</f>
        <v>#REF!</v>
      </c>
      <c r="BE76" s="25" t="e">
        <f>VLOOKUP(A76,#REF!,44,0)</f>
        <v>#REF!</v>
      </c>
      <c r="BF76" s="25" t="e">
        <f>VLOOKUP(A76,#REF!,45,0)</f>
        <v>#REF!</v>
      </c>
      <c r="BG76" s="25" t="e">
        <f>VLOOKUP(A76,#REF!,42,0)</f>
        <v>#REF!</v>
      </c>
      <c r="BH76" s="25" t="e">
        <f t="shared" si="11"/>
        <v>#REF!</v>
      </c>
      <c r="BI76" s="25" t="e">
        <f t="shared" si="22"/>
        <v>#REF!</v>
      </c>
      <c r="BJ76" s="25" t="e">
        <f t="shared" si="12"/>
        <v>#REF!</v>
      </c>
    </row>
    <row r="77" spans="1:62" hidden="1" x14ac:dyDescent="0.25">
      <c r="A77" s="20" t="s">
        <v>631</v>
      </c>
      <c r="B77" s="19">
        <v>45689</v>
      </c>
      <c r="C77" s="20" t="s">
        <v>5</v>
      </c>
      <c r="D77" s="20" t="s">
        <v>588</v>
      </c>
      <c r="E77" s="20"/>
      <c r="F77" s="20" t="s">
        <v>312</v>
      </c>
      <c r="G77" s="20" t="s">
        <v>313</v>
      </c>
      <c r="H77" s="20" t="s">
        <v>88</v>
      </c>
      <c r="I77" s="21">
        <v>45363</v>
      </c>
      <c r="J77" s="22"/>
      <c r="K77" s="23" t="s">
        <v>419</v>
      </c>
      <c r="L77" s="24" t="s">
        <v>327</v>
      </c>
      <c r="M77" s="24" t="s">
        <v>504</v>
      </c>
      <c r="N77" s="25" t="e">
        <f>VLOOKUP(A77,#REF!,12,0)</f>
        <v>#REF!</v>
      </c>
      <c r="O77" s="25" t="e">
        <f>VLOOKUP(A77,#REF!,15,0)</f>
        <v>#REF!</v>
      </c>
      <c r="P77" s="25" t="e">
        <f>VLOOKUP(A77,#REF!,16,0)</f>
        <v>#REF!</v>
      </c>
      <c r="Q77" s="25" t="e">
        <f>VLOOKUP(A77,#REF!,17,0)</f>
        <v>#REF!</v>
      </c>
      <c r="R77" s="25" t="e">
        <f>VLOOKUP(A77,#REF!,18,0)</f>
        <v>#REF!</v>
      </c>
      <c r="S77" s="25" t="e">
        <f>VLOOKUP(A77,#REF!,19,0)</f>
        <v>#REF!</v>
      </c>
      <c r="T77" s="25" t="e">
        <f>VLOOKUP(A77,#REF!,20,0)</f>
        <v>#REF!</v>
      </c>
      <c r="U77" s="25" t="e">
        <f>VLOOKUP(A77,#REF!,21,0)</f>
        <v>#REF!</v>
      </c>
      <c r="V77" s="25" t="e">
        <f>VLOOKUP(A77,#REF!,22,0)</f>
        <v>#REF!</v>
      </c>
      <c r="W77" s="25" t="e">
        <f>VLOOKUP(A77,#REF!,23,0)</f>
        <v>#REF!</v>
      </c>
      <c r="X77" s="25" t="e">
        <f>VLOOKUP(A77,#REF!,24,0)</f>
        <v>#REF!</v>
      </c>
      <c r="Y77" s="25" t="e">
        <f>VLOOKUP(A77,#REF!,25,0)</f>
        <v>#REF!</v>
      </c>
      <c r="Z77" s="25" t="e">
        <f>VLOOKUP(A77,#REF!,26,0)</f>
        <v>#REF!</v>
      </c>
      <c r="AA77" s="25" t="e">
        <f>VLOOKUP(A77,#REF!,27,0)</f>
        <v>#REF!</v>
      </c>
      <c r="AB77" s="25" t="e">
        <f>VLOOKUP(A77,#REF!,28,0)</f>
        <v>#REF!</v>
      </c>
      <c r="AC77" s="25" t="e">
        <f>VLOOKUP(A77,#REF!,29,0)</f>
        <v>#REF!</v>
      </c>
      <c r="AD77" s="26" t="e">
        <f t="shared" si="15"/>
        <v>#REF!</v>
      </c>
      <c r="AE77" s="25" t="e">
        <f>VLOOKUP(A77,#REF!,31,0)</f>
        <v>#REF!</v>
      </c>
      <c r="AF77" s="25" t="e">
        <f>VLOOKUP(A77,#REF!,32,0)</f>
        <v>#REF!</v>
      </c>
      <c r="AG77" s="25"/>
      <c r="AH77" s="27"/>
      <c r="AI77" s="25" t="e">
        <f>VLOOKUP(A77,#REF!,30,0)</f>
        <v>#REF!</v>
      </c>
      <c r="AJ77" s="25" t="e">
        <f>VLOOKUP(A77,#REF!,31,0)</f>
        <v>#REF!</v>
      </c>
      <c r="AK77" s="25" t="e">
        <f>VLOOKUP(A77,#REF!,33,0)</f>
        <v>#REF!</v>
      </c>
      <c r="AL77" s="25" t="e">
        <f>VLOOKUP(A77,#REF!,36,0)</f>
        <v>#REF!</v>
      </c>
      <c r="AM77" s="25" t="e">
        <f>VLOOKUP(A77,#REF!,34,0)</f>
        <v>#REF!</v>
      </c>
      <c r="AN77" s="27" t="e">
        <f>VLOOKUP(A77,#REF!,35,0)</f>
        <v>#REF!</v>
      </c>
      <c r="AO77" s="27" t="e">
        <f>VLOOKUP(A77,#REF!,32,0)</f>
        <v>#REF!</v>
      </c>
      <c r="AP77" s="25" t="e">
        <f>VLOOKUP(A77,#REF!,35,0)</f>
        <v>#REF!</v>
      </c>
      <c r="AQ77" s="25" t="e">
        <f>VLOOKUP(A77,#REF!,36,0)</f>
        <v>#REF!</v>
      </c>
      <c r="AR77" s="25" t="e">
        <f>VLOOKUP(A77,#REF!,37,0)</f>
        <v>#REF!</v>
      </c>
      <c r="AS77" s="25" t="e">
        <f>VLOOKUP(A77,#REF!,38,0)</f>
        <v>#REF!</v>
      </c>
      <c r="AT77" s="25" t="e">
        <f>VLOOKUP(A77,#REF!,39,0)</f>
        <v>#REF!</v>
      </c>
      <c r="AU77" s="25"/>
      <c r="AV77" s="26" t="e">
        <f t="shared" si="14"/>
        <v>#REF!</v>
      </c>
      <c r="AW77" s="25" t="e">
        <f t="shared" si="16"/>
        <v>#REF!</v>
      </c>
      <c r="AX77" s="25"/>
      <c r="AY77" s="26" t="e">
        <f t="shared" si="17"/>
        <v>#REF!</v>
      </c>
      <c r="AZ77" s="25" t="e">
        <f t="shared" si="18"/>
        <v>#REF!</v>
      </c>
      <c r="BA77" s="25" t="e">
        <f t="shared" si="19"/>
        <v>#REF!</v>
      </c>
      <c r="BB77" s="25" t="e">
        <f t="shared" si="20"/>
        <v>#REF!</v>
      </c>
      <c r="BC77" s="25" t="e">
        <f t="shared" si="21"/>
        <v>#REF!</v>
      </c>
      <c r="BD77" s="25" t="e">
        <f>VLOOKUP(A77,#REF!,43,0)</f>
        <v>#REF!</v>
      </c>
      <c r="BE77" s="25" t="e">
        <f>VLOOKUP(A77,#REF!,44,0)</f>
        <v>#REF!</v>
      </c>
      <c r="BF77" s="25" t="e">
        <f>VLOOKUP(A77,#REF!,45,0)</f>
        <v>#REF!</v>
      </c>
      <c r="BG77" s="25" t="e">
        <f>VLOOKUP(A77,#REF!,42,0)</f>
        <v>#REF!</v>
      </c>
      <c r="BH77" s="25" t="e">
        <f t="shared" si="11"/>
        <v>#REF!</v>
      </c>
      <c r="BI77" s="25" t="e">
        <f t="shared" si="22"/>
        <v>#REF!</v>
      </c>
      <c r="BJ77" s="25" t="e">
        <f t="shared" si="12"/>
        <v>#REF!</v>
      </c>
    </row>
    <row r="78" spans="1:62" hidden="1" x14ac:dyDescent="0.25">
      <c r="A78" s="20" t="s">
        <v>286</v>
      </c>
      <c r="B78" s="19">
        <v>45689</v>
      </c>
      <c r="C78" s="20" t="s">
        <v>5</v>
      </c>
      <c r="D78" s="20" t="s">
        <v>579</v>
      </c>
      <c r="E78" s="20"/>
      <c r="F78" s="20" t="s">
        <v>283</v>
      </c>
      <c r="G78" s="20" t="s">
        <v>142</v>
      </c>
      <c r="H78" s="20" t="s">
        <v>81</v>
      </c>
      <c r="I78" s="21">
        <v>45376</v>
      </c>
      <c r="J78" s="22"/>
      <c r="K78" s="23" t="s">
        <v>419</v>
      </c>
      <c r="L78" s="24" t="s">
        <v>285</v>
      </c>
      <c r="M78" s="24" t="s">
        <v>541</v>
      </c>
      <c r="N78" s="25" t="e">
        <f>VLOOKUP(A78,#REF!,12,0)</f>
        <v>#REF!</v>
      </c>
      <c r="O78" s="25" t="e">
        <f>VLOOKUP(A78,#REF!,15,0)</f>
        <v>#REF!</v>
      </c>
      <c r="P78" s="25" t="e">
        <f>VLOOKUP(A78,#REF!,16,0)</f>
        <v>#REF!</v>
      </c>
      <c r="Q78" s="25" t="e">
        <f>VLOOKUP(A78,#REF!,17,0)</f>
        <v>#REF!</v>
      </c>
      <c r="R78" s="25" t="e">
        <f>VLOOKUP(A78,#REF!,18,0)</f>
        <v>#REF!</v>
      </c>
      <c r="S78" s="25" t="e">
        <f>VLOOKUP(A78,#REF!,19,0)</f>
        <v>#REF!</v>
      </c>
      <c r="T78" s="25" t="e">
        <f>VLOOKUP(A78,#REF!,20,0)</f>
        <v>#REF!</v>
      </c>
      <c r="U78" s="25" t="e">
        <f>VLOOKUP(A78,#REF!,21,0)</f>
        <v>#REF!</v>
      </c>
      <c r="V78" s="25" t="e">
        <f>VLOOKUP(A78,#REF!,22,0)</f>
        <v>#REF!</v>
      </c>
      <c r="W78" s="25" t="e">
        <f>VLOOKUP(A78,#REF!,23,0)</f>
        <v>#REF!</v>
      </c>
      <c r="X78" s="25" t="e">
        <f>VLOOKUP(A78,#REF!,24,0)</f>
        <v>#REF!</v>
      </c>
      <c r="Y78" s="25" t="e">
        <f>VLOOKUP(A78,#REF!,25,0)</f>
        <v>#REF!</v>
      </c>
      <c r="Z78" s="25" t="e">
        <f>VLOOKUP(A78,#REF!,26,0)</f>
        <v>#REF!</v>
      </c>
      <c r="AA78" s="25" t="e">
        <f>VLOOKUP(A78,#REF!,27,0)</f>
        <v>#REF!</v>
      </c>
      <c r="AB78" s="25" t="e">
        <f>VLOOKUP(A78,#REF!,28,0)</f>
        <v>#REF!</v>
      </c>
      <c r="AC78" s="25" t="e">
        <f>VLOOKUP(A78,#REF!,29,0)</f>
        <v>#REF!</v>
      </c>
      <c r="AD78" s="26" t="e">
        <f t="shared" si="15"/>
        <v>#REF!</v>
      </c>
      <c r="AE78" s="25" t="e">
        <f>VLOOKUP(A78,#REF!,31,0)</f>
        <v>#REF!</v>
      </c>
      <c r="AF78" s="25" t="e">
        <f>VLOOKUP(A78,#REF!,32,0)</f>
        <v>#REF!</v>
      </c>
      <c r="AG78" s="25"/>
      <c r="AH78" s="27"/>
      <c r="AI78" s="25" t="e">
        <f>VLOOKUP(A78,#REF!,30,0)</f>
        <v>#REF!</v>
      </c>
      <c r="AJ78" s="25" t="e">
        <f>VLOOKUP(A78,#REF!,31,0)</f>
        <v>#REF!</v>
      </c>
      <c r="AK78" s="25" t="e">
        <f>VLOOKUP(A78,#REF!,33,0)</f>
        <v>#REF!</v>
      </c>
      <c r="AL78" s="25" t="e">
        <f>VLOOKUP(A78,#REF!,36,0)</f>
        <v>#REF!</v>
      </c>
      <c r="AM78" s="25" t="e">
        <f>VLOOKUP(A78,#REF!,34,0)</f>
        <v>#REF!</v>
      </c>
      <c r="AN78" s="27" t="e">
        <f>VLOOKUP(A78,#REF!,35,0)</f>
        <v>#REF!</v>
      </c>
      <c r="AO78" s="27" t="e">
        <f>VLOOKUP(A78,#REF!,32,0)</f>
        <v>#REF!</v>
      </c>
      <c r="AP78" s="25" t="e">
        <f>VLOOKUP(A78,#REF!,35,0)</f>
        <v>#REF!</v>
      </c>
      <c r="AQ78" s="25" t="e">
        <f>VLOOKUP(A78,#REF!,36,0)</f>
        <v>#REF!</v>
      </c>
      <c r="AR78" s="25" t="e">
        <f>VLOOKUP(A78,#REF!,37,0)</f>
        <v>#REF!</v>
      </c>
      <c r="AS78" s="25" t="e">
        <f>VLOOKUP(A78,#REF!,38,0)</f>
        <v>#REF!</v>
      </c>
      <c r="AT78" s="25" t="e">
        <f>VLOOKUP(A78,#REF!,39,0)</f>
        <v>#REF!</v>
      </c>
      <c r="AU78" s="25"/>
      <c r="AV78" s="26" t="e">
        <f t="shared" si="14"/>
        <v>#REF!</v>
      </c>
      <c r="AW78" s="25" t="e">
        <f t="shared" si="16"/>
        <v>#REF!</v>
      </c>
      <c r="AX78" s="25"/>
      <c r="AY78" s="26" t="e">
        <f t="shared" si="17"/>
        <v>#REF!</v>
      </c>
      <c r="AZ78" s="25" t="e">
        <f t="shared" si="18"/>
        <v>#REF!</v>
      </c>
      <c r="BA78" s="25" t="e">
        <f t="shared" si="19"/>
        <v>#REF!</v>
      </c>
      <c r="BB78" s="25" t="e">
        <f t="shared" si="20"/>
        <v>#REF!</v>
      </c>
      <c r="BC78" s="25" t="e">
        <f t="shared" si="21"/>
        <v>#REF!</v>
      </c>
      <c r="BD78" s="25" t="e">
        <f>VLOOKUP(A78,#REF!,43,0)</f>
        <v>#REF!</v>
      </c>
      <c r="BE78" s="25" t="e">
        <f>VLOOKUP(A78,#REF!,44,0)</f>
        <v>#REF!</v>
      </c>
      <c r="BF78" s="25" t="e">
        <f>VLOOKUP(A78,#REF!,45,0)</f>
        <v>#REF!</v>
      </c>
      <c r="BG78" s="25" t="e">
        <f>VLOOKUP(A78,#REF!,42,0)</f>
        <v>#REF!</v>
      </c>
      <c r="BH78" s="25" t="e">
        <f t="shared" si="11"/>
        <v>#REF!</v>
      </c>
      <c r="BI78" s="25" t="e">
        <f t="shared" si="22"/>
        <v>#REF!</v>
      </c>
      <c r="BJ78" s="25" t="e">
        <f t="shared" si="12"/>
        <v>#REF!</v>
      </c>
    </row>
    <row r="79" spans="1:62" hidden="1" x14ac:dyDescent="0.25">
      <c r="A79" s="20" t="s">
        <v>632</v>
      </c>
      <c r="B79" s="19">
        <v>45689</v>
      </c>
      <c r="C79" s="20" t="s">
        <v>623</v>
      </c>
      <c r="D79" s="20" t="s">
        <v>588</v>
      </c>
      <c r="E79" s="20" t="s">
        <v>312</v>
      </c>
      <c r="F79" s="20" t="s">
        <v>312</v>
      </c>
      <c r="G79" s="20" t="s">
        <v>313</v>
      </c>
      <c r="H79" s="20" t="s">
        <v>81</v>
      </c>
      <c r="I79" s="21">
        <v>45414</v>
      </c>
      <c r="J79" s="22"/>
      <c r="K79" s="23" t="s">
        <v>419</v>
      </c>
      <c r="L79" s="24" t="s">
        <v>322</v>
      </c>
      <c r="M79" s="24" t="s">
        <v>623</v>
      </c>
      <c r="N79" s="25">
        <v>995</v>
      </c>
      <c r="O79" s="25">
        <v>2195</v>
      </c>
      <c r="P79" s="25">
        <v>0</v>
      </c>
      <c r="Q79" s="25">
        <v>0</v>
      </c>
      <c r="R79" s="25">
        <v>0</v>
      </c>
      <c r="S79" s="25">
        <v>0</v>
      </c>
      <c r="T79" s="25">
        <v>0</v>
      </c>
      <c r="U79" s="25">
        <v>0</v>
      </c>
      <c r="V79" s="25">
        <v>0</v>
      </c>
      <c r="W79" s="25">
        <v>0</v>
      </c>
      <c r="X79" s="25">
        <v>0</v>
      </c>
      <c r="Y79" s="25">
        <v>0</v>
      </c>
      <c r="Z79" s="25">
        <v>0</v>
      </c>
      <c r="AA79" s="25">
        <v>0</v>
      </c>
      <c r="AB79" s="25">
        <v>0</v>
      </c>
      <c r="AC79" s="25">
        <v>0</v>
      </c>
      <c r="AD79" s="25">
        <f>O79+P79+R79+S79+T79+U79+V79+W79+X79+Y79+Z79+AA79+U177+AB79+AC79</f>
        <v>2195</v>
      </c>
      <c r="AE79" s="25">
        <v>205</v>
      </c>
      <c r="AF79" s="25">
        <v>0</v>
      </c>
      <c r="AG79" s="25"/>
      <c r="AH79" s="25"/>
      <c r="AI79" s="25">
        <v>0</v>
      </c>
      <c r="AJ79" s="25">
        <v>0</v>
      </c>
      <c r="AK79" s="25">
        <v>0</v>
      </c>
      <c r="AL79" s="25">
        <v>0</v>
      </c>
      <c r="AM79" s="25">
        <v>0</v>
      </c>
      <c r="AN79" s="25">
        <v>0</v>
      </c>
      <c r="AO79" s="25">
        <v>0</v>
      </c>
      <c r="AP79" s="25">
        <v>0</v>
      </c>
      <c r="AQ79" s="25">
        <v>0</v>
      </c>
      <c r="AR79" s="25">
        <v>0</v>
      </c>
      <c r="AS79" s="25">
        <v>0</v>
      </c>
      <c r="AT79" s="25">
        <v>0</v>
      </c>
      <c r="AU79" s="25"/>
      <c r="AV79" s="25">
        <f t="shared" si="14"/>
        <v>205</v>
      </c>
      <c r="AW79" s="25">
        <f t="shared" si="16"/>
        <v>2400</v>
      </c>
      <c r="AX79" s="25"/>
      <c r="AY79" s="25">
        <f t="shared" si="17"/>
        <v>2400</v>
      </c>
      <c r="AZ79" s="25">
        <v>0</v>
      </c>
      <c r="BA79" s="25">
        <v>0</v>
      </c>
      <c r="BB79" s="25">
        <v>0</v>
      </c>
      <c r="BC79" s="25">
        <f t="shared" si="21"/>
        <v>0</v>
      </c>
      <c r="BD79" s="25">
        <v>0</v>
      </c>
      <c r="BE79" s="25">
        <v>0</v>
      </c>
      <c r="BF79" s="25">
        <v>0</v>
      </c>
      <c r="BG79" s="25">
        <v>0</v>
      </c>
      <c r="BH79" s="25">
        <v>0</v>
      </c>
      <c r="BI79" s="25">
        <f t="shared" si="22"/>
        <v>2400</v>
      </c>
      <c r="BJ79" s="25">
        <f>AY79</f>
        <v>2400</v>
      </c>
    </row>
    <row r="80" spans="1:62" hidden="1" x14ac:dyDescent="0.25">
      <c r="A80" s="20" t="s">
        <v>145</v>
      </c>
      <c r="B80" s="19">
        <v>45689</v>
      </c>
      <c r="C80" s="20" t="s">
        <v>5</v>
      </c>
      <c r="D80" s="20" t="s">
        <v>579</v>
      </c>
      <c r="E80" s="20"/>
      <c r="F80" s="20" t="s">
        <v>283</v>
      </c>
      <c r="G80" s="20" t="s">
        <v>142</v>
      </c>
      <c r="H80" s="20" t="s">
        <v>97</v>
      </c>
      <c r="I80" s="21">
        <v>45440</v>
      </c>
      <c r="J80" s="22"/>
      <c r="K80" s="23" t="s">
        <v>419</v>
      </c>
      <c r="L80" s="24" t="s">
        <v>535</v>
      </c>
      <c r="M80" s="24" t="s">
        <v>508</v>
      </c>
      <c r="N80" s="25" t="e">
        <f>VLOOKUP(A80,#REF!,12,0)</f>
        <v>#REF!</v>
      </c>
      <c r="O80" s="25" t="e">
        <f>VLOOKUP(A80,#REF!,15,0)</f>
        <v>#REF!</v>
      </c>
      <c r="P80" s="25" t="e">
        <f>VLOOKUP(A80,#REF!,16,0)</f>
        <v>#REF!</v>
      </c>
      <c r="Q80" s="25" t="e">
        <f>VLOOKUP(A80,#REF!,17,0)</f>
        <v>#REF!</v>
      </c>
      <c r="R80" s="25" t="e">
        <f>VLOOKUP(A80,#REF!,18,0)</f>
        <v>#REF!</v>
      </c>
      <c r="S80" s="25" t="e">
        <f>VLOOKUP(A80,#REF!,19,0)</f>
        <v>#REF!</v>
      </c>
      <c r="T80" s="25" t="e">
        <f>VLOOKUP(A80,#REF!,20,0)</f>
        <v>#REF!</v>
      </c>
      <c r="U80" s="25" t="e">
        <f>VLOOKUP(A80,#REF!,21,0)</f>
        <v>#REF!</v>
      </c>
      <c r="V80" s="25" t="e">
        <f>VLOOKUP(A80,#REF!,22,0)</f>
        <v>#REF!</v>
      </c>
      <c r="W80" s="25" t="e">
        <f>VLOOKUP(A80,#REF!,23,0)</f>
        <v>#REF!</v>
      </c>
      <c r="X80" s="25" t="e">
        <f>VLOOKUP(A80,#REF!,24,0)</f>
        <v>#REF!</v>
      </c>
      <c r="Y80" s="25" t="e">
        <f>VLOOKUP(A80,#REF!,25,0)</f>
        <v>#REF!</v>
      </c>
      <c r="Z80" s="25" t="e">
        <f>VLOOKUP(A80,#REF!,26,0)</f>
        <v>#REF!</v>
      </c>
      <c r="AA80" s="25" t="e">
        <f>VLOOKUP(A80,#REF!,27,0)</f>
        <v>#REF!</v>
      </c>
      <c r="AB80" s="25" t="e">
        <f>VLOOKUP(A80,#REF!,28,0)</f>
        <v>#REF!</v>
      </c>
      <c r="AC80" s="25" t="e">
        <f>VLOOKUP(A80,#REF!,29,0)</f>
        <v>#REF!</v>
      </c>
      <c r="AD80" s="26" t="e">
        <f t="shared" si="15"/>
        <v>#REF!</v>
      </c>
      <c r="AE80" s="25" t="e">
        <f>VLOOKUP(A80,#REF!,31,0)</f>
        <v>#REF!</v>
      </c>
      <c r="AF80" s="25" t="e">
        <f>VLOOKUP(A80,#REF!,32,0)</f>
        <v>#REF!</v>
      </c>
      <c r="AG80" s="25"/>
      <c r="AH80" s="27"/>
      <c r="AI80" s="25" t="e">
        <f>VLOOKUP(A80,#REF!,30,0)</f>
        <v>#REF!</v>
      </c>
      <c r="AJ80" s="25" t="e">
        <f>VLOOKUP(A80,#REF!,31,0)</f>
        <v>#REF!</v>
      </c>
      <c r="AK80" s="25" t="e">
        <f>VLOOKUP(A80,#REF!,33,0)</f>
        <v>#REF!</v>
      </c>
      <c r="AL80" s="25" t="e">
        <f>VLOOKUP(A80,#REF!,36,0)</f>
        <v>#REF!</v>
      </c>
      <c r="AM80" s="25" t="e">
        <f>VLOOKUP(A80,#REF!,34,0)</f>
        <v>#REF!</v>
      </c>
      <c r="AN80" s="27" t="e">
        <f>VLOOKUP(A80,#REF!,35,0)</f>
        <v>#REF!</v>
      </c>
      <c r="AO80" s="27" t="e">
        <f>VLOOKUP(A80,#REF!,32,0)</f>
        <v>#REF!</v>
      </c>
      <c r="AP80" s="25" t="e">
        <f>VLOOKUP(A80,#REF!,35,0)</f>
        <v>#REF!</v>
      </c>
      <c r="AQ80" s="25" t="e">
        <f>VLOOKUP(A80,#REF!,36,0)</f>
        <v>#REF!</v>
      </c>
      <c r="AR80" s="25" t="e">
        <f>VLOOKUP(A80,#REF!,37,0)</f>
        <v>#REF!</v>
      </c>
      <c r="AS80" s="25" t="e">
        <f>VLOOKUP(A80,#REF!,38,0)</f>
        <v>#REF!</v>
      </c>
      <c r="AT80" s="25" t="e">
        <f>VLOOKUP(A80,#REF!,39,0)</f>
        <v>#REF!</v>
      </c>
      <c r="AU80" s="25"/>
      <c r="AV80" s="26" t="e">
        <f t="shared" si="14"/>
        <v>#REF!</v>
      </c>
      <c r="AW80" s="25" t="e">
        <f t="shared" si="16"/>
        <v>#REF!</v>
      </c>
      <c r="AX80" s="25"/>
      <c r="AY80" s="26" t="e">
        <f t="shared" si="17"/>
        <v>#REF!</v>
      </c>
      <c r="AZ80" s="25" t="e">
        <f t="shared" ref="AZ80" si="23">AD80/12</f>
        <v>#REF!</v>
      </c>
      <c r="BA80" s="25" t="e">
        <f t="shared" ref="BA80:BA109" si="24">AD80/12</f>
        <v>#REF!</v>
      </c>
      <c r="BB80" s="25" t="e">
        <f t="shared" si="20"/>
        <v>#REF!</v>
      </c>
      <c r="BC80" s="25" t="e">
        <f t="shared" si="21"/>
        <v>#REF!</v>
      </c>
      <c r="BD80" s="25" t="e">
        <f>VLOOKUP(A80,#REF!,43,0)</f>
        <v>#REF!</v>
      </c>
      <c r="BE80" s="25" t="e">
        <f>VLOOKUP(A80,#REF!,44,0)</f>
        <v>#REF!</v>
      </c>
      <c r="BF80" s="25" t="e">
        <f>VLOOKUP(A80,#REF!,45,0)</f>
        <v>#REF!</v>
      </c>
      <c r="BG80" s="25" t="e">
        <f>VLOOKUP(A80,#REF!,42,0)</f>
        <v>#REF!</v>
      </c>
      <c r="BH80" s="25" t="e">
        <f t="shared" ref="BH80:BH113" si="25">SUM(BD80:BG80)</f>
        <v>#REF!</v>
      </c>
      <c r="BI80" s="25" t="e">
        <f t="shared" si="22"/>
        <v>#REF!</v>
      </c>
      <c r="BJ80" s="25" t="e">
        <f t="shared" si="12"/>
        <v>#REF!</v>
      </c>
    </row>
    <row r="81" spans="1:62" hidden="1" x14ac:dyDescent="0.25">
      <c r="A81" s="20" t="s">
        <v>531</v>
      </c>
      <c r="B81" s="19">
        <v>45689</v>
      </c>
      <c r="C81" s="20" t="s">
        <v>6</v>
      </c>
      <c r="D81" s="20" t="s">
        <v>582</v>
      </c>
      <c r="E81" s="20" t="s">
        <v>292</v>
      </c>
      <c r="F81" s="20" t="s">
        <v>292</v>
      </c>
      <c r="G81" s="20" t="s">
        <v>203</v>
      </c>
      <c r="H81" s="20" t="s">
        <v>218</v>
      </c>
      <c r="I81" s="21">
        <v>45483</v>
      </c>
      <c r="J81" s="22"/>
      <c r="K81" s="23" t="s">
        <v>422</v>
      </c>
      <c r="L81" s="24" t="s">
        <v>219</v>
      </c>
      <c r="M81" s="24" t="s">
        <v>648</v>
      </c>
      <c r="N81" s="25" t="e">
        <f>VLOOKUP(A81,#REF!,12,0)</f>
        <v>#REF!</v>
      </c>
      <c r="O81" s="25">
        <v>1000</v>
      </c>
      <c r="P81" s="25" t="e">
        <f>VLOOKUP(A81,#REF!,16,0)</f>
        <v>#REF!</v>
      </c>
      <c r="Q81" s="25" t="e">
        <f>VLOOKUP(A81,#REF!,17,0)</f>
        <v>#REF!</v>
      </c>
      <c r="R81" s="25" t="e">
        <f>VLOOKUP(A81,#REF!,18,0)</f>
        <v>#REF!</v>
      </c>
      <c r="S81" s="25" t="e">
        <f>VLOOKUP(A81,#REF!,19,0)</f>
        <v>#REF!</v>
      </c>
      <c r="T81" s="25" t="e">
        <f>VLOOKUP(A81,#REF!,20,0)</f>
        <v>#REF!</v>
      </c>
      <c r="U81" s="25" t="e">
        <f>VLOOKUP(A81,#REF!,21,0)</f>
        <v>#REF!</v>
      </c>
      <c r="V81" s="25" t="e">
        <f>VLOOKUP(A81,#REF!,22,0)</f>
        <v>#REF!</v>
      </c>
      <c r="W81" s="25" t="e">
        <f>VLOOKUP(A81,#REF!,23,0)</f>
        <v>#REF!</v>
      </c>
      <c r="X81" s="25" t="e">
        <f>VLOOKUP(A81,#REF!,24,0)</f>
        <v>#REF!</v>
      </c>
      <c r="Y81" s="25" t="e">
        <f>VLOOKUP(A81,#REF!,25,0)</f>
        <v>#REF!</v>
      </c>
      <c r="Z81" s="25" t="e">
        <f>VLOOKUP(A81,#REF!,26,0)</f>
        <v>#REF!</v>
      </c>
      <c r="AA81" s="25" t="e">
        <f>VLOOKUP(A81,#REF!,27,0)</f>
        <v>#REF!</v>
      </c>
      <c r="AB81" s="25" t="e">
        <f>VLOOKUP(A81,#REF!,28,0)</f>
        <v>#REF!</v>
      </c>
      <c r="AC81" s="25" t="e">
        <f>VLOOKUP(A81,#REF!,29,0)</f>
        <v>#REF!</v>
      </c>
      <c r="AD81" s="26" t="e">
        <f t="shared" si="15"/>
        <v>#REF!</v>
      </c>
      <c r="AE81" s="25">
        <v>200</v>
      </c>
      <c r="AF81" s="25" t="e">
        <f>VLOOKUP(A81,#REF!,32,0)</f>
        <v>#REF!</v>
      </c>
      <c r="AG81" s="25"/>
      <c r="AH81" s="27"/>
      <c r="AI81" s="25" t="e">
        <f>VLOOKUP(A81,#REF!,30,0)</f>
        <v>#REF!</v>
      </c>
      <c r="AJ81" s="25" t="e">
        <f>VLOOKUP(A81,#REF!,31,0)</f>
        <v>#REF!</v>
      </c>
      <c r="AK81" s="25" t="e">
        <f>VLOOKUP(A81,#REF!,33,0)</f>
        <v>#REF!</v>
      </c>
      <c r="AL81" s="25" t="e">
        <f>VLOOKUP(A81,#REF!,36,0)</f>
        <v>#REF!</v>
      </c>
      <c r="AM81" s="25" t="e">
        <f>VLOOKUP(A81,#REF!,34,0)</f>
        <v>#REF!</v>
      </c>
      <c r="AN81" s="27"/>
      <c r="AO81" s="27"/>
      <c r="AP81" s="25" t="e">
        <f>VLOOKUP(A81,#REF!,35,0)</f>
        <v>#REF!</v>
      </c>
      <c r="AQ81" s="25" t="e">
        <f>VLOOKUP(A81,#REF!,36,0)</f>
        <v>#REF!</v>
      </c>
      <c r="AR81" s="25" t="e">
        <f>VLOOKUP(A81,#REF!,37,0)</f>
        <v>#REF!</v>
      </c>
      <c r="AS81" s="25" t="e">
        <f>VLOOKUP(A81,#REF!,38,0)</f>
        <v>#REF!</v>
      </c>
      <c r="AT81" s="25" t="e">
        <f>VLOOKUP(A81,#REF!,39,0)</f>
        <v>#REF!</v>
      </c>
      <c r="AU81" s="25"/>
      <c r="AV81" s="26" t="e">
        <f t="shared" si="14"/>
        <v>#REF!</v>
      </c>
      <c r="AW81" s="25" t="e">
        <f t="shared" si="16"/>
        <v>#REF!</v>
      </c>
      <c r="AX81" s="25"/>
      <c r="AY81" s="26" t="e">
        <f t="shared" si="17"/>
        <v>#REF!</v>
      </c>
      <c r="AZ81" s="25">
        <v>0</v>
      </c>
      <c r="BA81" s="25">
        <v>0</v>
      </c>
      <c r="BB81" s="25">
        <v>0</v>
      </c>
      <c r="BC81" s="25">
        <f t="shared" si="21"/>
        <v>0</v>
      </c>
      <c r="BD81" s="25" t="e">
        <f>VLOOKUP(A81,#REF!,43,0)</f>
        <v>#REF!</v>
      </c>
      <c r="BE81" s="25" t="e">
        <f>VLOOKUP(A81,#REF!,44,0)</f>
        <v>#REF!</v>
      </c>
      <c r="BF81" s="25" t="e">
        <f>VLOOKUP(A81,#REF!,45,0)</f>
        <v>#REF!</v>
      </c>
      <c r="BG81" s="25" t="e">
        <f>VLOOKUP(A81,#REF!,42,0)</f>
        <v>#REF!</v>
      </c>
      <c r="BH81" s="25" t="e">
        <f t="shared" si="25"/>
        <v>#REF!</v>
      </c>
      <c r="BI81" s="25" t="e">
        <f t="shared" si="22"/>
        <v>#REF!</v>
      </c>
      <c r="BJ81" s="25" t="e">
        <f t="shared" si="12"/>
        <v>#REF!</v>
      </c>
    </row>
    <row r="82" spans="1:62" hidden="1" x14ac:dyDescent="0.25">
      <c r="A82" s="20" t="s">
        <v>550</v>
      </c>
      <c r="B82" s="19">
        <v>45689</v>
      </c>
      <c r="C82" s="20" t="s">
        <v>6</v>
      </c>
      <c r="D82" s="20" t="s">
        <v>582</v>
      </c>
      <c r="E82" s="20" t="s">
        <v>292</v>
      </c>
      <c r="F82" s="20" t="s">
        <v>292</v>
      </c>
      <c r="G82" s="20" t="s">
        <v>203</v>
      </c>
      <c r="H82" s="20" t="s">
        <v>240</v>
      </c>
      <c r="I82" s="21">
        <v>45483</v>
      </c>
      <c r="J82" s="22"/>
      <c r="K82" s="23" t="s">
        <v>422</v>
      </c>
      <c r="L82" s="24" t="s">
        <v>241</v>
      </c>
      <c r="M82" s="24" t="s">
        <v>664</v>
      </c>
      <c r="N82" s="25" t="e">
        <f>VLOOKUP(A82,#REF!,12,0)</f>
        <v>#REF!</v>
      </c>
      <c r="O82" s="25">
        <v>1000</v>
      </c>
      <c r="P82" s="25" t="e">
        <f>VLOOKUP(A82,#REF!,16,0)</f>
        <v>#REF!</v>
      </c>
      <c r="Q82" s="25" t="e">
        <f>VLOOKUP(A82,#REF!,17,0)</f>
        <v>#REF!</v>
      </c>
      <c r="R82" s="25" t="e">
        <f>VLOOKUP(A82,#REF!,18,0)</f>
        <v>#REF!</v>
      </c>
      <c r="S82" s="25" t="e">
        <f>VLOOKUP(A82,#REF!,19,0)</f>
        <v>#REF!</v>
      </c>
      <c r="T82" s="25" t="e">
        <f>VLOOKUP(A82,#REF!,20,0)</f>
        <v>#REF!</v>
      </c>
      <c r="U82" s="25" t="e">
        <f>VLOOKUP(A82,#REF!,21,0)</f>
        <v>#REF!</v>
      </c>
      <c r="V82" s="25" t="e">
        <f>VLOOKUP(A82,#REF!,22,0)</f>
        <v>#REF!</v>
      </c>
      <c r="W82" s="25" t="e">
        <f>VLOOKUP(A82,#REF!,23,0)</f>
        <v>#REF!</v>
      </c>
      <c r="X82" s="25" t="e">
        <f>VLOOKUP(A82,#REF!,24,0)</f>
        <v>#REF!</v>
      </c>
      <c r="Y82" s="25" t="e">
        <f>VLOOKUP(A82,#REF!,25,0)</f>
        <v>#REF!</v>
      </c>
      <c r="Z82" s="25" t="e">
        <f>VLOOKUP(A82,#REF!,26,0)</f>
        <v>#REF!</v>
      </c>
      <c r="AA82" s="25" t="e">
        <f>VLOOKUP(A82,#REF!,27,0)</f>
        <v>#REF!</v>
      </c>
      <c r="AB82" s="25" t="e">
        <f>VLOOKUP(A82,#REF!,28,0)</f>
        <v>#REF!</v>
      </c>
      <c r="AC82" s="25" t="e">
        <f>VLOOKUP(A82,#REF!,29,0)</f>
        <v>#REF!</v>
      </c>
      <c r="AD82" s="26" t="e">
        <f t="shared" si="15"/>
        <v>#REF!</v>
      </c>
      <c r="AE82" s="25">
        <v>200</v>
      </c>
      <c r="AF82" s="25" t="e">
        <f>VLOOKUP(A82,#REF!,32,0)</f>
        <v>#REF!</v>
      </c>
      <c r="AG82" s="25"/>
      <c r="AH82" s="27"/>
      <c r="AI82" s="25" t="e">
        <f>VLOOKUP(A82,#REF!,30,0)</f>
        <v>#REF!</v>
      </c>
      <c r="AJ82" s="25" t="e">
        <f>VLOOKUP(A82,#REF!,31,0)</f>
        <v>#REF!</v>
      </c>
      <c r="AK82" s="25" t="e">
        <f>VLOOKUP(A82,#REF!,33,0)</f>
        <v>#REF!</v>
      </c>
      <c r="AL82" s="25" t="e">
        <f>VLOOKUP(A82,#REF!,36,0)</f>
        <v>#REF!</v>
      </c>
      <c r="AM82" s="25" t="e">
        <f>VLOOKUP(A82,#REF!,34,0)</f>
        <v>#REF!</v>
      </c>
      <c r="AN82" s="27"/>
      <c r="AO82" s="27"/>
      <c r="AP82" s="25" t="e">
        <f>VLOOKUP(A82,#REF!,35,0)</f>
        <v>#REF!</v>
      </c>
      <c r="AQ82" s="25" t="e">
        <f>VLOOKUP(A82,#REF!,36,0)</f>
        <v>#REF!</v>
      </c>
      <c r="AR82" s="25" t="e">
        <f>VLOOKUP(A82,#REF!,37,0)</f>
        <v>#REF!</v>
      </c>
      <c r="AS82" s="25" t="e">
        <f>VLOOKUP(A82,#REF!,38,0)</f>
        <v>#REF!</v>
      </c>
      <c r="AT82" s="25" t="e">
        <f>VLOOKUP(A82,#REF!,39,0)</f>
        <v>#REF!</v>
      </c>
      <c r="AU82" s="25"/>
      <c r="AV82" s="26" t="e">
        <f t="shared" si="14"/>
        <v>#REF!</v>
      </c>
      <c r="AW82" s="25" t="e">
        <f t="shared" si="16"/>
        <v>#REF!</v>
      </c>
      <c r="AX82" s="25"/>
      <c r="AY82" s="26" t="e">
        <f t="shared" si="17"/>
        <v>#REF!</v>
      </c>
      <c r="AZ82" s="25">
        <v>0</v>
      </c>
      <c r="BA82" s="25">
        <v>0</v>
      </c>
      <c r="BB82" s="25">
        <v>0</v>
      </c>
      <c r="BC82" s="25">
        <f t="shared" si="21"/>
        <v>0</v>
      </c>
      <c r="BD82" s="25" t="e">
        <f>VLOOKUP(A82,#REF!,43,0)</f>
        <v>#REF!</v>
      </c>
      <c r="BE82" s="25" t="e">
        <f>VLOOKUP(A82,#REF!,44,0)</f>
        <v>#REF!</v>
      </c>
      <c r="BF82" s="25" t="e">
        <f>VLOOKUP(A82,#REF!,45,0)</f>
        <v>#REF!</v>
      </c>
      <c r="BG82" s="25" t="e">
        <f>VLOOKUP(A82,#REF!,42,0)</f>
        <v>#REF!</v>
      </c>
      <c r="BH82" s="25" t="e">
        <f t="shared" si="25"/>
        <v>#REF!</v>
      </c>
      <c r="BI82" s="25" t="e">
        <f t="shared" si="22"/>
        <v>#REF!</v>
      </c>
      <c r="BJ82" s="25" t="e">
        <f t="shared" si="12"/>
        <v>#REF!</v>
      </c>
    </row>
    <row r="83" spans="1:62" hidden="1" x14ac:dyDescent="0.25">
      <c r="A83" s="20" t="s">
        <v>530</v>
      </c>
      <c r="B83" s="19">
        <v>45689</v>
      </c>
      <c r="C83" s="20" t="s">
        <v>6</v>
      </c>
      <c r="D83" s="20" t="s">
        <v>582</v>
      </c>
      <c r="E83" s="20" t="s">
        <v>292</v>
      </c>
      <c r="F83" s="20" t="s">
        <v>292</v>
      </c>
      <c r="G83" s="20" t="s">
        <v>444</v>
      </c>
      <c r="H83" s="20" t="s">
        <v>195</v>
      </c>
      <c r="I83" s="21">
        <v>45496</v>
      </c>
      <c r="J83" s="22"/>
      <c r="K83" s="23" t="s">
        <v>419</v>
      </c>
      <c r="L83" s="24" t="s">
        <v>211</v>
      </c>
      <c r="M83" s="24" t="s">
        <v>638</v>
      </c>
      <c r="N83" s="25" t="e">
        <f>VLOOKUP(A83,#REF!,12,0)</f>
        <v>#REF!</v>
      </c>
      <c r="O83" s="25">
        <v>1000</v>
      </c>
      <c r="P83" s="25" t="e">
        <f>VLOOKUP(A83,#REF!,16,0)</f>
        <v>#REF!</v>
      </c>
      <c r="Q83" s="25" t="e">
        <f>VLOOKUP(A83,#REF!,17,0)</f>
        <v>#REF!</v>
      </c>
      <c r="R83" s="25" t="e">
        <f>VLOOKUP(A83,#REF!,18,0)</f>
        <v>#REF!</v>
      </c>
      <c r="S83" s="25" t="e">
        <f>VLOOKUP(A83,#REF!,19,0)</f>
        <v>#REF!</v>
      </c>
      <c r="T83" s="25" t="e">
        <f>VLOOKUP(A83,#REF!,20,0)</f>
        <v>#REF!</v>
      </c>
      <c r="U83" s="25" t="e">
        <f>VLOOKUP(A83,#REF!,21,0)</f>
        <v>#REF!</v>
      </c>
      <c r="V83" s="25" t="e">
        <f>VLOOKUP(A83,#REF!,22,0)</f>
        <v>#REF!</v>
      </c>
      <c r="W83" s="25" t="e">
        <f>VLOOKUP(A83,#REF!,23,0)</f>
        <v>#REF!</v>
      </c>
      <c r="X83" s="25" t="e">
        <f>VLOOKUP(A83,#REF!,24,0)</f>
        <v>#REF!</v>
      </c>
      <c r="Y83" s="25" t="e">
        <f>VLOOKUP(A83,#REF!,25,0)</f>
        <v>#REF!</v>
      </c>
      <c r="Z83" s="25" t="e">
        <f>VLOOKUP(A83,#REF!,26,0)</f>
        <v>#REF!</v>
      </c>
      <c r="AA83" s="25" t="e">
        <f>VLOOKUP(A83,#REF!,27,0)</f>
        <v>#REF!</v>
      </c>
      <c r="AB83" s="25" t="e">
        <f>VLOOKUP(A83,#REF!,28,0)</f>
        <v>#REF!</v>
      </c>
      <c r="AC83" s="25" t="e">
        <f>VLOOKUP(A83,#REF!,29,0)</f>
        <v>#REF!</v>
      </c>
      <c r="AD83" s="26" t="e">
        <f t="shared" si="15"/>
        <v>#REF!</v>
      </c>
      <c r="AE83" s="25">
        <v>200</v>
      </c>
      <c r="AF83" s="25" t="e">
        <f>VLOOKUP(A83,#REF!,32,0)</f>
        <v>#REF!</v>
      </c>
      <c r="AG83" s="25"/>
      <c r="AH83" s="27"/>
      <c r="AI83" s="25" t="e">
        <f>VLOOKUP(A83,#REF!,30,0)</f>
        <v>#REF!</v>
      </c>
      <c r="AJ83" s="25" t="e">
        <f>VLOOKUP(A83,#REF!,31,0)</f>
        <v>#REF!</v>
      </c>
      <c r="AK83" s="25" t="e">
        <f>VLOOKUP(A83,#REF!,33,0)</f>
        <v>#REF!</v>
      </c>
      <c r="AL83" s="25" t="e">
        <f>VLOOKUP(A83,#REF!,36,0)</f>
        <v>#REF!</v>
      </c>
      <c r="AM83" s="25" t="e">
        <f>VLOOKUP(A83,#REF!,34,0)</f>
        <v>#REF!</v>
      </c>
      <c r="AN83" s="27"/>
      <c r="AO83" s="27"/>
      <c r="AP83" s="25" t="e">
        <f>VLOOKUP(A83,#REF!,35,0)</f>
        <v>#REF!</v>
      </c>
      <c r="AQ83" s="25" t="e">
        <f>VLOOKUP(A83,#REF!,36,0)</f>
        <v>#REF!</v>
      </c>
      <c r="AR83" s="25" t="e">
        <f>VLOOKUP(A83,#REF!,37,0)</f>
        <v>#REF!</v>
      </c>
      <c r="AS83" s="25" t="e">
        <f>VLOOKUP(A83,#REF!,38,0)</f>
        <v>#REF!</v>
      </c>
      <c r="AT83" s="25" t="e">
        <f>VLOOKUP(A83,#REF!,39,0)</f>
        <v>#REF!</v>
      </c>
      <c r="AU83" s="25"/>
      <c r="AV83" s="26" t="e">
        <f t="shared" si="14"/>
        <v>#REF!</v>
      </c>
      <c r="AW83" s="25" t="e">
        <f t="shared" si="16"/>
        <v>#REF!</v>
      </c>
      <c r="AX83" s="25"/>
      <c r="AY83" s="26" t="e">
        <f t="shared" si="17"/>
        <v>#REF!</v>
      </c>
      <c r="AZ83" s="25">
        <v>0</v>
      </c>
      <c r="BA83" s="25">
        <v>0</v>
      </c>
      <c r="BB83" s="25">
        <v>0</v>
      </c>
      <c r="BC83" s="25">
        <f t="shared" si="21"/>
        <v>0</v>
      </c>
      <c r="BD83" s="25" t="e">
        <f>VLOOKUP(A83,#REF!,43,0)</f>
        <v>#REF!</v>
      </c>
      <c r="BE83" s="25" t="e">
        <f>VLOOKUP(A83,#REF!,44,0)</f>
        <v>#REF!</v>
      </c>
      <c r="BF83" s="25" t="e">
        <f>VLOOKUP(A83,#REF!,45,0)</f>
        <v>#REF!</v>
      </c>
      <c r="BG83" s="25" t="e">
        <f>VLOOKUP(A83,#REF!,42,0)</f>
        <v>#REF!</v>
      </c>
      <c r="BH83" s="25" t="e">
        <f t="shared" si="25"/>
        <v>#REF!</v>
      </c>
      <c r="BI83" s="25" t="e">
        <f t="shared" si="22"/>
        <v>#REF!</v>
      </c>
      <c r="BJ83" s="25" t="e">
        <f t="shared" si="12"/>
        <v>#REF!</v>
      </c>
    </row>
    <row r="84" spans="1:62" hidden="1" x14ac:dyDescent="0.25">
      <c r="A84" s="20" t="s">
        <v>162</v>
      </c>
      <c r="B84" s="19">
        <v>45689</v>
      </c>
      <c r="C84" s="20" t="s">
        <v>5</v>
      </c>
      <c r="D84" s="20" t="s">
        <v>564</v>
      </c>
      <c r="E84" s="20"/>
      <c r="F84" s="20" t="s">
        <v>95</v>
      </c>
      <c r="G84" s="20" t="s">
        <v>561</v>
      </c>
      <c r="H84" s="20" t="s">
        <v>567</v>
      </c>
      <c r="I84" s="21">
        <v>45520</v>
      </c>
      <c r="J84" s="22"/>
      <c r="K84" s="23" t="s">
        <v>419</v>
      </c>
      <c r="L84" s="24" t="s">
        <v>640</v>
      </c>
      <c r="M84" s="24" t="s">
        <v>92</v>
      </c>
      <c r="N84" s="25" t="e">
        <f>VLOOKUP(A84,#REF!,12,0)</f>
        <v>#REF!</v>
      </c>
      <c r="O84" s="25" t="e">
        <f>VLOOKUP(A84,#REF!,15,0)</f>
        <v>#REF!</v>
      </c>
      <c r="P84" s="25" t="e">
        <f>VLOOKUP(A84,#REF!,16,0)</f>
        <v>#REF!</v>
      </c>
      <c r="Q84" s="25" t="e">
        <f>VLOOKUP(A84,#REF!,17,0)</f>
        <v>#REF!</v>
      </c>
      <c r="R84" s="25" t="e">
        <f>VLOOKUP(A84,#REF!,18,0)</f>
        <v>#REF!</v>
      </c>
      <c r="S84" s="25" t="e">
        <f>VLOOKUP(A84,#REF!,19,0)</f>
        <v>#REF!</v>
      </c>
      <c r="T84" s="25" t="e">
        <f>VLOOKUP(A84,#REF!,20,0)</f>
        <v>#REF!</v>
      </c>
      <c r="U84" s="25" t="e">
        <f>VLOOKUP(A84,#REF!,21,0)</f>
        <v>#REF!</v>
      </c>
      <c r="V84" s="25" t="e">
        <f>VLOOKUP(A84,#REF!,22,0)</f>
        <v>#REF!</v>
      </c>
      <c r="W84" s="25" t="e">
        <f>VLOOKUP(A84,#REF!,23,0)</f>
        <v>#REF!</v>
      </c>
      <c r="X84" s="25" t="e">
        <f>VLOOKUP(A84,#REF!,24,0)</f>
        <v>#REF!</v>
      </c>
      <c r="Y84" s="25" t="e">
        <f>VLOOKUP(A84,#REF!,25,0)</f>
        <v>#REF!</v>
      </c>
      <c r="Z84" s="25" t="e">
        <f>VLOOKUP(A84,#REF!,26,0)</f>
        <v>#REF!</v>
      </c>
      <c r="AA84" s="25" t="e">
        <f>VLOOKUP(A84,#REF!,27,0)</f>
        <v>#REF!</v>
      </c>
      <c r="AB84" s="25" t="e">
        <f>VLOOKUP(A84,#REF!,28,0)</f>
        <v>#REF!</v>
      </c>
      <c r="AC84" s="25" t="e">
        <f>VLOOKUP(A84,#REF!,29,0)</f>
        <v>#REF!</v>
      </c>
      <c r="AD84" s="26" t="e">
        <f t="shared" si="15"/>
        <v>#REF!</v>
      </c>
      <c r="AE84" s="25" t="e">
        <f>VLOOKUP(A84,#REF!,31,0)</f>
        <v>#REF!</v>
      </c>
      <c r="AF84" s="25" t="e">
        <f>VLOOKUP(A84,#REF!,32,0)</f>
        <v>#REF!</v>
      </c>
      <c r="AG84" s="25"/>
      <c r="AH84" s="27"/>
      <c r="AI84" s="25" t="e">
        <f>VLOOKUP(A84,#REF!,30,0)</f>
        <v>#REF!</v>
      </c>
      <c r="AJ84" s="25" t="e">
        <f>VLOOKUP(A84,#REF!,31,0)</f>
        <v>#REF!</v>
      </c>
      <c r="AK84" s="25" t="e">
        <f>VLOOKUP(A84,#REF!,33,0)</f>
        <v>#REF!</v>
      </c>
      <c r="AL84" s="25" t="e">
        <f>VLOOKUP(A84,#REF!,36,0)</f>
        <v>#REF!</v>
      </c>
      <c r="AM84" s="25" t="e">
        <f>VLOOKUP(A84,#REF!,34,0)</f>
        <v>#REF!</v>
      </c>
      <c r="AN84" s="27" t="e">
        <f>VLOOKUP(A84,#REF!,35,0)</f>
        <v>#REF!</v>
      </c>
      <c r="AO84" s="27" t="e">
        <f>VLOOKUP(A84,#REF!,32,0)</f>
        <v>#REF!</v>
      </c>
      <c r="AP84" s="25" t="e">
        <f>VLOOKUP(A84,#REF!,35,0)</f>
        <v>#REF!</v>
      </c>
      <c r="AQ84" s="25" t="e">
        <f>VLOOKUP(A84,#REF!,36,0)</f>
        <v>#REF!</v>
      </c>
      <c r="AR84" s="25" t="e">
        <f>VLOOKUP(A84,#REF!,37,0)</f>
        <v>#REF!</v>
      </c>
      <c r="AS84" s="25" t="e">
        <f>VLOOKUP(A84,#REF!,38,0)</f>
        <v>#REF!</v>
      </c>
      <c r="AT84" s="25" t="e">
        <f>VLOOKUP(A84,#REF!,39,0)</f>
        <v>#REF!</v>
      </c>
      <c r="AU84" s="25"/>
      <c r="AV84" s="26" t="e">
        <f t="shared" si="14"/>
        <v>#REF!</v>
      </c>
      <c r="AW84" s="25" t="e">
        <f t="shared" si="16"/>
        <v>#REF!</v>
      </c>
      <c r="AX84" s="25"/>
      <c r="AY84" s="26" t="e">
        <f t="shared" si="17"/>
        <v>#REF!</v>
      </c>
      <c r="AZ84" s="25" t="e">
        <f t="shared" ref="AZ84" si="26">AD84/12</f>
        <v>#REF!</v>
      </c>
      <c r="BA84" s="25" t="e">
        <f t="shared" si="24"/>
        <v>#REF!</v>
      </c>
      <c r="BB84" s="25" t="e">
        <f t="shared" ref="BB84" si="27">BA84/3</f>
        <v>#REF!</v>
      </c>
      <c r="BC84" s="25" t="e">
        <f t="shared" si="21"/>
        <v>#REF!</v>
      </c>
      <c r="BD84" s="25" t="e">
        <f>VLOOKUP(A84,#REF!,43,0)</f>
        <v>#REF!</v>
      </c>
      <c r="BE84" s="25" t="e">
        <f>VLOOKUP(A84,#REF!,44,0)</f>
        <v>#REF!</v>
      </c>
      <c r="BF84" s="25" t="e">
        <f>VLOOKUP(A84,#REF!,45,0)</f>
        <v>#REF!</v>
      </c>
      <c r="BG84" s="25" t="e">
        <f>VLOOKUP(A84,#REF!,42,0)</f>
        <v>#REF!</v>
      </c>
      <c r="BH84" s="25" t="e">
        <f t="shared" si="25"/>
        <v>#REF!</v>
      </c>
      <c r="BI84" s="25" t="e">
        <f t="shared" si="22"/>
        <v>#REF!</v>
      </c>
      <c r="BJ84" s="25" t="e">
        <f t="shared" si="12"/>
        <v>#REF!</v>
      </c>
    </row>
    <row r="85" spans="1:62" hidden="1" x14ac:dyDescent="0.25">
      <c r="A85" s="20" t="s">
        <v>237</v>
      </c>
      <c r="B85" s="19">
        <v>45689</v>
      </c>
      <c r="C85" s="20" t="s">
        <v>6</v>
      </c>
      <c r="D85" s="20" t="s">
        <v>582</v>
      </c>
      <c r="E85" s="20" t="s">
        <v>292</v>
      </c>
      <c r="F85" s="20" t="s">
        <v>292</v>
      </c>
      <c r="G85" s="20" t="s">
        <v>444</v>
      </c>
      <c r="H85" s="20" t="s">
        <v>81</v>
      </c>
      <c r="I85" s="21">
        <v>45524</v>
      </c>
      <c r="J85" s="22"/>
      <c r="K85" s="23" t="s">
        <v>419</v>
      </c>
      <c r="L85" s="24" t="s">
        <v>211</v>
      </c>
      <c r="M85" s="24" t="s">
        <v>665</v>
      </c>
      <c r="N85" s="25" t="e">
        <f>VLOOKUP(A85,#REF!,12,0)</f>
        <v>#REF!</v>
      </c>
      <c r="O85" s="25">
        <v>1000</v>
      </c>
      <c r="P85" s="25" t="e">
        <f>VLOOKUP(A85,#REF!,16,0)</f>
        <v>#REF!</v>
      </c>
      <c r="Q85" s="25" t="e">
        <f>VLOOKUP(A85,#REF!,17,0)</f>
        <v>#REF!</v>
      </c>
      <c r="R85" s="25" t="e">
        <f>VLOOKUP(A85,#REF!,18,0)</f>
        <v>#REF!</v>
      </c>
      <c r="S85" s="25" t="e">
        <f>VLOOKUP(A85,#REF!,19,0)</f>
        <v>#REF!</v>
      </c>
      <c r="T85" s="25" t="e">
        <f>VLOOKUP(A85,#REF!,20,0)</f>
        <v>#REF!</v>
      </c>
      <c r="U85" s="25" t="e">
        <f>VLOOKUP(A85,#REF!,21,0)</f>
        <v>#REF!</v>
      </c>
      <c r="V85" s="25" t="e">
        <f>VLOOKUP(A85,#REF!,22,0)</f>
        <v>#REF!</v>
      </c>
      <c r="W85" s="25" t="e">
        <f>VLOOKUP(A85,#REF!,23,0)</f>
        <v>#REF!</v>
      </c>
      <c r="X85" s="25" t="e">
        <f>VLOOKUP(A85,#REF!,24,0)</f>
        <v>#REF!</v>
      </c>
      <c r="Y85" s="25" t="e">
        <f>VLOOKUP(A85,#REF!,25,0)</f>
        <v>#REF!</v>
      </c>
      <c r="Z85" s="25" t="e">
        <f>VLOOKUP(A85,#REF!,26,0)</f>
        <v>#REF!</v>
      </c>
      <c r="AA85" s="25" t="e">
        <f>VLOOKUP(A85,#REF!,27,0)</f>
        <v>#REF!</v>
      </c>
      <c r="AB85" s="25" t="e">
        <f>VLOOKUP(A85,#REF!,28,0)</f>
        <v>#REF!</v>
      </c>
      <c r="AC85" s="25" t="e">
        <f>VLOOKUP(A85,#REF!,29,0)</f>
        <v>#REF!</v>
      </c>
      <c r="AD85" s="26" t="e">
        <f t="shared" si="15"/>
        <v>#REF!</v>
      </c>
      <c r="AE85" s="25">
        <v>200</v>
      </c>
      <c r="AF85" s="25" t="e">
        <f>VLOOKUP(A85,#REF!,32,0)</f>
        <v>#REF!</v>
      </c>
      <c r="AG85" s="25"/>
      <c r="AH85" s="27"/>
      <c r="AI85" s="25" t="e">
        <f>VLOOKUP(A85,#REF!,30,0)</f>
        <v>#REF!</v>
      </c>
      <c r="AJ85" s="25" t="e">
        <f>VLOOKUP(A85,#REF!,31,0)</f>
        <v>#REF!</v>
      </c>
      <c r="AK85" s="25" t="e">
        <f>VLOOKUP(A85,#REF!,33,0)</f>
        <v>#REF!</v>
      </c>
      <c r="AL85" s="25" t="e">
        <f>VLOOKUP(A85,#REF!,36,0)</f>
        <v>#REF!</v>
      </c>
      <c r="AM85" s="25" t="e">
        <f>VLOOKUP(A85,#REF!,34,0)</f>
        <v>#REF!</v>
      </c>
      <c r="AN85" s="27"/>
      <c r="AO85" s="27"/>
      <c r="AP85" s="25" t="e">
        <f>VLOOKUP(A85,#REF!,35,0)</f>
        <v>#REF!</v>
      </c>
      <c r="AQ85" s="25" t="e">
        <f>VLOOKUP(A85,#REF!,36,0)</f>
        <v>#REF!</v>
      </c>
      <c r="AR85" s="25" t="e">
        <f>VLOOKUP(A85,#REF!,37,0)</f>
        <v>#REF!</v>
      </c>
      <c r="AS85" s="25" t="e">
        <f>VLOOKUP(A85,#REF!,38,0)</f>
        <v>#REF!</v>
      </c>
      <c r="AT85" s="25" t="e">
        <f>VLOOKUP(A85,#REF!,39,0)</f>
        <v>#REF!</v>
      </c>
      <c r="AU85" s="25"/>
      <c r="AV85" s="26" t="e">
        <f t="shared" si="14"/>
        <v>#REF!</v>
      </c>
      <c r="AW85" s="25" t="e">
        <f t="shared" si="16"/>
        <v>#REF!</v>
      </c>
      <c r="AX85" s="25"/>
      <c r="AY85" s="26" t="e">
        <f t="shared" si="17"/>
        <v>#REF!</v>
      </c>
      <c r="AZ85" s="25">
        <v>0</v>
      </c>
      <c r="BA85" s="25">
        <v>0</v>
      </c>
      <c r="BB85" s="25">
        <v>0</v>
      </c>
      <c r="BC85" s="25">
        <f t="shared" si="21"/>
        <v>0</v>
      </c>
      <c r="BD85" s="25" t="e">
        <f>VLOOKUP(A85,#REF!,43,0)</f>
        <v>#REF!</v>
      </c>
      <c r="BE85" s="25" t="e">
        <f>VLOOKUP(A85,#REF!,44,0)</f>
        <v>#REF!</v>
      </c>
      <c r="BF85" s="25" t="e">
        <f>VLOOKUP(A85,#REF!,45,0)</f>
        <v>#REF!</v>
      </c>
      <c r="BG85" s="25" t="e">
        <f>VLOOKUP(A85,#REF!,42,0)</f>
        <v>#REF!</v>
      </c>
      <c r="BH85" s="25" t="e">
        <f t="shared" si="25"/>
        <v>#REF!</v>
      </c>
      <c r="BI85" s="25" t="e">
        <f t="shared" si="22"/>
        <v>#REF!</v>
      </c>
      <c r="BJ85" s="25" t="e">
        <f t="shared" si="12"/>
        <v>#REF!</v>
      </c>
    </row>
    <row r="86" spans="1:62" hidden="1" x14ac:dyDescent="0.25">
      <c r="A86" s="20" t="s">
        <v>186</v>
      </c>
      <c r="B86" s="19">
        <v>45689</v>
      </c>
      <c r="C86" s="20" t="s">
        <v>5</v>
      </c>
      <c r="D86" s="20" t="s">
        <v>560</v>
      </c>
      <c r="E86" s="20"/>
      <c r="F86" s="20" t="s">
        <v>80</v>
      </c>
      <c r="G86" s="20" t="s">
        <v>83</v>
      </c>
      <c r="H86" s="20" t="s">
        <v>88</v>
      </c>
      <c r="I86" s="21">
        <v>45532</v>
      </c>
      <c r="J86" s="22"/>
      <c r="K86" s="23" t="s">
        <v>419</v>
      </c>
      <c r="L86" s="24" t="s">
        <v>89</v>
      </c>
      <c r="M86" s="24" t="s">
        <v>646</v>
      </c>
      <c r="N86" s="25" t="e">
        <f>VLOOKUP(A86,#REF!,12,0)</f>
        <v>#REF!</v>
      </c>
      <c r="O86" s="25" t="e">
        <f>VLOOKUP(A86,#REF!,15,0)</f>
        <v>#REF!</v>
      </c>
      <c r="P86" s="25" t="e">
        <f>VLOOKUP(A86,#REF!,16,0)</f>
        <v>#REF!</v>
      </c>
      <c r="Q86" s="25" t="e">
        <f>VLOOKUP(A86,#REF!,17,0)</f>
        <v>#REF!</v>
      </c>
      <c r="R86" s="25" t="e">
        <f>VLOOKUP(A86,#REF!,18,0)</f>
        <v>#REF!</v>
      </c>
      <c r="S86" s="25" t="e">
        <f>VLOOKUP(A86,#REF!,19,0)</f>
        <v>#REF!</v>
      </c>
      <c r="T86" s="25" t="e">
        <f>VLOOKUP(A86,#REF!,20,0)</f>
        <v>#REF!</v>
      </c>
      <c r="U86" s="25" t="e">
        <f>VLOOKUP(A86,#REF!,21,0)</f>
        <v>#REF!</v>
      </c>
      <c r="V86" s="25" t="e">
        <f>VLOOKUP(A86,#REF!,22,0)</f>
        <v>#REF!</v>
      </c>
      <c r="W86" s="25" t="e">
        <f>VLOOKUP(A86,#REF!,23,0)</f>
        <v>#REF!</v>
      </c>
      <c r="X86" s="25" t="e">
        <f>VLOOKUP(A86,#REF!,24,0)</f>
        <v>#REF!</v>
      </c>
      <c r="Y86" s="25" t="e">
        <f>VLOOKUP(A86,#REF!,25,0)</f>
        <v>#REF!</v>
      </c>
      <c r="Z86" s="25" t="e">
        <f>VLOOKUP(A86,#REF!,26,0)</f>
        <v>#REF!</v>
      </c>
      <c r="AA86" s="25" t="e">
        <f>VLOOKUP(A86,#REF!,27,0)</f>
        <v>#REF!</v>
      </c>
      <c r="AB86" s="25" t="e">
        <f>VLOOKUP(A86,#REF!,28,0)</f>
        <v>#REF!</v>
      </c>
      <c r="AC86" s="25" t="e">
        <f>VLOOKUP(A86,#REF!,29,0)</f>
        <v>#REF!</v>
      </c>
      <c r="AD86" s="26" t="e">
        <f t="shared" si="15"/>
        <v>#REF!</v>
      </c>
      <c r="AE86" s="25" t="e">
        <f>VLOOKUP(A86,#REF!,31,0)</f>
        <v>#REF!</v>
      </c>
      <c r="AF86" s="25" t="e">
        <f>VLOOKUP(A86,#REF!,32,0)</f>
        <v>#REF!</v>
      </c>
      <c r="AG86" s="25"/>
      <c r="AH86" s="27"/>
      <c r="AI86" s="25" t="e">
        <f>VLOOKUP(A86,#REF!,30,0)</f>
        <v>#REF!</v>
      </c>
      <c r="AJ86" s="25" t="e">
        <f>VLOOKUP(A86,#REF!,31,0)</f>
        <v>#REF!</v>
      </c>
      <c r="AK86" s="25" t="e">
        <f>VLOOKUP(A86,#REF!,33,0)</f>
        <v>#REF!</v>
      </c>
      <c r="AL86" s="25" t="e">
        <f>VLOOKUP(A86,#REF!,36,0)</f>
        <v>#REF!</v>
      </c>
      <c r="AM86" s="25" t="e">
        <f>VLOOKUP(A86,#REF!,34,0)</f>
        <v>#REF!</v>
      </c>
      <c r="AN86" s="27" t="e">
        <f>VLOOKUP(A86,#REF!,35,0)</f>
        <v>#REF!</v>
      </c>
      <c r="AO86" s="27" t="e">
        <f>VLOOKUP(A86,#REF!,32,0)</f>
        <v>#REF!</v>
      </c>
      <c r="AP86" s="25" t="e">
        <f>VLOOKUP(A86,#REF!,35,0)</f>
        <v>#REF!</v>
      </c>
      <c r="AQ86" s="25" t="e">
        <f>VLOOKUP(A86,#REF!,36,0)</f>
        <v>#REF!</v>
      </c>
      <c r="AR86" s="25" t="e">
        <f>VLOOKUP(A86,#REF!,37,0)</f>
        <v>#REF!</v>
      </c>
      <c r="AS86" s="25" t="e">
        <f>VLOOKUP(A86,#REF!,38,0)</f>
        <v>#REF!</v>
      </c>
      <c r="AT86" s="25" t="e">
        <f>VLOOKUP(A86,#REF!,39,0)</f>
        <v>#REF!</v>
      </c>
      <c r="AU86" s="25"/>
      <c r="AV86" s="26" t="e">
        <f t="shared" si="14"/>
        <v>#REF!</v>
      </c>
      <c r="AW86" s="25" t="e">
        <f t="shared" si="16"/>
        <v>#REF!</v>
      </c>
      <c r="AX86" s="25"/>
      <c r="AY86" s="26" t="e">
        <f t="shared" si="17"/>
        <v>#REF!</v>
      </c>
      <c r="AZ86" s="25" t="e">
        <f t="shared" ref="AZ86" si="28">AD86/12</f>
        <v>#REF!</v>
      </c>
      <c r="BA86" s="25" t="e">
        <f t="shared" si="24"/>
        <v>#REF!</v>
      </c>
      <c r="BB86" s="25" t="e">
        <f t="shared" ref="BB86" si="29">BA86/3</f>
        <v>#REF!</v>
      </c>
      <c r="BC86" s="25" t="e">
        <f t="shared" si="21"/>
        <v>#REF!</v>
      </c>
      <c r="BD86" s="25" t="e">
        <f>VLOOKUP(A86,#REF!,43,0)</f>
        <v>#REF!</v>
      </c>
      <c r="BE86" s="25" t="e">
        <f>VLOOKUP(A86,#REF!,44,0)</f>
        <v>#REF!</v>
      </c>
      <c r="BF86" s="25" t="e">
        <f>VLOOKUP(A86,#REF!,45,0)</f>
        <v>#REF!</v>
      </c>
      <c r="BG86" s="25" t="e">
        <f>VLOOKUP(A86,#REF!,42,0)</f>
        <v>#REF!</v>
      </c>
      <c r="BH86" s="25" t="e">
        <f t="shared" si="25"/>
        <v>#REF!</v>
      </c>
      <c r="BI86" s="25" t="e">
        <f t="shared" si="22"/>
        <v>#REF!</v>
      </c>
      <c r="BJ86" s="25" t="e">
        <f t="shared" si="12"/>
        <v>#REF!</v>
      </c>
    </row>
    <row r="87" spans="1:62" hidden="1" x14ac:dyDescent="0.25">
      <c r="A87" s="20" t="s">
        <v>341</v>
      </c>
      <c r="B87" s="19">
        <v>45689</v>
      </c>
      <c r="C87" s="20" t="s">
        <v>6</v>
      </c>
      <c r="D87" s="20" t="s">
        <v>588</v>
      </c>
      <c r="E87" s="20" t="s">
        <v>312</v>
      </c>
      <c r="F87" s="20" t="s">
        <v>312</v>
      </c>
      <c r="G87" s="20" t="s">
        <v>313</v>
      </c>
      <c r="H87" s="20" t="s">
        <v>218</v>
      </c>
      <c r="I87" s="21">
        <v>45539</v>
      </c>
      <c r="J87" s="22"/>
      <c r="K87" s="23" t="s">
        <v>419</v>
      </c>
      <c r="L87" s="24" t="s">
        <v>647</v>
      </c>
      <c r="M87" s="24" t="s">
        <v>648</v>
      </c>
      <c r="N87" s="25" t="e">
        <f>VLOOKUP(A87,#REF!,12,0)</f>
        <v>#REF!</v>
      </c>
      <c r="O87" s="25">
        <v>1000</v>
      </c>
      <c r="P87" s="25" t="e">
        <f>VLOOKUP(A87,#REF!,16,0)</f>
        <v>#REF!</v>
      </c>
      <c r="Q87" s="25" t="e">
        <f>VLOOKUP(A87,#REF!,17,0)</f>
        <v>#REF!</v>
      </c>
      <c r="R87" s="25" t="e">
        <f>VLOOKUP(A87,#REF!,18,0)</f>
        <v>#REF!</v>
      </c>
      <c r="S87" s="25" t="e">
        <f>VLOOKUP(A87,#REF!,19,0)</f>
        <v>#REF!</v>
      </c>
      <c r="T87" s="25" t="e">
        <f>VLOOKUP(A87,#REF!,20,0)</f>
        <v>#REF!</v>
      </c>
      <c r="U87" s="25" t="e">
        <f>VLOOKUP(A87,#REF!,21,0)</f>
        <v>#REF!</v>
      </c>
      <c r="V87" s="25" t="e">
        <f>VLOOKUP(A87,#REF!,22,0)</f>
        <v>#REF!</v>
      </c>
      <c r="W87" s="25" t="e">
        <f>VLOOKUP(A87,#REF!,23,0)</f>
        <v>#REF!</v>
      </c>
      <c r="X87" s="25" t="e">
        <f>VLOOKUP(A87,#REF!,24,0)</f>
        <v>#REF!</v>
      </c>
      <c r="Y87" s="25" t="e">
        <f>VLOOKUP(A87,#REF!,25,0)</f>
        <v>#REF!</v>
      </c>
      <c r="Z87" s="25" t="e">
        <f>VLOOKUP(A87,#REF!,26,0)</f>
        <v>#REF!</v>
      </c>
      <c r="AA87" s="25" t="e">
        <f>VLOOKUP(A87,#REF!,27,0)</f>
        <v>#REF!</v>
      </c>
      <c r="AB87" s="25" t="e">
        <f>VLOOKUP(A87,#REF!,28,0)</f>
        <v>#REF!</v>
      </c>
      <c r="AC87" s="25" t="e">
        <f>VLOOKUP(A87,#REF!,29,0)</f>
        <v>#REF!</v>
      </c>
      <c r="AD87" s="26" t="e">
        <f t="shared" si="15"/>
        <v>#REF!</v>
      </c>
      <c r="AE87" s="25">
        <v>200</v>
      </c>
      <c r="AF87" s="25" t="e">
        <f>VLOOKUP(A87,#REF!,32,0)</f>
        <v>#REF!</v>
      </c>
      <c r="AG87" s="25"/>
      <c r="AH87" s="27"/>
      <c r="AI87" s="25" t="e">
        <f>VLOOKUP(A87,#REF!,30,0)</f>
        <v>#REF!</v>
      </c>
      <c r="AJ87" s="25" t="e">
        <f>VLOOKUP(A87,#REF!,31,0)</f>
        <v>#REF!</v>
      </c>
      <c r="AK87" s="25" t="e">
        <f>VLOOKUP(A87,#REF!,33,0)</f>
        <v>#REF!</v>
      </c>
      <c r="AL87" s="25" t="e">
        <f>VLOOKUP(A87,#REF!,36,0)</f>
        <v>#REF!</v>
      </c>
      <c r="AM87" s="25" t="e">
        <f>VLOOKUP(A87,#REF!,34,0)</f>
        <v>#REF!</v>
      </c>
      <c r="AN87" s="27"/>
      <c r="AO87" s="27"/>
      <c r="AP87" s="25" t="e">
        <f>VLOOKUP(A87,#REF!,35,0)</f>
        <v>#REF!</v>
      </c>
      <c r="AQ87" s="25" t="e">
        <f>VLOOKUP(A87,#REF!,36,0)</f>
        <v>#REF!</v>
      </c>
      <c r="AR87" s="25" t="e">
        <f>VLOOKUP(A87,#REF!,37,0)</f>
        <v>#REF!</v>
      </c>
      <c r="AS87" s="25" t="e">
        <f>VLOOKUP(A87,#REF!,38,0)</f>
        <v>#REF!</v>
      </c>
      <c r="AT87" s="25" t="e">
        <f>VLOOKUP(A87,#REF!,39,0)</f>
        <v>#REF!</v>
      </c>
      <c r="AU87" s="25"/>
      <c r="AV87" s="26" t="e">
        <f t="shared" si="14"/>
        <v>#REF!</v>
      </c>
      <c r="AW87" s="25" t="e">
        <f t="shared" si="16"/>
        <v>#REF!</v>
      </c>
      <c r="AX87" s="25"/>
      <c r="AY87" s="26" t="e">
        <f t="shared" si="17"/>
        <v>#REF!</v>
      </c>
      <c r="AZ87" s="25">
        <v>0</v>
      </c>
      <c r="BA87" s="25">
        <v>0</v>
      </c>
      <c r="BB87" s="25">
        <v>0</v>
      </c>
      <c r="BC87" s="25">
        <f t="shared" si="21"/>
        <v>0</v>
      </c>
      <c r="BD87" s="25" t="e">
        <f>VLOOKUP(A87,#REF!,43,0)</f>
        <v>#REF!</v>
      </c>
      <c r="BE87" s="25" t="e">
        <f>VLOOKUP(A87,#REF!,44,0)</f>
        <v>#REF!</v>
      </c>
      <c r="BF87" s="25" t="e">
        <f>VLOOKUP(A87,#REF!,45,0)</f>
        <v>#REF!</v>
      </c>
      <c r="BG87" s="25" t="e">
        <f>VLOOKUP(A87,#REF!,42,0)</f>
        <v>#REF!</v>
      </c>
      <c r="BH87" s="25" t="e">
        <f t="shared" si="25"/>
        <v>#REF!</v>
      </c>
      <c r="BI87" s="25" t="e">
        <f t="shared" si="22"/>
        <v>#REF!</v>
      </c>
      <c r="BJ87" s="25" t="e">
        <f t="shared" si="12"/>
        <v>#REF!</v>
      </c>
    </row>
    <row r="88" spans="1:62" hidden="1" x14ac:dyDescent="0.25">
      <c r="A88" s="20" t="s">
        <v>206</v>
      </c>
      <c r="B88" s="19">
        <v>45689</v>
      </c>
      <c r="C88" s="20" t="s">
        <v>5</v>
      </c>
      <c r="D88" s="20" t="s">
        <v>582</v>
      </c>
      <c r="E88" s="20"/>
      <c r="F88" s="20" t="s">
        <v>292</v>
      </c>
      <c r="G88" s="20" t="s">
        <v>203</v>
      </c>
      <c r="H88" s="20" t="s">
        <v>207</v>
      </c>
      <c r="I88" s="21">
        <v>45552</v>
      </c>
      <c r="J88" s="22"/>
      <c r="K88" s="23" t="s">
        <v>422</v>
      </c>
      <c r="L88" s="24" t="s">
        <v>208</v>
      </c>
      <c r="M88" s="24" t="s">
        <v>351</v>
      </c>
      <c r="N88" s="25" t="e">
        <f>VLOOKUP(A88,#REF!,12,0)</f>
        <v>#REF!</v>
      </c>
      <c r="O88" s="25" t="e">
        <f>VLOOKUP(A88,#REF!,15,0)</f>
        <v>#REF!</v>
      </c>
      <c r="P88" s="25" t="e">
        <f>VLOOKUP(A88,#REF!,16,0)</f>
        <v>#REF!</v>
      </c>
      <c r="Q88" s="25" t="e">
        <f>VLOOKUP(A88,#REF!,17,0)</f>
        <v>#REF!</v>
      </c>
      <c r="R88" s="25" t="e">
        <f>VLOOKUP(A88,#REF!,18,0)</f>
        <v>#REF!</v>
      </c>
      <c r="S88" s="25" t="e">
        <f>VLOOKUP(A88,#REF!,19,0)</f>
        <v>#REF!</v>
      </c>
      <c r="T88" s="25" t="e">
        <f>VLOOKUP(A88,#REF!,20,0)</f>
        <v>#REF!</v>
      </c>
      <c r="U88" s="25" t="e">
        <f>VLOOKUP(A88,#REF!,21,0)</f>
        <v>#REF!</v>
      </c>
      <c r="V88" s="25" t="e">
        <f>VLOOKUP(A88,#REF!,22,0)</f>
        <v>#REF!</v>
      </c>
      <c r="W88" s="25" t="e">
        <f>VLOOKUP(A88,#REF!,23,0)</f>
        <v>#REF!</v>
      </c>
      <c r="X88" s="25" t="e">
        <f>VLOOKUP(A88,#REF!,24,0)</f>
        <v>#REF!</v>
      </c>
      <c r="Y88" s="25" t="e">
        <f>VLOOKUP(A88,#REF!,25,0)</f>
        <v>#REF!</v>
      </c>
      <c r="Z88" s="25" t="e">
        <f>VLOOKUP(A88,#REF!,26,0)</f>
        <v>#REF!</v>
      </c>
      <c r="AA88" s="25" t="e">
        <f>VLOOKUP(A88,#REF!,27,0)</f>
        <v>#REF!</v>
      </c>
      <c r="AB88" s="25" t="e">
        <f>VLOOKUP(A88,#REF!,28,0)</f>
        <v>#REF!</v>
      </c>
      <c r="AC88" s="25" t="e">
        <f>VLOOKUP(A88,#REF!,29,0)</f>
        <v>#REF!</v>
      </c>
      <c r="AD88" s="26" t="e">
        <f t="shared" si="15"/>
        <v>#REF!</v>
      </c>
      <c r="AE88" s="25" t="e">
        <f>VLOOKUP(A88,#REF!,31,0)</f>
        <v>#REF!</v>
      </c>
      <c r="AF88" s="25" t="e">
        <f>VLOOKUP(A88,#REF!,32,0)</f>
        <v>#REF!</v>
      </c>
      <c r="AG88" s="25"/>
      <c r="AH88" s="27"/>
      <c r="AI88" s="25" t="e">
        <f>VLOOKUP(A88,#REF!,30,0)</f>
        <v>#REF!</v>
      </c>
      <c r="AJ88" s="25" t="e">
        <f>VLOOKUP(A88,#REF!,31,0)</f>
        <v>#REF!</v>
      </c>
      <c r="AK88" s="25" t="e">
        <f>VLOOKUP(A88,#REF!,33,0)</f>
        <v>#REF!</v>
      </c>
      <c r="AL88" s="25" t="e">
        <f>VLOOKUP(A88,#REF!,36,0)</f>
        <v>#REF!</v>
      </c>
      <c r="AM88" s="25" t="e">
        <f>VLOOKUP(A88,#REF!,34,0)</f>
        <v>#REF!</v>
      </c>
      <c r="AN88" s="27" t="e">
        <f>VLOOKUP(A88,#REF!,35,0)</f>
        <v>#REF!</v>
      </c>
      <c r="AO88" s="27" t="e">
        <f>VLOOKUP(A88,#REF!,32,0)</f>
        <v>#REF!</v>
      </c>
      <c r="AP88" s="25" t="e">
        <f>VLOOKUP(A88,#REF!,35,0)</f>
        <v>#REF!</v>
      </c>
      <c r="AQ88" s="25" t="e">
        <f>VLOOKUP(A88,#REF!,36,0)</f>
        <v>#REF!</v>
      </c>
      <c r="AR88" s="25" t="e">
        <f>VLOOKUP(A88,#REF!,37,0)</f>
        <v>#REF!</v>
      </c>
      <c r="AS88" s="25" t="e">
        <f>VLOOKUP(A88,#REF!,38,0)</f>
        <v>#REF!</v>
      </c>
      <c r="AT88" s="25" t="e">
        <f>VLOOKUP(A88,#REF!,39,0)</f>
        <v>#REF!</v>
      </c>
      <c r="AU88" s="25"/>
      <c r="AV88" s="26" t="e">
        <f t="shared" si="14"/>
        <v>#REF!</v>
      </c>
      <c r="AW88" s="25" t="e">
        <f t="shared" si="16"/>
        <v>#REF!</v>
      </c>
      <c r="AX88" s="25"/>
      <c r="AY88" s="26" t="e">
        <f t="shared" si="17"/>
        <v>#REF!</v>
      </c>
      <c r="AZ88" s="25" t="e">
        <f t="shared" ref="AZ88:AZ101" si="30">AD88/12</f>
        <v>#REF!</v>
      </c>
      <c r="BA88" s="25" t="e">
        <f t="shared" si="24"/>
        <v>#REF!</v>
      </c>
      <c r="BB88" s="25" t="e">
        <f t="shared" ref="BB88:BB101" si="31">BA88/3</f>
        <v>#REF!</v>
      </c>
      <c r="BC88" s="25" t="e">
        <f t="shared" si="21"/>
        <v>#REF!</v>
      </c>
      <c r="BD88" s="25" t="e">
        <f>VLOOKUP(A88,#REF!,43,0)</f>
        <v>#REF!</v>
      </c>
      <c r="BE88" s="25" t="e">
        <f>VLOOKUP(A88,#REF!,44,0)</f>
        <v>#REF!</v>
      </c>
      <c r="BF88" s="25" t="e">
        <f>VLOOKUP(A88,#REF!,45,0)</f>
        <v>#REF!</v>
      </c>
      <c r="BG88" s="25" t="e">
        <f>VLOOKUP(A88,#REF!,42,0)</f>
        <v>#REF!</v>
      </c>
      <c r="BH88" s="25" t="e">
        <f t="shared" si="25"/>
        <v>#REF!</v>
      </c>
      <c r="BI88" s="25" t="e">
        <f t="shared" si="22"/>
        <v>#REF!</v>
      </c>
      <c r="BJ88" s="25" t="e">
        <f t="shared" si="12"/>
        <v>#REF!</v>
      </c>
    </row>
    <row r="89" spans="1:62" hidden="1" x14ac:dyDescent="0.25">
      <c r="A89" s="20" t="s">
        <v>528</v>
      </c>
      <c r="B89" s="19">
        <v>45689</v>
      </c>
      <c r="C89" s="20" t="s">
        <v>5</v>
      </c>
      <c r="D89" s="20" t="s">
        <v>582</v>
      </c>
      <c r="E89" s="20"/>
      <c r="F89" s="20" t="s">
        <v>292</v>
      </c>
      <c r="G89" s="20" t="s">
        <v>203</v>
      </c>
      <c r="H89" s="20" t="s">
        <v>195</v>
      </c>
      <c r="I89" s="21">
        <v>45561</v>
      </c>
      <c r="J89" s="22"/>
      <c r="K89" s="23" t="s">
        <v>422</v>
      </c>
      <c r="L89" s="24" t="s">
        <v>655</v>
      </c>
      <c r="M89" s="24" t="s">
        <v>212</v>
      </c>
      <c r="N89" s="25" t="e">
        <f>VLOOKUP(A89,#REF!,12,0)</f>
        <v>#REF!</v>
      </c>
      <c r="O89" s="25" t="e">
        <f>VLOOKUP(A89,#REF!,15,0)</f>
        <v>#REF!</v>
      </c>
      <c r="P89" s="25" t="e">
        <f>VLOOKUP(A89,#REF!,16,0)</f>
        <v>#REF!</v>
      </c>
      <c r="Q89" s="25" t="e">
        <f>VLOOKUP(A89,#REF!,17,0)</f>
        <v>#REF!</v>
      </c>
      <c r="R89" s="25" t="e">
        <f>VLOOKUP(A89,#REF!,18,0)</f>
        <v>#REF!</v>
      </c>
      <c r="S89" s="25" t="e">
        <f>VLOOKUP(A89,#REF!,19,0)</f>
        <v>#REF!</v>
      </c>
      <c r="T89" s="25" t="e">
        <f>VLOOKUP(A89,#REF!,20,0)</f>
        <v>#REF!</v>
      </c>
      <c r="U89" s="25" t="e">
        <f>VLOOKUP(A89,#REF!,21,0)</f>
        <v>#REF!</v>
      </c>
      <c r="V89" s="25" t="e">
        <f>VLOOKUP(A89,#REF!,22,0)</f>
        <v>#REF!</v>
      </c>
      <c r="W89" s="25" t="e">
        <f>VLOOKUP(A89,#REF!,23,0)</f>
        <v>#REF!</v>
      </c>
      <c r="X89" s="25" t="e">
        <f>VLOOKUP(A89,#REF!,24,0)</f>
        <v>#REF!</v>
      </c>
      <c r="Y89" s="25" t="e">
        <f>VLOOKUP(A89,#REF!,25,0)</f>
        <v>#REF!</v>
      </c>
      <c r="Z89" s="25" t="e">
        <f>VLOOKUP(A89,#REF!,26,0)</f>
        <v>#REF!</v>
      </c>
      <c r="AA89" s="25" t="e">
        <f>VLOOKUP(A89,#REF!,27,0)</f>
        <v>#REF!</v>
      </c>
      <c r="AB89" s="25" t="e">
        <f>VLOOKUP(A89,#REF!,28,0)</f>
        <v>#REF!</v>
      </c>
      <c r="AC89" s="25" t="e">
        <f>VLOOKUP(A89,#REF!,29,0)</f>
        <v>#REF!</v>
      </c>
      <c r="AD89" s="26" t="e">
        <f t="shared" si="15"/>
        <v>#REF!</v>
      </c>
      <c r="AE89" s="25" t="e">
        <f>VLOOKUP(A89,#REF!,31,0)</f>
        <v>#REF!</v>
      </c>
      <c r="AF89" s="25" t="e">
        <f>VLOOKUP(A89,#REF!,32,0)</f>
        <v>#REF!</v>
      </c>
      <c r="AG89" s="25"/>
      <c r="AH89" s="27"/>
      <c r="AI89" s="25" t="e">
        <f>VLOOKUP(A89,#REF!,30,0)</f>
        <v>#REF!</v>
      </c>
      <c r="AJ89" s="25" t="e">
        <f>VLOOKUP(A89,#REF!,31,0)</f>
        <v>#REF!</v>
      </c>
      <c r="AK89" s="25" t="e">
        <f>VLOOKUP(A89,#REF!,33,0)</f>
        <v>#REF!</v>
      </c>
      <c r="AL89" s="25" t="e">
        <f>VLOOKUP(A89,#REF!,36,0)</f>
        <v>#REF!</v>
      </c>
      <c r="AM89" s="25" t="e">
        <f>VLOOKUP(A89,#REF!,34,0)</f>
        <v>#REF!</v>
      </c>
      <c r="AN89" s="27" t="e">
        <f>VLOOKUP(A89,#REF!,35,0)</f>
        <v>#REF!</v>
      </c>
      <c r="AO89" s="27" t="e">
        <f>VLOOKUP(A89,#REF!,32,0)</f>
        <v>#REF!</v>
      </c>
      <c r="AP89" s="25" t="e">
        <f>VLOOKUP(A89,#REF!,35,0)</f>
        <v>#REF!</v>
      </c>
      <c r="AQ89" s="25" t="e">
        <f>VLOOKUP(A89,#REF!,36,0)</f>
        <v>#REF!</v>
      </c>
      <c r="AR89" s="25" t="e">
        <f>VLOOKUP(A89,#REF!,37,0)</f>
        <v>#REF!</v>
      </c>
      <c r="AS89" s="25" t="e">
        <f>VLOOKUP(A89,#REF!,38,0)</f>
        <v>#REF!</v>
      </c>
      <c r="AT89" s="25" t="e">
        <f>VLOOKUP(A89,#REF!,39,0)</f>
        <v>#REF!</v>
      </c>
      <c r="AU89" s="25"/>
      <c r="AV89" s="26" t="e">
        <f t="shared" si="14"/>
        <v>#REF!</v>
      </c>
      <c r="AW89" s="25" t="e">
        <f t="shared" si="16"/>
        <v>#REF!</v>
      </c>
      <c r="AX89" s="25"/>
      <c r="AY89" s="26" t="e">
        <f t="shared" si="17"/>
        <v>#REF!</v>
      </c>
      <c r="AZ89" s="25" t="e">
        <f t="shared" si="30"/>
        <v>#REF!</v>
      </c>
      <c r="BA89" s="25" t="e">
        <f t="shared" si="24"/>
        <v>#REF!</v>
      </c>
      <c r="BB89" s="25" t="e">
        <f t="shared" si="31"/>
        <v>#REF!</v>
      </c>
      <c r="BC89" s="25" t="e">
        <f t="shared" si="21"/>
        <v>#REF!</v>
      </c>
      <c r="BD89" s="25" t="e">
        <f>VLOOKUP(A89,#REF!,43,0)</f>
        <v>#REF!</v>
      </c>
      <c r="BE89" s="25" t="e">
        <f>VLOOKUP(A89,#REF!,44,0)</f>
        <v>#REF!</v>
      </c>
      <c r="BF89" s="25" t="e">
        <f>VLOOKUP(A89,#REF!,45,0)</f>
        <v>#REF!</v>
      </c>
      <c r="BG89" s="25" t="e">
        <f>VLOOKUP(A89,#REF!,42,0)</f>
        <v>#REF!</v>
      </c>
      <c r="BH89" s="25" t="e">
        <f t="shared" si="25"/>
        <v>#REF!</v>
      </c>
      <c r="BI89" s="25" t="e">
        <f t="shared" si="22"/>
        <v>#REF!</v>
      </c>
      <c r="BJ89" s="25" t="e">
        <f t="shared" si="12"/>
        <v>#REF!</v>
      </c>
    </row>
    <row r="90" spans="1:62" hidden="1" x14ac:dyDescent="0.25">
      <c r="A90" s="20" t="s">
        <v>210</v>
      </c>
      <c r="B90" s="19">
        <v>45689</v>
      </c>
      <c r="C90" s="20" t="s">
        <v>5</v>
      </c>
      <c r="D90" s="20" t="s">
        <v>582</v>
      </c>
      <c r="E90" s="20"/>
      <c r="F90" s="20" t="s">
        <v>292</v>
      </c>
      <c r="G90" s="20" t="s">
        <v>203</v>
      </c>
      <c r="H90" s="20" t="s">
        <v>195</v>
      </c>
      <c r="I90" s="21">
        <v>45628</v>
      </c>
      <c r="J90" s="22"/>
      <c r="K90" s="23" t="s">
        <v>422</v>
      </c>
      <c r="L90" s="24" t="s">
        <v>655</v>
      </c>
      <c r="M90" s="24" t="s">
        <v>212</v>
      </c>
      <c r="N90" s="25" t="e">
        <f>VLOOKUP(A90,#REF!,12,0)</f>
        <v>#REF!</v>
      </c>
      <c r="O90" s="25" t="e">
        <f>VLOOKUP(A90,#REF!,15,0)</f>
        <v>#REF!</v>
      </c>
      <c r="P90" s="25" t="e">
        <f>VLOOKUP(A90,#REF!,16,0)</f>
        <v>#REF!</v>
      </c>
      <c r="Q90" s="25" t="e">
        <f>VLOOKUP(A90,#REF!,17,0)</f>
        <v>#REF!</v>
      </c>
      <c r="R90" s="25" t="e">
        <f>VLOOKUP(A90,#REF!,18,0)</f>
        <v>#REF!</v>
      </c>
      <c r="S90" s="25" t="e">
        <f>VLOOKUP(A90,#REF!,19,0)</f>
        <v>#REF!</v>
      </c>
      <c r="T90" s="25" t="e">
        <f>VLOOKUP(A90,#REF!,20,0)</f>
        <v>#REF!</v>
      </c>
      <c r="U90" s="25" t="e">
        <f>VLOOKUP(A90,#REF!,21,0)</f>
        <v>#REF!</v>
      </c>
      <c r="V90" s="25" t="e">
        <f>VLOOKUP(A90,#REF!,22,0)</f>
        <v>#REF!</v>
      </c>
      <c r="W90" s="25" t="e">
        <f>VLOOKUP(A90,#REF!,23,0)</f>
        <v>#REF!</v>
      </c>
      <c r="X90" s="25" t="e">
        <f>VLOOKUP(A90,#REF!,24,0)</f>
        <v>#REF!</v>
      </c>
      <c r="Y90" s="25" t="e">
        <f>VLOOKUP(A90,#REF!,25,0)</f>
        <v>#REF!</v>
      </c>
      <c r="Z90" s="25" t="e">
        <f>VLOOKUP(A90,#REF!,26,0)</f>
        <v>#REF!</v>
      </c>
      <c r="AA90" s="25" t="e">
        <f>VLOOKUP(A90,#REF!,27,0)</f>
        <v>#REF!</v>
      </c>
      <c r="AB90" s="25" t="e">
        <f>VLOOKUP(A90,#REF!,28,0)</f>
        <v>#REF!</v>
      </c>
      <c r="AC90" s="25" t="e">
        <f>VLOOKUP(A90,#REF!,29,0)</f>
        <v>#REF!</v>
      </c>
      <c r="AD90" s="26" t="e">
        <f t="shared" si="15"/>
        <v>#REF!</v>
      </c>
      <c r="AE90" s="25" t="e">
        <f>VLOOKUP(A90,#REF!,31,0)</f>
        <v>#REF!</v>
      </c>
      <c r="AF90" s="25" t="e">
        <f>VLOOKUP(A90,#REF!,32,0)</f>
        <v>#REF!</v>
      </c>
      <c r="AG90" s="25"/>
      <c r="AH90" s="27"/>
      <c r="AI90" s="25" t="e">
        <f>VLOOKUP(A90,#REF!,30,0)</f>
        <v>#REF!</v>
      </c>
      <c r="AJ90" s="25" t="e">
        <f>VLOOKUP(A90,#REF!,31,0)</f>
        <v>#REF!</v>
      </c>
      <c r="AK90" s="25" t="e">
        <f>VLOOKUP(A90,#REF!,33,0)</f>
        <v>#REF!</v>
      </c>
      <c r="AL90" s="25" t="e">
        <f>VLOOKUP(A90,#REF!,36,0)</f>
        <v>#REF!</v>
      </c>
      <c r="AM90" s="25" t="e">
        <f>VLOOKUP(A90,#REF!,34,0)</f>
        <v>#REF!</v>
      </c>
      <c r="AN90" s="27" t="e">
        <f>VLOOKUP(A90,#REF!,35,0)</f>
        <v>#REF!</v>
      </c>
      <c r="AO90" s="27" t="e">
        <f>VLOOKUP(A90,#REF!,32,0)</f>
        <v>#REF!</v>
      </c>
      <c r="AP90" s="25" t="e">
        <f>VLOOKUP(A90,#REF!,35,0)</f>
        <v>#REF!</v>
      </c>
      <c r="AQ90" s="25" t="e">
        <f>VLOOKUP(A90,#REF!,36,0)</f>
        <v>#REF!</v>
      </c>
      <c r="AR90" s="25" t="e">
        <f>VLOOKUP(A90,#REF!,37,0)</f>
        <v>#REF!</v>
      </c>
      <c r="AS90" s="25" t="e">
        <f>VLOOKUP(A90,#REF!,38,0)</f>
        <v>#REF!</v>
      </c>
      <c r="AT90" s="25" t="e">
        <f>VLOOKUP(A90,#REF!,39,0)</f>
        <v>#REF!</v>
      </c>
      <c r="AU90" s="25"/>
      <c r="AV90" s="26" t="e">
        <f t="shared" si="14"/>
        <v>#REF!</v>
      </c>
      <c r="AW90" s="25" t="e">
        <f t="shared" si="16"/>
        <v>#REF!</v>
      </c>
      <c r="AX90" s="25"/>
      <c r="AY90" s="26" t="e">
        <f t="shared" si="17"/>
        <v>#REF!</v>
      </c>
      <c r="AZ90" s="25" t="e">
        <f t="shared" si="30"/>
        <v>#REF!</v>
      </c>
      <c r="BA90" s="25" t="e">
        <f t="shared" si="24"/>
        <v>#REF!</v>
      </c>
      <c r="BB90" s="25" t="e">
        <f t="shared" si="31"/>
        <v>#REF!</v>
      </c>
      <c r="BC90" s="25" t="e">
        <f t="shared" si="21"/>
        <v>#REF!</v>
      </c>
      <c r="BD90" s="25" t="e">
        <f>VLOOKUP(A90,#REF!,43,0)</f>
        <v>#REF!</v>
      </c>
      <c r="BE90" s="25" t="e">
        <f>VLOOKUP(A90,#REF!,44,0)</f>
        <v>#REF!</v>
      </c>
      <c r="BF90" s="25" t="e">
        <f>VLOOKUP(A90,#REF!,45,0)</f>
        <v>#REF!</v>
      </c>
      <c r="BG90" s="25" t="e">
        <f>VLOOKUP(A90,#REF!,42,0)</f>
        <v>#REF!</v>
      </c>
      <c r="BH90" s="25" t="e">
        <f t="shared" si="25"/>
        <v>#REF!</v>
      </c>
      <c r="BI90" s="25" t="e">
        <f t="shared" si="22"/>
        <v>#REF!</v>
      </c>
      <c r="BJ90" s="25" t="e">
        <f t="shared" si="12"/>
        <v>#REF!</v>
      </c>
    </row>
    <row r="91" spans="1:62" hidden="1" x14ac:dyDescent="0.25">
      <c r="A91" s="20" t="s">
        <v>227</v>
      </c>
      <c r="B91" s="19">
        <v>45689</v>
      </c>
      <c r="C91" s="20" t="s">
        <v>5</v>
      </c>
      <c r="D91" s="20" t="s">
        <v>582</v>
      </c>
      <c r="E91" s="20"/>
      <c r="F91" s="20" t="s">
        <v>292</v>
      </c>
      <c r="G91" s="20" t="s">
        <v>203</v>
      </c>
      <c r="H91" s="20" t="s">
        <v>218</v>
      </c>
      <c r="I91" s="21">
        <v>45562</v>
      </c>
      <c r="J91" s="22"/>
      <c r="K91" s="23" t="s">
        <v>422</v>
      </c>
      <c r="L91" s="24" t="s">
        <v>219</v>
      </c>
      <c r="M91" s="24" t="s">
        <v>656</v>
      </c>
      <c r="N91" s="25" t="e">
        <f>VLOOKUP(A91,#REF!,12,0)</f>
        <v>#REF!</v>
      </c>
      <c r="O91" s="25" t="e">
        <f>VLOOKUP(A91,#REF!,15,0)</f>
        <v>#REF!</v>
      </c>
      <c r="P91" s="25" t="e">
        <f>VLOOKUP(A91,#REF!,16,0)</f>
        <v>#REF!</v>
      </c>
      <c r="Q91" s="25" t="e">
        <f>VLOOKUP(A91,#REF!,17,0)</f>
        <v>#REF!</v>
      </c>
      <c r="R91" s="25" t="e">
        <f>VLOOKUP(A91,#REF!,18,0)</f>
        <v>#REF!</v>
      </c>
      <c r="S91" s="25" t="e">
        <f>VLOOKUP(A91,#REF!,19,0)</f>
        <v>#REF!</v>
      </c>
      <c r="T91" s="25" t="e">
        <f>VLOOKUP(A91,#REF!,20,0)</f>
        <v>#REF!</v>
      </c>
      <c r="U91" s="25" t="e">
        <f>VLOOKUP(A91,#REF!,21,0)</f>
        <v>#REF!</v>
      </c>
      <c r="V91" s="25" t="e">
        <f>VLOOKUP(A91,#REF!,22,0)</f>
        <v>#REF!</v>
      </c>
      <c r="W91" s="25" t="e">
        <f>VLOOKUP(A91,#REF!,23,0)</f>
        <v>#REF!</v>
      </c>
      <c r="X91" s="25" t="e">
        <f>VLOOKUP(A91,#REF!,24,0)</f>
        <v>#REF!</v>
      </c>
      <c r="Y91" s="25" t="e">
        <f>VLOOKUP(A91,#REF!,25,0)</f>
        <v>#REF!</v>
      </c>
      <c r="Z91" s="25" t="e">
        <f>VLOOKUP(A91,#REF!,26,0)</f>
        <v>#REF!</v>
      </c>
      <c r="AA91" s="25" t="e">
        <f>VLOOKUP(A91,#REF!,27,0)</f>
        <v>#REF!</v>
      </c>
      <c r="AB91" s="25" t="e">
        <f>VLOOKUP(A91,#REF!,28,0)</f>
        <v>#REF!</v>
      </c>
      <c r="AC91" s="25" t="e">
        <f>VLOOKUP(A91,#REF!,29,0)</f>
        <v>#REF!</v>
      </c>
      <c r="AD91" s="26" t="e">
        <f t="shared" si="15"/>
        <v>#REF!</v>
      </c>
      <c r="AE91" s="25" t="e">
        <f>VLOOKUP(A91,#REF!,31,0)</f>
        <v>#REF!</v>
      </c>
      <c r="AF91" s="25" t="e">
        <f>VLOOKUP(A91,#REF!,32,0)</f>
        <v>#REF!</v>
      </c>
      <c r="AG91" s="25"/>
      <c r="AH91" s="27"/>
      <c r="AI91" s="25" t="e">
        <f>VLOOKUP(A91,#REF!,30,0)</f>
        <v>#REF!</v>
      </c>
      <c r="AJ91" s="25" t="e">
        <f>VLOOKUP(A91,#REF!,31,0)</f>
        <v>#REF!</v>
      </c>
      <c r="AK91" s="25" t="e">
        <f>VLOOKUP(A91,#REF!,33,0)</f>
        <v>#REF!</v>
      </c>
      <c r="AL91" s="25" t="e">
        <f>VLOOKUP(A91,#REF!,36,0)</f>
        <v>#REF!</v>
      </c>
      <c r="AM91" s="25" t="e">
        <f>VLOOKUP(A91,#REF!,34,0)</f>
        <v>#REF!</v>
      </c>
      <c r="AN91" s="27" t="e">
        <f>VLOOKUP(A91,#REF!,35,0)</f>
        <v>#REF!</v>
      </c>
      <c r="AO91" s="27" t="e">
        <f>VLOOKUP(A91,#REF!,32,0)</f>
        <v>#REF!</v>
      </c>
      <c r="AP91" s="25" t="e">
        <f>VLOOKUP(A91,#REF!,35,0)</f>
        <v>#REF!</v>
      </c>
      <c r="AQ91" s="25" t="e">
        <f>VLOOKUP(A91,#REF!,36,0)</f>
        <v>#REF!</v>
      </c>
      <c r="AR91" s="25" t="e">
        <f>VLOOKUP(A91,#REF!,37,0)</f>
        <v>#REF!</v>
      </c>
      <c r="AS91" s="25" t="e">
        <f>VLOOKUP(A91,#REF!,38,0)</f>
        <v>#REF!</v>
      </c>
      <c r="AT91" s="25" t="e">
        <f>VLOOKUP(A91,#REF!,39,0)</f>
        <v>#REF!</v>
      </c>
      <c r="AU91" s="25"/>
      <c r="AV91" s="26" t="e">
        <f t="shared" si="14"/>
        <v>#REF!</v>
      </c>
      <c r="AW91" s="25" t="e">
        <f t="shared" si="16"/>
        <v>#REF!</v>
      </c>
      <c r="AX91" s="25"/>
      <c r="AY91" s="26" t="e">
        <f t="shared" si="17"/>
        <v>#REF!</v>
      </c>
      <c r="AZ91" s="25" t="e">
        <f t="shared" si="30"/>
        <v>#REF!</v>
      </c>
      <c r="BA91" s="25" t="e">
        <f t="shared" si="24"/>
        <v>#REF!</v>
      </c>
      <c r="BB91" s="25" t="e">
        <f t="shared" si="31"/>
        <v>#REF!</v>
      </c>
      <c r="BC91" s="25" t="e">
        <f t="shared" si="21"/>
        <v>#REF!</v>
      </c>
      <c r="BD91" s="25" t="e">
        <f>VLOOKUP(A91,#REF!,43,0)</f>
        <v>#REF!</v>
      </c>
      <c r="BE91" s="25" t="e">
        <f>VLOOKUP(A91,#REF!,44,0)</f>
        <v>#REF!</v>
      </c>
      <c r="BF91" s="25" t="e">
        <f>VLOOKUP(A91,#REF!,45,0)</f>
        <v>#REF!</v>
      </c>
      <c r="BG91" s="25" t="e">
        <f>VLOOKUP(A91,#REF!,42,0)</f>
        <v>#REF!</v>
      </c>
      <c r="BH91" s="25" t="e">
        <f t="shared" si="25"/>
        <v>#REF!</v>
      </c>
      <c r="BI91" s="25" t="e">
        <f t="shared" si="22"/>
        <v>#REF!</v>
      </c>
      <c r="BJ91" s="25" t="e">
        <f t="shared" si="12"/>
        <v>#REF!</v>
      </c>
    </row>
    <row r="92" spans="1:62" hidden="1" x14ac:dyDescent="0.25">
      <c r="A92" s="20" t="s">
        <v>526</v>
      </c>
      <c r="B92" s="19">
        <v>45689</v>
      </c>
      <c r="C92" s="20" t="s">
        <v>5</v>
      </c>
      <c r="D92" s="20" t="s">
        <v>657</v>
      </c>
      <c r="E92" s="20"/>
      <c r="F92" s="20" t="s">
        <v>658</v>
      </c>
      <c r="G92" s="20" t="s">
        <v>561</v>
      </c>
      <c r="H92" s="20" t="s">
        <v>81</v>
      </c>
      <c r="I92" s="21">
        <v>45580</v>
      </c>
      <c r="J92" s="22"/>
      <c r="K92" s="23" t="s">
        <v>419</v>
      </c>
      <c r="L92" s="24" t="s">
        <v>196</v>
      </c>
      <c r="M92" s="24" t="s">
        <v>197</v>
      </c>
      <c r="N92" s="25" t="e">
        <f>VLOOKUP(A92,#REF!,12,0)</f>
        <v>#REF!</v>
      </c>
      <c r="O92" s="25" t="e">
        <f>VLOOKUP(A92,#REF!,15,0)</f>
        <v>#REF!</v>
      </c>
      <c r="P92" s="25" t="e">
        <f>VLOOKUP(A92,#REF!,16,0)</f>
        <v>#REF!</v>
      </c>
      <c r="Q92" s="25" t="e">
        <f>VLOOKUP(A92,#REF!,17,0)</f>
        <v>#REF!</v>
      </c>
      <c r="R92" s="25" t="e">
        <f>VLOOKUP(A92,#REF!,18,0)</f>
        <v>#REF!</v>
      </c>
      <c r="S92" s="25" t="e">
        <f>VLOOKUP(A92,#REF!,19,0)</f>
        <v>#REF!</v>
      </c>
      <c r="T92" s="25" t="e">
        <f>VLOOKUP(A92,#REF!,20,0)</f>
        <v>#REF!</v>
      </c>
      <c r="U92" s="25" t="e">
        <f>VLOOKUP(A92,#REF!,21,0)</f>
        <v>#REF!</v>
      </c>
      <c r="V92" s="25" t="e">
        <f>VLOOKUP(A92,#REF!,22,0)</f>
        <v>#REF!</v>
      </c>
      <c r="W92" s="25" t="e">
        <f>VLOOKUP(A92,#REF!,23,0)</f>
        <v>#REF!</v>
      </c>
      <c r="X92" s="25" t="e">
        <f>VLOOKUP(A92,#REF!,24,0)</f>
        <v>#REF!</v>
      </c>
      <c r="Y92" s="25" t="e">
        <f>VLOOKUP(A92,#REF!,25,0)</f>
        <v>#REF!</v>
      </c>
      <c r="Z92" s="25" t="e">
        <f>VLOOKUP(A92,#REF!,26,0)</f>
        <v>#REF!</v>
      </c>
      <c r="AA92" s="25" t="e">
        <f>VLOOKUP(A92,#REF!,27,0)</f>
        <v>#REF!</v>
      </c>
      <c r="AB92" s="25" t="e">
        <f>VLOOKUP(A92,#REF!,28,0)</f>
        <v>#REF!</v>
      </c>
      <c r="AC92" s="25" t="e">
        <f>VLOOKUP(A92,#REF!,29,0)</f>
        <v>#REF!</v>
      </c>
      <c r="AD92" s="26" t="e">
        <f t="shared" si="15"/>
        <v>#REF!</v>
      </c>
      <c r="AE92" s="25" t="e">
        <f>VLOOKUP(A92,#REF!,31,0)</f>
        <v>#REF!</v>
      </c>
      <c r="AF92" s="25" t="e">
        <f>VLOOKUP(A92,#REF!,32,0)</f>
        <v>#REF!</v>
      </c>
      <c r="AG92" s="25"/>
      <c r="AH92" s="27"/>
      <c r="AI92" s="25" t="e">
        <f>VLOOKUP(A92,#REF!,30,0)</f>
        <v>#REF!</v>
      </c>
      <c r="AJ92" s="25" t="e">
        <f>VLOOKUP(A92,#REF!,31,0)</f>
        <v>#REF!</v>
      </c>
      <c r="AK92" s="25" t="e">
        <f>VLOOKUP(A92,#REF!,33,0)</f>
        <v>#REF!</v>
      </c>
      <c r="AL92" s="25" t="e">
        <f>VLOOKUP(A92,#REF!,36,0)</f>
        <v>#REF!</v>
      </c>
      <c r="AM92" s="25" t="e">
        <f>VLOOKUP(A92,#REF!,34,0)</f>
        <v>#REF!</v>
      </c>
      <c r="AN92" s="27" t="e">
        <f>VLOOKUP(A92,#REF!,35,0)</f>
        <v>#REF!</v>
      </c>
      <c r="AO92" s="27" t="e">
        <f>VLOOKUP(A92,#REF!,32,0)</f>
        <v>#REF!</v>
      </c>
      <c r="AP92" s="25" t="e">
        <f>VLOOKUP(A92,#REF!,35,0)</f>
        <v>#REF!</v>
      </c>
      <c r="AQ92" s="25" t="e">
        <f>VLOOKUP(A92,#REF!,36,0)</f>
        <v>#REF!</v>
      </c>
      <c r="AR92" s="25" t="e">
        <f>VLOOKUP(A92,#REF!,37,0)</f>
        <v>#REF!</v>
      </c>
      <c r="AS92" s="25" t="e">
        <f>VLOOKUP(A92,#REF!,38,0)</f>
        <v>#REF!</v>
      </c>
      <c r="AT92" s="25" t="e">
        <f>VLOOKUP(A92,#REF!,39,0)</f>
        <v>#REF!</v>
      </c>
      <c r="AU92" s="25"/>
      <c r="AV92" s="26" t="e">
        <f t="shared" si="14"/>
        <v>#REF!</v>
      </c>
      <c r="AW92" s="25" t="e">
        <f t="shared" si="16"/>
        <v>#REF!</v>
      </c>
      <c r="AX92" s="25"/>
      <c r="AY92" s="26" t="e">
        <f t="shared" si="17"/>
        <v>#REF!</v>
      </c>
      <c r="AZ92" s="25" t="e">
        <f t="shared" si="30"/>
        <v>#REF!</v>
      </c>
      <c r="BA92" s="25" t="e">
        <f t="shared" si="24"/>
        <v>#REF!</v>
      </c>
      <c r="BB92" s="25" t="e">
        <f t="shared" si="31"/>
        <v>#REF!</v>
      </c>
      <c r="BC92" s="25" t="e">
        <f t="shared" si="21"/>
        <v>#REF!</v>
      </c>
      <c r="BD92" s="25" t="e">
        <f>VLOOKUP(A92,#REF!,43,0)</f>
        <v>#REF!</v>
      </c>
      <c r="BE92" s="25" t="e">
        <f>VLOOKUP(A92,#REF!,44,0)</f>
        <v>#REF!</v>
      </c>
      <c r="BF92" s="25" t="e">
        <f>VLOOKUP(A92,#REF!,45,0)</f>
        <v>#REF!</v>
      </c>
      <c r="BG92" s="25" t="e">
        <f>VLOOKUP(A92,#REF!,42,0)</f>
        <v>#REF!</v>
      </c>
      <c r="BH92" s="25" t="e">
        <f t="shared" si="25"/>
        <v>#REF!</v>
      </c>
      <c r="BI92" s="25" t="e">
        <f t="shared" si="22"/>
        <v>#REF!</v>
      </c>
      <c r="BJ92" s="25" t="e">
        <f t="shared" si="12"/>
        <v>#REF!</v>
      </c>
    </row>
    <row r="93" spans="1:62" hidden="1" x14ac:dyDescent="0.25">
      <c r="A93" s="20" t="s">
        <v>191</v>
      </c>
      <c r="B93" s="19">
        <v>45689</v>
      </c>
      <c r="C93" s="20" t="s">
        <v>5</v>
      </c>
      <c r="D93" s="20" t="s">
        <v>560</v>
      </c>
      <c r="E93" s="20"/>
      <c r="F93" s="20" t="s">
        <v>80</v>
      </c>
      <c r="G93" s="20" t="s">
        <v>83</v>
      </c>
      <c r="H93" s="20" t="s">
        <v>88</v>
      </c>
      <c r="I93" s="21">
        <v>45594</v>
      </c>
      <c r="J93" s="22"/>
      <c r="K93" s="23" t="s">
        <v>419</v>
      </c>
      <c r="L93" s="24" t="s">
        <v>89</v>
      </c>
      <c r="M93" s="24" t="s">
        <v>504</v>
      </c>
      <c r="N93" s="25" t="e">
        <f>VLOOKUP(A93,#REF!,12,0)</f>
        <v>#REF!</v>
      </c>
      <c r="O93" s="25" t="e">
        <f>VLOOKUP(A93,#REF!,15,0)</f>
        <v>#REF!</v>
      </c>
      <c r="P93" s="25" t="e">
        <f>VLOOKUP(A93,#REF!,16,0)</f>
        <v>#REF!</v>
      </c>
      <c r="Q93" s="25" t="e">
        <f>VLOOKUP(A93,#REF!,17,0)</f>
        <v>#REF!</v>
      </c>
      <c r="R93" s="25" t="e">
        <f>VLOOKUP(A93,#REF!,18,0)</f>
        <v>#REF!</v>
      </c>
      <c r="S93" s="25" t="e">
        <f>VLOOKUP(A93,#REF!,19,0)</f>
        <v>#REF!</v>
      </c>
      <c r="T93" s="25" t="e">
        <f>VLOOKUP(A93,#REF!,20,0)</f>
        <v>#REF!</v>
      </c>
      <c r="U93" s="25" t="e">
        <f>VLOOKUP(A93,#REF!,21,0)</f>
        <v>#REF!</v>
      </c>
      <c r="V93" s="25" t="e">
        <f>VLOOKUP(A93,#REF!,22,0)</f>
        <v>#REF!</v>
      </c>
      <c r="W93" s="25" t="e">
        <f>VLOOKUP(A93,#REF!,23,0)</f>
        <v>#REF!</v>
      </c>
      <c r="X93" s="25" t="e">
        <f>VLOOKUP(A93,#REF!,24,0)</f>
        <v>#REF!</v>
      </c>
      <c r="Y93" s="25" t="e">
        <f>VLOOKUP(A93,#REF!,25,0)</f>
        <v>#REF!</v>
      </c>
      <c r="Z93" s="25" t="e">
        <f>VLOOKUP(A93,#REF!,26,0)</f>
        <v>#REF!</v>
      </c>
      <c r="AA93" s="25" t="e">
        <f>VLOOKUP(A93,#REF!,27,0)</f>
        <v>#REF!</v>
      </c>
      <c r="AB93" s="25" t="e">
        <f>VLOOKUP(A93,#REF!,28,0)</f>
        <v>#REF!</v>
      </c>
      <c r="AC93" s="25" t="e">
        <f>VLOOKUP(A93,#REF!,29,0)</f>
        <v>#REF!</v>
      </c>
      <c r="AD93" s="26" t="e">
        <f t="shared" si="15"/>
        <v>#REF!</v>
      </c>
      <c r="AE93" s="25" t="e">
        <f>VLOOKUP(A93,#REF!,31,0)</f>
        <v>#REF!</v>
      </c>
      <c r="AF93" s="25" t="e">
        <f>VLOOKUP(A93,#REF!,32,0)</f>
        <v>#REF!</v>
      </c>
      <c r="AG93" s="25"/>
      <c r="AH93" s="27"/>
      <c r="AI93" s="25" t="e">
        <f>VLOOKUP(A93,#REF!,30,0)</f>
        <v>#REF!</v>
      </c>
      <c r="AJ93" s="25" t="e">
        <f>VLOOKUP(A93,#REF!,31,0)</f>
        <v>#REF!</v>
      </c>
      <c r="AK93" s="25" t="e">
        <f>VLOOKUP(A93,#REF!,33,0)</f>
        <v>#REF!</v>
      </c>
      <c r="AL93" s="25" t="e">
        <f>VLOOKUP(A93,#REF!,36,0)</f>
        <v>#REF!</v>
      </c>
      <c r="AM93" s="25" t="e">
        <f>VLOOKUP(A93,#REF!,34,0)</f>
        <v>#REF!</v>
      </c>
      <c r="AN93" s="27" t="e">
        <f>VLOOKUP(A93,#REF!,35,0)</f>
        <v>#REF!</v>
      </c>
      <c r="AO93" s="27" t="e">
        <f>VLOOKUP(A93,#REF!,32,0)</f>
        <v>#REF!</v>
      </c>
      <c r="AP93" s="25" t="e">
        <f>VLOOKUP(A93,#REF!,35,0)</f>
        <v>#REF!</v>
      </c>
      <c r="AQ93" s="25" t="e">
        <f>VLOOKUP(A93,#REF!,36,0)</f>
        <v>#REF!</v>
      </c>
      <c r="AR93" s="25" t="e">
        <f>VLOOKUP(A93,#REF!,37,0)</f>
        <v>#REF!</v>
      </c>
      <c r="AS93" s="25" t="e">
        <f>VLOOKUP(A93,#REF!,38,0)</f>
        <v>#REF!</v>
      </c>
      <c r="AT93" s="25" t="e">
        <f>VLOOKUP(A93,#REF!,39,0)</f>
        <v>#REF!</v>
      </c>
      <c r="AU93" s="25"/>
      <c r="AV93" s="26" t="e">
        <f t="shared" si="14"/>
        <v>#REF!</v>
      </c>
      <c r="AW93" s="25" t="e">
        <f t="shared" si="16"/>
        <v>#REF!</v>
      </c>
      <c r="AX93" s="25"/>
      <c r="AY93" s="26" t="e">
        <f t="shared" si="17"/>
        <v>#REF!</v>
      </c>
      <c r="AZ93" s="25" t="e">
        <f t="shared" si="30"/>
        <v>#REF!</v>
      </c>
      <c r="BA93" s="25" t="e">
        <f t="shared" si="24"/>
        <v>#REF!</v>
      </c>
      <c r="BB93" s="25" t="e">
        <f t="shared" si="31"/>
        <v>#REF!</v>
      </c>
      <c r="BC93" s="25" t="e">
        <f t="shared" si="21"/>
        <v>#REF!</v>
      </c>
      <c r="BD93" s="25" t="e">
        <f>VLOOKUP(A93,#REF!,43,0)</f>
        <v>#REF!</v>
      </c>
      <c r="BE93" s="25" t="e">
        <f>VLOOKUP(A93,#REF!,44,0)</f>
        <v>#REF!</v>
      </c>
      <c r="BF93" s="25" t="e">
        <f>VLOOKUP(A93,#REF!,45,0)</f>
        <v>#REF!</v>
      </c>
      <c r="BG93" s="25" t="e">
        <f>VLOOKUP(A93,#REF!,42,0)</f>
        <v>#REF!</v>
      </c>
      <c r="BH93" s="25" t="e">
        <f t="shared" si="25"/>
        <v>#REF!</v>
      </c>
      <c r="BI93" s="25" t="e">
        <f t="shared" si="22"/>
        <v>#REF!</v>
      </c>
      <c r="BJ93" s="25" t="e">
        <f t="shared" si="12"/>
        <v>#REF!</v>
      </c>
    </row>
    <row r="94" spans="1:62" hidden="1" x14ac:dyDescent="0.25">
      <c r="A94" s="20" t="s">
        <v>452</v>
      </c>
      <c r="B94" s="19">
        <v>45689</v>
      </c>
      <c r="C94" s="20" t="s">
        <v>8</v>
      </c>
      <c r="D94" s="20" t="s">
        <v>597</v>
      </c>
      <c r="E94" s="20">
        <v>4</v>
      </c>
      <c r="F94" s="20" t="s">
        <v>424</v>
      </c>
      <c r="G94" s="20" t="s">
        <v>203</v>
      </c>
      <c r="H94" s="20" t="s">
        <v>81</v>
      </c>
      <c r="I94" s="21"/>
      <c r="J94" s="22"/>
      <c r="K94" s="23" t="s">
        <v>434</v>
      </c>
      <c r="L94" s="24" t="s">
        <v>435</v>
      </c>
      <c r="M94" s="24" t="s">
        <v>600</v>
      </c>
      <c r="N94" s="25">
        <v>8000</v>
      </c>
      <c r="O94" s="25">
        <v>8000</v>
      </c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6">
        <f t="shared" si="15"/>
        <v>8000</v>
      </c>
      <c r="AE94" s="25"/>
      <c r="AF94" s="25"/>
      <c r="AG94" s="25"/>
      <c r="AH94" s="27"/>
      <c r="AI94" s="25"/>
      <c r="AJ94" s="25"/>
      <c r="AK94" s="25"/>
      <c r="AL94" s="25"/>
      <c r="AM94" s="25"/>
      <c r="AN94" s="27"/>
      <c r="AO94" s="27"/>
      <c r="AP94" s="25"/>
      <c r="AQ94" s="25"/>
      <c r="AR94" s="25"/>
      <c r="AS94" s="25"/>
      <c r="AT94" s="25"/>
      <c r="AU94" s="25"/>
      <c r="AV94" s="26">
        <f t="shared" si="14"/>
        <v>0</v>
      </c>
      <c r="AW94" s="25">
        <f t="shared" si="16"/>
        <v>8000</v>
      </c>
      <c r="AX94" s="25"/>
      <c r="AY94" s="26">
        <f t="shared" si="17"/>
        <v>8000</v>
      </c>
      <c r="AZ94" s="25">
        <f t="shared" si="30"/>
        <v>666.66666666666663</v>
      </c>
      <c r="BA94" s="25">
        <f t="shared" si="24"/>
        <v>666.66666666666663</v>
      </c>
      <c r="BB94" s="25">
        <f t="shared" si="31"/>
        <v>222.2222222222222</v>
      </c>
      <c r="BC94" s="25">
        <f t="shared" si="21"/>
        <v>1555.5555555555554</v>
      </c>
      <c r="BD94" s="25"/>
      <c r="BE94" s="25"/>
      <c r="BF94" s="25"/>
      <c r="BG94" s="25"/>
      <c r="BH94" s="25">
        <f t="shared" si="25"/>
        <v>0</v>
      </c>
      <c r="BI94" s="25">
        <f t="shared" si="22"/>
        <v>8000</v>
      </c>
      <c r="BJ94" s="25">
        <f t="shared" si="12"/>
        <v>9555.5555555555547</v>
      </c>
    </row>
    <row r="95" spans="1:62" hidden="1" x14ac:dyDescent="0.25">
      <c r="A95" s="20" t="s">
        <v>458</v>
      </c>
      <c r="B95" s="19">
        <v>45689</v>
      </c>
      <c r="C95" s="20" t="s">
        <v>8</v>
      </c>
      <c r="D95" s="20" t="s">
        <v>597</v>
      </c>
      <c r="E95" s="20">
        <v>4</v>
      </c>
      <c r="F95" s="20" t="s">
        <v>424</v>
      </c>
      <c r="G95" s="20" t="s">
        <v>444</v>
      </c>
      <c r="H95" s="20" t="s">
        <v>459</v>
      </c>
      <c r="I95" s="21"/>
      <c r="J95" s="22"/>
      <c r="K95" s="23" t="s">
        <v>434</v>
      </c>
      <c r="L95" s="24" t="s">
        <v>601</v>
      </c>
      <c r="M95" s="24" t="s">
        <v>602</v>
      </c>
      <c r="N95" s="25">
        <v>15000</v>
      </c>
      <c r="O95" s="25">
        <v>15000</v>
      </c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6">
        <f t="shared" si="15"/>
        <v>15000</v>
      </c>
      <c r="AE95" s="25"/>
      <c r="AF95" s="25"/>
      <c r="AG95" s="25"/>
      <c r="AH95" s="27"/>
      <c r="AI95" s="25"/>
      <c r="AJ95" s="25"/>
      <c r="AK95" s="25"/>
      <c r="AL95" s="25"/>
      <c r="AM95" s="25"/>
      <c r="AN95" s="27"/>
      <c r="AO95" s="27"/>
      <c r="AP95" s="25"/>
      <c r="AQ95" s="25"/>
      <c r="AR95" s="25"/>
      <c r="AS95" s="25"/>
      <c r="AT95" s="25"/>
      <c r="AU95" s="25"/>
      <c r="AV95" s="26">
        <f t="shared" si="14"/>
        <v>0</v>
      </c>
      <c r="AW95" s="25">
        <f t="shared" si="16"/>
        <v>15000</v>
      </c>
      <c r="AX95" s="25"/>
      <c r="AY95" s="26">
        <f t="shared" si="17"/>
        <v>15000</v>
      </c>
      <c r="AZ95" s="25">
        <f t="shared" si="30"/>
        <v>1250</v>
      </c>
      <c r="BA95" s="25">
        <f t="shared" si="24"/>
        <v>1250</v>
      </c>
      <c r="BB95" s="25">
        <f t="shared" si="31"/>
        <v>416.66666666666669</v>
      </c>
      <c r="BC95" s="25">
        <f t="shared" si="21"/>
        <v>2916.6666666666665</v>
      </c>
      <c r="BD95" s="25"/>
      <c r="BE95" s="25"/>
      <c r="BF95" s="25"/>
      <c r="BG95" s="25"/>
      <c r="BH95" s="25">
        <f t="shared" si="25"/>
        <v>0</v>
      </c>
      <c r="BI95" s="25">
        <f t="shared" si="22"/>
        <v>15000</v>
      </c>
      <c r="BJ95" s="25">
        <f t="shared" si="12"/>
        <v>17916.666666666668</v>
      </c>
    </row>
    <row r="96" spans="1:62" hidden="1" x14ac:dyDescent="0.25">
      <c r="A96" s="20" t="s">
        <v>427</v>
      </c>
      <c r="B96" s="19">
        <v>45689</v>
      </c>
      <c r="C96" s="20" t="s">
        <v>8</v>
      </c>
      <c r="D96" s="20" t="s">
        <v>597</v>
      </c>
      <c r="E96" s="20">
        <v>5</v>
      </c>
      <c r="F96" s="20" t="s">
        <v>424</v>
      </c>
      <c r="G96" s="20" t="s">
        <v>313</v>
      </c>
      <c r="H96" s="20" t="s">
        <v>428</v>
      </c>
      <c r="I96" s="21"/>
      <c r="J96" s="22"/>
      <c r="K96" s="23" t="s">
        <v>419</v>
      </c>
      <c r="L96" s="24" t="s">
        <v>322</v>
      </c>
      <c r="M96" s="24" t="s">
        <v>429</v>
      </c>
      <c r="N96" s="25">
        <v>10000</v>
      </c>
      <c r="O96" s="25">
        <f>N96</f>
        <v>10000</v>
      </c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6">
        <f t="shared" si="15"/>
        <v>10000</v>
      </c>
      <c r="AE96" s="25"/>
      <c r="AF96" s="25"/>
      <c r="AG96" s="25"/>
      <c r="AH96" s="27"/>
      <c r="AI96" s="25"/>
      <c r="AJ96" s="25"/>
      <c r="AK96" s="25"/>
      <c r="AL96" s="25"/>
      <c r="AM96" s="25"/>
      <c r="AN96" s="27"/>
      <c r="AO96" s="27"/>
      <c r="AP96" s="25"/>
      <c r="AQ96" s="25"/>
      <c r="AR96" s="25"/>
      <c r="AS96" s="25"/>
      <c r="AT96" s="25"/>
      <c r="AU96" s="25"/>
      <c r="AV96" s="26">
        <f t="shared" si="14"/>
        <v>0</v>
      </c>
      <c r="AW96" s="25">
        <f t="shared" si="16"/>
        <v>10000</v>
      </c>
      <c r="AX96" s="25"/>
      <c r="AY96" s="26">
        <f t="shared" si="17"/>
        <v>10000</v>
      </c>
      <c r="AZ96" s="25">
        <f t="shared" si="30"/>
        <v>833.33333333333337</v>
      </c>
      <c r="BA96" s="25">
        <f t="shared" si="24"/>
        <v>833.33333333333337</v>
      </c>
      <c r="BB96" s="25">
        <f t="shared" si="31"/>
        <v>277.77777777777777</v>
      </c>
      <c r="BC96" s="25">
        <f t="shared" si="21"/>
        <v>1944.4444444444446</v>
      </c>
      <c r="BD96" s="25"/>
      <c r="BE96" s="25"/>
      <c r="BF96" s="25"/>
      <c r="BG96" s="25"/>
      <c r="BH96" s="25">
        <f t="shared" si="25"/>
        <v>0</v>
      </c>
      <c r="BI96" s="25">
        <f t="shared" si="22"/>
        <v>10000</v>
      </c>
      <c r="BJ96" s="25">
        <f t="shared" si="12"/>
        <v>11944.444444444445</v>
      </c>
    </row>
    <row r="97" spans="1:62" hidden="1" x14ac:dyDescent="0.25">
      <c r="A97" s="20" t="s">
        <v>603</v>
      </c>
      <c r="B97" s="19">
        <v>45689</v>
      </c>
      <c r="C97" s="20" t="s">
        <v>8</v>
      </c>
      <c r="D97" s="20" t="s">
        <v>597</v>
      </c>
      <c r="E97" s="20">
        <v>4</v>
      </c>
      <c r="F97" s="20" t="s">
        <v>424</v>
      </c>
      <c r="G97" s="20" t="s">
        <v>203</v>
      </c>
      <c r="H97" s="20" t="s">
        <v>207</v>
      </c>
      <c r="I97" s="21">
        <v>45609</v>
      </c>
      <c r="J97" s="22"/>
      <c r="K97" s="23" t="s">
        <v>422</v>
      </c>
      <c r="L97" s="24" t="s">
        <v>208</v>
      </c>
      <c r="M97" s="24" t="s">
        <v>604</v>
      </c>
      <c r="N97" s="25">
        <v>8300</v>
      </c>
      <c r="O97" s="25">
        <f>N97</f>
        <v>8300</v>
      </c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6">
        <f t="shared" si="15"/>
        <v>8300</v>
      </c>
      <c r="AE97" s="25"/>
      <c r="AF97" s="25"/>
      <c r="AG97" s="25"/>
      <c r="AH97" s="27"/>
      <c r="AI97" s="25"/>
      <c r="AJ97" s="25"/>
      <c r="AK97" s="25"/>
      <c r="AL97" s="25"/>
      <c r="AM97" s="25"/>
      <c r="AN97" s="27"/>
      <c r="AO97" s="27"/>
      <c r="AP97" s="25"/>
      <c r="AQ97" s="25"/>
      <c r="AR97" s="25"/>
      <c r="AS97" s="25"/>
      <c r="AT97" s="25"/>
      <c r="AU97" s="25"/>
      <c r="AV97" s="26">
        <f t="shared" si="14"/>
        <v>0</v>
      </c>
      <c r="AW97" s="25">
        <f t="shared" si="16"/>
        <v>8300</v>
      </c>
      <c r="AX97" s="25"/>
      <c r="AY97" s="26">
        <f t="shared" si="17"/>
        <v>8300</v>
      </c>
      <c r="AZ97" s="25">
        <f t="shared" si="30"/>
        <v>691.66666666666663</v>
      </c>
      <c r="BA97" s="25">
        <f t="shared" si="24"/>
        <v>691.66666666666663</v>
      </c>
      <c r="BB97" s="25">
        <f t="shared" si="31"/>
        <v>230.55555555555554</v>
      </c>
      <c r="BC97" s="25">
        <f t="shared" si="21"/>
        <v>1613.8888888888887</v>
      </c>
      <c r="BD97" s="25"/>
      <c r="BE97" s="25"/>
      <c r="BF97" s="25"/>
      <c r="BG97" s="25"/>
      <c r="BH97" s="25">
        <f t="shared" si="25"/>
        <v>0</v>
      </c>
      <c r="BI97" s="25">
        <f t="shared" si="22"/>
        <v>8300</v>
      </c>
      <c r="BJ97" s="25">
        <f t="shared" si="12"/>
        <v>9913.8888888888887</v>
      </c>
    </row>
    <row r="98" spans="1:62" hidden="1" x14ac:dyDescent="0.25">
      <c r="A98" s="20" t="s">
        <v>659</v>
      </c>
      <c r="B98" s="19">
        <v>45689</v>
      </c>
      <c r="C98" s="20" t="s">
        <v>8</v>
      </c>
      <c r="D98" s="20" t="s">
        <v>597</v>
      </c>
      <c r="E98" s="20">
        <v>4</v>
      </c>
      <c r="F98" s="20" t="s">
        <v>424</v>
      </c>
      <c r="G98" s="20" t="s">
        <v>444</v>
      </c>
      <c r="H98" s="20" t="s">
        <v>428</v>
      </c>
      <c r="I98" s="21">
        <v>45600</v>
      </c>
      <c r="J98" s="22"/>
      <c r="K98" s="23" t="s">
        <v>419</v>
      </c>
      <c r="L98" s="24" t="s">
        <v>211</v>
      </c>
      <c r="M98" s="24" t="s">
        <v>442</v>
      </c>
      <c r="N98" s="25">
        <v>10000</v>
      </c>
      <c r="O98" s="25">
        <f>N98</f>
        <v>10000</v>
      </c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6">
        <f t="shared" si="15"/>
        <v>10000</v>
      </c>
      <c r="AE98" s="25"/>
      <c r="AF98" s="25"/>
      <c r="AG98" s="25"/>
      <c r="AH98" s="27"/>
      <c r="AI98" s="25"/>
      <c r="AJ98" s="25"/>
      <c r="AK98" s="25"/>
      <c r="AL98" s="25"/>
      <c r="AM98" s="25"/>
      <c r="AN98" s="27"/>
      <c r="AO98" s="27"/>
      <c r="AP98" s="25"/>
      <c r="AQ98" s="25"/>
      <c r="AR98" s="25"/>
      <c r="AS98" s="25"/>
      <c r="AT98" s="25"/>
      <c r="AU98" s="25"/>
      <c r="AV98" s="26">
        <f t="shared" si="14"/>
        <v>0</v>
      </c>
      <c r="AW98" s="25">
        <f t="shared" si="16"/>
        <v>10000</v>
      </c>
      <c r="AX98" s="25"/>
      <c r="AY98" s="26">
        <f t="shared" si="17"/>
        <v>10000</v>
      </c>
      <c r="AZ98" s="25">
        <f t="shared" si="30"/>
        <v>833.33333333333337</v>
      </c>
      <c r="BA98" s="25">
        <f t="shared" si="24"/>
        <v>833.33333333333337</v>
      </c>
      <c r="BB98" s="25">
        <f t="shared" si="31"/>
        <v>277.77777777777777</v>
      </c>
      <c r="BC98" s="25">
        <f t="shared" si="21"/>
        <v>1944.4444444444446</v>
      </c>
      <c r="BD98" s="25"/>
      <c r="BE98" s="25"/>
      <c r="BF98" s="25"/>
      <c r="BG98" s="25"/>
      <c r="BH98" s="25">
        <f t="shared" si="25"/>
        <v>0</v>
      </c>
      <c r="BI98" s="25">
        <f t="shared" si="22"/>
        <v>10000</v>
      </c>
      <c r="BJ98" s="25">
        <f t="shared" si="12"/>
        <v>11944.444444444445</v>
      </c>
    </row>
    <row r="99" spans="1:62" hidden="1" x14ac:dyDescent="0.25">
      <c r="A99" s="20" t="s">
        <v>175</v>
      </c>
      <c r="B99" s="19">
        <v>45689</v>
      </c>
      <c r="C99" s="20" t="s">
        <v>5</v>
      </c>
      <c r="D99" s="20" t="s">
        <v>577</v>
      </c>
      <c r="E99" s="20"/>
      <c r="F99" s="20" t="s">
        <v>273</v>
      </c>
      <c r="G99" s="20" t="s">
        <v>178</v>
      </c>
      <c r="H99" s="20" t="s">
        <v>88</v>
      </c>
      <c r="I99" s="21">
        <v>45597</v>
      </c>
      <c r="J99" s="22"/>
      <c r="K99" s="23" t="s">
        <v>419</v>
      </c>
      <c r="L99" s="24" t="s">
        <v>184</v>
      </c>
      <c r="M99" s="24" t="s">
        <v>508</v>
      </c>
      <c r="N99" s="25" t="e">
        <f>VLOOKUP(A99,#REF!,12,0)</f>
        <v>#REF!</v>
      </c>
      <c r="O99" s="25" t="e">
        <f>VLOOKUP(A99,#REF!,15,0)</f>
        <v>#REF!</v>
      </c>
      <c r="P99" s="25" t="e">
        <f>VLOOKUP(A99,#REF!,16,0)</f>
        <v>#REF!</v>
      </c>
      <c r="Q99" s="25" t="e">
        <f>VLOOKUP(A99,#REF!,17,0)</f>
        <v>#REF!</v>
      </c>
      <c r="R99" s="25" t="e">
        <f>VLOOKUP(A99,#REF!,18,0)</f>
        <v>#REF!</v>
      </c>
      <c r="S99" s="25" t="e">
        <f>VLOOKUP(A99,#REF!,19,0)</f>
        <v>#REF!</v>
      </c>
      <c r="T99" s="25" t="e">
        <f>VLOOKUP(A99,#REF!,20,0)</f>
        <v>#REF!</v>
      </c>
      <c r="U99" s="25" t="e">
        <f>VLOOKUP(A99,#REF!,21,0)</f>
        <v>#REF!</v>
      </c>
      <c r="V99" s="25" t="e">
        <f>VLOOKUP(A99,#REF!,22,0)</f>
        <v>#REF!</v>
      </c>
      <c r="W99" s="25" t="e">
        <f>VLOOKUP(A99,#REF!,23,0)</f>
        <v>#REF!</v>
      </c>
      <c r="X99" s="25" t="e">
        <f>VLOOKUP(A99,#REF!,24,0)</f>
        <v>#REF!</v>
      </c>
      <c r="Y99" s="25" t="e">
        <f>VLOOKUP(A99,#REF!,25,0)</f>
        <v>#REF!</v>
      </c>
      <c r="Z99" s="25" t="e">
        <f>VLOOKUP(A99,#REF!,26,0)</f>
        <v>#REF!</v>
      </c>
      <c r="AA99" s="25" t="e">
        <f>VLOOKUP(A99,#REF!,27,0)</f>
        <v>#REF!</v>
      </c>
      <c r="AB99" s="25" t="e">
        <f>VLOOKUP(A99,#REF!,28,0)</f>
        <v>#REF!</v>
      </c>
      <c r="AC99" s="25" t="e">
        <f>VLOOKUP(A99,#REF!,29,0)</f>
        <v>#REF!</v>
      </c>
      <c r="AD99" s="26" t="e">
        <f t="shared" si="15"/>
        <v>#REF!</v>
      </c>
      <c r="AE99" s="25" t="e">
        <f>VLOOKUP(A99,#REF!,31,0)</f>
        <v>#REF!</v>
      </c>
      <c r="AF99" s="25" t="e">
        <f>VLOOKUP(A99,#REF!,32,0)</f>
        <v>#REF!</v>
      </c>
      <c r="AG99" s="25"/>
      <c r="AH99" s="27"/>
      <c r="AI99" s="25" t="e">
        <f>VLOOKUP(A99,#REF!,30,0)</f>
        <v>#REF!</v>
      </c>
      <c r="AJ99" s="25" t="e">
        <f>VLOOKUP(A99,#REF!,31,0)</f>
        <v>#REF!</v>
      </c>
      <c r="AK99" s="25" t="e">
        <f>VLOOKUP(A99,#REF!,33,0)</f>
        <v>#REF!</v>
      </c>
      <c r="AL99" s="25" t="e">
        <f>VLOOKUP(A99,#REF!,36,0)</f>
        <v>#REF!</v>
      </c>
      <c r="AM99" s="25" t="e">
        <f>VLOOKUP(A99,#REF!,34,0)</f>
        <v>#REF!</v>
      </c>
      <c r="AN99" s="27" t="e">
        <f>VLOOKUP(A99,#REF!,35,0)</f>
        <v>#REF!</v>
      </c>
      <c r="AO99" s="27" t="e">
        <f>VLOOKUP(A99,#REF!,32,0)</f>
        <v>#REF!</v>
      </c>
      <c r="AP99" s="25" t="e">
        <f>VLOOKUP(A99,#REF!,35,0)</f>
        <v>#REF!</v>
      </c>
      <c r="AQ99" s="25" t="e">
        <f>VLOOKUP(A99,#REF!,36,0)</f>
        <v>#REF!</v>
      </c>
      <c r="AR99" s="25" t="e">
        <f>VLOOKUP(A99,#REF!,37,0)</f>
        <v>#REF!</v>
      </c>
      <c r="AS99" s="25" t="e">
        <f>VLOOKUP(A99,#REF!,38,0)</f>
        <v>#REF!</v>
      </c>
      <c r="AT99" s="25" t="e">
        <f>VLOOKUP(A99,#REF!,39,0)</f>
        <v>#REF!</v>
      </c>
      <c r="AU99" s="25"/>
      <c r="AV99" s="26" t="e">
        <f t="shared" si="14"/>
        <v>#REF!</v>
      </c>
      <c r="AW99" s="25" t="e">
        <f t="shared" si="16"/>
        <v>#REF!</v>
      </c>
      <c r="AX99" s="25"/>
      <c r="AY99" s="26" t="e">
        <f t="shared" si="17"/>
        <v>#REF!</v>
      </c>
      <c r="AZ99" s="25" t="e">
        <f t="shared" si="30"/>
        <v>#REF!</v>
      </c>
      <c r="BA99" s="25" t="e">
        <f t="shared" si="24"/>
        <v>#REF!</v>
      </c>
      <c r="BB99" s="25" t="e">
        <f t="shared" si="31"/>
        <v>#REF!</v>
      </c>
      <c r="BC99" s="25" t="e">
        <f t="shared" si="21"/>
        <v>#REF!</v>
      </c>
      <c r="BD99" s="25" t="e">
        <f>VLOOKUP(A99,#REF!,43,0)</f>
        <v>#REF!</v>
      </c>
      <c r="BE99" s="25" t="e">
        <f>VLOOKUP(A99,#REF!,44,0)</f>
        <v>#REF!</v>
      </c>
      <c r="BF99" s="25" t="e">
        <f>VLOOKUP(A99,#REF!,45,0)</f>
        <v>#REF!</v>
      </c>
      <c r="BG99" s="25" t="e">
        <f>VLOOKUP(A99,#REF!,42,0)</f>
        <v>#REF!</v>
      </c>
      <c r="BH99" s="25" t="e">
        <f t="shared" si="25"/>
        <v>#REF!</v>
      </c>
      <c r="BI99" s="25" t="e">
        <f t="shared" si="22"/>
        <v>#REF!</v>
      </c>
      <c r="BJ99" s="25" t="e">
        <f t="shared" si="12"/>
        <v>#REF!</v>
      </c>
    </row>
    <row r="100" spans="1:62" hidden="1" x14ac:dyDescent="0.25">
      <c r="A100" s="20" t="s">
        <v>661</v>
      </c>
      <c r="B100" s="19">
        <v>45689</v>
      </c>
      <c r="C100" s="20" t="s">
        <v>5</v>
      </c>
      <c r="D100" s="20" t="s">
        <v>579</v>
      </c>
      <c r="E100" s="20"/>
      <c r="F100" s="20" t="s">
        <v>283</v>
      </c>
      <c r="G100" s="20" t="s">
        <v>142</v>
      </c>
      <c r="H100" s="20" t="s">
        <v>88</v>
      </c>
      <c r="I100" s="21">
        <v>45610</v>
      </c>
      <c r="J100" s="22"/>
      <c r="K100" s="23" t="s">
        <v>419</v>
      </c>
      <c r="L100" s="24" t="s">
        <v>147</v>
      </c>
      <c r="M100" s="24" t="s">
        <v>504</v>
      </c>
      <c r="N100" s="25" t="e">
        <f>VLOOKUP(A100,#REF!,12,0)</f>
        <v>#REF!</v>
      </c>
      <c r="O100" s="25" t="e">
        <f>VLOOKUP(A100,#REF!,15,0)</f>
        <v>#REF!</v>
      </c>
      <c r="P100" s="25" t="e">
        <f>VLOOKUP(A100,#REF!,16,0)</f>
        <v>#REF!</v>
      </c>
      <c r="Q100" s="25" t="e">
        <f>VLOOKUP(A100,#REF!,17,0)</f>
        <v>#REF!</v>
      </c>
      <c r="R100" s="25" t="e">
        <f>VLOOKUP(A100,#REF!,18,0)</f>
        <v>#REF!</v>
      </c>
      <c r="S100" s="25" t="e">
        <f>VLOOKUP(A100,#REF!,19,0)</f>
        <v>#REF!</v>
      </c>
      <c r="T100" s="25" t="e">
        <f>VLOOKUP(A100,#REF!,20,0)</f>
        <v>#REF!</v>
      </c>
      <c r="U100" s="25" t="e">
        <f>VLOOKUP(A100,#REF!,21,0)</f>
        <v>#REF!</v>
      </c>
      <c r="V100" s="25" t="e">
        <f>VLOOKUP(A100,#REF!,22,0)</f>
        <v>#REF!</v>
      </c>
      <c r="W100" s="25" t="e">
        <f>VLOOKUP(A100,#REF!,23,0)</f>
        <v>#REF!</v>
      </c>
      <c r="X100" s="25" t="e">
        <f>VLOOKUP(A100,#REF!,24,0)</f>
        <v>#REF!</v>
      </c>
      <c r="Y100" s="25" t="e">
        <f>VLOOKUP(A100,#REF!,25,0)</f>
        <v>#REF!</v>
      </c>
      <c r="Z100" s="25" t="e">
        <f>VLOOKUP(A100,#REF!,26,0)</f>
        <v>#REF!</v>
      </c>
      <c r="AA100" s="25" t="e">
        <f>VLOOKUP(A100,#REF!,27,0)</f>
        <v>#REF!</v>
      </c>
      <c r="AB100" s="25" t="e">
        <f>VLOOKUP(A100,#REF!,28,0)</f>
        <v>#REF!</v>
      </c>
      <c r="AC100" s="25" t="e">
        <f>VLOOKUP(A100,#REF!,29,0)</f>
        <v>#REF!</v>
      </c>
      <c r="AD100" s="26" t="e">
        <f t="shared" si="15"/>
        <v>#REF!</v>
      </c>
      <c r="AE100" s="25" t="e">
        <f>VLOOKUP(A100,#REF!,31,0)</f>
        <v>#REF!</v>
      </c>
      <c r="AF100" s="25" t="e">
        <f>VLOOKUP(A100,#REF!,32,0)</f>
        <v>#REF!</v>
      </c>
      <c r="AG100" s="25"/>
      <c r="AH100" s="27"/>
      <c r="AI100" s="25" t="e">
        <f>VLOOKUP(A100,#REF!,30,0)</f>
        <v>#REF!</v>
      </c>
      <c r="AJ100" s="25" t="e">
        <f>VLOOKUP(A100,#REF!,31,0)</f>
        <v>#REF!</v>
      </c>
      <c r="AK100" s="25" t="e">
        <f>VLOOKUP(A100,#REF!,33,0)</f>
        <v>#REF!</v>
      </c>
      <c r="AL100" s="25" t="e">
        <f>VLOOKUP(A100,#REF!,36,0)</f>
        <v>#REF!</v>
      </c>
      <c r="AM100" s="25" t="e">
        <f>VLOOKUP(A100,#REF!,34,0)</f>
        <v>#REF!</v>
      </c>
      <c r="AN100" s="27" t="e">
        <f>VLOOKUP(A100,#REF!,35,0)</f>
        <v>#REF!</v>
      </c>
      <c r="AO100" s="27" t="e">
        <f>VLOOKUP(A100,#REF!,32,0)</f>
        <v>#REF!</v>
      </c>
      <c r="AP100" s="25" t="e">
        <f>VLOOKUP(A100,#REF!,35,0)</f>
        <v>#REF!</v>
      </c>
      <c r="AQ100" s="25" t="e">
        <f>VLOOKUP(A100,#REF!,36,0)</f>
        <v>#REF!</v>
      </c>
      <c r="AR100" s="25" t="e">
        <f>VLOOKUP(A100,#REF!,37,0)</f>
        <v>#REF!</v>
      </c>
      <c r="AS100" s="25" t="e">
        <f>VLOOKUP(A100,#REF!,38,0)</f>
        <v>#REF!</v>
      </c>
      <c r="AT100" s="25" t="e">
        <f>VLOOKUP(A100,#REF!,39,0)</f>
        <v>#REF!</v>
      </c>
      <c r="AU100" s="25"/>
      <c r="AV100" s="26" t="e">
        <f t="shared" si="14"/>
        <v>#REF!</v>
      </c>
      <c r="AW100" s="25" t="e">
        <f t="shared" si="16"/>
        <v>#REF!</v>
      </c>
      <c r="AX100" s="25"/>
      <c r="AY100" s="26" t="e">
        <f t="shared" si="17"/>
        <v>#REF!</v>
      </c>
      <c r="AZ100" s="25" t="e">
        <f t="shared" si="30"/>
        <v>#REF!</v>
      </c>
      <c r="BA100" s="25" t="e">
        <f t="shared" si="24"/>
        <v>#REF!</v>
      </c>
      <c r="BB100" s="25" t="e">
        <f t="shared" si="31"/>
        <v>#REF!</v>
      </c>
      <c r="BC100" s="25" t="e">
        <f t="shared" si="21"/>
        <v>#REF!</v>
      </c>
      <c r="BD100" s="25" t="e">
        <f>VLOOKUP(A100,#REF!,43,0)</f>
        <v>#REF!</v>
      </c>
      <c r="BE100" s="25" t="e">
        <f>VLOOKUP(A100,#REF!,44,0)</f>
        <v>#REF!</v>
      </c>
      <c r="BF100" s="25" t="e">
        <f>VLOOKUP(A100,#REF!,45,0)</f>
        <v>#REF!</v>
      </c>
      <c r="BG100" s="25" t="e">
        <f>VLOOKUP(A100,#REF!,42,0)</f>
        <v>#REF!</v>
      </c>
      <c r="BH100" s="25" t="e">
        <f t="shared" si="25"/>
        <v>#REF!</v>
      </c>
      <c r="BI100" s="25" t="e">
        <f t="shared" si="22"/>
        <v>#REF!</v>
      </c>
      <c r="BJ100" s="25" t="e">
        <f t="shared" si="12"/>
        <v>#REF!</v>
      </c>
    </row>
    <row r="101" spans="1:62" hidden="1" x14ac:dyDescent="0.25">
      <c r="A101" s="20" t="s">
        <v>298</v>
      </c>
      <c r="B101" s="19">
        <v>45689</v>
      </c>
      <c r="C101" s="20" t="s">
        <v>5</v>
      </c>
      <c r="D101" s="20" t="s">
        <v>582</v>
      </c>
      <c r="E101" s="20"/>
      <c r="F101" s="20" t="s">
        <v>292</v>
      </c>
      <c r="G101" s="20" t="s">
        <v>566</v>
      </c>
      <c r="H101" s="20" t="s">
        <v>81</v>
      </c>
      <c r="I101" s="21">
        <v>45600</v>
      </c>
      <c r="J101" s="22"/>
      <c r="K101" s="23" t="s">
        <v>419</v>
      </c>
      <c r="L101" s="24" t="s">
        <v>225</v>
      </c>
      <c r="M101" s="24" t="s">
        <v>299</v>
      </c>
      <c r="N101" s="25" t="e">
        <f>VLOOKUP(A101,#REF!,12,0)</f>
        <v>#REF!</v>
      </c>
      <c r="O101" s="25" t="e">
        <f>VLOOKUP(A101,#REF!,15,0)</f>
        <v>#REF!</v>
      </c>
      <c r="P101" s="25" t="e">
        <f>VLOOKUP(A101,#REF!,16,0)</f>
        <v>#REF!</v>
      </c>
      <c r="Q101" s="25" t="e">
        <f>VLOOKUP(A101,#REF!,17,0)</f>
        <v>#REF!</v>
      </c>
      <c r="R101" s="25" t="e">
        <f>VLOOKUP(A101,#REF!,18,0)</f>
        <v>#REF!</v>
      </c>
      <c r="S101" s="25" t="e">
        <f>VLOOKUP(A101,#REF!,19,0)</f>
        <v>#REF!</v>
      </c>
      <c r="T101" s="25" t="e">
        <f>VLOOKUP(A101,#REF!,20,0)</f>
        <v>#REF!</v>
      </c>
      <c r="U101" s="25" t="e">
        <f>VLOOKUP(A101,#REF!,21,0)</f>
        <v>#REF!</v>
      </c>
      <c r="V101" s="25" t="e">
        <f>VLOOKUP(A101,#REF!,22,0)</f>
        <v>#REF!</v>
      </c>
      <c r="W101" s="25" t="e">
        <f>VLOOKUP(A101,#REF!,23,0)</f>
        <v>#REF!</v>
      </c>
      <c r="X101" s="25" t="e">
        <f>VLOOKUP(A101,#REF!,24,0)</f>
        <v>#REF!</v>
      </c>
      <c r="Y101" s="25" t="e">
        <f>VLOOKUP(A101,#REF!,25,0)</f>
        <v>#REF!</v>
      </c>
      <c r="Z101" s="25" t="e">
        <f>VLOOKUP(A101,#REF!,26,0)</f>
        <v>#REF!</v>
      </c>
      <c r="AA101" s="25" t="e">
        <f>VLOOKUP(A101,#REF!,27,0)</f>
        <v>#REF!</v>
      </c>
      <c r="AB101" s="25" t="e">
        <f>VLOOKUP(A101,#REF!,28,0)</f>
        <v>#REF!</v>
      </c>
      <c r="AC101" s="25" t="e">
        <f>VLOOKUP(A101,#REF!,29,0)</f>
        <v>#REF!</v>
      </c>
      <c r="AD101" s="26" t="e">
        <f t="shared" si="15"/>
        <v>#REF!</v>
      </c>
      <c r="AE101" s="25" t="e">
        <f>VLOOKUP(A101,#REF!,31,0)</f>
        <v>#REF!</v>
      </c>
      <c r="AF101" s="25" t="e">
        <f>VLOOKUP(A101,#REF!,32,0)</f>
        <v>#REF!</v>
      </c>
      <c r="AG101" s="25"/>
      <c r="AH101" s="27"/>
      <c r="AI101" s="25" t="e">
        <f>VLOOKUP(A101,#REF!,30,0)</f>
        <v>#REF!</v>
      </c>
      <c r="AJ101" s="25" t="e">
        <f>VLOOKUP(A101,#REF!,31,0)</f>
        <v>#REF!</v>
      </c>
      <c r="AK101" s="25" t="e">
        <f>VLOOKUP(A101,#REF!,33,0)</f>
        <v>#REF!</v>
      </c>
      <c r="AL101" s="25" t="e">
        <f>VLOOKUP(A101,#REF!,36,0)</f>
        <v>#REF!</v>
      </c>
      <c r="AM101" s="25" t="e">
        <f>VLOOKUP(A101,#REF!,34,0)</f>
        <v>#REF!</v>
      </c>
      <c r="AN101" s="27" t="e">
        <f>VLOOKUP(A101,#REF!,35,0)</f>
        <v>#REF!</v>
      </c>
      <c r="AO101" s="27" t="e">
        <f>VLOOKUP(A101,#REF!,32,0)</f>
        <v>#REF!</v>
      </c>
      <c r="AP101" s="25" t="e">
        <f>VLOOKUP(A101,#REF!,35,0)</f>
        <v>#REF!</v>
      </c>
      <c r="AQ101" s="25" t="e">
        <f>VLOOKUP(A101,#REF!,36,0)</f>
        <v>#REF!</v>
      </c>
      <c r="AR101" s="25" t="e">
        <f>VLOOKUP(A101,#REF!,37,0)</f>
        <v>#REF!</v>
      </c>
      <c r="AS101" s="25" t="e">
        <f>VLOOKUP(A101,#REF!,38,0)</f>
        <v>#REF!</v>
      </c>
      <c r="AT101" s="25" t="e">
        <f>VLOOKUP(A101,#REF!,39,0)</f>
        <v>#REF!</v>
      </c>
      <c r="AU101" s="25"/>
      <c r="AV101" s="26" t="e">
        <f t="shared" si="14"/>
        <v>#REF!</v>
      </c>
      <c r="AW101" s="25" t="e">
        <f t="shared" si="16"/>
        <v>#REF!</v>
      </c>
      <c r="AX101" s="25"/>
      <c r="AY101" s="26" t="e">
        <f t="shared" si="17"/>
        <v>#REF!</v>
      </c>
      <c r="AZ101" s="25" t="e">
        <f t="shared" si="30"/>
        <v>#REF!</v>
      </c>
      <c r="BA101" s="25" t="e">
        <f t="shared" si="24"/>
        <v>#REF!</v>
      </c>
      <c r="BB101" s="25" t="e">
        <f t="shared" si="31"/>
        <v>#REF!</v>
      </c>
      <c r="BC101" s="25" t="e">
        <f t="shared" si="21"/>
        <v>#REF!</v>
      </c>
      <c r="BD101" s="25" t="e">
        <f>VLOOKUP(A101,#REF!,43,0)</f>
        <v>#REF!</v>
      </c>
      <c r="BE101" s="25" t="e">
        <f>VLOOKUP(A101,#REF!,44,0)</f>
        <v>#REF!</v>
      </c>
      <c r="BF101" s="25" t="e">
        <f>VLOOKUP(A101,#REF!,45,0)</f>
        <v>#REF!</v>
      </c>
      <c r="BG101" s="25" t="e">
        <f>VLOOKUP(A101,#REF!,42,0)</f>
        <v>#REF!</v>
      </c>
      <c r="BH101" s="25" t="e">
        <f t="shared" si="25"/>
        <v>#REF!</v>
      </c>
      <c r="BI101" s="25" t="e">
        <f t="shared" si="22"/>
        <v>#REF!</v>
      </c>
      <c r="BJ101" s="25" t="e">
        <f t="shared" si="12"/>
        <v>#REF!</v>
      </c>
    </row>
    <row r="102" spans="1:62" hidden="1" x14ac:dyDescent="0.25">
      <c r="A102" s="20" t="s">
        <v>532</v>
      </c>
      <c r="B102" s="19">
        <v>45689</v>
      </c>
      <c r="C102" s="20" t="s">
        <v>6</v>
      </c>
      <c r="D102" s="20" t="s">
        <v>582</v>
      </c>
      <c r="E102" s="20" t="s">
        <v>292</v>
      </c>
      <c r="F102" s="20" t="s">
        <v>292</v>
      </c>
      <c r="G102" s="20" t="s">
        <v>444</v>
      </c>
      <c r="H102" s="20" t="s">
        <v>195</v>
      </c>
      <c r="I102" s="21">
        <v>45597</v>
      </c>
      <c r="J102" s="22"/>
      <c r="K102" s="23" t="s">
        <v>419</v>
      </c>
      <c r="L102" s="24" t="s">
        <v>211</v>
      </c>
      <c r="M102" s="24" t="s">
        <v>247</v>
      </c>
      <c r="N102" s="25" t="e">
        <f>VLOOKUP(A102,#REF!,12,0)</f>
        <v>#REF!</v>
      </c>
      <c r="O102" s="25">
        <v>1000</v>
      </c>
      <c r="P102" s="25" t="e">
        <f>VLOOKUP(A102,#REF!,16,0)</f>
        <v>#REF!</v>
      </c>
      <c r="Q102" s="25" t="e">
        <f>VLOOKUP(A102,#REF!,17,0)</f>
        <v>#REF!</v>
      </c>
      <c r="R102" s="25" t="e">
        <f>VLOOKUP(A102,#REF!,18,0)</f>
        <v>#REF!</v>
      </c>
      <c r="S102" s="25" t="e">
        <f>VLOOKUP(A102,#REF!,19,0)</f>
        <v>#REF!</v>
      </c>
      <c r="T102" s="25" t="e">
        <f>VLOOKUP(A102,#REF!,20,0)</f>
        <v>#REF!</v>
      </c>
      <c r="U102" s="25" t="e">
        <f>VLOOKUP(A102,#REF!,21,0)</f>
        <v>#REF!</v>
      </c>
      <c r="V102" s="25" t="e">
        <f>VLOOKUP(A102,#REF!,22,0)</f>
        <v>#REF!</v>
      </c>
      <c r="W102" s="25" t="e">
        <f>VLOOKUP(A102,#REF!,23,0)</f>
        <v>#REF!</v>
      </c>
      <c r="X102" s="25" t="e">
        <f>VLOOKUP(A102,#REF!,24,0)</f>
        <v>#REF!</v>
      </c>
      <c r="Y102" s="25" t="e">
        <f>VLOOKUP(A102,#REF!,25,0)</f>
        <v>#REF!</v>
      </c>
      <c r="Z102" s="25" t="e">
        <f>VLOOKUP(A102,#REF!,26,0)</f>
        <v>#REF!</v>
      </c>
      <c r="AA102" s="25" t="e">
        <f>VLOOKUP(A102,#REF!,27,0)</f>
        <v>#REF!</v>
      </c>
      <c r="AB102" s="25" t="e">
        <f>VLOOKUP(A102,#REF!,28,0)</f>
        <v>#REF!</v>
      </c>
      <c r="AC102" s="25" t="e">
        <f>VLOOKUP(A102,#REF!,29,0)</f>
        <v>#REF!</v>
      </c>
      <c r="AD102" s="26" t="e">
        <f t="shared" si="15"/>
        <v>#REF!</v>
      </c>
      <c r="AE102" s="25">
        <v>200</v>
      </c>
      <c r="AF102" s="25" t="e">
        <f>VLOOKUP(A102,#REF!,32,0)</f>
        <v>#REF!</v>
      </c>
      <c r="AG102" s="25"/>
      <c r="AH102" s="27"/>
      <c r="AI102" s="25" t="e">
        <f>VLOOKUP(A102,#REF!,30,0)</f>
        <v>#REF!</v>
      </c>
      <c r="AJ102" s="25" t="e">
        <f>VLOOKUP(A102,#REF!,31,0)</f>
        <v>#REF!</v>
      </c>
      <c r="AK102" s="25" t="e">
        <f>VLOOKUP(A102,#REF!,33,0)</f>
        <v>#REF!</v>
      </c>
      <c r="AL102" s="25" t="e">
        <f>VLOOKUP(A102,#REF!,36,0)</f>
        <v>#REF!</v>
      </c>
      <c r="AM102" s="25" t="e">
        <f>VLOOKUP(A102,#REF!,34,0)</f>
        <v>#REF!</v>
      </c>
      <c r="AN102" s="27"/>
      <c r="AO102" s="27"/>
      <c r="AP102" s="25" t="e">
        <f>VLOOKUP(A102,#REF!,35,0)</f>
        <v>#REF!</v>
      </c>
      <c r="AQ102" s="25" t="e">
        <f>VLOOKUP(A102,#REF!,36,0)</f>
        <v>#REF!</v>
      </c>
      <c r="AR102" s="25" t="e">
        <f>VLOOKUP(A102,#REF!,37,0)</f>
        <v>#REF!</v>
      </c>
      <c r="AS102" s="25" t="e">
        <f>VLOOKUP(A102,#REF!,38,0)</f>
        <v>#REF!</v>
      </c>
      <c r="AT102" s="25" t="e">
        <f>VLOOKUP(A102,#REF!,39,0)</f>
        <v>#REF!</v>
      </c>
      <c r="AU102" s="25"/>
      <c r="AV102" s="26" t="e">
        <f t="shared" si="14"/>
        <v>#REF!</v>
      </c>
      <c r="AW102" s="25" t="e">
        <f t="shared" si="16"/>
        <v>#REF!</v>
      </c>
      <c r="AX102" s="25"/>
      <c r="AY102" s="26" t="e">
        <f t="shared" si="17"/>
        <v>#REF!</v>
      </c>
      <c r="AZ102" s="25">
        <v>0</v>
      </c>
      <c r="BA102" s="25">
        <v>0</v>
      </c>
      <c r="BB102" s="25">
        <v>0</v>
      </c>
      <c r="BC102" s="25">
        <f t="shared" si="21"/>
        <v>0</v>
      </c>
      <c r="BD102" s="25" t="e">
        <f>VLOOKUP(A102,#REF!,43,0)</f>
        <v>#REF!</v>
      </c>
      <c r="BE102" s="25" t="e">
        <f>VLOOKUP(A102,#REF!,44,0)</f>
        <v>#REF!</v>
      </c>
      <c r="BF102" s="25" t="e">
        <f>VLOOKUP(A102,#REF!,45,0)</f>
        <v>#REF!</v>
      </c>
      <c r="BG102" s="25" t="e">
        <f>VLOOKUP(A102,#REF!,42,0)</f>
        <v>#REF!</v>
      </c>
      <c r="BH102" s="25" t="e">
        <f t="shared" si="25"/>
        <v>#REF!</v>
      </c>
      <c r="BI102" s="25" t="e">
        <f t="shared" si="22"/>
        <v>#REF!</v>
      </c>
      <c r="BJ102" s="25" t="e">
        <f t="shared" si="12"/>
        <v>#REF!</v>
      </c>
    </row>
    <row r="103" spans="1:62" hidden="1" x14ac:dyDescent="0.25">
      <c r="A103" s="20" t="s">
        <v>482</v>
      </c>
      <c r="B103" s="19">
        <v>45689</v>
      </c>
      <c r="C103" s="20" t="s">
        <v>8</v>
      </c>
      <c r="D103" s="20" t="s">
        <v>597</v>
      </c>
      <c r="E103" s="20">
        <v>5</v>
      </c>
      <c r="F103" s="20" t="s">
        <v>424</v>
      </c>
      <c r="G103" s="20" t="s">
        <v>313</v>
      </c>
      <c r="H103" s="20" t="s">
        <v>317</v>
      </c>
      <c r="I103" s="21">
        <v>45628</v>
      </c>
      <c r="J103" s="22"/>
      <c r="K103" s="23" t="s">
        <v>419</v>
      </c>
      <c r="L103" s="24" t="s">
        <v>318</v>
      </c>
      <c r="M103" s="24" t="s">
        <v>319</v>
      </c>
      <c r="N103" s="25">
        <v>4000</v>
      </c>
      <c r="O103" s="25">
        <v>4000</v>
      </c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6">
        <f t="shared" si="15"/>
        <v>4000</v>
      </c>
      <c r="AE103" s="25"/>
      <c r="AF103" s="25"/>
      <c r="AG103" s="25"/>
      <c r="AH103" s="27"/>
      <c r="AI103" s="25"/>
      <c r="AJ103" s="25"/>
      <c r="AK103" s="25"/>
      <c r="AL103" s="25"/>
      <c r="AM103" s="25"/>
      <c r="AN103" s="27"/>
      <c r="AO103" s="27"/>
      <c r="AP103" s="25"/>
      <c r="AQ103" s="25"/>
      <c r="AR103" s="25"/>
      <c r="AS103" s="25"/>
      <c r="AT103" s="25"/>
      <c r="AU103" s="25"/>
      <c r="AV103" s="26">
        <f t="shared" si="14"/>
        <v>0</v>
      </c>
      <c r="AW103" s="25">
        <f t="shared" si="16"/>
        <v>4000</v>
      </c>
      <c r="AX103" s="25"/>
      <c r="AY103" s="26">
        <f t="shared" si="17"/>
        <v>4000</v>
      </c>
      <c r="AZ103" s="25">
        <f t="shared" ref="AZ103:AZ105" si="32">AD103/12</f>
        <v>333.33333333333331</v>
      </c>
      <c r="BA103" s="25">
        <f t="shared" si="24"/>
        <v>333.33333333333331</v>
      </c>
      <c r="BB103" s="25">
        <f t="shared" ref="BB103:BB105" si="33">BA103/3</f>
        <v>111.1111111111111</v>
      </c>
      <c r="BC103" s="25">
        <f t="shared" si="21"/>
        <v>777.77777777777771</v>
      </c>
      <c r="BD103" s="25"/>
      <c r="BE103" s="25"/>
      <c r="BF103" s="25"/>
      <c r="BG103" s="25"/>
      <c r="BH103" s="25">
        <f t="shared" si="25"/>
        <v>0</v>
      </c>
      <c r="BI103" s="25">
        <f t="shared" si="22"/>
        <v>4000</v>
      </c>
      <c r="BJ103" s="25">
        <f t="shared" si="12"/>
        <v>4777.7777777777774</v>
      </c>
    </row>
    <row r="104" spans="1:62" hidden="1" x14ac:dyDescent="0.25">
      <c r="A104" s="20" t="s">
        <v>666</v>
      </c>
      <c r="B104" s="19">
        <v>45689</v>
      </c>
      <c r="C104" s="20" t="s">
        <v>5</v>
      </c>
      <c r="D104" s="20" t="s">
        <v>577</v>
      </c>
      <c r="E104" s="20"/>
      <c r="F104" s="20" t="s">
        <v>273</v>
      </c>
      <c r="G104" s="20" t="s">
        <v>178</v>
      </c>
      <c r="H104" s="20" t="s">
        <v>81</v>
      </c>
      <c r="I104" s="21">
        <v>45679</v>
      </c>
      <c r="J104" s="22"/>
      <c r="K104" s="23" t="s">
        <v>419</v>
      </c>
      <c r="L104" s="24" t="s">
        <v>276</v>
      </c>
      <c r="M104" s="24" t="s">
        <v>621</v>
      </c>
      <c r="N104" s="25" t="e">
        <f>VLOOKUP(A104,#REF!,12,0)</f>
        <v>#REF!</v>
      </c>
      <c r="O104" s="25" t="e">
        <f>VLOOKUP(A104,#REF!,15,0)</f>
        <v>#REF!</v>
      </c>
      <c r="P104" s="25" t="e">
        <f>VLOOKUP(A104,#REF!,16,0)</f>
        <v>#REF!</v>
      </c>
      <c r="Q104" s="25" t="e">
        <f>VLOOKUP(A104,#REF!,17,0)</f>
        <v>#REF!</v>
      </c>
      <c r="R104" s="25" t="e">
        <f>VLOOKUP(A104,#REF!,18,0)</f>
        <v>#REF!</v>
      </c>
      <c r="S104" s="25" t="e">
        <f>VLOOKUP(A104,#REF!,19,0)</f>
        <v>#REF!</v>
      </c>
      <c r="T104" s="25" t="e">
        <f>VLOOKUP(A104,#REF!,20,0)</f>
        <v>#REF!</v>
      </c>
      <c r="U104" s="25" t="e">
        <f>VLOOKUP(A104,#REF!,21,0)</f>
        <v>#REF!</v>
      </c>
      <c r="V104" s="25" t="e">
        <f>VLOOKUP(A104,#REF!,22,0)</f>
        <v>#REF!</v>
      </c>
      <c r="W104" s="25" t="e">
        <f>VLOOKUP(A104,#REF!,23,0)</f>
        <v>#REF!</v>
      </c>
      <c r="X104" s="25" t="e">
        <f>VLOOKUP(A104,#REF!,24,0)</f>
        <v>#REF!</v>
      </c>
      <c r="Y104" s="25" t="e">
        <f>VLOOKUP(A104,#REF!,25,0)</f>
        <v>#REF!</v>
      </c>
      <c r="Z104" s="25" t="e">
        <f>VLOOKUP(A104,#REF!,26,0)</f>
        <v>#REF!</v>
      </c>
      <c r="AA104" s="25" t="e">
        <f>VLOOKUP(A104,#REF!,27,0)</f>
        <v>#REF!</v>
      </c>
      <c r="AB104" s="25" t="e">
        <f>VLOOKUP(A104,#REF!,28,0)</f>
        <v>#REF!</v>
      </c>
      <c r="AC104" s="25" t="e">
        <f>VLOOKUP(A104,#REF!,29,0)</f>
        <v>#REF!</v>
      </c>
      <c r="AD104" s="26" t="e">
        <f t="shared" si="15"/>
        <v>#REF!</v>
      </c>
      <c r="AE104" s="25" t="e">
        <f>VLOOKUP(A104,#REF!,31,0)</f>
        <v>#REF!</v>
      </c>
      <c r="AF104" s="25" t="e">
        <f>VLOOKUP(A104,#REF!,32,0)</f>
        <v>#REF!</v>
      </c>
      <c r="AG104" s="25"/>
      <c r="AH104" s="27"/>
      <c r="AI104" s="25" t="e">
        <f>VLOOKUP(A104,#REF!,30,0)</f>
        <v>#REF!</v>
      </c>
      <c r="AJ104" s="25" t="e">
        <f>VLOOKUP(A104,#REF!,31,0)</f>
        <v>#REF!</v>
      </c>
      <c r="AK104" s="25" t="e">
        <f>VLOOKUP(A104,#REF!,33,0)</f>
        <v>#REF!</v>
      </c>
      <c r="AL104" s="25" t="e">
        <f>VLOOKUP(A104,#REF!,36,0)</f>
        <v>#REF!</v>
      </c>
      <c r="AM104" s="25" t="e">
        <f>VLOOKUP(A104,#REF!,34,0)</f>
        <v>#REF!</v>
      </c>
      <c r="AN104" s="27" t="e">
        <f>VLOOKUP(A104,#REF!,35,0)</f>
        <v>#REF!</v>
      </c>
      <c r="AO104" s="27" t="e">
        <f>VLOOKUP(A104,#REF!,32,0)</f>
        <v>#REF!</v>
      </c>
      <c r="AP104" s="25" t="e">
        <f>VLOOKUP(A104,#REF!,35,0)</f>
        <v>#REF!</v>
      </c>
      <c r="AQ104" s="25" t="e">
        <f>VLOOKUP(A104,#REF!,36,0)</f>
        <v>#REF!</v>
      </c>
      <c r="AR104" s="25" t="e">
        <f>VLOOKUP(A104,#REF!,37,0)</f>
        <v>#REF!</v>
      </c>
      <c r="AS104" s="25" t="e">
        <f>VLOOKUP(A104,#REF!,38,0)</f>
        <v>#REF!</v>
      </c>
      <c r="AT104" s="25" t="e">
        <f>VLOOKUP(A104,#REF!,39,0)</f>
        <v>#REF!</v>
      </c>
      <c r="AU104" s="25"/>
      <c r="AV104" s="26" t="e">
        <f t="shared" si="14"/>
        <v>#REF!</v>
      </c>
      <c r="AW104" s="25" t="e">
        <f t="shared" si="16"/>
        <v>#REF!</v>
      </c>
      <c r="AX104" s="25"/>
      <c r="AY104" s="26" t="e">
        <f t="shared" si="17"/>
        <v>#REF!</v>
      </c>
      <c r="AZ104" s="25" t="e">
        <f t="shared" si="32"/>
        <v>#REF!</v>
      </c>
      <c r="BA104" s="25" t="e">
        <f t="shared" si="24"/>
        <v>#REF!</v>
      </c>
      <c r="BB104" s="25" t="e">
        <f t="shared" si="33"/>
        <v>#REF!</v>
      </c>
      <c r="BC104" s="25" t="e">
        <f t="shared" si="21"/>
        <v>#REF!</v>
      </c>
      <c r="BD104" s="25" t="e">
        <f>VLOOKUP(A104,#REF!,43,0)</f>
        <v>#REF!</v>
      </c>
      <c r="BE104" s="25" t="e">
        <f>VLOOKUP(A104,#REF!,44,0)</f>
        <v>#REF!</v>
      </c>
      <c r="BF104" s="25" t="e">
        <f>VLOOKUP(A104,#REF!,45,0)</f>
        <v>#REF!</v>
      </c>
      <c r="BG104" s="25" t="e">
        <f>VLOOKUP(A104,#REF!,42,0)</f>
        <v>#REF!</v>
      </c>
      <c r="BH104" s="25" t="e">
        <f t="shared" si="25"/>
        <v>#REF!</v>
      </c>
      <c r="BI104" s="25" t="e">
        <f t="shared" si="22"/>
        <v>#REF!</v>
      </c>
      <c r="BJ104" s="25" t="e">
        <f t="shared" si="12"/>
        <v>#REF!</v>
      </c>
    </row>
    <row r="105" spans="1:62" hidden="1" x14ac:dyDescent="0.25">
      <c r="A105" s="20" t="s">
        <v>578</v>
      </c>
      <c r="B105" s="19">
        <v>45689</v>
      </c>
      <c r="C105" s="20" t="s">
        <v>5</v>
      </c>
      <c r="D105" s="20" t="s">
        <v>577</v>
      </c>
      <c r="E105" s="20"/>
      <c r="F105" s="20" t="s">
        <v>273</v>
      </c>
      <c r="G105" s="20" t="s">
        <v>178</v>
      </c>
      <c r="H105" s="20" t="s">
        <v>97</v>
      </c>
      <c r="I105" s="21">
        <v>45670</v>
      </c>
      <c r="J105" s="22"/>
      <c r="K105" s="23" t="s">
        <v>419</v>
      </c>
      <c r="L105" s="24" t="s">
        <v>524</v>
      </c>
      <c r="M105" s="24" t="s">
        <v>511</v>
      </c>
      <c r="N105" s="25" t="e">
        <f>VLOOKUP(A105,#REF!,12,0)</f>
        <v>#REF!</v>
      </c>
      <c r="O105" s="25" t="e">
        <f>VLOOKUP(A105,#REF!,15,0)</f>
        <v>#REF!</v>
      </c>
      <c r="P105" s="25" t="e">
        <f>VLOOKUP(A105,#REF!,16,0)</f>
        <v>#REF!</v>
      </c>
      <c r="Q105" s="25" t="e">
        <f>VLOOKUP(A105,#REF!,17,0)</f>
        <v>#REF!</v>
      </c>
      <c r="R105" s="25" t="e">
        <f>VLOOKUP(A105,#REF!,18,0)</f>
        <v>#REF!</v>
      </c>
      <c r="S105" s="25" t="e">
        <f>VLOOKUP(A105,#REF!,19,0)</f>
        <v>#REF!</v>
      </c>
      <c r="T105" s="25" t="e">
        <f>VLOOKUP(A105,#REF!,20,0)</f>
        <v>#REF!</v>
      </c>
      <c r="U105" s="25" t="e">
        <f>VLOOKUP(A105,#REF!,21,0)</f>
        <v>#REF!</v>
      </c>
      <c r="V105" s="25" t="e">
        <f>VLOOKUP(A105,#REF!,22,0)</f>
        <v>#REF!</v>
      </c>
      <c r="W105" s="25" t="e">
        <f>VLOOKUP(A105,#REF!,23,0)</f>
        <v>#REF!</v>
      </c>
      <c r="X105" s="25" t="e">
        <f>VLOOKUP(A105,#REF!,24,0)</f>
        <v>#REF!</v>
      </c>
      <c r="Y105" s="25" t="e">
        <f>VLOOKUP(A105,#REF!,25,0)</f>
        <v>#REF!</v>
      </c>
      <c r="Z105" s="25" t="e">
        <f>VLOOKUP(A105,#REF!,26,0)</f>
        <v>#REF!</v>
      </c>
      <c r="AA105" s="25" t="e">
        <f>VLOOKUP(A105,#REF!,27,0)</f>
        <v>#REF!</v>
      </c>
      <c r="AB105" s="25" t="e">
        <f>VLOOKUP(A105,#REF!,28,0)</f>
        <v>#REF!</v>
      </c>
      <c r="AC105" s="25" t="e">
        <f>VLOOKUP(A105,#REF!,29,0)</f>
        <v>#REF!</v>
      </c>
      <c r="AD105" s="26" t="e">
        <f t="shared" si="15"/>
        <v>#REF!</v>
      </c>
      <c r="AE105" s="25" t="e">
        <f>VLOOKUP(A105,#REF!,31,0)</f>
        <v>#REF!</v>
      </c>
      <c r="AF105" s="25" t="e">
        <f>VLOOKUP(A105,#REF!,32,0)</f>
        <v>#REF!</v>
      </c>
      <c r="AG105" s="25"/>
      <c r="AH105" s="27"/>
      <c r="AI105" s="25" t="e">
        <f>VLOOKUP(A105,#REF!,30,0)</f>
        <v>#REF!</v>
      </c>
      <c r="AJ105" s="25" t="e">
        <f>VLOOKUP(A105,#REF!,31,0)</f>
        <v>#REF!</v>
      </c>
      <c r="AK105" s="25" t="e">
        <f>VLOOKUP(A105,#REF!,33,0)</f>
        <v>#REF!</v>
      </c>
      <c r="AL105" s="25" t="e">
        <f>VLOOKUP(A105,#REF!,36,0)</f>
        <v>#REF!</v>
      </c>
      <c r="AM105" s="25" t="e">
        <f>VLOOKUP(A105,#REF!,34,0)</f>
        <v>#REF!</v>
      </c>
      <c r="AN105" s="27" t="e">
        <f>VLOOKUP(A105,#REF!,35,0)</f>
        <v>#REF!</v>
      </c>
      <c r="AO105" s="27" t="e">
        <f>VLOOKUP(A105,#REF!,32,0)</f>
        <v>#REF!</v>
      </c>
      <c r="AP105" s="25" t="e">
        <f>VLOOKUP(A105,#REF!,35,0)</f>
        <v>#REF!</v>
      </c>
      <c r="AQ105" s="25" t="e">
        <f>VLOOKUP(A105,#REF!,36,0)</f>
        <v>#REF!</v>
      </c>
      <c r="AR105" s="25" t="e">
        <f>VLOOKUP(A105,#REF!,37,0)</f>
        <v>#REF!</v>
      </c>
      <c r="AS105" s="25" t="e">
        <f>VLOOKUP(A105,#REF!,38,0)</f>
        <v>#REF!</v>
      </c>
      <c r="AT105" s="25" t="e">
        <f>VLOOKUP(A105,#REF!,39,0)</f>
        <v>#REF!</v>
      </c>
      <c r="AU105" s="25"/>
      <c r="AV105" s="26" t="e">
        <f t="shared" si="14"/>
        <v>#REF!</v>
      </c>
      <c r="AW105" s="25" t="e">
        <f t="shared" si="16"/>
        <v>#REF!</v>
      </c>
      <c r="AX105" s="25"/>
      <c r="AY105" s="26" t="e">
        <f t="shared" si="17"/>
        <v>#REF!</v>
      </c>
      <c r="AZ105" s="25" t="e">
        <f t="shared" si="32"/>
        <v>#REF!</v>
      </c>
      <c r="BA105" s="25" t="e">
        <f t="shared" si="24"/>
        <v>#REF!</v>
      </c>
      <c r="BB105" s="25" t="e">
        <f t="shared" si="33"/>
        <v>#REF!</v>
      </c>
      <c r="BC105" s="25" t="e">
        <f t="shared" si="21"/>
        <v>#REF!</v>
      </c>
      <c r="BD105" s="25" t="e">
        <f>VLOOKUP(A105,#REF!,43,0)</f>
        <v>#REF!</v>
      </c>
      <c r="BE105" s="25" t="e">
        <f>VLOOKUP(A105,#REF!,44,0)</f>
        <v>#REF!</v>
      </c>
      <c r="BF105" s="25" t="e">
        <f>VLOOKUP(A105,#REF!,45,0)</f>
        <v>#REF!</v>
      </c>
      <c r="BG105" s="25" t="e">
        <f>VLOOKUP(A105,#REF!,42,0)</f>
        <v>#REF!</v>
      </c>
      <c r="BH105" s="25" t="e">
        <f t="shared" si="25"/>
        <v>#REF!</v>
      </c>
      <c r="BI105" s="25" t="e">
        <f t="shared" si="22"/>
        <v>#REF!</v>
      </c>
      <c r="BJ105" s="25" t="e">
        <f t="shared" si="12"/>
        <v>#REF!</v>
      </c>
    </row>
    <row r="106" spans="1:62" hidden="1" x14ac:dyDescent="0.25">
      <c r="A106" s="20" t="s">
        <v>587</v>
      </c>
      <c r="B106" s="19">
        <v>45689</v>
      </c>
      <c r="C106" s="20" t="s">
        <v>6</v>
      </c>
      <c r="D106" s="20" t="s">
        <v>582</v>
      </c>
      <c r="E106" s="20" t="s">
        <v>292</v>
      </c>
      <c r="F106" s="20" t="s">
        <v>292</v>
      </c>
      <c r="G106" s="20" t="s">
        <v>203</v>
      </c>
      <c r="H106" s="20" t="s">
        <v>244</v>
      </c>
      <c r="I106" s="21">
        <v>45663</v>
      </c>
      <c r="J106" s="22"/>
      <c r="K106" s="23" t="s">
        <v>419</v>
      </c>
      <c r="L106" s="24" t="s">
        <v>245</v>
      </c>
      <c r="M106" s="24" t="s">
        <v>247</v>
      </c>
      <c r="N106" s="25" t="e">
        <f>VLOOKUP(A106,#REF!,12,0)</f>
        <v>#REF!</v>
      </c>
      <c r="O106" s="25">
        <v>1000</v>
      </c>
      <c r="P106" s="25" t="e">
        <f>VLOOKUP(A106,#REF!,16,0)</f>
        <v>#REF!</v>
      </c>
      <c r="Q106" s="25" t="e">
        <f>VLOOKUP(A106,#REF!,17,0)</f>
        <v>#REF!</v>
      </c>
      <c r="R106" s="25" t="e">
        <f>VLOOKUP(A106,#REF!,18,0)</f>
        <v>#REF!</v>
      </c>
      <c r="S106" s="25" t="e">
        <f>VLOOKUP(A106,#REF!,19,0)</f>
        <v>#REF!</v>
      </c>
      <c r="T106" s="25" t="e">
        <f>VLOOKUP(A106,#REF!,20,0)</f>
        <v>#REF!</v>
      </c>
      <c r="U106" s="25" t="e">
        <f>VLOOKUP(A106,#REF!,21,0)</f>
        <v>#REF!</v>
      </c>
      <c r="V106" s="25" t="e">
        <f>VLOOKUP(A106,#REF!,22,0)</f>
        <v>#REF!</v>
      </c>
      <c r="W106" s="25" t="e">
        <f>VLOOKUP(A106,#REF!,23,0)</f>
        <v>#REF!</v>
      </c>
      <c r="X106" s="25" t="e">
        <f>VLOOKUP(A106,#REF!,24,0)</f>
        <v>#REF!</v>
      </c>
      <c r="Y106" s="25" t="e">
        <f>VLOOKUP(A106,#REF!,25,0)</f>
        <v>#REF!</v>
      </c>
      <c r="Z106" s="25" t="e">
        <f>VLOOKUP(A106,#REF!,26,0)</f>
        <v>#REF!</v>
      </c>
      <c r="AA106" s="25" t="e">
        <f>VLOOKUP(A106,#REF!,27,0)</f>
        <v>#REF!</v>
      </c>
      <c r="AB106" s="25" t="e">
        <f>VLOOKUP(A106,#REF!,28,0)</f>
        <v>#REF!</v>
      </c>
      <c r="AC106" s="25" t="e">
        <f>VLOOKUP(A106,#REF!,29,0)</f>
        <v>#REF!</v>
      </c>
      <c r="AD106" s="26" t="e">
        <f t="shared" si="15"/>
        <v>#REF!</v>
      </c>
      <c r="AE106" s="25">
        <v>200</v>
      </c>
      <c r="AF106" s="25" t="e">
        <f>VLOOKUP(A106,#REF!,32,0)</f>
        <v>#REF!</v>
      </c>
      <c r="AG106" s="25"/>
      <c r="AH106" s="27"/>
      <c r="AI106" s="25" t="e">
        <f>VLOOKUP(A106,#REF!,30,0)</f>
        <v>#REF!</v>
      </c>
      <c r="AJ106" s="25" t="e">
        <f>VLOOKUP(A106,#REF!,31,0)</f>
        <v>#REF!</v>
      </c>
      <c r="AK106" s="25" t="e">
        <f>VLOOKUP(A106,#REF!,33,0)</f>
        <v>#REF!</v>
      </c>
      <c r="AL106" s="25" t="e">
        <f>VLOOKUP(A106,#REF!,36,0)</f>
        <v>#REF!</v>
      </c>
      <c r="AM106" s="25" t="e">
        <f>VLOOKUP(A106,#REF!,34,0)</f>
        <v>#REF!</v>
      </c>
      <c r="AN106" s="27"/>
      <c r="AO106" s="27"/>
      <c r="AP106" s="25" t="e">
        <f>VLOOKUP(A106,#REF!,35,0)</f>
        <v>#REF!</v>
      </c>
      <c r="AQ106" s="25" t="e">
        <f>VLOOKUP(A106,#REF!,36,0)</f>
        <v>#REF!</v>
      </c>
      <c r="AR106" s="25" t="e">
        <f>VLOOKUP(A106,#REF!,37,0)</f>
        <v>#REF!</v>
      </c>
      <c r="AS106" s="25" t="e">
        <f>VLOOKUP(A106,#REF!,38,0)</f>
        <v>#REF!</v>
      </c>
      <c r="AT106" s="25" t="e">
        <f>VLOOKUP(A106,#REF!,39,0)</f>
        <v>#REF!</v>
      </c>
      <c r="AU106" s="25"/>
      <c r="AV106" s="26" t="e">
        <f t="shared" si="14"/>
        <v>#REF!</v>
      </c>
      <c r="AW106" s="25" t="e">
        <f t="shared" si="16"/>
        <v>#REF!</v>
      </c>
      <c r="AX106" s="25"/>
      <c r="AY106" s="26" t="e">
        <f t="shared" si="17"/>
        <v>#REF!</v>
      </c>
      <c r="AZ106" s="25">
        <v>0</v>
      </c>
      <c r="BA106" s="25">
        <v>0</v>
      </c>
      <c r="BB106" s="25">
        <v>0</v>
      </c>
      <c r="BC106" s="25">
        <f t="shared" si="21"/>
        <v>0</v>
      </c>
      <c r="BD106" s="25" t="e">
        <f>VLOOKUP(A106,#REF!,43,0)</f>
        <v>#REF!</v>
      </c>
      <c r="BE106" s="25" t="e">
        <f>VLOOKUP(A106,#REF!,44,0)</f>
        <v>#REF!</v>
      </c>
      <c r="BF106" s="25" t="e">
        <f>VLOOKUP(A106,#REF!,45,0)</f>
        <v>#REF!</v>
      </c>
      <c r="BG106" s="25" t="e">
        <f>VLOOKUP(A106,#REF!,42,0)</f>
        <v>#REF!</v>
      </c>
      <c r="BH106" s="25" t="e">
        <f t="shared" si="25"/>
        <v>#REF!</v>
      </c>
      <c r="BI106" s="25" t="e">
        <f t="shared" si="22"/>
        <v>#REF!</v>
      </c>
      <c r="BJ106" s="25" t="e">
        <f t="shared" ref="BJ106:BJ113" si="34">SUM(AY106+BH106+BC106)</f>
        <v>#REF!</v>
      </c>
    </row>
    <row r="107" spans="1:62" hidden="1" x14ac:dyDescent="0.25">
      <c r="A107" s="20" t="s">
        <v>133</v>
      </c>
      <c r="B107" s="19">
        <v>45689</v>
      </c>
      <c r="C107" s="20" t="s">
        <v>5</v>
      </c>
      <c r="D107" s="20" t="s">
        <v>594</v>
      </c>
      <c r="E107" s="20"/>
      <c r="F107" s="20" t="s">
        <v>356</v>
      </c>
      <c r="G107" s="20" t="s">
        <v>464</v>
      </c>
      <c r="H107" s="20" t="s">
        <v>97</v>
      </c>
      <c r="I107" s="21">
        <v>45664</v>
      </c>
      <c r="J107" s="22"/>
      <c r="K107" s="23" t="s">
        <v>419</v>
      </c>
      <c r="L107" s="24" t="s">
        <v>513</v>
      </c>
      <c r="M107" s="24" t="s">
        <v>508</v>
      </c>
      <c r="N107" s="25" t="e">
        <f>VLOOKUP(A107,#REF!,12,0)</f>
        <v>#REF!</v>
      </c>
      <c r="O107" s="25" t="e">
        <f>VLOOKUP(A107,#REF!,15,0)</f>
        <v>#REF!</v>
      </c>
      <c r="P107" s="25" t="e">
        <f>VLOOKUP(A107,#REF!,16,0)</f>
        <v>#REF!</v>
      </c>
      <c r="Q107" s="25" t="e">
        <f>VLOOKUP(A107,#REF!,17,0)</f>
        <v>#REF!</v>
      </c>
      <c r="R107" s="25" t="e">
        <f>VLOOKUP(A107,#REF!,18,0)</f>
        <v>#REF!</v>
      </c>
      <c r="S107" s="25" t="e">
        <f>VLOOKUP(A107,#REF!,19,0)</f>
        <v>#REF!</v>
      </c>
      <c r="T107" s="25" t="e">
        <f>VLOOKUP(A107,#REF!,20,0)</f>
        <v>#REF!</v>
      </c>
      <c r="U107" s="25" t="e">
        <f>VLOOKUP(A107,#REF!,21,0)</f>
        <v>#REF!</v>
      </c>
      <c r="V107" s="25" t="e">
        <f>VLOOKUP(A107,#REF!,22,0)</f>
        <v>#REF!</v>
      </c>
      <c r="W107" s="25" t="e">
        <f>VLOOKUP(A107,#REF!,23,0)</f>
        <v>#REF!</v>
      </c>
      <c r="X107" s="25" t="e">
        <f>VLOOKUP(A107,#REF!,24,0)</f>
        <v>#REF!</v>
      </c>
      <c r="Y107" s="25" t="e">
        <f>VLOOKUP(A107,#REF!,25,0)</f>
        <v>#REF!</v>
      </c>
      <c r="Z107" s="25" t="e">
        <f>VLOOKUP(A107,#REF!,26,0)</f>
        <v>#REF!</v>
      </c>
      <c r="AA107" s="25" t="e">
        <f>VLOOKUP(A107,#REF!,27,0)</f>
        <v>#REF!</v>
      </c>
      <c r="AB107" s="25" t="e">
        <f>VLOOKUP(A107,#REF!,28,0)</f>
        <v>#REF!</v>
      </c>
      <c r="AC107" s="25" t="e">
        <f>VLOOKUP(A107,#REF!,29,0)</f>
        <v>#REF!</v>
      </c>
      <c r="AD107" s="26" t="e">
        <f t="shared" si="15"/>
        <v>#REF!</v>
      </c>
      <c r="AE107" s="25" t="e">
        <f>VLOOKUP(A107,#REF!,31,0)</f>
        <v>#REF!</v>
      </c>
      <c r="AF107" s="25" t="e">
        <f>VLOOKUP(A107,#REF!,32,0)</f>
        <v>#REF!</v>
      </c>
      <c r="AG107" s="25"/>
      <c r="AH107" s="27"/>
      <c r="AI107" s="25" t="e">
        <f>VLOOKUP(A107,#REF!,30,0)</f>
        <v>#REF!</v>
      </c>
      <c r="AJ107" s="25" t="e">
        <f>VLOOKUP(A107,#REF!,31,0)</f>
        <v>#REF!</v>
      </c>
      <c r="AK107" s="25" t="e">
        <f>VLOOKUP(A107,#REF!,33,0)</f>
        <v>#REF!</v>
      </c>
      <c r="AL107" s="25" t="e">
        <f>VLOOKUP(A107,#REF!,36,0)</f>
        <v>#REF!</v>
      </c>
      <c r="AM107" s="25" t="e">
        <f>VLOOKUP(A107,#REF!,34,0)</f>
        <v>#REF!</v>
      </c>
      <c r="AN107" s="27" t="e">
        <f>VLOOKUP(A107,#REF!,35,0)</f>
        <v>#REF!</v>
      </c>
      <c r="AO107" s="27" t="e">
        <f>VLOOKUP(A107,#REF!,32,0)</f>
        <v>#REF!</v>
      </c>
      <c r="AP107" s="25" t="e">
        <f>VLOOKUP(A107,#REF!,35,0)</f>
        <v>#REF!</v>
      </c>
      <c r="AQ107" s="25" t="e">
        <f>VLOOKUP(A107,#REF!,36,0)</f>
        <v>#REF!</v>
      </c>
      <c r="AR107" s="25" t="e">
        <f>VLOOKUP(A107,#REF!,37,0)</f>
        <v>#REF!</v>
      </c>
      <c r="AS107" s="25" t="e">
        <f>VLOOKUP(A107,#REF!,38,0)</f>
        <v>#REF!</v>
      </c>
      <c r="AT107" s="25" t="e">
        <f>VLOOKUP(A107,#REF!,39,0)</f>
        <v>#REF!</v>
      </c>
      <c r="AU107" s="25"/>
      <c r="AV107" s="26" t="e">
        <f t="shared" si="14"/>
        <v>#REF!</v>
      </c>
      <c r="AW107" s="25" t="e">
        <f t="shared" si="16"/>
        <v>#REF!</v>
      </c>
      <c r="AX107" s="25"/>
      <c r="AY107" s="26" t="e">
        <f t="shared" si="17"/>
        <v>#REF!</v>
      </c>
      <c r="AZ107" s="25" t="e">
        <f t="shared" ref="AZ107" si="35">AD107/12</f>
        <v>#REF!</v>
      </c>
      <c r="BA107" s="25" t="e">
        <f t="shared" si="24"/>
        <v>#REF!</v>
      </c>
      <c r="BB107" s="25" t="e">
        <f t="shared" ref="BB107" si="36">BA107/3</f>
        <v>#REF!</v>
      </c>
      <c r="BC107" s="25" t="e">
        <f t="shared" si="21"/>
        <v>#REF!</v>
      </c>
      <c r="BD107" s="25" t="e">
        <f>VLOOKUP(A107,#REF!,43,0)</f>
        <v>#REF!</v>
      </c>
      <c r="BE107" s="25" t="e">
        <f>VLOOKUP(A107,#REF!,44,0)</f>
        <v>#REF!</v>
      </c>
      <c r="BF107" s="25" t="e">
        <f>VLOOKUP(A107,#REF!,45,0)</f>
        <v>#REF!</v>
      </c>
      <c r="BG107" s="25" t="e">
        <f>VLOOKUP(A107,#REF!,42,0)</f>
        <v>#REF!</v>
      </c>
      <c r="BH107" s="25" t="e">
        <f t="shared" si="25"/>
        <v>#REF!</v>
      </c>
      <c r="BI107" s="25" t="e">
        <f t="shared" si="22"/>
        <v>#REF!</v>
      </c>
      <c r="BJ107" s="25" t="e">
        <f t="shared" si="34"/>
        <v>#REF!</v>
      </c>
    </row>
    <row r="108" spans="1:62" hidden="1" x14ac:dyDescent="0.25">
      <c r="A108" s="33" t="s">
        <v>352</v>
      </c>
      <c r="B108" s="32">
        <v>45689</v>
      </c>
      <c r="C108" s="33" t="s">
        <v>6</v>
      </c>
      <c r="D108" s="33" t="s">
        <v>588</v>
      </c>
      <c r="E108" s="33" t="s">
        <v>312</v>
      </c>
      <c r="F108" s="33" t="s">
        <v>312</v>
      </c>
      <c r="G108" s="33" t="s">
        <v>313</v>
      </c>
      <c r="H108" s="33" t="s">
        <v>195</v>
      </c>
      <c r="I108" s="34">
        <v>45663</v>
      </c>
      <c r="J108" s="22"/>
      <c r="K108" s="23" t="s">
        <v>419</v>
      </c>
      <c r="L108" s="24" t="s">
        <v>318</v>
      </c>
      <c r="M108" s="24" t="s">
        <v>638</v>
      </c>
      <c r="N108" s="25" t="e">
        <f>VLOOKUP(A108,#REF!,12,0)</f>
        <v>#REF!</v>
      </c>
      <c r="O108" s="25">
        <v>1000</v>
      </c>
      <c r="P108" s="25" t="e">
        <f>VLOOKUP(A108,#REF!,16,0)</f>
        <v>#REF!</v>
      </c>
      <c r="Q108" s="25" t="e">
        <f>VLOOKUP(A108,#REF!,17,0)</f>
        <v>#REF!</v>
      </c>
      <c r="R108" s="25" t="e">
        <f>VLOOKUP(A108,#REF!,18,0)</f>
        <v>#REF!</v>
      </c>
      <c r="S108" s="25" t="e">
        <f>VLOOKUP(A108,#REF!,19,0)</f>
        <v>#REF!</v>
      </c>
      <c r="T108" s="25" t="e">
        <f>VLOOKUP(A108,#REF!,20,0)</f>
        <v>#REF!</v>
      </c>
      <c r="U108" s="25" t="e">
        <f>VLOOKUP(A108,#REF!,21,0)</f>
        <v>#REF!</v>
      </c>
      <c r="V108" s="25" t="e">
        <f>VLOOKUP(A108,#REF!,22,0)</f>
        <v>#REF!</v>
      </c>
      <c r="W108" s="25" t="e">
        <f>VLOOKUP(A108,#REF!,23,0)</f>
        <v>#REF!</v>
      </c>
      <c r="X108" s="25" t="e">
        <f>VLOOKUP(A108,#REF!,24,0)</f>
        <v>#REF!</v>
      </c>
      <c r="Y108" s="25" t="e">
        <f>VLOOKUP(A108,#REF!,25,0)</f>
        <v>#REF!</v>
      </c>
      <c r="Z108" s="25" t="e">
        <f>VLOOKUP(A108,#REF!,26,0)</f>
        <v>#REF!</v>
      </c>
      <c r="AA108" s="25" t="e">
        <f>VLOOKUP(A108,#REF!,27,0)</f>
        <v>#REF!</v>
      </c>
      <c r="AB108" s="25" t="e">
        <f>VLOOKUP(A108,#REF!,28,0)</f>
        <v>#REF!</v>
      </c>
      <c r="AC108" s="25" t="e">
        <f>VLOOKUP(A108,#REF!,29,0)</f>
        <v>#REF!</v>
      </c>
      <c r="AD108" s="26" t="e">
        <f t="shared" si="15"/>
        <v>#REF!</v>
      </c>
      <c r="AE108" s="25">
        <v>200</v>
      </c>
      <c r="AF108" s="25" t="e">
        <f>VLOOKUP(A108,#REF!,32,0)</f>
        <v>#REF!</v>
      </c>
      <c r="AG108" s="25"/>
      <c r="AH108" s="27"/>
      <c r="AI108" s="25" t="e">
        <f>VLOOKUP(A108,#REF!,30,0)</f>
        <v>#REF!</v>
      </c>
      <c r="AJ108" s="25" t="e">
        <f>VLOOKUP(A108,#REF!,31,0)</f>
        <v>#REF!</v>
      </c>
      <c r="AK108" s="25" t="e">
        <f>VLOOKUP(A108,#REF!,33,0)</f>
        <v>#REF!</v>
      </c>
      <c r="AL108" s="25" t="e">
        <f>VLOOKUP(A108,#REF!,36,0)</f>
        <v>#REF!</v>
      </c>
      <c r="AM108" s="25" t="e">
        <f>VLOOKUP(A108,#REF!,34,0)</f>
        <v>#REF!</v>
      </c>
      <c r="AN108" s="27"/>
      <c r="AO108" s="27"/>
      <c r="AP108" s="25" t="e">
        <f>VLOOKUP(A108,#REF!,35,0)</f>
        <v>#REF!</v>
      </c>
      <c r="AQ108" s="25" t="e">
        <f>VLOOKUP(A108,#REF!,36,0)</f>
        <v>#REF!</v>
      </c>
      <c r="AR108" s="25" t="e">
        <f>VLOOKUP(A108,#REF!,37,0)</f>
        <v>#REF!</v>
      </c>
      <c r="AS108" s="25" t="e">
        <f>VLOOKUP(A108,#REF!,38,0)</f>
        <v>#REF!</v>
      </c>
      <c r="AT108" s="25" t="e">
        <f>VLOOKUP(A108,#REF!,39,0)</f>
        <v>#REF!</v>
      </c>
      <c r="AU108" s="25"/>
      <c r="AV108" s="26" t="e">
        <f t="shared" si="14"/>
        <v>#REF!</v>
      </c>
      <c r="AW108" s="25" t="e">
        <f t="shared" si="16"/>
        <v>#REF!</v>
      </c>
      <c r="AX108" s="25"/>
      <c r="AY108" s="26" t="e">
        <f t="shared" si="17"/>
        <v>#REF!</v>
      </c>
      <c r="AZ108" s="25">
        <v>0</v>
      </c>
      <c r="BA108" s="25">
        <v>0</v>
      </c>
      <c r="BB108" s="25">
        <v>0</v>
      </c>
      <c r="BC108" s="25">
        <f t="shared" si="21"/>
        <v>0</v>
      </c>
      <c r="BD108" s="25" t="e">
        <f>VLOOKUP(A108,#REF!,43,0)</f>
        <v>#REF!</v>
      </c>
      <c r="BE108" s="25" t="e">
        <f>VLOOKUP(A108,#REF!,44,0)</f>
        <v>#REF!</v>
      </c>
      <c r="BF108" s="25" t="e">
        <f>VLOOKUP(A108,#REF!,45,0)</f>
        <v>#REF!</v>
      </c>
      <c r="BG108" s="25" t="e">
        <f>VLOOKUP(A108,#REF!,42,0)</f>
        <v>#REF!</v>
      </c>
      <c r="BH108" s="25" t="e">
        <f t="shared" si="25"/>
        <v>#REF!</v>
      </c>
      <c r="BI108" s="25" t="e">
        <f t="shared" si="22"/>
        <v>#REF!</v>
      </c>
      <c r="BJ108" s="25" t="e">
        <f t="shared" si="34"/>
        <v>#REF!</v>
      </c>
    </row>
    <row r="109" spans="1:62" hidden="1" x14ac:dyDescent="0.25">
      <c r="A109" s="20" t="s">
        <v>335</v>
      </c>
      <c r="B109" s="19">
        <v>45689</v>
      </c>
      <c r="C109" s="20" t="s">
        <v>5</v>
      </c>
      <c r="D109" s="20" t="s">
        <v>588</v>
      </c>
      <c r="E109" s="20" t="s">
        <v>292</v>
      </c>
      <c r="F109" s="20" t="s">
        <v>312</v>
      </c>
      <c r="G109" s="20" t="s">
        <v>313</v>
      </c>
      <c r="H109" s="20" t="s">
        <v>317</v>
      </c>
      <c r="I109" s="21">
        <v>45671</v>
      </c>
      <c r="J109" s="22"/>
      <c r="K109" s="23" t="s">
        <v>419</v>
      </c>
      <c r="L109" s="24" t="s">
        <v>318</v>
      </c>
      <c r="M109" s="24" t="s">
        <v>319</v>
      </c>
      <c r="N109" s="25" t="e">
        <f>VLOOKUP(A109,#REF!,12,0)</f>
        <v>#REF!</v>
      </c>
      <c r="O109" s="25" t="e">
        <f>VLOOKUP(A109,#REF!,15,0)</f>
        <v>#REF!</v>
      </c>
      <c r="P109" s="25" t="e">
        <f>VLOOKUP(A109,#REF!,16,0)</f>
        <v>#REF!</v>
      </c>
      <c r="Q109" s="25" t="e">
        <f>VLOOKUP(A109,#REF!,17,0)</f>
        <v>#REF!</v>
      </c>
      <c r="R109" s="25" t="e">
        <f>VLOOKUP(A109,#REF!,18,0)</f>
        <v>#REF!</v>
      </c>
      <c r="S109" s="25" t="e">
        <f>VLOOKUP(A109,#REF!,19,0)</f>
        <v>#REF!</v>
      </c>
      <c r="T109" s="25" t="e">
        <f>VLOOKUP(A109,#REF!,20,0)</f>
        <v>#REF!</v>
      </c>
      <c r="U109" s="25" t="e">
        <f>VLOOKUP(A109,#REF!,21,0)</f>
        <v>#REF!</v>
      </c>
      <c r="V109" s="25" t="e">
        <f>VLOOKUP(A109,#REF!,22,0)</f>
        <v>#REF!</v>
      </c>
      <c r="W109" s="25" t="e">
        <f>VLOOKUP(A109,#REF!,23,0)</f>
        <v>#REF!</v>
      </c>
      <c r="X109" s="25" t="e">
        <f>VLOOKUP(A109,#REF!,24,0)</f>
        <v>#REF!</v>
      </c>
      <c r="Y109" s="25" t="e">
        <f>VLOOKUP(A109,#REF!,25,0)</f>
        <v>#REF!</v>
      </c>
      <c r="Z109" s="25" t="e">
        <f>VLOOKUP(A109,#REF!,26,0)</f>
        <v>#REF!</v>
      </c>
      <c r="AA109" s="25" t="e">
        <f>VLOOKUP(A109,#REF!,27,0)</f>
        <v>#REF!</v>
      </c>
      <c r="AB109" s="25" t="e">
        <f>VLOOKUP(A109,#REF!,28,0)</f>
        <v>#REF!</v>
      </c>
      <c r="AC109" s="25" t="e">
        <f>VLOOKUP(A109,#REF!,29,0)</f>
        <v>#REF!</v>
      </c>
      <c r="AD109" s="26">
        <v>1081.74</v>
      </c>
      <c r="AE109" s="25" t="e">
        <f>VLOOKUP(A109,#REF!,31,0)</f>
        <v>#REF!</v>
      </c>
      <c r="AF109" s="25" t="e">
        <f>VLOOKUP(A109,#REF!,32,0)</f>
        <v>#REF!</v>
      </c>
      <c r="AG109" s="25"/>
      <c r="AH109" s="27"/>
      <c r="AI109" s="25" t="e">
        <f>VLOOKUP(A109,#REF!,30,0)</f>
        <v>#REF!</v>
      </c>
      <c r="AJ109" s="25" t="e">
        <f>VLOOKUP(A109,#REF!,31,0)</f>
        <v>#REF!</v>
      </c>
      <c r="AK109" s="25" t="e">
        <f>VLOOKUP(A109,#REF!,33,0)</f>
        <v>#REF!</v>
      </c>
      <c r="AL109" s="25" t="e">
        <f>VLOOKUP(A109,#REF!,36,0)</f>
        <v>#REF!</v>
      </c>
      <c r="AM109" s="25" t="e">
        <f>VLOOKUP(A109,#REF!,34,0)</f>
        <v>#REF!</v>
      </c>
      <c r="AN109" s="27" t="e">
        <f>VLOOKUP(A109,#REF!,35,0)</f>
        <v>#REF!</v>
      </c>
      <c r="AO109" s="27" t="e">
        <f>VLOOKUP(A109,#REF!,32,0)</f>
        <v>#REF!</v>
      </c>
      <c r="AP109" s="25" t="e">
        <f>VLOOKUP(A109,#REF!,35,0)</f>
        <v>#REF!</v>
      </c>
      <c r="AQ109" s="25" t="e">
        <f>VLOOKUP(A109,#REF!,36,0)</f>
        <v>#REF!</v>
      </c>
      <c r="AR109" s="25" t="e">
        <f>VLOOKUP(A109,#REF!,37,0)</f>
        <v>#REF!</v>
      </c>
      <c r="AS109" s="25" t="e">
        <f>VLOOKUP(A109,#REF!,38,0)</f>
        <v>#REF!</v>
      </c>
      <c r="AT109" s="25" t="e">
        <f>VLOOKUP(A109,#REF!,39,0)</f>
        <v>#REF!</v>
      </c>
      <c r="AU109" s="25"/>
      <c r="AV109" s="26" t="e">
        <f t="shared" si="14"/>
        <v>#REF!</v>
      </c>
      <c r="AW109" s="25" t="e">
        <f t="shared" si="16"/>
        <v>#REF!</v>
      </c>
      <c r="AX109" s="25"/>
      <c r="AY109" s="26" t="e">
        <f t="shared" si="17"/>
        <v>#REF!</v>
      </c>
      <c r="AZ109" s="25">
        <f t="shared" ref="AZ109" si="37">AD109/12</f>
        <v>90.144999999999996</v>
      </c>
      <c r="BA109" s="25">
        <f t="shared" si="24"/>
        <v>90.144999999999996</v>
      </c>
      <c r="BB109" s="25">
        <f t="shared" ref="BB109" si="38">BA109/3</f>
        <v>30.048333333333332</v>
      </c>
      <c r="BC109" s="25">
        <f t="shared" si="21"/>
        <v>210.33833333333331</v>
      </c>
      <c r="BD109" s="25" t="e">
        <f>VLOOKUP(A109,#REF!,43,0)</f>
        <v>#REF!</v>
      </c>
      <c r="BE109" s="25" t="e">
        <f>VLOOKUP(A109,#REF!,44,0)</f>
        <v>#REF!</v>
      </c>
      <c r="BF109" s="25" t="e">
        <f>VLOOKUP(A109,#REF!,45,0)</f>
        <v>#REF!</v>
      </c>
      <c r="BG109" s="25" t="e">
        <f>VLOOKUP(A109,#REF!,42,0)</f>
        <v>#REF!</v>
      </c>
      <c r="BH109" s="25" t="e">
        <f t="shared" si="25"/>
        <v>#REF!</v>
      </c>
      <c r="BI109" s="25" t="e">
        <f t="shared" si="22"/>
        <v>#REF!</v>
      </c>
      <c r="BJ109" s="25" t="e">
        <f t="shared" si="34"/>
        <v>#REF!</v>
      </c>
    </row>
    <row r="110" spans="1:62" hidden="1" x14ac:dyDescent="0.25">
      <c r="A110" s="35" t="s">
        <v>551</v>
      </c>
      <c r="B110" s="38">
        <v>45689</v>
      </c>
      <c r="C110" s="30" t="s">
        <v>6</v>
      </c>
      <c r="D110" s="39" t="s">
        <v>588</v>
      </c>
      <c r="E110" s="39" t="s">
        <v>312</v>
      </c>
      <c r="F110" s="37" t="s">
        <v>292</v>
      </c>
      <c r="G110" s="39" t="s">
        <v>313</v>
      </c>
      <c r="H110" s="39" t="s">
        <v>195</v>
      </c>
      <c r="I110" s="36">
        <v>45691</v>
      </c>
      <c r="J110" s="37"/>
      <c r="K110" s="29" t="s">
        <v>419</v>
      </c>
      <c r="L110" s="30" t="s">
        <v>318</v>
      </c>
      <c r="M110" s="37" t="s">
        <v>247</v>
      </c>
      <c r="N110" s="31" t="e">
        <f>VLOOKUP(A110,#REF!,12,0)</f>
        <v>#REF!</v>
      </c>
      <c r="O110" s="31">
        <v>866.67</v>
      </c>
      <c r="P110" s="31" t="e">
        <f>VLOOKUP(A110,#REF!,16,0)</f>
        <v>#REF!</v>
      </c>
      <c r="Q110" s="31" t="e">
        <f>VLOOKUP(A110,#REF!,17,0)</f>
        <v>#REF!</v>
      </c>
      <c r="R110" s="31" t="e">
        <f>VLOOKUP(A110,#REF!,18,0)</f>
        <v>#REF!</v>
      </c>
      <c r="S110" s="31" t="e">
        <f>VLOOKUP(A110,#REF!,19,0)</f>
        <v>#REF!</v>
      </c>
      <c r="T110" s="31" t="e">
        <f>VLOOKUP(A110,#REF!,20,0)</f>
        <v>#REF!</v>
      </c>
      <c r="U110" s="31" t="e">
        <f>VLOOKUP(A110,#REF!,21,0)</f>
        <v>#REF!</v>
      </c>
      <c r="V110" s="31" t="e">
        <f>VLOOKUP(A110,#REF!,22,0)</f>
        <v>#REF!</v>
      </c>
      <c r="W110" s="31" t="e">
        <f>VLOOKUP(A110,#REF!,23,0)</f>
        <v>#REF!</v>
      </c>
      <c r="X110" s="31" t="e">
        <f>VLOOKUP(A110,#REF!,24,0)</f>
        <v>#REF!</v>
      </c>
      <c r="Y110" s="31" t="e">
        <f>VLOOKUP(A110,#REF!,25,0)</f>
        <v>#REF!</v>
      </c>
      <c r="Z110" s="31" t="e">
        <f>VLOOKUP(A110,#REF!,26,0)</f>
        <v>#REF!</v>
      </c>
      <c r="AA110" s="31" t="e">
        <f>VLOOKUP(A110,#REF!,27,0)</f>
        <v>#REF!</v>
      </c>
      <c r="AB110" s="31" t="e">
        <f>VLOOKUP(A110,#REF!,28,0)</f>
        <v>#REF!</v>
      </c>
      <c r="AC110" s="31" t="e">
        <f>VLOOKUP(A110,#REF!,29,0)</f>
        <v>#REF!</v>
      </c>
      <c r="AD110" s="31" t="e">
        <f t="shared" ref="AD110:AD113" si="39">SUM(O110:AC110)</f>
        <v>#REF!</v>
      </c>
      <c r="AE110" s="31">
        <v>200</v>
      </c>
      <c r="AF110" s="31" t="e">
        <f>VLOOKUP(A110,#REF!,32,0)</f>
        <v>#REF!</v>
      </c>
      <c r="AG110" s="31"/>
      <c r="AH110" s="31"/>
      <c r="AI110" s="31" t="e">
        <f>VLOOKUP(A110,#REF!,30,0)</f>
        <v>#REF!</v>
      </c>
      <c r="AJ110" s="31" t="e">
        <f>VLOOKUP(A110,#REF!,31,0)</f>
        <v>#REF!</v>
      </c>
      <c r="AK110" s="31" t="e">
        <f>VLOOKUP(A110,#REF!,33,0)</f>
        <v>#REF!</v>
      </c>
      <c r="AL110" s="31" t="e">
        <f>VLOOKUP(A110,#REF!,36,0)</f>
        <v>#REF!</v>
      </c>
      <c r="AM110" s="31" t="e">
        <f>VLOOKUP(A110,#REF!,34,0)</f>
        <v>#REF!</v>
      </c>
      <c r="AN110" s="31"/>
      <c r="AO110" s="31"/>
      <c r="AP110" s="31" t="e">
        <f>VLOOKUP(A110,#REF!,35,0)</f>
        <v>#REF!</v>
      </c>
      <c r="AQ110" s="31" t="e">
        <f>VLOOKUP(A110,#REF!,36,0)</f>
        <v>#REF!</v>
      </c>
      <c r="AR110" s="31" t="e">
        <f>VLOOKUP(A110,#REF!,37,0)</f>
        <v>#REF!</v>
      </c>
      <c r="AS110" s="31" t="e">
        <f>VLOOKUP(A110,#REF!,38,0)</f>
        <v>#REF!</v>
      </c>
      <c r="AT110" s="31" t="e">
        <f>VLOOKUP(A110,#REF!,39,0)</f>
        <v>#REF!</v>
      </c>
      <c r="AU110" s="31"/>
      <c r="AV110" s="31" t="e">
        <f t="shared" si="14"/>
        <v>#REF!</v>
      </c>
      <c r="AW110" s="31" t="e">
        <f t="shared" si="16"/>
        <v>#REF!</v>
      </c>
      <c r="AX110" s="31"/>
      <c r="AY110" s="31" t="e">
        <f t="shared" si="17"/>
        <v>#REF!</v>
      </c>
      <c r="AZ110" s="31">
        <v>0</v>
      </c>
      <c r="BA110" s="31" t="e">
        <f>AD110/12</f>
        <v>#REF!</v>
      </c>
      <c r="BB110" s="31">
        <v>0</v>
      </c>
      <c r="BC110" s="31" t="e">
        <f t="shared" si="21"/>
        <v>#REF!</v>
      </c>
      <c r="BD110" s="31" t="e">
        <f>VLOOKUP(A110,#REF!,43,0)</f>
        <v>#REF!</v>
      </c>
      <c r="BE110" s="31" t="e">
        <f>VLOOKUP(A110,#REF!,44,0)</f>
        <v>#REF!</v>
      </c>
      <c r="BF110" s="31" t="e">
        <f>VLOOKUP(A110,#REF!,45,0)</f>
        <v>#REF!</v>
      </c>
      <c r="BG110" s="31" t="e">
        <f>VLOOKUP(A110,#REF!,42,0)</f>
        <v>#REF!</v>
      </c>
      <c r="BH110" s="31" t="e">
        <f t="shared" si="25"/>
        <v>#REF!</v>
      </c>
      <c r="BI110" s="31" t="e">
        <f t="shared" si="22"/>
        <v>#REF!</v>
      </c>
      <c r="BJ110" s="31" t="e">
        <f t="shared" si="34"/>
        <v>#REF!</v>
      </c>
    </row>
    <row r="111" spans="1:62" hidden="1" x14ac:dyDescent="0.25">
      <c r="A111" s="35" t="s">
        <v>557</v>
      </c>
      <c r="B111" s="38">
        <v>45689</v>
      </c>
      <c r="C111" s="30" t="s">
        <v>6</v>
      </c>
      <c r="D111" s="39" t="s">
        <v>588</v>
      </c>
      <c r="E111" s="39" t="s">
        <v>312</v>
      </c>
      <c r="F111" s="37" t="s">
        <v>292</v>
      </c>
      <c r="G111" s="39" t="s">
        <v>313</v>
      </c>
      <c r="H111" s="39" t="s">
        <v>195</v>
      </c>
      <c r="I111" s="36">
        <v>45693</v>
      </c>
      <c r="J111" s="37"/>
      <c r="K111" s="29" t="s">
        <v>419</v>
      </c>
      <c r="L111" s="30" t="s">
        <v>318</v>
      </c>
      <c r="M111" s="37" t="s">
        <v>247</v>
      </c>
      <c r="N111" s="31" t="e">
        <f>VLOOKUP(A111,#REF!,12,0)</f>
        <v>#REF!</v>
      </c>
      <c r="O111" s="31">
        <v>800</v>
      </c>
      <c r="P111" s="31" t="e">
        <f>VLOOKUP(A111,#REF!,16,0)</f>
        <v>#REF!</v>
      </c>
      <c r="Q111" s="31" t="e">
        <f>VLOOKUP(A111,#REF!,17,0)</f>
        <v>#REF!</v>
      </c>
      <c r="R111" s="31" t="e">
        <f>VLOOKUP(A111,#REF!,18,0)</f>
        <v>#REF!</v>
      </c>
      <c r="S111" s="31" t="e">
        <f>VLOOKUP(A111,#REF!,19,0)</f>
        <v>#REF!</v>
      </c>
      <c r="T111" s="31" t="e">
        <f>VLOOKUP(A111,#REF!,20,0)</f>
        <v>#REF!</v>
      </c>
      <c r="U111" s="31" t="e">
        <f>VLOOKUP(A111,#REF!,21,0)</f>
        <v>#REF!</v>
      </c>
      <c r="V111" s="31" t="e">
        <f>VLOOKUP(A111,#REF!,22,0)</f>
        <v>#REF!</v>
      </c>
      <c r="W111" s="31" t="e">
        <f>VLOOKUP(A111,#REF!,23,0)</f>
        <v>#REF!</v>
      </c>
      <c r="X111" s="31" t="e">
        <f>VLOOKUP(A111,#REF!,24,0)</f>
        <v>#REF!</v>
      </c>
      <c r="Y111" s="31" t="e">
        <f>VLOOKUP(A111,#REF!,25,0)</f>
        <v>#REF!</v>
      </c>
      <c r="Z111" s="31" t="e">
        <f>VLOOKUP(A111,#REF!,26,0)</f>
        <v>#REF!</v>
      </c>
      <c r="AA111" s="31" t="e">
        <f>VLOOKUP(A111,#REF!,27,0)</f>
        <v>#REF!</v>
      </c>
      <c r="AB111" s="31" t="e">
        <f>VLOOKUP(A111,#REF!,28,0)</f>
        <v>#REF!</v>
      </c>
      <c r="AC111" s="31" t="e">
        <f>VLOOKUP(A111,#REF!,29,0)</f>
        <v>#REF!</v>
      </c>
      <c r="AD111" s="31" t="e">
        <f t="shared" si="39"/>
        <v>#REF!</v>
      </c>
      <c r="AE111" s="31">
        <f>200+171.43</f>
        <v>371.43</v>
      </c>
      <c r="AF111" s="31" t="e">
        <f>VLOOKUP(A111,#REF!,32,0)</f>
        <v>#REF!</v>
      </c>
      <c r="AG111" s="31"/>
      <c r="AH111" s="31"/>
      <c r="AI111" s="31" t="e">
        <f>VLOOKUP(A111,#REF!,30,0)</f>
        <v>#REF!</v>
      </c>
      <c r="AJ111" s="31" t="e">
        <f>VLOOKUP(A111,#REF!,31,0)</f>
        <v>#REF!</v>
      </c>
      <c r="AK111" s="31" t="e">
        <f>VLOOKUP(A111,#REF!,33,0)</f>
        <v>#REF!</v>
      </c>
      <c r="AL111" s="31" t="e">
        <f>VLOOKUP(A111,#REF!,36,0)</f>
        <v>#REF!</v>
      </c>
      <c r="AM111" s="31" t="e">
        <f>VLOOKUP(A111,#REF!,34,0)</f>
        <v>#REF!</v>
      </c>
      <c r="AN111" s="31"/>
      <c r="AO111" s="31"/>
      <c r="AP111" s="31" t="e">
        <f>VLOOKUP(A111,#REF!,35,0)</f>
        <v>#REF!</v>
      </c>
      <c r="AQ111" s="31" t="e">
        <f>VLOOKUP(A111,#REF!,36,0)</f>
        <v>#REF!</v>
      </c>
      <c r="AR111" s="31" t="e">
        <f>VLOOKUP(A111,#REF!,37,0)</f>
        <v>#REF!</v>
      </c>
      <c r="AS111" s="31" t="e">
        <f>VLOOKUP(A111,#REF!,38,0)</f>
        <v>#REF!</v>
      </c>
      <c r="AT111" s="31" t="e">
        <f>VLOOKUP(A111,#REF!,39,0)</f>
        <v>#REF!</v>
      </c>
      <c r="AU111" s="31"/>
      <c r="AV111" s="31" t="e">
        <f t="shared" si="14"/>
        <v>#REF!</v>
      </c>
      <c r="AW111" s="31" t="e">
        <f t="shared" si="16"/>
        <v>#REF!</v>
      </c>
      <c r="AX111" s="31"/>
      <c r="AY111" s="31" t="e">
        <f t="shared" si="17"/>
        <v>#REF!</v>
      </c>
      <c r="AZ111" s="31">
        <v>0</v>
      </c>
      <c r="BA111" s="31" t="e">
        <f>AD111/12</f>
        <v>#REF!</v>
      </c>
      <c r="BB111" s="31">
        <v>0</v>
      </c>
      <c r="BC111" s="31" t="e">
        <f t="shared" si="21"/>
        <v>#REF!</v>
      </c>
      <c r="BD111" s="31" t="e">
        <f>VLOOKUP(A111,#REF!,43,0)</f>
        <v>#REF!</v>
      </c>
      <c r="BE111" s="31" t="e">
        <f>VLOOKUP(A111,#REF!,44,0)</f>
        <v>#REF!</v>
      </c>
      <c r="BF111" s="31" t="e">
        <f>VLOOKUP(A111,#REF!,45,0)</f>
        <v>#REF!</v>
      </c>
      <c r="BG111" s="31" t="e">
        <f>VLOOKUP(A111,#REF!,42,0)</f>
        <v>#REF!</v>
      </c>
      <c r="BH111" s="31" t="e">
        <f t="shared" si="25"/>
        <v>#REF!</v>
      </c>
      <c r="BI111" s="31" t="e">
        <f t="shared" si="22"/>
        <v>#REF!</v>
      </c>
      <c r="BJ111" s="31" t="e">
        <f t="shared" si="34"/>
        <v>#REF!</v>
      </c>
    </row>
    <row r="112" spans="1:62" hidden="1" x14ac:dyDescent="0.25">
      <c r="A112" t="s">
        <v>554</v>
      </c>
      <c r="B112" s="38">
        <v>45689</v>
      </c>
      <c r="C112" s="24" t="s">
        <v>5</v>
      </c>
      <c r="D112" s="24" t="s">
        <v>588</v>
      </c>
      <c r="E112" s="24"/>
      <c r="F112" s="24" t="s">
        <v>312</v>
      </c>
      <c r="G112" s="24" t="s">
        <v>313</v>
      </c>
      <c r="H112" s="24" t="s">
        <v>329</v>
      </c>
      <c r="I112" s="21">
        <v>45700</v>
      </c>
      <c r="J112" s="22"/>
      <c r="K112" s="23" t="s">
        <v>419</v>
      </c>
      <c r="L112" s="24" t="s">
        <v>330</v>
      </c>
      <c r="M112" s="24" t="s">
        <v>504</v>
      </c>
      <c r="N112" s="25">
        <v>1979.25</v>
      </c>
      <c r="O112" s="25">
        <v>989.63</v>
      </c>
      <c r="P112" s="31" t="e">
        <f>VLOOKUP(A112,#REF!,16,0)</f>
        <v>#REF!</v>
      </c>
      <c r="Q112" s="31" t="e">
        <f>VLOOKUP(A112,#REF!,17,0)</f>
        <v>#REF!</v>
      </c>
      <c r="R112" s="31" t="e">
        <f>VLOOKUP(A112,#REF!,18,0)</f>
        <v>#REF!</v>
      </c>
      <c r="S112" s="31" t="e">
        <f>VLOOKUP(A112,#REF!,19,0)</f>
        <v>#REF!</v>
      </c>
      <c r="T112" s="31" t="e">
        <f>VLOOKUP(A112,#REF!,20,0)</f>
        <v>#REF!</v>
      </c>
      <c r="U112" s="31" t="e">
        <f>VLOOKUP(A112,#REF!,21,0)</f>
        <v>#REF!</v>
      </c>
      <c r="V112" s="31" t="e">
        <f>VLOOKUP(A112,#REF!,22,0)</f>
        <v>#REF!</v>
      </c>
      <c r="W112" s="31" t="e">
        <f>VLOOKUP(A112,#REF!,23,0)</f>
        <v>#REF!</v>
      </c>
      <c r="X112" s="31" t="e">
        <f>VLOOKUP(A112,#REF!,24,0)</f>
        <v>#REF!</v>
      </c>
      <c r="Y112" s="31" t="e">
        <f>VLOOKUP(A112,#REF!,25,0)</f>
        <v>#REF!</v>
      </c>
      <c r="Z112" s="31" t="e">
        <f>VLOOKUP(A112,#REF!,26,0)</f>
        <v>#REF!</v>
      </c>
      <c r="AA112" s="31" t="e">
        <f>VLOOKUP(A112,#REF!,27,0)</f>
        <v>#REF!</v>
      </c>
      <c r="AB112" s="31" t="e">
        <f>VLOOKUP(A112,#REF!,28,0)</f>
        <v>#REF!</v>
      </c>
      <c r="AC112" s="31" t="e">
        <f>VLOOKUP(A112,#REF!,29,0)</f>
        <v>#REF!</v>
      </c>
      <c r="AD112" s="31" t="e">
        <f t="shared" si="39"/>
        <v>#REF!</v>
      </c>
      <c r="AE112" s="31">
        <f t="shared" ref="AE112:AE113" si="40">200+171.43</f>
        <v>371.43</v>
      </c>
      <c r="AF112" s="31" t="e">
        <f>VLOOKUP(A112,#REF!,32,0)</f>
        <v>#REF!</v>
      </c>
      <c r="AG112" s="31"/>
      <c r="AH112" s="31"/>
      <c r="AI112" s="31" t="e">
        <f>VLOOKUP(A112,#REF!,30,0)</f>
        <v>#REF!</v>
      </c>
      <c r="AJ112" s="31" t="e">
        <f>VLOOKUP(A112,#REF!,31,0)</f>
        <v>#REF!</v>
      </c>
      <c r="AK112" s="31" t="e">
        <f>VLOOKUP(A112,#REF!,33,0)</f>
        <v>#REF!</v>
      </c>
      <c r="AL112" s="31" t="e">
        <f>VLOOKUP(A112,#REF!,36,0)</f>
        <v>#REF!</v>
      </c>
      <c r="AM112" s="31" t="e">
        <f>VLOOKUP(A112,#REF!,34,0)</f>
        <v>#REF!</v>
      </c>
      <c r="AN112" s="31"/>
      <c r="AO112" s="31"/>
      <c r="AP112" s="31" t="e">
        <f>VLOOKUP(A112,#REF!,35,0)</f>
        <v>#REF!</v>
      </c>
      <c r="AQ112" s="31" t="e">
        <f>VLOOKUP(A112,#REF!,36,0)</f>
        <v>#REF!</v>
      </c>
      <c r="AR112" s="31" t="e">
        <f>VLOOKUP(A112,#REF!,37,0)</f>
        <v>#REF!</v>
      </c>
      <c r="AS112" s="31" t="e">
        <f>VLOOKUP(A112,#REF!,38,0)</f>
        <v>#REF!</v>
      </c>
      <c r="AT112" s="31" t="e">
        <f>VLOOKUP(A112,#REF!,39,0)</f>
        <v>#REF!</v>
      </c>
      <c r="AU112" s="31"/>
      <c r="AV112" s="31" t="e">
        <f t="shared" si="14"/>
        <v>#REF!</v>
      </c>
      <c r="AW112" s="31" t="e">
        <f t="shared" si="16"/>
        <v>#REF!</v>
      </c>
      <c r="AX112" s="31"/>
      <c r="AY112" s="31" t="e">
        <f t="shared" si="17"/>
        <v>#REF!</v>
      </c>
      <c r="AZ112" s="31">
        <v>0</v>
      </c>
      <c r="BA112" s="31" t="e">
        <f t="shared" ref="BA112:BA113" si="41">AD112/12</f>
        <v>#REF!</v>
      </c>
      <c r="BB112" s="31">
        <v>0</v>
      </c>
      <c r="BC112" s="31" t="e">
        <f t="shared" si="21"/>
        <v>#REF!</v>
      </c>
      <c r="BD112" s="31" t="e">
        <f>VLOOKUP(A112,#REF!,43,0)</f>
        <v>#REF!</v>
      </c>
      <c r="BE112" s="31" t="e">
        <f>VLOOKUP(A112,#REF!,44,0)</f>
        <v>#REF!</v>
      </c>
      <c r="BF112" s="31" t="e">
        <f>VLOOKUP(A112,#REF!,45,0)</f>
        <v>#REF!</v>
      </c>
      <c r="BG112" s="31" t="e">
        <f>VLOOKUP(A112,#REF!,42,0)</f>
        <v>#REF!</v>
      </c>
      <c r="BH112" s="31" t="e">
        <f t="shared" si="25"/>
        <v>#REF!</v>
      </c>
      <c r="BI112" s="31" t="e">
        <f t="shared" si="22"/>
        <v>#REF!</v>
      </c>
      <c r="BJ112" s="31" t="e">
        <f t="shared" si="34"/>
        <v>#REF!</v>
      </c>
    </row>
    <row r="113" spans="1:62" hidden="1" x14ac:dyDescent="0.25">
      <c r="A113" t="s">
        <v>336</v>
      </c>
      <c r="B113" s="38">
        <v>45689</v>
      </c>
      <c r="C113" s="24" t="s">
        <v>5</v>
      </c>
      <c r="D113" s="24" t="s">
        <v>588</v>
      </c>
      <c r="E113" s="24"/>
      <c r="F113" s="24" t="s">
        <v>312</v>
      </c>
      <c r="G113" s="24" t="s">
        <v>313</v>
      </c>
      <c r="H113" s="24" t="s">
        <v>97</v>
      </c>
      <c r="I113" s="21">
        <v>45701</v>
      </c>
      <c r="J113" s="22"/>
      <c r="K113" s="23" t="s">
        <v>419</v>
      </c>
      <c r="L113" s="24" t="s">
        <v>314</v>
      </c>
      <c r="M113" s="24" t="s">
        <v>552</v>
      </c>
      <c r="N113" s="25">
        <v>2178.12</v>
      </c>
      <c r="O113" s="25">
        <v>1161.6600000000001</v>
      </c>
      <c r="P113" s="31" t="e">
        <f>VLOOKUP(A113,#REF!,16,0)</f>
        <v>#REF!</v>
      </c>
      <c r="Q113" s="31" t="e">
        <f>VLOOKUP(A113,#REF!,17,0)</f>
        <v>#REF!</v>
      </c>
      <c r="R113" s="31" t="e">
        <f>VLOOKUP(A113,#REF!,18,0)</f>
        <v>#REF!</v>
      </c>
      <c r="S113" s="31" t="e">
        <f>VLOOKUP(A113,#REF!,19,0)</f>
        <v>#REF!</v>
      </c>
      <c r="T113" s="31" t="e">
        <f>VLOOKUP(A113,#REF!,20,0)</f>
        <v>#REF!</v>
      </c>
      <c r="U113" s="31" t="e">
        <f>VLOOKUP(A113,#REF!,21,0)</f>
        <v>#REF!</v>
      </c>
      <c r="V113" s="31" t="e">
        <f>VLOOKUP(A113,#REF!,22,0)</f>
        <v>#REF!</v>
      </c>
      <c r="W113" s="31" t="e">
        <f>VLOOKUP(A113,#REF!,23,0)</f>
        <v>#REF!</v>
      </c>
      <c r="X113" s="31" t="e">
        <f>VLOOKUP(A113,#REF!,24,0)</f>
        <v>#REF!</v>
      </c>
      <c r="Y113" s="31" t="e">
        <f>VLOOKUP(A113,#REF!,25,0)</f>
        <v>#REF!</v>
      </c>
      <c r="Z113" s="31" t="e">
        <f>VLOOKUP(A113,#REF!,26,0)</f>
        <v>#REF!</v>
      </c>
      <c r="AA113" s="31" t="e">
        <f>VLOOKUP(A113,#REF!,27,0)</f>
        <v>#REF!</v>
      </c>
      <c r="AB113" s="31" t="e">
        <f>VLOOKUP(A113,#REF!,28,0)</f>
        <v>#REF!</v>
      </c>
      <c r="AC113" s="31" t="e">
        <f>VLOOKUP(A113,#REF!,29,0)</f>
        <v>#REF!</v>
      </c>
      <c r="AD113" s="31" t="e">
        <f t="shared" si="39"/>
        <v>#REF!</v>
      </c>
      <c r="AE113" s="31">
        <f t="shared" si="40"/>
        <v>371.43</v>
      </c>
      <c r="AF113" s="31" t="e">
        <f>VLOOKUP(A113,#REF!,32,0)</f>
        <v>#REF!</v>
      </c>
      <c r="AG113" s="31"/>
      <c r="AH113" s="31"/>
      <c r="AI113" s="31" t="e">
        <f>VLOOKUP(A113,#REF!,30,0)</f>
        <v>#REF!</v>
      </c>
      <c r="AJ113" s="31" t="e">
        <f>VLOOKUP(A113,#REF!,31,0)</f>
        <v>#REF!</v>
      </c>
      <c r="AK113" s="31" t="e">
        <f>VLOOKUP(A113,#REF!,33,0)</f>
        <v>#REF!</v>
      </c>
      <c r="AL113" s="31" t="e">
        <f>VLOOKUP(A113,#REF!,36,0)</f>
        <v>#REF!</v>
      </c>
      <c r="AM113" s="31" t="e">
        <f>VLOOKUP(A113,#REF!,34,0)</f>
        <v>#REF!</v>
      </c>
      <c r="AN113" s="31"/>
      <c r="AO113" s="31"/>
      <c r="AP113" s="31" t="e">
        <f>VLOOKUP(A113,#REF!,35,0)</f>
        <v>#REF!</v>
      </c>
      <c r="AQ113" s="31" t="e">
        <f>VLOOKUP(A113,#REF!,36,0)</f>
        <v>#REF!</v>
      </c>
      <c r="AR113" s="31" t="e">
        <f>VLOOKUP(A113,#REF!,37,0)</f>
        <v>#REF!</v>
      </c>
      <c r="AS113" s="31" t="e">
        <f>VLOOKUP(A113,#REF!,38,0)</f>
        <v>#REF!</v>
      </c>
      <c r="AT113" s="31" t="e">
        <f>VLOOKUP(A113,#REF!,39,0)</f>
        <v>#REF!</v>
      </c>
      <c r="AU113" s="31"/>
      <c r="AV113" s="31" t="e">
        <f t="shared" si="14"/>
        <v>#REF!</v>
      </c>
      <c r="AW113" s="31" t="e">
        <f t="shared" si="16"/>
        <v>#REF!</v>
      </c>
      <c r="AX113" s="31"/>
      <c r="AY113" s="31" t="e">
        <f t="shared" si="17"/>
        <v>#REF!</v>
      </c>
      <c r="AZ113" s="31">
        <v>0</v>
      </c>
      <c r="BA113" s="31" t="e">
        <f t="shared" si="41"/>
        <v>#REF!</v>
      </c>
      <c r="BB113" s="31">
        <v>0</v>
      </c>
      <c r="BC113" s="31" t="e">
        <f t="shared" si="21"/>
        <v>#REF!</v>
      </c>
      <c r="BD113" s="31" t="e">
        <f>VLOOKUP(A113,#REF!,43,0)</f>
        <v>#REF!</v>
      </c>
      <c r="BE113" s="31" t="e">
        <f>VLOOKUP(A113,#REF!,44,0)</f>
        <v>#REF!</v>
      </c>
      <c r="BF113" s="31" t="e">
        <f>VLOOKUP(A113,#REF!,45,0)</f>
        <v>#REF!</v>
      </c>
      <c r="BG113" s="31" t="e">
        <f>VLOOKUP(A113,#REF!,42,0)</f>
        <v>#REF!</v>
      </c>
      <c r="BH113" s="31" t="e">
        <f t="shared" si="25"/>
        <v>#REF!</v>
      </c>
      <c r="BI113" s="31" t="e">
        <f t="shared" si="22"/>
        <v>#REF!</v>
      </c>
      <c r="BJ113" s="31" t="e">
        <f t="shared" si="34"/>
        <v>#REF!</v>
      </c>
    </row>
  </sheetData>
  <autoFilter ref="A1:BK113" xr:uid="{A1D6719D-642C-4654-99F7-87FD6CE0AA1C}">
    <filterColumn colId="0">
      <filters>
        <filter val="NIVALDO MATEUS"/>
      </filters>
    </filterColumn>
  </autoFilter>
  <printOptions horizontalCentered="1"/>
  <pageMargins left="0.511811024" right="0.511811024" top="0.78740157499999996" bottom="0.78740157499999996" header="0.31496062000000002" footer="0.31496062000000002"/>
  <pageSetup paperSize="9" scale="2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CA574-7460-41EF-8B5D-188A312AA43A}">
  <sheetPr>
    <tabColor rgb="FF0070C0"/>
    <pageSetUpPr fitToPage="1"/>
  </sheetPr>
  <dimension ref="A1:Q185"/>
  <sheetViews>
    <sheetView showGridLines="0" tabSelected="1" topLeftCell="C1" zoomScale="90" zoomScaleNormal="90" workbookViewId="0">
      <pane ySplit="2" topLeftCell="A15" activePane="bottomLeft" state="frozen"/>
      <selection activeCell="X49" sqref="X49"/>
      <selection pane="bottomLeft" activeCell="E13" sqref="E13"/>
    </sheetView>
  </sheetViews>
  <sheetFormatPr defaultColWidth="9.140625" defaultRowHeight="15.75" x14ac:dyDescent="0.25"/>
  <cols>
    <col min="1" max="1" width="10.42578125" style="1" bestFit="1" customWidth="1"/>
    <col min="2" max="2" width="45.7109375" style="1" bestFit="1" customWidth="1"/>
    <col min="3" max="3" width="19.28515625" style="1" bestFit="1" customWidth="1"/>
    <col min="4" max="4" width="20.7109375" style="2" bestFit="1" customWidth="1"/>
    <col min="5" max="5" width="47.7109375" style="2" bestFit="1" customWidth="1"/>
    <col min="6" max="6" width="12" style="1" customWidth="1"/>
    <col min="7" max="7" width="31.28515625" style="2" customWidth="1"/>
    <col min="8" max="8" width="19.7109375" style="2" customWidth="1"/>
    <col min="9" max="9" width="19.7109375" style="1" bestFit="1" customWidth="1"/>
    <col min="10" max="10" width="12.42578125" style="1" bestFit="1" customWidth="1"/>
    <col min="11" max="11" width="15.5703125" style="2" bestFit="1" customWidth="1"/>
    <col min="12" max="12" width="11.7109375" style="40" customWidth="1"/>
    <col min="13" max="13" width="12.42578125" style="6" bestFit="1" customWidth="1"/>
    <col min="14" max="14" width="8.140625" style="4" bestFit="1" customWidth="1"/>
    <col min="15" max="15" width="16.28515625" style="1" bestFit="1" customWidth="1"/>
    <col min="16" max="16" width="4.42578125" customWidth="1"/>
    <col min="17" max="16384" width="9.140625" style="1"/>
  </cols>
  <sheetData>
    <row r="1" spans="1:17" ht="15.6" customHeight="1" x14ac:dyDescent="0.25">
      <c r="A1" s="90" t="s">
        <v>667</v>
      </c>
      <c r="B1" s="164" t="s">
        <v>668</v>
      </c>
      <c r="C1" s="164"/>
      <c r="D1" s="164"/>
      <c r="E1" s="164"/>
      <c r="G1" s="1"/>
      <c r="H1" s="1"/>
      <c r="I1" s="80">
        <f>SUBTOTAL(9,I3:I136)</f>
        <v>79781.767777777743</v>
      </c>
      <c r="J1" s="80">
        <f>SUBTOTAL(9,J3:J136)</f>
        <v>125989.59000000003</v>
      </c>
      <c r="K1" s="163" t="s">
        <v>669</v>
      </c>
      <c r="L1" s="163"/>
      <c r="M1" s="80">
        <f>SUBTOTAL(9,M3:M136)</f>
        <v>762072.00999999954</v>
      </c>
      <c r="N1" s="1"/>
      <c r="O1" s="80">
        <f>[1]GERAL!$M$1</f>
        <v>650106.75999999978</v>
      </c>
    </row>
    <row r="2" spans="1:17" s="7" customFormat="1" ht="28.9" customHeight="1" x14ac:dyDescent="0.25">
      <c r="A2" s="8" t="s">
        <v>670</v>
      </c>
      <c r="B2" s="8" t="s">
        <v>362</v>
      </c>
      <c r="C2" s="8" t="s">
        <v>671</v>
      </c>
      <c r="D2" s="8" t="s">
        <v>672</v>
      </c>
      <c r="E2" s="8" t="s">
        <v>673</v>
      </c>
      <c r="F2" s="8" t="s">
        <v>674</v>
      </c>
      <c r="G2" s="8" t="s">
        <v>675</v>
      </c>
      <c r="H2" s="8" t="s">
        <v>13</v>
      </c>
      <c r="I2" s="9" t="s">
        <v>676</v>
      </c>
      <c r="J2" s="9" t="s">
        <v>677</v>
      </c>
      <c r="K2" s="8" t="s">
        <v>678</v>
      </c>
      <c r="L2" s="41" t="s">
        <v>679</v>
      </c>
      <c r="M2" s="9" t="s">
        <v>680</v>
      </c>
      <c r="N2" s="9" t="s">
        <v>681</v>
      </c>
      <c r="O2" s="9" t="s">
        <v>682</v>
      </c>
    </row>
    <row r="3" spans="1:17" ht="15" customHeight="1" x14ac:dyDescent="0.25">
      <c r="A3" s="43">
        <v>1</v>
      </c>
      <c r="B3" s="71" t="s">
        <v>443</v>
      </c>
      <c r="C3" s="43" t="str">
        <f>IFERROR(VLOOKUP($B3,'BASE+TOMADOR'!$A:$BS,3,FALSE),0)</f>
        <v>PJ</v>
      </c>
      <c r="D3" s="71" t="str">
        <f>VLOOKUP($B3,'BASE+TOMADOR'!$A:$BS,8,FALSE)</f>
        <v>SELETIVA APOIO</v>
      </c>
      <c r="E3" s="71" t="str">
        <f>VLOOKUP($B3,'BASE+TOMADOR'!$A:$BS,15,FALSE)</f>
        <v>GERENTE</v>
      </c>
      <c r="F3" s="43" t="str">
        <f>VLOOKUP($B3,'BASE+TOMADOR'!$A:$BS,71,FALSE)</f>
        <v>Ativo</v>
      </c>
      <c r="G3" s="71" t="str">
        <f>VLOOKUP($B3,'BASE+TOMADOR'!$A:$BS,4,FALSE)</f>
        <v>G3S  FL 04 - PRES PRUD</v>
      </c>
      <c r="H3" s="71" t="str">
        <f>VLOOKUP($B3,'BASE+TOMADOR'!$A:$BS,7,FALSE)</f>
        <v>CONTRATO PJ</v>
      </c>
      <c r="I3" s="72">
        <f>IFERROR(VLOOKUP($B3,'BASE+TOMADOR'!$A:$BS,62,FALSE),0)</f>
        <v>1853.5466666666669</v>
      </c>
      <c r="J3" s="72">
        <f>IFERROR(VLOOKUP($B3,'BASE+TOMADOR'!$A:$BS,67,FALSE),0)</f>
        <v>0</v>
      </c>
      <c r="K3" s="73">
        <f>VLOOKUP($B3,'BASE+TOMADOR'!$A:$BS,55,FALSE)</f>
        <v>512.87</v>
      </c>
      <c r="L3" s="73">
        <f>IFERROR(VLOOKUP($B3,'BASE+TOMADOR'!$A:$BS,56,FALSE),0)</f>
        <v>22755.43</v>
      </c>
      <c r="M3" s="72">
        <f>IFERROR(VLOOKUP($B3,'BASE+TOMADOR'!$A:$BS,58,FALSE),0)</f>
        <v>22755.43</v>
      </c>
      <c r="N3" s="74">
        <f t="shared" ref="N3:N34" si="0">M3/$M$1</f>
        <v>2.9859947224672397E-2</v>
      </c>
      <c r="O3" s="72">
        <f>IFERROR(VLOOKUP(B3,'[1]BASE+TOMADOR'!$A:$BF,58,0),0)</f>
        <v>20647.240000000002</v>
      </c>
      <c r="P3" s="67">
        <f t="shared" ref="P3:P34" si="1">M3-O3</f>
        <v>2108.1899999999987</v>
      </c>
    </row>
    <row r="4" spans="1:17" ht="15" customHeight="1" x14ac:dyDescent="0.25">
      <c r="A4" s="43">
        <f t="shared" ref="A4:A35" si="2">A3+1</f>
        <v>2</v>
      </c>
      <c r="B4" s="71" t="s">
        <v>281</v>
      </c>
      <c r="C4" s="43" t="str">
        <f>IFERROR(VLOOKUP($B4,'BASE+TOMADOR'!$A:$BS,3,FALSE),0)</f>
        <v>CLT</v>
      </c>
      <c r="D4" s="71" t="str">
        <f>VLOOKUP($B4,'BASE+TOMADOR'!$A:$BS,8,FALSE)</f>
        <v>OPERACIONAL</v>
      </c>
      <c r="E4" s="71" t="str">
        <f>VLOOKUP($B4,'BASE+TOMADOR'!$A:$BS,15,FALSE)</f>
        <v>GERENTE DE PATIO SENIOR</v>
      </c>
      <c r="F4" s="43" t="str">
        <f>VLOOKUP($B4,'BASE+TOMADOR'!$A:$BS,71,FALSE)</f>
        <v>Ativo</v>
      </c>
      <c r="G4" s="71" t="str">
        <f>VLOOKUP($B4,'BASE+TOMADOR'!$A:$BS,4,FALSE)</f>
        <v>G3S  FL 03 - DOURADOS</v>
      </c>
      <c r="H4" s="71" t="str">
        <f>VLOOKUP($B4,'BASE+TOMADOR'!$A:$BS,7,FALSE)</f>
        <v>20.947.332/0003-57</v>
      </c>
      <c r="I4" s="72">
        <f>IFERROR(VLOOKUP($B4,'BASE+TOMADOR'!$A:$BS,62,FALSE),0)</f>
        <v>1933.9444444444446</v>
      </c>
      <c r="J4" s="72">
        <f>IFERROR(VLOOKUP($B4,'BASE+TOMADOR'!$A:$BS,67,FALSE),0)</f>
        <v>4345.63</v>
      </c>
      <c r="K4" s="73">
        <f>VLOOKUP($B4,'BASE+TOMADOR'!$A:$BS,55,FALSE)</f>
        <v>7684.4</v>
      </c>
      <c r="L4" s="73">
        <f>IFERROR(VLOOKUP($B4,'BASE+TOMADOR'!$A:$BS,56,FALSE),0)</f>
        <v>17630.400000000001</v>
      </c>
      <c r="M4" s="72">
        <f>IFERROR(VLOOKUP($B4,'BASE+TOMADOR'!$A:$BS,58,FALSE),0)</f>
        <v>17630.400000000001</v>
      </c>
      <c r="N4" s="74">
        <f t="shared" si="0"/>
        <v>2.3134821603013622E-2</v>
      </c>
      <c r="O4" s="72">
        <f>IFERROR(VLOOKUP(B4,'[1]BASE+TOMADOR'!$A:$BF,58,0),0)</f>
        <v>7542.2000000000007</v>
      </c>
      <c r="P4" s="67">
        <f t="shared" si="1"/>
        <v>10088.200000000001</v>
      </c>
    </row>
    <row r="5" spans="1:17" ht="15" customHeight="1" x14ac:dyDescent="0.25">
      <c r="A5" s="43">
        <f t="shared" si="2"/>
        <v>3</v>
      </c>
      <c r="B5" s="71" t="s">
        <v>458</v>
      </c>
      <c r="C5" s="43" t="str">
        <f>IFERROR(VLOOKUP($B5,'BASE+TOMADOR'!$A:$BS,3,FALSE),0)</f>
        <v>PJ</v>
      </c>
      <c r="D5" s="71" t="str">
        <f>VLOOKUP($B5,'BASE+TOMADOR'!$A:$BS,8,FALSE)</f>
        <v>SELETIVA APOIO</v>
      </c>
      <c r="E5" s="71" t="str">
        <f>VLOOKUP($B5,'BASE+TOMADOR'!$A:$BS,15,FALSE)</f>
        <v>DIRETOR COMERCIAL COMPRA SUCATA</v>
      </c>
      <c r="F5" s="43" t="str">
        <f>VLOOKUP($B5,'BASE+TOMADOR'!$A:$BS,71,FALSE)</f>
        <v>Ativo</v>
      </c>
      <c r="G5" s="71" t="str">
        <f>VLOOKUP($B5,'BASE+TOMADOR'!$A:$BS,4,FALSE)</f>
        <v>G3S  FL 04 - PRES PRUD</v>
      </c>
      <c r="H5" s="71" t="str">
        <f>VLOOKUP($B5,'BASE+TOMADOR'!$A:$BS,7,FALSE)</f>
        <v>CONTRATO PJ</v>
      </c>
      <c r="I5" s="72">
        <f>IFERROR(VLOOKUP($B5,'BASE+TOMADOR'!$A:$BS,62,FALSE),0)</f>
        <v>1250</v>
      </c>
      <c r="J5" s="72">
        <f>IFERROR(VLOOKUP($B5,'BASE+TOMADOR'!$A:$BS,67,FALSE),0)</f>
        <v>0</v>
      </c>
      <c r="K5" s="73">
        <f>VLOOKUP($B5,'BASE+TOMADOR'!$A:$BS,55,FALSE)</f>
        <v>0</v>
      </c>
      <c r="L5" s="73">
        <f>IFERROR(VLOOKUP($B5,'BASE+TOMADOR'!$A:$BS,56,FALSE),0)</f>
        <v>15000</v>
      </c>
      <c r="M5" s="72">
        <f>IFERROR(VLOOKUP($B5,'BASE+TOMADOR'!$A:$BS,58,FALSE),0)</f>
        <v>15000</v>
      </c>
      <c r="N5" s="74">
        <f t="shared" si="0"/>
        <v>1.9683179283805488E-2</v>
      </c>
      <c r="O5" s="72">
        <f>IFERROR(VLOOKUP(B5,'[1]BASE+TOMADOR'!$A:$BF,58,0),0)</f>
        <v>15000</v>
      </c>
      <c r="P5" s="67">
        <f t="shared" si="1"/>
        <v>0</v>
      </c>
    </row>
    <row r="6" spans="1:17" ht="15" customHeight="1" x14ac:dyDescent="0.25">
      <c r="A6" s="43">
        <f t="shared" si="2"/>
        <v>4</v>
      </c>
      <c r="B6" s="71" t="s">
        <v>462</v>
      </c>
      <c r="C6" s="43" t="str">
        <f>IFERROR(VLOOKUP($B6,'BASE+TOMADOR'!$A:$BS,3,FALSE),0)</f>
        <v>PJ</v>
      </c>
      <c r="D6" s="71" t="str">
        <f>VLOOKUP($B6,'BASE+TOMADOR'!$A:$BS,8,FALSE)</f>
        <v>SELETIVA APOIO</v>
      </c>
      <c r="E6" s="71" t="str">
        <f>VLOOKUP($B6,'BASE+TOMADOR'!$A:$BS,15,FALSE)</f>
        <v>GERENTE</v>
      </c>
      <c r="F6" s="43" t="str">
        <f>VLOOKUP($B6,'BASE+TOMADOR'!$A:$BS,71,FALSE)</f>
        <v>Ativo</v>
      </c>
      <c r="G6" s="71" t="str">
        <f>VLOOKUP($B6,'BASE+TOMADOR'!$A:$BS,4,FALSE)</f>
        <v>G3S  FL 04 - PRES PRUD</v>
      </c>
      <c r="H6" s="71" t="str">
        <f>VLOOKUP($B6,'BASE+TOMADOR'!$A:$BS,7,FALSE)</f>
        <v>CONTRATO PJ</v>
      </c>
      <c r="I6" s="72">
        <f>IFERROR(VLOOKUP($B6,'BASE+TOMADOR'!$A:$BS,62,FALSE),0)</f>
        <v>1125</v>
      </c>
      <c r="J6" s="72">
        <f>IFERROR(VLOOKUP($B6,'BASE+TOMADOR'!$A:$BS,67,FALSE),0)</f>
        <v>0</v>
      </c>
      <c r="K6" s="73">
        <f>VLOOKUP($B6,'BASE+TOMADOR'!$A:$BS,55,FALSE)</f>
        <v>21.87</v>
      </c>
      <c r="L6" s="73">
        <f>IFERROR(VLOOKUP($B6,'BASE+TOMADOR'!$A:$BS,56,FALSE),0)</f>
        <v>13521.87</v>
      </c>
      <c r="M6" s="72">
        <f>IFERROR(VLOOKUP($B6,'BASE+TOMADOR'!$A:$BS,58,FALSE),0)</f>
        <v>13521.87</v>
      </c>
      <c r="N6" s="74">
        <f t="shared" si="0"/>
        <v>1.7743559430820729E-2</v>
      </c>
      <c r="O6" s="72">
        <f>IFERROR(VLOOKUP(B6,'[1]BASE+TOMADOR'!$A:$BF,58,0),0)</f>
        <v>13500</v>
      </c>
      <c r="P6" s="67">
        <f t="shared" si="1"/>
        <v>21.8700000000008</v>
      </c>
    </row>
    <row r="7" spans="1:17" s="66" customFormat="1" ht="15" customHeight="1" x14ac:dyDescent="0.25">
      <c r="A7" s="43">
        <f t="shared" si="2"/>
        <v>5</v>
      </c>
      <c r="B7" s="71" t="s">
        <v>100</v>
      </c>
      <c r="C7" s="43" t="str">
        <f>IFERROR(VLOOKUP($B7,'BASE+TOMADOR'!$A:$BS,3,FALSE),0)</f>
        <v>CLT</v>
      </c>
      <c r="D7" s="71" t="str">
        <f>VLOOKUP($B7,'BASE+TOMADOR'!$A:$BS,8,FALSE)</f>
        <v>OPERACIONAL</v>
      </c>
      <c r="E7" s="71" t="str">
        <f>VLOOKUP($B7,'BASE+TOMADOR'!$A:$BS,15,FALSE)</f>
        <v>OPERADOR MANTENEDOR JR</v>
      </c>
      <c r="F7" s="43" t="str">
        <f>VLOOKUP($B7,'BASE+TOMADOR'!$A:$BS,71,FALSE)</f>
        <v>Ativo</v>
      </c>
      <c r="G7" s="71" t="str">
        <f>VLOOKUP($B7,'BASE+TOMADOR'!$A:$BS,4,FALSE)</f>
        <v>G S MATRIZ - PRES PRUD</v>
      </c>
      <c r="H7" s="71" t="str">
        <f>VLOOKUP($B7,'BASE+TOMADOR'!$A:$BS,7,FALSE)</f>
        <v>20.504.237/0001-17</v>
      </c>
      <c r="I7" s="72">
        <f>IFERROR(VLOOKUP($B7,'BASE+TOMADOR'!$A:$BS,62,FALSE),0)</f>
        <v>968.5044444444444</v>
      </c>
      <c r="J7" s="72">
        <f>IFERROR(VLOOKUP($B7,'BASE+TOMADOR'!$A:$BS,67,FALSE),0)</f>
        <v>2274.84</v>
      </c>
      <c r="K7" s="73">
        <f>VLOOKUP($B7,'BASE+TOMADOR'!$A:$BS,55,FALSE)</f>
        <v>7679.53</v>
      </c>
      <c r="L7" s="73">
        <f>IFERROR(VLOOKUP($B7,'BASE+TOMADOR'!$A:$BS,56,FALSE),0)</f>
        <v>12660.41</v>
      </c>
      <c r="M7" s="72">
        <f>IFERROR(VLOOKUP($B7,'BASE+TOMADOR'!$A:$BS,58,FALSE),0)</f>
        <v>12660.41</v>
      </c>
      <c r="N7" s="74">
        <f t="shared" si="0"/>
        <v>1.6613141322432256E-2</v>
      </c>
      <c r="O7" s="72">
        <f>IFERROR(VLOOKUP(B7,'[1]BASE+TOMADOR'!$A:$BF,58,0),0)</f>
        <v>5568.63</v>
      </c>
      <c r="P7" s="67">
        <f t="shared" si="1"/>
        <v>7091.78</v>
      </c>
    </row>
    <row r="8" spans="1:17" ht="15" customHeight="1" x14ac:dyDescent="0.25">
      <c r="A8" s="43">
        <f t="shared" si="2"/>
        <v>6</v>
      </c>
      <c r="B8" s="71" t="s">
        <v>423</v>
      </c>
      <c r="C8" s="43" t="str">
        <f>IFERROR(VLOOKUP($B8,'BASE+TOMADOR'!$A:$BS,3,FALSE),0)</f>
        <v>PJ</v>
      </c>
      <c r="D8" s="71" t="str">
        <f>VLOOKUP($B8,'BASE+TOMADOR'!$A:$BS,8,FALSE)</f>
        <v>PILARES</v>
      </c>
      <c r="E8" s="71" t="str">
        <f>VLOOKUP($B8,'BASE+TOMADOR'!$A:$BS,15,FALSE)</f>
        <v>SUPERVISOR(A) FINANCEIRO</v>
      </c>
      <c r="F8" s="43" t="str">
        <f>VLOOKUP($B8,'BASE+TOMADOR'!$A:$BS,71,FALSE)</f>
        <v>Ativo</v>
      </c>
      <c r="G8" s="71" t="str">
        <f>VLOOKUP($B8,'BASE+TOMADOR'!$A:$BS,4,FALSE)</f>
        <v>G3S FL 10 - PRES PRUD</v>
      </c>
      <c r="H8" s="71" t="str">
        <f>VLOOKUP($B8,'BASE+TOMADOR'!$A:$BS,7,FALSE)</f>
        <v>CONTRATO PJ</v>
      </c>
      <c r="I8" s="72">
        <f>IFERROR(VLOOKUP($B8,'BASE+TOMADOR'!$A:$BS,62,FALSE),0)</f>
        <v>1000</v>
      </c>
      <c r="J8" s="72">
        <f>IFERROR(VLOOKUP($B8,'BASE+TOMADOR'!$A:$BS,67,FALSE),0)</f>
        <v>0</v>
      </c>
      <c r="K8" s="73">
        <f>VLOOKUP($B8,'BASE+TOMADOR'!$A:$BS,55,FALSE)</f>
        <v>21.87</v>
      </c>
      <c r="L8" s="73">
        <f>IFERROR(VLOOKUP($B8,'BASE+TOMADOR'!$A:$BS,56,FALSE),0)</f>
        <v>12021.87</v>
      </c>
      <c r="M8" s="72">
        <f>IFERROR(VLOOKUP($B8,'BASE+TOMADOR'!$A:$BS,58,FALSE),0)</f>
        <v>12021.87</v>
      </c>
      <c r="N8" s="74">
        <f t="shared" si="0"/>
        <v>1.5775241502440179E-2</v>
      </c>
      <c r="O8" s="72">
        <f>IFERROR(VLOOKUP(B8,'[1]BASE+TOMADOR'!$A:$BF,58,0),0)</f>
        <v>12000</v>
      </c>
      <c r="P8" s="67">
        <f t="shared" si="1"/>
        <v>21.8700000000008</v>
      </c>
      <c r="Q8" s="68" t="s">
        <v>683</v>
      </c>
    </row>
    <row r="9" spans="1:17" ht="15" customHeight="1" x14ac:dyDescent="0.25">
      <c r="A9" s="43">
        <f t="shared" si="2"/>
        <v>7</v>
      </c>
      <c r="B9" s="71" t="s">
        <v>427</v>
      </c>
      <c r="C9" s="43" t="str">
        <f>IFERROR(VLOOKUP($B9,'BASE+TOMADOR'!$A:$BS,3,FALSE),0)</f>
        <v>PJ</v>
      </c>
      <c r="D9" s="71" t="str">
        <f>VLOOKUP($B9,'BASE+TOMADOR'!$A:$BS,8,FALSE)</f>
        <v>BRACOFER</v>
      </c>
      <c r="E9" s="71" t="str">
        <f>VLOOKUP($B9,'BASE+TOMADOR'!$A:$BS,15,FALSE)</f>
        <v>GERENTE COMERCIAL</v>
      </c>
      <c r="F9" s="43" t="str">
        <f>VLOOKUP($B9,'BASE+TOMADOR'!$A:$BS,71,FALSE)</f>
        <v>Ativo</v>
      </c>
      <c r="G9" s="71" t="str">
        <f>VLOOKUP($B9,'BASE+TOMADOR'!$A:$BS,4,FALSE)</f>
        <v>G3S FL 05 - PRES PRUD</v>
      </c>
      <c r="H9" s="71" t="str">
        <f>VLOOKUP($B9,'BASE+TOMADOR'!$A:$BS,7,FALSE)</f>
        <v>CONTRATO PJ</v>
      </c>
      <c r="I9" s="72">
        <f>IFERROR(VLOOKUP($B9,'BASE+TOMADOR'!$A:$BS,62,FALSE),0)</f>
        <v>1000</v>
      </c>
      <c r="J9" s="72">
        <f>IFERROR(VLOOKUP($B9,'BASE+TOMADOR'!$A:$BS,67,FALSE),0)</f>
        <v>0</v>
      </c>
      <c r="K9" s="73">
        <f>VLOOKUP($B9,'BASE+TOMADOR'!$A:$BS,55,FALSE)</f>
        <v>12.87</v>
      </c>
      <c r="L9" s="73">
        <f>IFERROR(VLOOKUP($B9,'BASE+TOMADOR'!$A:$BS,56,FALSE),0)</f>
        <v>12012.87</v>
      </c>
      <c r="M9" s="72">
        <f>IFERROR(VLOOKUP($B9,'BASE+TOMADOR'!$A:$BS,58,FALSE),0)</f>
        <v>12012.87</v>
      </c>
      <c r="N9" s="74">
        <f t="shared" si="0"/>
        <v>1.5763431594869898E-2</v>
      </c>
      <c r="O9" s="72">
        <f>IFERROR(VLOOKUP(B9,'[1]BASE+TOMADOR'!$A:$BF,58,0),0)</f>
        <v>12000</v>
      </c>
      <c r="P9" s="67">
        <f t="shared" si="1"/>
        <v>12.8700000000008</v>
      </c>
    </row>
    <row r="10" spans="1:17" ht="15" customHeight="1" x14ac:dyDescent="0.25">
      <c r="A10" s="43">
        <f t="shared" si="2"/>
        <v>8</v>
      </c>
      <c r="B10" s="71" t="s">
        <v>452</v>
      </c>
      <c r="C10" s="43" t="str">
        <f>IFERROR(VLOOKUP($B10,'BASE+TOMADOR'!$A:$BS,3,FALSE),0)</f>
        <v>PJ</v>
      </c>
      <c r="D10" s="71" t="str">
        <f>VLOOKUP($B10,'BASE+TOMADOR'!$A:$BS,8,FALSE)</f>
        <v>PILARES</v>
      </c>
      <c r="E10" s="71" t="str">
        <f>VLOOKUP($B10,'BASE+TOMADOR'!$A:$BS,15,FALSE)</f>
        <v>CONSULTOR</v>
      </c>
      <c r="F10" s="43" t="str">
        <f>VLOOKUP($B10,'BASE+TOMADOR'!$A:$BS,71,FALSE)</f>
        <v>Ativo</v>
      </c>
      <c r="G10" s="71" t="str">
        <f>VLOOKUP($B10,'BASE+TOMADOR'!$A:$BS,4,FALSE)</f>
        <v>G3S FL 10 - PRES PRUD</v>
      </c>
      <c r="H10" s="71" t="str">
        <f>VLOOKUP($B10,'BASE+TOMADOR'!$A:$BS,7,FALSE)</f>
        <v>CONTRATO PJ</v>
      </c>
      <c r="I10" s="72">
        <f>IFERROR(VLOOKUP($B10,'BASE+TOMADOR'!$A:$BS,62,FALSE),0)</f>
        <v>957.55000000000007</v>
      </c>
      <c r="J10" s="72">
        <f>IFERROR(VLOOKUP($B10,'BASE+TOMADOR'!$A:$BS,67,FALSE),0)</f>
        <v>0</v>
      </c>
      <c r="K10" s="73">
        <f>VLOOKUP($B10,'BASE+TOMADOR'!$A:$BS,55,FALSE)</f>
        <v>21.87</v>
      </c>
      <c r="L10" s="73">
        <f>IFERROR(VLOOKUP($B10,'BASE+TOMADOR'!$A:$BS,56,FALSE),0)</f>
        <v>11512.470000000001</v>
      </c>
      <c r="M10" s="72">
        <f>IFERROR(VLOOKUP($B10,'BASE+TOMADOR'!$A:$BS,58,FALSE),0)</f>
        <v>11512.470000000001</v>
      </c>
      <c r="N10" s="74">
        <f t="shared" si="0"/>
        <v>1.5106800733962146E-2</v>
      </c>
      <c r="O10" s="72">
        <f>IFERROR(VLOOKUP(B10,'[1]BASE+TOMADOR'!$A:$BF,58,0),0)</f>
        <v>9192.48</v>
      </c>
      <c r="P10" s="67">
        <f t="shared" si="1"/>
        <v>2319.9900000000016</v>
      </c>
    </row>
    <row r="11" spans="1:17" ht="15" customHeight="1" x14ac:dyDescent="0.25">
      <c r="A11" s="43">
        <f t="shared" si="2"/>
        <v>9</v>
      </c>
      <c r="B11" s="71" t="s">
        <v>450</v>
      </c>
      <c r="C11" s="43" t="str">
        <f>IFERROR(VLOOKUP($B11,'BASE+TOMADOR'!$A:$BS,3,FALSE),0)</f>
        <v>PJ</v>
      </c>
      <c r="D11" s="71" t="str">
        <f>VLOOKUP($B11,'BASE+TOMADOR'!$A:$BS,8,FALSE)</f>
        <v>SELETIVA APOIO</v>
      </c>
      <c r="E11" s="71" t="str">
        <f>VLOOKUP($B11,'BASE+TOMADOR'!$A:$BS,15,FALSE)</f>
        <v>GERENTE ADMINISTRATIVO</v>
      </c>
      <c r="F11" s="43" t="str">
        <f>VLOOKUP($B11,'BASE+TOMADOR'!$A:$BS,71,FALSE)</f>
        <v>Ativo</v>
      </c>
      <c r="G11" s="71" t="str">
        <f>VLOOKUP($B11,'BASE+TOMADOR'!$A:$BS,4,FALSE)</f>
        <v>G3S  FL 04 - PRES PRUD</v>
      </c>
      <c r="H11" s="71" t="str">
        <f>VLOOKUP($B11,'BASE+TOMADOR'!$A:$BS,7,FALSE)</f>
        <v>CONTRATO PJ</v>
      </c>
      <c r="I11" s="72">
        <f>IFERROR(VLOOKUP($B11,'BASE+TOMADOR'!$A:$BS,62,FALSE),0)</f>
        <v>927.41666666666663</v>
      </c>
      <c r="J11" s="72">
        <f>IFERROR(VLOOKUP($B11,'BASE+TOMADOR'!$A:$BS,67,FALSE),0)</f>
        <v>0</v>
      </c>
      <c r="K11" s="73">
        <f>VLOOKUP($B11,'BASE+TOMADOR'!$A:$BS,55,FALSE)</f>
        <v>21.87</v>
      </c>
      <c r="L11" s="73">
        <f>IFERROR(VLOOKUP($B11,'BASE+TOMADOR'!$A:$BS,56,FALSE),0)</f>
        <v>11150.87</v>
      </c>
      <c r="M11" s="72">
        <f>IFERROR(VLOOKUP($B11,'BASE+TOMADOR'!$A:$BS,58,FALSE),0)</f>
        <v>11150.87</v>
      </c>
      <c r="N11" s="74">
        <f t="shared" si="0"/>
        <v>1.4632304892027208E-2</v>
      </c>
      <c r="O11" s="72">
        <f>IFERROR(VLOOKUP(B11,'[1]BASE+TOMADOR'!$A:$BF,58,0),0)</f>
        <v>9175</v>
      </c>
      <c r="P11" s="67">
        <f t="shared" si="1"/>
        <v>1975.8700000000008</v>
      </c>
    </row>
    <row r="12" spans="1:17" ht="15" customHeight="1" x14ac:dyDescent="0.25">
      <c r="A12" s="43">
        <f t="shared" si="2"/>
        <v>10</v>
      </c>
      <c r="B12" s="71" t="s">
        <v>86</v>
      </c>
      <c r="C12" s="43" t="str">
        <f>IFERROR(VLOOKUP($B12,'BASE+TOMADOR'!$A:$BS,3,FALSE),0)</f>
        <v>CLT</v>
      </c>
      <c r="D12" s="71" t="str">
        <f>VLOOKUP($B12,'BASE+TOMADOR'!$A:$BS,8,FALSE)</f>
        <v>OPERACIONAL</v>
      </c>
      <c r="E12" s="71" t="str">
        <f>VLOOKUP($B12,'BASE+TOMADOR'!$A:$BS,15,FALSE)</f>
        <v>GERENTE DE PATIO SENIOR</v>
      </c>
      <c r="F12" s="43" t="str">
        <f>VLOOKUP($B12,'BASE+TOMADOR'!$A:$BS,71,FALSE)</f>
        <v>Ativo</v>
      </c>
      <c r="G12" s="71" t="str">
        <f>VLOOKUP($B12,'BASE+TOMADOR'!$A:$BS,4,FALSE)</f>
        <v>G3S  FL 08 - LONDRINA</v>
      </c>
      <c r="H12" s="71" t="str">
        <f>VLOOKUP($B12,'BASE+TOMADOR'!$A:$BS,7,FALSE)</f>
        <v>20.947.332/0008-61</v>
      </c>
      <c r="I12" s="72">
        <f>IFERROR(VLOOKUP($B12,'BASE+TOMADOR'!$A:$BS,62,FALSE),0)</f>
        <v>1426.6661111111109</v>
      </c>
      <c r="J12" s="72">
        <f>IFERROR(VLOOKUP($B12,'BASE+TOMADOR'!$A:$BS,67,FALSE),0)</f>
        <v>3764.5800000000008</v>
      </c>
      <c r="K12" s="73">
        <f>VLOOKUP($B12,'BASE+TOMADOR'!$A:$BS,55,FALSE)</f>
        <v>3799.96</v>
      </c>
      <c r="L12" s="73">
        <f>IFERROR(VLOOKUP($B12,'BASE+TOMADOR'!$A:$BS,56,FALSE),0)</f>
        <v>11137.099999999999</v>
      </c>
      <c r="M12" s="72">
        <f>IFERROR(VLOOKUP($B12,'BASE+TOMADOR'!$A:$BS,58,FALSE),0)</f>
        <v>11137.099999999999</v>
      </c>
      <c r="N12" s="74">
        <f t="shared" si="0"/>
        <v>1.4614235733444671E-2</v>
      </c>
      <c r="O12" s="72">
        <f>IFERROR(VLOOKUP(B12,'[1]BASE+TOMADOR'!$A:$BF,58,0),0)</f>
        <v>7940.31</v>
      </c>
      <c r="P12" s="67">
        <f t="shared" si="1"/>
        <v>3196.7899999999981</v>
      </c>
    </row>
    <row r="13" spans="1:17" s="66" customFormat="1" ht="15" customHeight="1" x14ac:dyDescent="0.25">
      <c r="A13" s="43">
        <f t="shared" si="2"/>
        <v>11</v>
      </c>
      <c r="B13" s="71" t="s">
        <v>433</v>
      </c>
      <c r="C13" s="43" t="str">
        <f>IFERROR(VLOOKUP($B13,'BASE+TOMADOR'!$A:$BS,3,FALSE),0)</f>
        <v>PJ</v>
      </c>
      <c r="D13" s="71" t="str">
        <f>VLOOKUP($B13,'BASE+TOMADOR'!$A:$BS,8,FALSE)</f>
        <v>PILARES</v>
      </c>
      <c r="E13" s="71" t="str">
        <f>VLOOKUP($B13,'BASE+TOMADOR'!$A:$BS,15,FALSE)</f>
        <v>CONSULTOR</v>
      </c>
      <c r="F13" s="43" t="str">
        <f>VLOOKUP($B13,'BASE+TOMADOR'!$A:$BS,71,FALSE)</f>
        <v>Ativo</v>
      </c>
      <c r="G13" s="71" t="str">
        <f>VLOOKUP($B13,'BASE+TOMADOR'!$A:$BS,4,FALSE)</f>
        <v>G3S FL 10 - PRES PRUD</v>
      </c>
      <c r="H13" s="71" t="str">
        <f>VLOOKUP($B13,'BASE+TOMADOR'!$A:$BS,7,FALSE)</f>
        <v>CONTRATO PJ</v>
      </c>
      <c r="I13" s="72">
        <f>IFERROR(VLOOKUP($B13,'BASE+TOMADOR'!$A:$BS,62,FALSE),0)</f>
        <v>915.55583333333334</v>
      </c>
      <c r="J13" s="72">
        <f>IFERROR(VLOOKUP($B13,'BASE+TOMADOR'!$A:$BS,67,FALSE),0)</f>
        <v>0</v>
      </c>
      <c r="K13" s="73">
        <f>VLOOKUP($B13,'BASE+TOMADOR'!$A:$BS,55,FALSE)</f>
        <v>12.87</v>
      </c>
      <c r="L13" s="73">
        <f>IFERROR(VLOOKUP($B13,'BASE+TOMADOR'!$A:$BS,56,FALSE),0)</f>
        <v>10999.54</v>
      </c>
      <c r="M13" s="72">
        <f>IFERROR(VLOOKUP($B13,'BASE+TOMADOR'!$A:$BS,58,FALSE),0)</f>
        <v>10999.54</v>
      </c>
      <c r="N13" s="74">
        <f t="shared" si="0"/>
        <v>1.4433727857292656E-2</v>
      </c>
      <c r="O13" s="72">
        <f>IFERROR(VLOOKUP(B13,'[1]BASE+TOMADOR'!$A:$BF,58,0),0)</f>
        <v>12693.34</v>
      </c>
      <c r="P13" s="158">
        <f t="shared" si="1"/>
        <v>-1693.7999999999993</v>
      </c>
    </row>
    <row r="14" spans="1:17" ht="15" customHeight="1" x14ac:dyDescent="0.25">
      <c r="A14" s="43">
        <f t="shared" si="2"/>
        <v>12</v>
      </c>
      <c r="B14" s="71" t="s">
        <v>169</v>
      </c>
      <c r="C14" s="43" t="str">
        <f>IFERROR(VLOOKUP($B14,'BASE+TOMADOR'!$A:$BS,3,FALSE),0)</f>
        <v>CLT</v>
      </c>
      <c r="D14" s="71" t="str">
        <f>VLOOKUP($B14,'BASE+TOMADOR'!$A:$BS,8,FALSE)</f>
        <v>LOGISTICA</v>
      </c>
      <c r="E14" s="71" t="str">
        <f>VLOOKUP($B14,'BASE+TOMADOR'!$A:$BS,15,FALSE)</f>
        <v>MOTORISTA CARRETEIRO MANTENEDOR SENIOR II</v>
      </c>
      <c r="F14" s="43" t="str">
        <f>VLOOKUP($B14,'BASE+TOMADOR'!$A:$BS,71,FALSE)</f>
        <v>Ativo</v>
      </c>
      <c r="G14" s="71" t="str">
        <f>VLOOKUP($B14,'BASE+TOMADOR'!$A:$BS,4,FALSE)</f>
        <v>G S FL 05 - BARUERI</v>
      </c>
      <c r="H14" s="71" t="str">
        <f>VLOOKUP($B14,'BASE+TOMADOR'!$A:$BS,7,FALSE)</f>
        <v>20.504.237/0005-40</v>
      </c>
      <c r="I14" s="72">
        <f>IFERROR(VLOOKUP($B14,'BASE+TOMADOR'!$A:$BS,62,FALSE),0)</f>
        <v>871.30944444444447</v>
      </c>
      <c r="J14" s="72">
        <f>IFERROR(VLOOKUP($B14,'BASE+TOMADOR'!$A:$BS,67,FALSE),0)</f>
        <v>1581.7800000000002</v>
      </c>
      <c r="K14" s="73">
        <f>VLOOKUP($B14,'BASE+TOMADOR'!$A:$BS,55,FALSE)</f>
        <v>5697.87</v>
      </c>
      <c r="L14" s="73">
        <f>IFERROR(VLOOKUP($B14,'BASE+TOMADOR'!$A:$BS,56,FALSE),0)</f>
        <v>10178.89</v>
      </c>
      <c r="M14" s="72">
        <f>IFERROR(VLOOKUP($B14,'BASE+TOMADOR'!$A:$BS,58,FALSE),0)</f>
        <v>10178.89</v>
      </c>
      <c r="N14" s="74">
        <f t="shared" si="0"/>
        <v>1.3356861118675655E-2</v>
      </c>
      <c r="O14" s="72">
        <f>IFERROR(VLOOKUP(B14,'[1]BASE+TOMADOR'!$A:$BF,58,0),0)</f>
        <v>9681.58</v>
      </c>
      <c r="P14" s="67">
        <f t="shared" si="1"/>
        <v>497.30999999999949</v>
      </c>
    </row>
    <row r="15" spans="1:17" ht="15" customHeight="1" x14ac:dyDescent="0.25">
      <c r="A15" s="43">
        <f t="shared" si="2"/>
        <v>13</v>
      </c>
      <c r="B15" s="71" t="s">
        <v>469</v>
      </c>
      <c r="C15" s="43" t="str">
        <f>IFERROR(VLOOKUP($B15,'BASE+TOMADOR'!$A:$BS,3,FALSE),0)</f>
        <v>PJ</v>
      </c>
      <c r="D15" s="71" t="str">
        <f>VLOOKUP($B15,'BASE+TOMADOR'!$A:$BS,8,FALSE)</f>
        <v>OPERACIONAL</v>
      </c>
      <c r="E15" s="71" t="str">
        <f>VLOOKUP($B15,'BASE+TOMADOR'!$A:$BS,15,FALSE)</f>
        <v>ENCARREGADO MANUT MAQ E EQUIPAMENTOS</v>
      </c>
      <c r="F15" s="43" t="str">
        <f>VLOOKUP($B15,'BASE+TOMADOR'!$A:$BS,71,FALSE)</f>
        <v>Ativo</v>
      </c>
      <c r="G15" s="71" t="str">
        <f>VLOOKUP($B15,'BASE+TOMADOR'!$A:$BS,4,FALSE)</f>
        <v>G S FL 05 - BARUERI</v>
      </c>
      <c r="H15" s="71" t="str">
        <f>VLOOKUP($B15,'BASE+TOMADOR'!$A:$BS,7,FALSE)</f>
        <v>CONTRATO PJ</v>
      </c>
      <c r="I15" s="72">
        <f>IFERROR(VLOOKUP($B15,'BASE+TOMADOR'!$A:$BS,62,FALSE),0)</f>
        <v>833.33333333333337</v>
      </c>
      <c r="J15" s="72">
        <f>IFERROR(VLOOKUP($B15,'BASE+TOMADOR'!$A:$BS,67,FALSE),0)</f>
        <v>0</v>
      </c>
      <c r="K15" s="73">
        <f>VLOOKUP($B15,'BASE+TOMADOR'!$A:$BS,55,FALSE)</f>
        <v>12.87</v>
      </c>
      <c r="L15" s="73">
        <f>IFERROR(VLOOKUP($B15,'BASE+TOMADOR'!$A:$BS,56,FALSE),0)</f>
        <v>10012.870000000001</v>
      </c>
      <c r="M15" s="72">
        <f>IFERROR(VLOOKUP($B15,'BASE+TOMADOR'!$A:$BS,58,FALSE),0)</f>
        <v>10012.870000000001</v>
      </c>
      <c r="N15" s="75">
        <f t="shared" si="0"/>
        <v>1.3139007690362499E-2</v>
      </c>
      <c r="O15" s="72">
        <f>IFERROR(VLOOKUP(B15,'[1]BASE+TOMADOR'!$A:$BF,58,0),0)</f>
        <v>10000</v>
      </c>
      <c r="P15" s="67">
        <f t="shared" si="1"/>
        <v>12.8700000000008</v>
      </c>
    </row>
    <row r="16" spans="1:17" ht="15" customHeight="1" x14ac:dyDescent="0.25">
      <c r="A16" s="43">
        <f t="shared" si="2"/>
        <v>14</v>
      </c>
      <c r="B16" s="71" t="s">
        <v>420</v>
      </c>
      <c r="C16" s="43" t="str">
        <f>IFERROR(VLOOKUP($B16,'BASE+TOMADOR'!$A:$BS,3,FALSE),0)</f>
        <v>PF</v>
      </c>
      <c r="D16" s="71" t="str">
        <f>VLOOKUP($B16,'BASE+TOMADOR'!$A:$BS,8,FALSE)</f>
        <v>OPERACIONAL</v>
      </c>
      <c r="E16" s="71" t="str">
        <f>VLOOKUP($B16,'BASE+TOMADOR'!$A:$BS,15,FALSE)</f>
        <v>MOTORISTA CARRETEIRO MANTENEDOR SENIOR III</v>
      </c>
      <c r="F16" s="43" t="str">
        <f>VLOOKUP($B16,'BASE+TOMADOR'!$A:$BS,71,FALSE)</f>
        <v>Ativo</v>
      </c>
      <c r="G16" s="71" t="str">
        <f>VLOOKUP($B16,'BASE+TOMADOR'!$A:$BS,4,FALSE)</f>
        <v>G S FL 05 - BARUERI</v>
      </c>
      <c r="H16" s="71" t="str">
        <f>VLOOKUP($B16,'BASE+TOMADOR'!$A:$BS,7,FALSE)</f>
        <v>20.504.237/0005-40</v>
      </c>
      <c r="I16" s="72">
        <f>IFERROR(VLOOKUP($B16,'BASE+TOMADOR'!$A:$BS,62,FALSE),0)</f>
        <v>0</v>
      </c>
      <c r="J16" s="72">
        <f>IFERROR(VLOOKUP($B16,'BASE+TOMADOR'!$A:$BS,67,FALSE),0)</f>
        <v>0</v>
      </c>
      <c r="K16" s="73">
        <f>VLOOKUP($B16,'BASE+TOMADOR'!$A:$BS,55,FALSE)</f>
        <v>5935.07</v>
      </c>
      <c r="L16" s="73">
        <f>IFERROR(VLOOKUP($B16,'BASE+TOMADOR'!$A:$BS,56,FALSE),0)</f>
        <v>9879.83</v>
      </c>
      <c r="M16" s="72">
        <f>IFERROR(VLOOKUP($B16,'BASE+TOMADOR'!$A:$BS,58,FALSE),0)</f>
        <v>9879.83</v>
      </c>
      <c r="N16" s="74">
        <f t="shared" si="0"/>
        <v>1.2964431012234665E-2</v>
      </c>
      <c r="O16" s="72">
        <f>IFERROR(VLOOKUP(B16,'[1]BASE+TOMADOR'!$A:$BF,58,0),0)</f>
        <v>5105.84</v>
      </c>
      <c r="P16" s="67">
        <f t="shared" si="1"/>
        <v>4773.99</v>
      </c>
    </row>
    <row r="17" spans="1:16" ht="15" customHeight="1" x14ac:dyDescent="0.25">
      <c r="A17" s="43">
        <f t="shared" si="2"/>
        <v>15</v>
      </c>
      <c r="B17" s="71" t="s">
        <v>118</v>
      </c>
      <c r="C17" s="43" t="str">
        <f>IFERROR(VLOOKUP($B17,'BASE+TOMADOR'!$A:$BS,3,FALSE),0)</f>
        <v>CLT</v>
      </c>
      <c r="D17" s="71" t="str">
        <f>VLOOKUP($B17,'BASE+TOMADOR'!$A:$BS,8,FALSE)</f>
        <v>OPERACIONAL</v>
      </c>
      <c r="E17" s="71" t="str">
        <f>VLOOKUP($B17,'BASE+TOMADOR'!$A:$BS,15,FALSE)</f>
        <v>OPERADOR MANTENEDOR SENIOR</v>
      </c>
      <c r="F17" s="43" t="str">
        <f>VLOOKUP($B17,'BASE+TOMADOR'!$A:$BS,71,FALSE)</f>
        <v>Ativo</v>
      </c>
      <c r="G17" s="71" t="str">
        <f>VLOOKUP($B17,'BASE+TOMADOR'!$A:$BS,4,FALSE)</f>
        <v>G S MATRIZ - PRES PRUD</v>
      </c>
      <c r="H17" s="71" t="str">
        <f>VLOOKUP($B17,'BASE+TOMADOR'!$A:$BS,7,FALSE)</f>
        <v>20.504.237/0001-17</v>
      </c>
      <c r="I17" s="72">
        <f>IFERROR(VLOOKUP($B17,'BASE+TOMADOR'!$A:$BS,62,FALSE),0)</f>
        <v>1233.7344444444445</v>
      </c>
      <c r="J17" s="72">
        <f>IFERROR(VLOOKUP($B17,'BASE+TOMADOR'!$A:$BS,67,FALSE),0)</f>
        <v>2239.7400000000002</v>
      </c>
      <c r="K17" s="73">
        <f>VLOOKUP($B17,'BASE+TOMADOR'!$A:$BS,55,FALSE)</f>
        <v>3532.42</v>
      </c>
      <c r="L17" s="73">
        <f>IFERROR(VLOOKUP($B17,'BASE+TOMADOR'!$A:$BS,56,FALSE),0)</f>
        <v>9877.34</v>
      </c>
      <c r="M17" s="72">
        <f>IFERROR(VLOOKUP($B17,'BASE+TOMADOR'!$A:$BS,58,FALSE),0)</f>
        <v>9877.34</v>
      </c>
      <c r="N17" s="74">
        <f t="shared" si="0"/>
        <v>1.2961163604473554E-2</v>
      </c>
      <c r="O17" s="72">
        <f>IFERROR(VLOOKUP(B17,'[1]BASE+TOMADOR'!$A:$BF,58,0),0)</f>
        <v>7575.32</v>
      </c>
      <c r="P17" s="67">
        <f t="shared" si="1"/>
        <v>2302.0200000000004</v>
      </c>
    </row>
    <row r="18" spans="1:16" ht="15" customHeight="1" x14ac:dyDescent="0.25">
      <c r="A18" s="43">
        <f t="shared" si="2"/>
        <v>16</v>
      </c>
      <c r="B18" s="71" t="s">
        <v>158</v>
      </c>
      <c r="C18" s="43" t="str">
        <f>IFERROR(VLOOKUP($B18,'BASE+TOMADOR'!$A:$BS,3,FALSE),0)</f>
        <v>CLT</v>
      </c>
      <c r="D18" s="71" t="str">
        <f>VLOOKUP($B18,'BASE+TOMADOR'!$A:$BS,8,FALSE)</f>
        <v>OPERACIONAL</v>
      </c>
      <c r="E18" s="71" t="str">
        <f>VLOOKUP($B18,'BASE+TOMADOR'!$A:$BS,15,FALSE)</f>
        <v>OPERADOR MANTENEDOR PLENO</v>
      </c>
      <c r="F18" s="43" t="str">
        <f>VLOOKUP($B18,'BASE+TOMADOR'!$A:$BS,71,FALSE)</f>
        <v>Ativo</v>
      </c>
      <c r="G18" s="71" t="str">
        <f>VLOOKUP($B18,'BASE+TOMADOR'!$A:$BS,4,FALSE)</f>
        <v>G S FL 05 - BARUERI</v>
      </c>
      <c r="H18" s="71" t="str">
        <f>VLOOKUP($B18,'BASE+TOMADOR'!$A:$BS,7,FALSE)</f>
        <v>20.504.237/0005-40</v>
      </c>
      <c r="I18" s="72">
        <f>IFERROR(VLOOKUP($B18,'BASE+TOMADOR'!$A:$BS,62,FALSE),0)</f>
        <v>1014.813333333333</v>
      </c>
      <c r="J18" s="72">
        <f>IFERROR(VLOOKUP($B18,'BASE+TOMADOR'!$A:$BS,67,FALSE),0)</f>
        <v>1842.31</v>
      </c>
      <c r="K18" s="73">
        <f>VLOOKUP($B18,'BASE+TOMADOR'!$A:$BS,55,FALSE)</f>
        <v>4432.37</v>
      </c>
      <c r="L18" s="73">
        <f>IFERROR(VLOOKUP($B18,'BASE+TOMADOR'!$A:$BS,56,FALSE),0)</f>
        <v>9651.41</v>
      </c>
      <c r="M18" s="72">
        <f>IFERROR(VLOOKUP($B18,'BASE+TOMADOR'!$A:$BS,58,FALSE),0)</f>
        <v>9651.41</v>
      </c>
      <c r="N18" s="74">
        <f t="shared" si="0"/>
        <v>1.2664695558100875E-2</v>
      </c>
      <c r="O18" s="72">
        <f>IFERROR(VLOOKUP(B18,'[1]BASE+TOMADOR'!$A:$BF,58,0),0)</f>
        <v>10472.290000000001</v>
      </c>
      <c r="P18" s="67">
        <f t="shared" si="1"/>
        <v>-820.88000000000102</v>
      </c>
    </row>
    <row r="19" spans="1:16" ht="15" customHeight="1" x14ac:dyDescent="0.25">
      <c r="A19" s="43">
        <f t="shared" si="2"/>
        <v>17</v>
      </c>
      <c r="B19" s="71" t="s">
        <v>296</v>
      </c>
      <c r="C19" s="43" t="str">
        <f>IFERROR(VLOOKUP($B19,'BASE+TOMADOR'!$A:$BS,3,FALSE),0)</f>
        <v>CLT</v>
      </c>
      <c r="D19" s="71" t="str">
        <f>VLOOKUP($B19,'BASE+TOMADOR'!$A:$BS,8,FALSE)</f>
        <v>OPERACIONAL</v>
      </c>
      <c r="E19" s="71" t="str">
        <f>VLOOKUP($B19,'BASE+TOMADOR'!$A:$BS,15,FALSE)</f>
        <v>GERENTE DE PATIO SENIOR PP</v>
      </c>
      <c r="F19" s="43" t="str">
        <f>VLOOKUP($B19,'BASE+TOMADOR'!$A:$BS,71,FALSE)</f>
        <v>Ativo</v>
      </c>
      <c r="G19" s="71" t="str">
        <f>VLOOKUP($B19,'BASE+TOMADOR'!$A:$BS,4,FALSE)</f>
        <v>G3S  FL 04 - PRES PRUD</v>
      </c>
      <c r="H19" s="71" t="str">
        <f>VLOOKUP($B19,'BASE+TOMADOR'!$A:$BS,7,FALSE)</f>
        <v>20.947.332/0004-38</v>
      </c>
      <c r="I19" s="72">
        <f>IFERROR(VLOOKUP($B19,'BASE+TOMADOR'!$A:$BS,62,FALSE),0)</f>
        <v>1114.2347222222222</v>
      </c>
      <c r="J19" s="72">
        <f>IFERROR(VLOOKUP($B19,'BASE+TOMADOR'!$A:$BS,67,FALSE),0)</f>
        <v>2022.8000000000002</v>
      </c>
      <c r="K19" s="73">
        <f>VLOOKUP($B19,'BASE+TOMADOR'!$A:$BS,55,FALSE)</f>
        <v>3558.21</v>
      </c>
      <c r="L19" s="73">
        <f>IFERROR(VLOOKUP($B19,'BASE+TOMADOR'!$A:$BS,56,FALSE),0)</f>
        <v>9288.5600000000013</v>
      </c>
      <c r="M19" s="72">
        <f>IFERROR(VLOOKUP($B19,'BASE+TOMADOR'!$A:$BS,58,FALSE),0)</f>
        <v>9288.5600000000013</v>
      </c>
      <c r="N19" s="74">
        <f t="shared" si="0"/>
        <v>1.2188559451225623E-2</v>
      </c>
      <c r="O19" s="72">
        <f>IFERROR(VLOOKUP(B19,'[1]BASE+TOMADOR'!$A:$BF,58,0),0)</f>
        <v>7974.9900000000007</v>
      </c>
      <c r="P19" s="67">
        <f t="shared" si="1"/>
        <v>1313.5700000000006</v>
      </c>
    </row>
    <row r="20" spans="1:16" ht="15" customHeight="1" x14ac:dyDescent="0.25">
      <c r="A20" s="43">
        <f t="shared" si="2"/>
        <v>18</v>
      </c>
      <c r="B20" s="71" t="s">
        <v>339</v>
      </c>
      <c r="C20" s="43" t="str">
        <f>IFERROR(VLOOKUP($B20,'BASE+TOMADOR'!$A:$BS,3,FALSE),0)</f>
        <v>CLT</v>
      </c>
      <c r="D20" s="71" t="str">
        <f>VLOOKUP($B20,'BASE+TOMADOR'!$A:$BS,8,FALSE)</f>
        <v>TRANSMOVE</v>
      </c>
      <c r="E20" s="71" t="str">
        <f>VLOOKUP($B20,'BASE+TOMADOR'!$A:$BS,15,FALSE)</f>
        <v>SUPERVISOR(A) DE LOGISTICA</v>
      </c>
      <c r="F20" s="43" t="str">
        <f>VLOOKUP($B20,'BASE+TOMADOR'!$A:$BS,71,FALSE)</f>
        <v>Ativo</v>
      </c>
      <c r="G20" s="71" t="str">
        <f>VLOOKUP($B20,'BASE+TOMADOR'!$A:$BS,4,FALSE)</f>
        <v>G3S FL 05 - PRES PRUD</v>
      </c>
      <c r="H20" s="71" t="str">
        <f>VLOOKUP($B20,'BASE+TOMADOR'!$A:$BS,7,FALSE)</f>
        <v>20.947.332/0005-19</v>
      </c>
      <c r="I20" s="72">
        <f>IFERROR(VLOOKUP($B20,'BASE+TOMADOR'!$A:$BS,62,FALSE),0)</f>
        <v>952.77777777777771</v>
      </c>
      <c r="J20" s="72">
        <f>IFERROR(VLOOKUP($B20,'BASE+TOMADOR'!$A:$BS,67,FALSE),0)</f>
        <v>1729.7</v>
      </c>
      <c r="K20" s="73">
        <f>VLOOKUP($B20,'BASE+TOMADOR'!$A:$BS,55,FALSE)</f>
        <v>100</v>
      </c>
      <c r="L20" s="73">
        <f>IFERROR(VLOOKUP($B20,'BASE+TOMADOR'!$A:$BS,56,FALSE),0)</f>
        <v>5000</v>
      </c>
      <c r="M20" s="72">
        <f>IFERROR(VLOOKUP($B20,'BASE+TOMADOR'!$A:$BS,58,FALSE),0)</f>
        <v>9238.33</v>
      </c>
      <c r="N20" s="74">
        <f t="shared" si="0"/>
        <v>1.2122647044863917E-2</v>
      </c>
      <c r="O20" s="72">
        <f>IFERROR(VLOOKUP(B20,'[1]BASE+TOMADOR'!$A:$BF,58,0),0)</f>
        <v>5000</v>
      </c>
      <c r="P20" s="67">
        <f t="shared" si="1"/>
        <v>4238.33</v>
      </c>
    </row>
    <row r="21" spans="1:16" ht="15" customHeight="1" x14ac:dyDescent="0.25">
      <c r="A21" s="43">
        <f t="shared" si="2"/>
        <v>19</v>
      </c>
      <c r="B21" s="71" t="s">
        <v>456</v>
      </c>
      <c r="C21" s="43" t="str">
        <f>IFERROR(VLOOKUP($B21,'BASE+TOMADOR'!$A:$BS,3,FALSE),0)</f>
        <v>PJ</v>
      </c>
      <c r="D21" s="71" t="str">
        <f>VLOOKUP($B21,'BASE+TOMADOR'!$A:$BS,8,FALSE)</f>
        <v>PILARES</v>
      </c>
      <c r="E21" s="71" t="str">
        <f>VLOOKUP($B21,'BASE+TOMADOR'!$A:$BS,15,FALSE)</f>
        <v>COORDENADOR DE QUALIDADE</v>
      </c>
      <c r="F21" s="43" t="str">
        <f>VLOOKUP($B21,'BASE+TOMADOR'!$A:$BS,71,FALSE)</f>
        <v>Ativo</v>
      </c>
      <c r="G21" s="71" t="str">
        <f>VLOOKUP($B21,'BASE+TOMADOR'!$A:$BS,4,FALSE)</f>
        <v>G3S FL 10 - PRES PRUD</v>
      </c>
      <c r="H21" s="71" t="str">
        <f>VLOOKUP($B21,'BASE+TOMADOR'!$A:$BS,7,FALSE)</f>
        <v>CONTRATO PJ</v>
      </c>
      <c r="I21" s="72">
        <f>IFERROR(VLOOKUP($B21,'BASE+TOMADOR'!$A:$BS,62,FALSE),0)</f>
        <v>762.5</v>
      </c>
      <c r="J21" s="72">
        <f>IFERROR(VLOOKUP($B21,'BASE+TOMADOR'!$A:$BS,67,FALSE),0)</f>
        <v>0</v>
      </c>
      <c r="K21" s="73">
        <f>VLOOKUP($B21,'BASE+TOMADOR'!$A:$BS,55,FALSE)</f>
        <v>21.87</v>
      </c>
      <c r="L21" s="73">
        <f>IFERROR(VLOOKUP($B21,'BASE+TOMADOR'!$A:$BS,56,FALSE),0)</f>
        <v>9171.8700000000008</v>
      </c>
      <c r="M21" s="72">
        <f>IFERROR(VLOOKUP($B21,'BASE+TOMADOR'!$A:$BS,58,FALSE),0)</f>
        <v>9171.8700000000008</v>
      </c>
      <c r="N21" s="74">
        <f t="shared" si="0"/>
        <v>1.2035437438517137E-2</v>
      </c>
      <c r="O21" s="72">
        <f>IFERROR(VLOOKUP(B21,'[1]BASE+TOMADOR'!$A:$BF,58,0),0)</f>
        <v>8800</v>
      </c>
      <c r="P21" s="67">
        <f t="shared" si="1"/>
        <v>371.8700000000008</v>
      </c>
    </row>
    <row r="22" spans="1:16" ht="15" customHeight="1" x14ac:dyDescent="0.25">
      <c r="A22" s="43">
        <f t="shared" si="2"/>
        <v>20</v>
      </c>
      <c r="B22" s="71" t="s">
        <v>445</v>
      </c>
      <c r="C22" s="43" t="str">
        <f>IFERROR(VLOOKUP($B22,'BASE+TOMADOR'!$A:$BS,3,FALSE),0)</f>
        <v>PJ</v>
      </c>
      <c r="D22" s="71" t="str">
        <f>VLOOKUP($B22,'BASE+TOMADOR'!$A:$BS,8,FALSE)</f>
        <v>SELETIVA APOIO</v>
      </c>
      <c r="E22" s="71" t="str">
        <f>VLOOKUP($B22,'BASE+TOMADOR'!$A:$BS,15,FALSE)</f>
        <v>GERENTE DE COMPRAS</v>
      </c>
      <c r="F22" s="43" t="str">
        <f>VLOOKUP($B22,'BASE+TOMADOR'!$A:$BS,71,FALSE)</f>
        <v>Ativo</v>
      </c>
      <c r="G22" s="71" t="str">
        <f>VLOOKUP($B22,'BASE+TOMADOR'!$A:$BS,4,FALSE)</f>
        <v>G3S  FL 04 - PRES PRUD</v>
      </c>
      <c r="H22" s="71" t="str">
        <f>VLOOKUP($B22,'BASE+TOMADOR'!$A:$BS,7,FALSE)</f>
        <v>CONTRATO PJ</v>
      </c>
      <c r="I22" s="72">
        <f>IFERROR(VLOOKUP($B22,'BASE+TOMADOR'!$A:$BS,62,FALSE),0)</f>
        <v>738.75</v>
      </c>
      <c r="J22" s="72">
        <f>IFERROR(VLOOKUP($B22,'BASE+TOMADOR'!$A:$BS,67,FALSE),0)</f>
        <v>0</v>
      </c>
      <c r="K22" s="73">
        <f>VLOOKUP($B22,'BASE+TOMADOR'!$A:$BS,55,FALSE)</f>
        <v>12.87</v>
      </c>
      <c r="L22" s="73">
        <f>IFERROR(VLOOKUP($B22,'BASE+TOMADOR'!$A:$BS,56,FALSE),0)</f>
        <v>8877.8700000000008</v>
      </c>
      <c r="M22" s="72">
        <f>IFERROR(VLOOKUP($B22,'BASE+TOMADOR'!$A:$BS,58,FALSE),0)</f>
        <v>8877.8700000000008</v>
      </c>
      <c r="N22" s="74">
        <f t="shared" si="0"/>
        <v>1.164964712455455E-2</v>
      </c>
      <c r="O22" s="72">
        <f>IFERROR(VLOOKUP(B22,'[1]BASE+TOMADOR'!$A:$BF,58,0),0)</f>
        <v>8865</v>
      </c>
      <c r="P22" s="67">
        <f t="shared" si="1"/>
        <v>12.8700000000008</v>
      </c>
    </row>
    <row r="23" spans="1:16" s="66" customFormat="1" ht="15" customHeight="1" x14ac:dyDescent="0.25">
      <c r="A23" s="43">
        <f t="shared" si="2"/>
        <v>21</v>
      </c>
      <c r="B23" s="71" t="s">
        <v>103</v>
      </c>
      <c r="C23" s="43" t="str">
        <f>IFERROR(VLOOKUP($B23,'BASE+TOMADOR'!$A:$BS,3,FALSE),0)</f>
        <v>CLT</v>
      </c>
      <c r="D23" s="71" t="str">
        <f>VLOOKUP($B23,'BASE+TOMADOR'!$A:$BS,8,FALSE)</f>
        <v>LOGISTICA</v>
      </c>
      <c r="E23" s="71" t="str">
        <f>VLOOKUP($B23,'BASE+TOMADOR'!$A:$BS,15,FALSE)</f>
        <v>MOTORISTA CARRETEIRO MANTENEDOR SENIOR III</v>
      </c>
      <c r="F23" s="43" t="str">
        <f>VLOOKUP($B23,'BASE+TOMADOR'!$A:$BS,71,FALSE)</f>
        <v>Ativo</v>
      </c>
      <c r="G23" s="71" t="str">
        <f>VLOOKUP($B23,'BASE+TOMADOR'!$A:$BS,4,FALSE)</f>
        <v>G S MATRIZ - PRES PRUD</v>
      </c>
      <c r="H23" s="71" t="str">
        <f>VLOOKUP($B23,'BASE+TOMADOR'!$A:$BS,7,FALSE)</f>
        <v>20.504.237/0001-17</v>
      </c>
      <c r="I23" s="72">
        <f>IFERROR(VLOOKUP($B23,'BASE+TOMADOR'!$A:$BS,62,FALSE),0)</f>
        <v>992.56888888888898</v>
      </c>
      <c r="J23" s="72">
        <f>IFERROR(VLOOKUP($B23,'BASE+TOMADOR'!$A:$BS,67,FALSE),0)</f>
        <v>1801.92</v>
      </c>
      <c r="K23" s="73">
        <f>VLOOKUP($B23,'BASE+TOMADOR'!$A:$BS,55,FALSE)</f>
        <v>3451.13</v>
      </c>
      <c r="L23" s="73">
        <f>IFERROR(VLOOKUP($B23,'BASE+TOMADOR'!$A:$BS,56,FALSE),0)</f>
        <v>8555.77</v>
      </c>
      <c r="M23" s="72">
        <f>IFERROR(VLOOKUP($B23,'BASE+TOMADOR'!$A:$BS,58,FALSE),0)</f>
        <v>8555.77</v>
      </c>
      <c r="N23" s="74">
        <f t="shared" si="0"/>
        <v>1.1226983654733633E-2</v>
      </c>
      <c r="O23" s="72">
        <f>IFERROR(VLOOKUP(B23,'[1]BASE+TOMADOR'!$A:$BF,58,0),0)</f>
        <v>8093.7900000000009</v>
      </c>
      <c r="P23" s="158">
        <f t="shared" si="1"/>
        <v>461.97999999999956</v>
      </c>
    </row>
    <row r="24" spans="1:16" ht="15" customHeight="1" x14ac:dyDescent="0.25">
      <c r="A24" s="43">
        <f t="shared" si="2"/>
        <v>22</v>
      </c>
      <c r="B24" s="71" t="s">
        <v>437</v>
      </c>
      <c r="C24" s="43" t="str">
        <f>IFERROR(VLOOKUP($B24,'BASE+TOMADOR'!$A:$BS,3,FALSE),0)</f>
        <v>PJ</v>
      </c>
      <c r="D24" s="71" t="str">
        <f>VLOOKUP($B24,'BASE+TOMADOR'!$A:$BS,8,FALSE)</f>
        <v>OPERACIONAL</v>
      </c>
      <c r="E24" s="71" t="str">
        <f>VLOOKUP($B24,'BASE+TOMADOR'!$A:$BS,15,FALSE)</f>
        <v>ENCARREGADO MANUT MAQ E EQUIPAMENTOS</v>
      </c>
      <c r="F24" s="43" t="str">
        <f>VLOOKUP($B24,'BASE+TOMADOR'!$A:$BS,71,FALSE)</f>
        <v>Ativo</v>
      </c>
      <c r="G24" s="71" t="str">
        <f>VLOOKUP($B24,'BASE+TOMADOR'!$A:$BS,4,FALSE)</f>
        <v>G S FL 01 - PRUDENTE</v>
      </c>
      <c r="H24" s="71" t="str">
        <f>VLOOKUP($B24,'BASE+TOMADOR'!$A:$BS,7,FALSE)</f>
        <v>CONTRATO PJ</v>
      </c>
      <c r="I24" s="72">
        <f>IFERROR(VLOOKUP($B24,'BASE+TOMADOR'!$A:$BS,62,FALSE),0)</f>
        <v>708.33333333333337</v>
      </c>
      <c r="J24" s="72">
        <f>IFERROR(VLOOKUP($B24,'BASE+TOMADOR'!$A:$BS,67,FALSE),0)</f>
        <v>0</v>
      </c>
      <c r="K24" s="73">
        <f>VLOOKUP($B24,'BASE+TOMADOR'!$A:$BS,55,FALSE)</f>
        <v>0</v>
      </c>
      <c r="L24" s="73">
        <f>IFERROR(VLOOKUP($B24,'BASE+TOMADOR'!$A:$BS,56,FALSE),0)</f>
        <v>8500</v>
      </c>
      <c r="M24" s="72">
        <f>IFERROR(VLOOKUP($B24,'BASE+TOMADOR'!$A:$BS,58,FALSE),0)</f>
        <v>8500</v>
      </c>
      <c r="N24" s="74">
        <f t="shared" si="0"/>
        <v>1.1153801594156444E-2</v>
      </c>
      <c r="O24" s="72">
        <f>IFERROR(VLOOKUP(B24,'[1]BASE+TOMADOR'!$A:$BF,58,0),0)</f>
        <v>8500</v>
      </c>
      <c r="P24" s="67">
        <f t="shared" si="1"/>
        <v>0</v>
      </c>
    </row>
    <row r="25" spans="1:16" ht="15" customHeight="1" x14ac:dyDescent="0.25">
      <c r="A25" s="43">
        <f t="shared" si="2"/>
        <v>23</v>
      </c>
      <c r="B25" s="155" t="s">
        <v>106</v>
      </c>
      <c r="C25" s="154" t="str">
        <f>IFERROR(VLOOKUP($B25,'BASE+TOMADOR'!$A:$BS,3,FALSE),0)</f>
        <v>CLT</v>
      </c>
      <c r="D25" s="155" t="str">
        <f>VLOOKUP($B25,'BASE+TOMADOR'!$A:$BS,8,FALSE)</f>
        <v>LOGISTICA</v>
      </c>
      <c r="E25" s="155" t="str">
        <f>VLOOKUP($B25,'BASE+TOMADOR'!$A:$BS,15,FALSE)</f>
        <v>MOTORISTA CARRETEIRO MANTENEDOR SENIOR III</v>
      </c>
      <c r="F25" s="154" t="str">
        <f>VLOOKUP($B25,'BASE+TOMADOR'!$A:$BS,71,FALSE)</f>
        <v>Ativo</v>
      </c>
      <c r="G25" s="155" t="str">
        <f>VLOOKUP($B25,'BASE+TOMADOR'!$A:$BS,4,FALSE)</f>
        <v>G S MATRIZ - PRES PRUD</v>
      </c>
      <c r="H25" s="155" t="str">
        <f>VLOOKUP($B25,'BASE+TOMADOR'!$A:$BS,7,FALSE)</f>
        <v>20.504.237/0001-17</v>
      </c>
      <c r="I25" s="156">
        <f>IFERROR(VLOOKUP($B25,'BASE+TOMADOR'!$A:$BS,62,FALSE),0)</f>
        <v>987.37333333333345</v>
      </c>
      <c r="J25" s="156">
        <f>IFERROR(VLOOKUP($B25,'BASE+TOMADOR'!$A:$BS,67,FALSE),0)</f>
        <v>1792.48</v>
      </c>
      <c r="K25" s="157">
        <f>VLOOKUP($B25,'BASE+TOMADOR'!$A:$BS,55,FALSE)</f>
        <v>3297.21</v>
      </c>
      <c r="L25" s="157">
        <f>IFERROR(VLOOKUP($B25,'BASE+TOMADOR'!$A:$BS,56,FALSE),0)</f>
        <v>8375.130000000001</v>
      </c>
      <c r="M25" s="156">
        <f>IFERROR(VLOOKUP($B25,'BASE+TOMADOR'!$A:$BS,58,FALSE),0)</f>
        <v>8375.130000000001</v>
      </c>
      <c r="N25" s="75">
        <f t="shared" si="0"/>
        <v>1.0989945687678526E-2</v>
      </c>
      <c r="O25" s="156">
        <f>IFERROR(VLOOKUP(B25,'[1]BASE+TOMADOR'!$A:$BF,58,0),0)</f>
        <v>8208.56</v>
      </c>
      <c r="P25" s="67">
        <f t="shared" si="1"/>
        <v>166.57000000000153</v>
      </c>
    </row>
    <row r="26" spans="1:16" ht="15" customHeight="1" x14ac:dyDescent="0.25">
      <c r="A26" s="43">
        <f t="shared" si="2"/>
        <v>24</v>
      </c>
      <c r="B26" s="71" t="s">
        <v>148</v>
      </c>
      <c r="C26" s="43" t="str">
        <f>IFERROR(VLOOKUP($B26,'BASE+TOMADOR'!$A:$BS,3,FALSE),0)</f>
        <v>CLT</v>
      </c>
      <c r="D26" s="71" t="str">
        <f>VLOOKUP($B26,'BASE+TOMADOR'!$A:$BS,8,FALSE)</f>
        <v>OPERACIONAL</v>
      </c>
      <c r="E26" s="71" t="str">
        <f>VLOOKUP($B26,'BASE+TOMADOR'!$A:$BS,15,FALSE)</f>
        <v>MOTORISTA CARRETEIRO MANTENEDOR SENIOR III</v>
      </c>
      <c r="F26" s="43" t="str">
        <f>VLOOKUP($B26,'BASE+TOMADOR'!$A:$BS,71,FALSE)</f>
        <v>Ativo</v>
      </c>
      <c r="G26" s="71" t="str">
        <f>VLOOKUP($B26,'BASE+TOMADOR'!$A:$BS,4,FALSE)</f>
        <v>G S FL 05 - BARUERI</v>
      </c>
      <c r="H26" s="71" t="str">
        <f>VLOOKUP($B26,'BASE+TOMADOR'!$A:$BS,7,FALSE)</f>
        <v>20.504.237/0005-40</v>
      </c>
      <c r="I26" s="72">
        <f>IFERROR(VLOOKUP($B26,'BASE+TOMADOR'!$A:$BS,62,FALSE),0)</f>
        <v>844.76583333333338</v>
      </c>
      <c r="J26" s="72">
        <f>IFERROR(VLOOKUP($B26,'BASE+TOMADOR'!$A:$BS,67,FALSE),0)</f>
        <v>1533.6</v>
      </c>
      <c r="K26" s="73">
        <f>VLOOKUP($B26,'BASE+TOMADOR'!$A:$BS,55,FALSE)</f>
        <v>3935.51</v>
      </c>
      <c r="L26" s="73">
        <f>IFERROR(VLOOKUP($B26,'BASE+TOMADOR'!$A:$BS,56,FALSE),0)</f>
        <v>8280.02</v>
      </c>
      <c r="M26" s="72">
        <f>IFERROR(VLOOKUP($B26,'BASE+TOMADOR'!$A:$BS,58,FALSE),0)</f>
        <v>8280.02</v>
      </c>
      <c r="N26" s="74">
        <f t="shared" si="0"/>
        <v>1.0865141208899675E-2</v>
      </c>
      <c r="O26" s="72">
        <f>IFERROR(VLOOKUP(B26,'[1]BASE+TOMADOR'!$A:$BF,58,0),0)</f>
        <v>12827.5</v>
      </c>
      <c r="P26" s="67">
        <f t="shared" si="1"/>
        <v>-4547.4799999999996</v>
      </c>
    </row>
    <row r="27" spans="1:16" ht="15" customHeight="1" x14ac:dyDescent="0.25">
      <c r="A27" s="43">
        <f t="shared" si="2"/>
        <v>25</v>
      </c>
      <c r="B27" s="71" t="s">
        <v>157</v>
      </c>
      <c r="C27" s="43" t="str">
        <f>IFERROR(VLOOKUP($B27,'BASE+TOMADOR'!$A:$BS,3,FALSE),0)</f>
        <v>CLT</v>
      </c>
      <c r="D27" s="71" t="str">
        <f>VLOOKUP($B27,'BASE+TOMADOR'!$A:$BS,8,FALSE)</f>
        <v>OPERACIONAL</v>
      </c>
      <c r="E27" s="71" t="str">
        <f>VLOOKUP($B27,'BASE+TOMADOR'!$A:$BS,15,FALSE)</f>
        <v>OPERADOR MANTENEDOR PLENO</v>
      </c>
      <c r="F27" s="43" t="str">
        <f>VLOOKUP($B27,'BASE+TOMADOR'!$A:$BS,71,FALSE)</f>
        <v>Ativo</v>
      </c>
      <c r="G27" s="71" t="str">
        <f>VLOOKUP($B27,'BASE+TOMADOR'!$A:$BS,4,FALSE)</f>
        <v>G S FL 05 - BARUERI</v>
      </c>
      <c r="H27" s="71" t="str">
        <f>VLOOKUP($B27,'BASE+TOMADOR'!$A:$BS,7,FALSE)</f>
        <v>20.504.237/0005-40</v>
      </c>
      <c r="I27" s="72">
        <f>IFERROR(VLOOKUP($B27,'BASE+TOMADOR'!$A:$BS,62,FALSE),0)</f>
        <v>1020.7749999999999</v>
      </c>
      <c r="J27" s="72">
        <f>IFERROR(VLOOKUP($B27,'BASE+TOMADOR'!$A:$BS,67,FALSE),0)</f>
        <v>1853.13</v>
      </c>
      <c r="K27" s="73">
        <f>VLOOKUP($B27,'BASE+TOMADOR'!$A:$BS,55,FALSE)</f>
        <v>3013.3199999999997</v>
      </c>
      <c r="L27" s="73">
        <f>IFERROR(VLOOKUP($B27,'BASE+TOMADOR'!$A:$BS,56,FALSE),0)</f>
        <v>8263.02</v>
      </c>
      <c r="M27" s="72">
        <f>IFERROR(VLOOKUP($B27,'BASE+TOMADOR'!$A:$BS,58,FALSE),0)</f>
        <v>8263.02</v>
      </c>
      <c r="N27" s="74">
        <f t="shared" si="0"/>
        <v>1.0842833605711363E-2</v>
      </c>
      <c r="O27" s="72">
        <f>IFERROR(VLOOKUP(B27,'[1]BASE+TOMADOR'!$A:$BF,58,0),0)</f>
        <v>8562.8799999999992</v>
      </c>
      <c r="P27" s="67">
        <f t="shared" si="1"/>
        <v>-299.85999999999876</v>
      </c>
    </row>
    <row r="28" spans="1:16" ht="15" customHeight="1" x14ac:dyDescent="0.25">
      <c r="A28" s="43">
        <f t="shared" si="2"/>
        <v>26</v>
      </c>
      <c r="B28" s="71" t="s">
        <v>463</v>
      </c>
      <c r="C28" s="43" t="str">
        <f>IFERROR(VLOOKUP($B28,'BASE+TOMADOR'!$A:$BS,3,FALSE),0)</f>
        <v>PJ</v>
      </c>
      <c r="D28" s="71" t="str">
        <f>VLOOKUP($B28,'BASE+TOMADOR'!$A:$BS,8,FALSE)</f>
        <v>SELETIVA MARINGA</v>
      </c>
      <c r="E28" s="71" t="str">
        <f>VLOOKUP($B28,'BASE+TOMADOR'!$A:$BS,15,FALSE)</f>
        <v>COMPRADOR</v>
      </c>
      <c r="F28" s="43" t="str">
        <f>VLOOKUP($B28,'BASE+TOMADOR'!$A:$BS,71,FALSE)</f>
        <v>Ativo</v>
      </c>
      <c r="G28" s="71" t="str">
        <f>VLOOKUP($B28,'BASE+TOMADOR'!$A:$BS,4,FALSE)</f>
        <v>G3S FL 06 - MARINGA</v>
      </c>
      <c r="H28" s="71" t="str">
        <f>VLOOKUP($B28,'BASE+TOMADOR'!$A:$BS,7,FALSE)</f>
        <v>CONTRATO PJ</v>
      </c>
      <c r="I28" s="72">
        <f>IFERROR(VLOOKUP($B28,'BASE+TOMADOR'!$A:$BS,62,FALSE),0)</f>
        <v>666.66666666666663</v>
      </c>
      <c r="J28" s="72">
        <f>IFERROR(VLOOKUP($B28,'BASE+TOMADOR'!$A:$BS,67,FALSE),0)</f>
        <v>0</v>
      </c>
      <c r="K28" s="73">
        <f>VLOOKUP($B28,'BASE+TOMADOR'!$A:$BS,55,FALSE)</f>
        <v>21.87</v>
      </c>
      <c r="L28" s="73">
        <f>IFERROR(VLOOKUP($B28,'BASE+TOMADOR'!$A:$BS,56,FALSE),0)</f>
        <v>8021.87</v>
      </c>
      <c r="M28" s="72">
        <f>IFERROR(VLOOKUP($B28,'BASE+TOMADOR'!$A:$BS,58,FALSE),0)</f>
        <v>8021.87</v>
      </c>
      <c r="N28" s="74">
        <f t="shared" si="0"/>
        <v>1.0526393693425382E-2</v>
      </c>
      <c r="O28" s="72">
        <f>IFERROR(VLOOKUP(B28,'[1]BASE+TOMADOR'!$A:$BF,58,0),0)</f>
        <v>7300</v>
      </c>
      <c r="P28" s="67">
        <f t="shared" si="1"/>
        <v>721.86999999999989</v>
      </c>
    </row>
    <row r="29" spans="1:16" ht="15" customHeight="1" x14ac:dyDescent="0.25">
      <c r="A29" s="43">
        <f t="shared" si="2"/>
        <v>27</v>
      </c>
      <c r="B29" s="71" t="s">
        <v>128</v>
      </c>
      <c r="C29" s="43" t="str">
        <f>IFERROR(VLOOKUP($B29,'BASE+TOMADOR'!$A:$BS,3,FALSE),0)</f>
        <v>CLT</v>
      </c>
      <c r="D29" s="71" t="str">
        <f>VLOOKUP($B29,'BASE+TOMADOR'!$A:$BS,8,FALSE)</f>
        <v>OPERACIONAL</v>
      </c>
      <c r="E29" s="71" t="str">
        <f>VLOOKUP($B29,'BASE+TOMADOR'!$A:$BS,15,FALSE)</f>
        <v>OPERADOR MANTENEDOR SENIOR</v>
      </c>
      <c r="F29" s="43" t="str">
        <f>VLOOKUP($B29,'BASE+TOMADOR'!$A:$BS,71,FALSE)</f>
        <v>Ativo</v>
      </c>
      <c r="G29" s="71" t="str">
        <f>VLOOKUP($B29,'BASE+TOMADOR'!$A:$BS,4,FALSE)</f>
        <v>G S FL 04 - MARINGA</v>
      </c>
      <c r="H29" s="71" t="str">
        <f>VLOOKUP($B29,'BASE+TOMADOR'!$A:$BS,7,FALSE)</f>
        <v>20.504.237/0004-60</v>
      </c>
      <c r="I29" s="72">
        <f>IFERROR(VLOOKUP($B29,'BASE+TOMADOR'!$A:$BS,62,FALSE),0)</f>
        <v>1211.4394444444447</v>
      </c>
      <c r="J29" s="72">
        <f>IFERROR(VLOOKUP($B29,'BASE+TOMADOR'!$A:$BS,67,FALSE),0)</f>
        <v>2292.7200000000003</v>
      </c>
      <c r="K29" s="73">
        <f>VLOOKUP($B29,'BASE+TOMADOR'!$A:$BS,55,FALSE)</f>
        <v>1573.0800000000002</v>
      </c>
      <c r="L29" s="73">
        <f>IFERROR(VLOOKUP($B29,'BASE+TOMADOR'!$A:$BS,56,FALSE),0)</f>
        <v>7803.34</v>
      </c>
      <c r="M29" s="72">
        <f>IFERROR(VLOOKUP($B29,'BASE+TOMADOR'!$A:$BS,58,FALSE),0)</f>
        <v>7803.34</v>
      </c>
      <c r="N29" s="74">
        <f t="shared" si="0"/>
        <v>1.0239636015499381E-2</v>
      </c>
      <c r="O29" s="72">
        <f>IFERROR(VLOOKUP(B29,'[1]BASE+TOMADOR'!$A:$BF,58,0),0)</f>
        <v>6155.9</v>
      </c>
      <c r="P29" s="67">
        <f t="shared" si="1"/>
        <v>1647.4400000000005</v>
      </c>
    </row>
    <row r="30" spans="1:16" ht="15" customHeight="1" x14ac:dyDescent="0.25">
      <c r="A30" s="43">
        <f t="shared" si="2"/>
        <v>28</v>
      </c>
      <c r="B30" s="71" t="s">
        <v>136</v>
      </c>
      <c r="C30" s="43" t="str">
        <f>IFERROR(VLOOKUP($B30,'BASE+TOMADOR'!$A:$BS,3,FALSE),0)</f>
        <v>CLT</v>
      </c>
      <c r="D30" s="71" t="str">
        <f>VLOOKUP($B30,'BASE+TOMADOR'!$A:$BS,8,FALSE)</f>
        <v>LOGISTICA</v>
      </c>
      <c r="E30" s="71" t="str">
        <f>VLOOKUP($B30,'BASE+TOMADOR'!$A:$BS,15,FALSE)</f>
        <v>MOTORISTA CARRETEIRO MANTENEDOR SENIOR I</v>
      </c>
      <c r="F30" s="43" t="str">
        <f>VLOOKUP($B30,'BASE+TOMADOR'!$A:$BS,71,FALSE)</f>
        <v>Ativo</v>
      </c>
      <c r="G30" s="71" t="str">
        <f>VLOOKUP($B30,'BASE+TOMADOR'!$A:$BS,4,FALSE)</f>
        <v>G S FL 04 - MARINGA</v>
      </c>
      <c r="H30" s="71" t="str">
        <f>VLOOKUP($B30,'BASE+TOMADOR'!$A:$BS,7,FALSE)</f>
        <v>20.504.237/0004-60</v>
      </c>
      <c r="I30" s="72">
        <f>IFERROR(VLOOKUP($B30,'BASE+TOMADOR'!$A:$BS,62,FALSE),0)</f>
        <v>1067.5252777777775</v>
      </c>
      <c r="J30" s="72">
        <f>IFERROR(VLOOKUP($B30,'BASE+TOMADOR'!$A:$BS,67,FALSE),0)</f>
        <v>2020.3600000000001</v>
      </c>
      <c r="K30" s="73">
        <f>VLOOKUP($B30,'BASE+TOMADOR'!$A:$BS,55,FALSE)</f>
        <v>2228.23</v>
      </c>
      <c r="L30" s="73">
        <f>IFERROR(VLOOKUP($B30,'BASE+TOMADOR'!$A:$BS,56,FALSE),0)</f>
        <v>7718.3599999999988</v>
      </c>
      <c r="M30" s="72">
        <f>IFERROR(VLOOKUP($B30,'BASE+TOMADOR'!$A:$BS,58,FALSE),0)</f>
        <v>7718.3599999999988</v>
      </c>
      <c r="N30" s="74">
        <f t="shared" si="0"/>
        <v>1.012812424379686E-2</v>
      </c>
      <c r="O30" s="72">
        <f>IFERROR(VLOOKUP(B30,'[1]BASE+TOMADOR'!$A:$BF,58,0),0)</f>
        <v>7220.29</v>
      </c>
      <c r="P30" s="67">
        <f t="shared" si="1"/>
        <v>498.0699999999988</v>
      </c>
    </row>
    <row r="31" spans="1:16" ht="15" customHeight="1" x14ac:dyDescent="0.25">
      <c r="A31" s="43">
        <f t="shared" si="2"/>
        <v>29</v>
      </c>
      <c r="B31" s="71" t="s">
        <v>166</v>
      </c>
      <c r="C31" s="43" t="str">
        <f>IFERROR(VLOOKUP($B31,'BASE+TOMADOR'!$A:$BS,3,FALSE),0)</f>
        <v>CLT</v>
      </c>
      <c r="D31" s="71" t="str">
        <f>VLOOKUP($B31,'BASE+TOMADOR'!$A:$BS,8,FALSE)</f>
        <v>LOGISTICA</v>
      </c>
      <c r="E31" s="71" t="str">
        <f>VLOOKUP($B31,'BASE+TOMADOR'!$A:$BS,15,FALSE)</f>
        <v>MOTORISTA CARRETEIRO MANTENEDOR SENIOR III</v>
      </c>
      <c r="F31" s="43" t="str">
        <f>VLOOKUP($B31,'BASE+TOMADOR'!$A:$BS,71,FALSE)</f>
        <v>Ativo</v>
      </c>
      <c r="G31" s="71" t="str">
        <f>VLOOKUP($B31,'BASE+TOMADOR'!$A:$BS,4,FALSE)</f>
        <v>G S FL 05 - BARUERI</v>
      </c>
      <c r="H31" s="71" t="str">
        <f>VLOOKUP($B31,'BASE+TOMADOR'!$A:$BS,7,FALSE)</f>
        <v>20.504.237/0005-40</v>
      </c>
      <c r="I31" s="72">
        <f>IFERROR(VLOOKUP($B31,'BASE+TOMADOR'!$A:$BS,62,FALSE),0)</f>
        <v>839.79194444444454</v>
      </c>
      <c r="J31" s="72">
        <f>IFERROR(VLOOKUP($B31,'BASE+TOMADOR'!$A:$BS,67,FALSE),0)</f>
        <v>1524.57</v>
      </c>
      <c r="K31" s="73">
        <f>VLOOKUP($B31,'BASE+TOMADOR'!$A:$BS,55,FALSE)</f>
        <v>3134.87</v>
      </c>
      <c r="L31" s="73">
        <f>IFERROR(VLOOKUP($B31,'BASE+TOMADOR'!$A:$BS,56,FALSE),0)</f>
        <v>7453.8</v>
      </c>
      <c r="M31" s="72">
        <f>IFERROR(VLOOKUP($B31,'BASE+TOMADOR'!$A:$BS,58,FALSE),0)</f>
        <v>7453.8</v>
      </c>
      <c r="N31" s="74">
        <f t="shared" si="0"/>
        <v>9.7809654497086236E-3</v>
      </c>
      <c r="O31" s="72">
        <f>IFERROR(VLOOKUP(B31,'[1]BASE+TOMADOR'!$A:$BF,58,0),0)</f>
        <v>12049.43</v>
      </c>
      <c r="P31" s="67">
        <f t="shared" si="1"/>
        <v>-4595.63</v>
      </c>
    </row>
    <row r="32" spans="1:16" ht="15" customHeight="1" x14ac:dyDescent="0.25">
      <c r="A32" s="43">
        <f t="shared" si="2"/>
        <v>30</v>
      </c>
      <c r="B32" s="71" t="s">
        <v>316</v>
      </c>
      <c r="C32" s="43" t="str">
        <f>IFERROR(VLOOKUP($B32,'BASE+TOMADOR'!$A:$BS,3,FALSE),0)</f>
        <v>CLT</v>
      </c>
      <c r="D32" s="71" t="str">
        <f>VLOOKUP($B32,'BASE+TOMADOR'!$A:$BS,8,FALSE)</f>
        <v>COMERCIAL</v>
      </c>
      <c r="E32" s="71" t="str">
        <f>VLOOKUP($B32,'BASE+TOMADOR'!$A:$BS,15,FALSE)</f>
        <v>VENDEDOR(A)</v>
      </c>
      <c r="F32" s="43" t="str">
        <f>VLOOKUP($B32,'BASE+TOMADOR'!$A:$BS,71,FALSE)</f>
        <v>Ativo</v>
      </c>
      <c r="G32" s="71" t="str">
        <f>VLOOKUP($B32,'BASE+TOMADOR'!$A:$BS,4,FALSE)</f>
        <v>G3S FL 05 - PRES PRUD</v>
      </c>
      <c r="H32" s="71" t="str">
        <f>VLOOKUP($B32,'BASE+TOMADOR'!$A:$BS,7,FALSE)</f>
        <v>20.947.332/0005-19</v>
      </c>
      <c r="I32" s="72">
        <f>IFERROR(VLOOKUP($B32,'BASE+TOMADOR'!$A:$BS,62,FALSE),0)</f>
        <v>1314.3530555555556</v>
      </c>
      <c r="J32" s="72">
        <f>IFERROR(VLOOKUP($B32,'BASE+TOMADOR'!$A:$BS,67,FALSE),0)</f>
        <v>2386.11</v>
      </c>
      <c r="K32" s="73">
        <f>VLOOKUP($B32,'BASE+TOMADOR'!$A:$BS,55,FALSE)</f>
        <v>512.87</v>
      </c>
      <c r="L32" s="73">
        <f>IFERROR(VLOOKUP($B32,'BASE+TOMADOR'!$A:$BS,56,FALSE),0)</f>
        <v>7272.4</v>
      </c>
      <c r="M32" s="72">
        <f>IFERROR(VLOOKUP($B32,'BASE+TOMADOR'!$A:$BS,58,FALSE),0)</f>
        <v>7272.4</v>
      </c>
      <c r="N32" s="74">
        <f t="shared" si="0"/>
        <v>9.5429302015698023E-3</v>
      </c>
      <c r="O32" s="72">
        <f>IFERROR(VLOOKUP(B32,'[1]BASE+TOMADOR'!$A:$BF,58,0),0)</f>
        <v>6794.07</v>
      </c>
      <c r="P32" s="67">
        <f t="shared" si="1"/>
        <v>478.32999999999993</v>
      </c>
    </row>
    <row r="33" spans="1:16" ht="15" customHeight="1" x14ac:dyDescent="0.25">
      <c r="A33" s="43">
        <f t="shared" si="2"/>
        <v>31</v>
      </c>
      <c r="B33" s="71" t="s">
        <v>139</v>
      </c>
      <c r="C33" s="43" t="str">
        <f>IFERROR(VLOOKUP($B33,'BASE+TOMADOR'!$A:$BS,3,FALSE),0)</f>
        <v>CLT</v>
      </c>
      <c r="D33" s="71" t="str">
        <f>VLOOKUP($B33,'BASE+TOMADOR'!$A:$BS,8,FALSE)</f>
        <v>LOGISTICA</v>
      </c>
      <c r="E33" s="71" t="str">
        <f>VLOOKUP($B33,'BASE+TOMADOR'!$A:$BS,15,FALSE)</f>
        <v>MOTORISTA CARRETEIRO MANTENEDOR SENIOR I</v>
      </c>
      <c r="F33" s="43" t="str">
        <f>VLOOKUP($B33,'BASE+TOMADOR'!$A:$BS,71,FALSE)</f>
        <v>Ativo</v>
      </c>
      <c r="G33" s="71" t="str">
        <f>VLOOKUP($B33,'BASE+TOMADOR'!$A:$BS,4,FALSE)</f>
        <v>G S FL 03 - DOURADOS</v>
      </c>
      <c r="H33" s="71" t="str">
        <f>VLOOKUP($B33,'BASE+TOMADOR'!$A:$BS,7,FALSE)</f>
        <v>20.504.237/0003-89</v>
      </c>
      <c r="I33" s="72">
        <f>IFERROR(VLOOKUP($B33,'BASE+TOMADOR'!$A:$BS,62,FALSE),0)</f>
        <v>797.43416666666667</v>
      </c>
      <c r="J33" s="72">
        <f>IFERROR(VLOOKUP($B33,'BASE+TOMADOR'!$A:$BS,67,FALSE),0)</f>
        <v>1509.19</v>
      </c>
      <c r="K33" s="73">
        <f>VLOOKUP($B33,'BASE+TOMADOR'!$A:$BS,55,FALSE)</f>
        <v>3055.3599999999997</v>
      </c>
      <c r="L33" s="73">
        <f>IFERROR(VLOOKUP($B33,'BASE+TOMADOR'!$A:$BS,56,FALSE),0)</f>
        <v>7156.45</v>
      </c>
      <c r="M33" s="72">
        <f>IFERROR(VLOOKUP($B33,'BASE+TOMADOR'!$A:$BS,58,FALSE),0)</f>
        <v>7156.45</v>
      </c>
      <c r="N33" s="74">
        <f t="shared" si="0"/>
        <v>9.3907792257059853E-3</v>
      </c>
      <c r="O33" s="72">
        <f>IFERROR(VLOOKUP(B33,'[1]BASE+TOMADOR'!$A:$BF,58,0),0)</f>
        <v>6936.91</v>
      </c>
      <c r="P33" s="67">
        <f t="shared" si="1"/>
        <v>219.53999999999996</v>
      </c>
    </row>
    <row r="34" spans="1:16" ht="15" customHeight="1" x14ac:dyDescent="0.25">
      <c r="A34" s="43">
        <f t="shared" si="2"/>
        <v>32</v>
      </c>
      <c r="B34" s="71" t="s">
        <v>354</v>
      </c>
      <c r="C34" s="43" t="str">
        <f>IFERROR(VLOOKUP($B34,'BASE+TOMADOR'!$A:$BS,3,FALSE),0)</f>
        <v>CLT</v>
      </c>
      <c r="D34" s="71" t="str">
        <f>VLOOKUP($B34,'BASE+TOMADOR'!$A:$BS,8,FALSE)</f>
        <v>OPERACIONAL</v>
      </c>
      <c r="E34" s="71" t="str">
        <f>VLOOKUP($B34,'BASE+TOMADOR'!$A:$BS,15,FALSE)</f>
        <v>GERENTE DE PATIO SENIOR</v>
      </c>
      <c r="F34" s="43" t="str">
        <f>VLOOKUP($B34,'BASE+TOMADOR'!$A:$BS,71,FALSE)</f>
        <v>Ativo</v>
      </c>
      <c r="G34" s="71" t="str">
        <f>VLOOKUP($B34,'BASE+TOMADOR'!$A:$BS,4,FALSE)</f>
        <v>G3S FL 06 - MARINGA</v>
      </c>
      <c r="H34" s="71" t="str">
        <f>VLOOKUP($B34,'BASE+TOMADOR'!$A:$BS,7,FALSE)</f>
        <v>20.947.332/0006-08</v>
      </c>
      <c r="I34" s="72">
        <f>IFERROR(VLOOKUP($B34,'BASE+TOMADOR'!$A:$BS,62,FALSE),0)</f>
        <v>1119.1930555555557</v>
      </c>
      <c r="J34" s="72">
        <f>IFERROR(VLOOKUP($B34,'BASE+TOMADOR'!$A:$BS,67,FALSE),0)</f>
        <v>2031.79</v>
      </c>
      <c r="K34" s="73">
        <f>VLOOKUP($B34,'BASE+TOMADOR'!$A:$BS,55,FALSE)</f>
        <v>1294.8</v>
      </c>
      <c r="L34" s="73">
        <f>IFERROR(VLOOKUP($B34,'BASE+TOMADOR'!$A:$BS,56,FALSE),0)</f>
        <v>7050.6500000000005</v>
      </c>
      <c r="M34" s="72">
        <f>IFERROR(VLOOKUP($B34,'BASE+TOMADOR'!$A:$BS,58,FALSE),0)</f>
        <v>7050.6500000000005</v>
      </c>
      <c r="N34" s="74">
        <f t="shared" si="0"/>
        <v>9.2519472011575454E-3</v>
      </c>
      <c r="O34" s="72">
        <f>IFERROR(VLOOKUP(B34,'[1]BASE+TOMADOR'!$A:$BF,58,0),0)</f>
        <v>10447.1</v>
      </c>
      <c r="P34" s="67">
        <f t="shared" si="1"/>
        <v>-3396.45</v>
      </c>
    </row>
    <row r="35" spans="1:16" ht="15" customHeight="1" x14ac:dyDescent="0.25">
      <c r="A35" s="43">
        <f t="shared" si="2"/>
        <v>33</v>
      </c>
      <c r="B35" s="71" t="s">
        <v>466</v>
      </c>
      <c r="C35" s="43" t="str">
        <f>IFERROR(VLOOKUP($B35,'BASE+TOMADOR'!$A:$BS,3,FALSE),0)</f>
        <v>PJ</v>
      </c>
      <c r="D35" s="71" t="str">
        <f>VLOOKUP($B35,'BASE+TOMADOR'!$A:$BS,8,FALSE)</f>
        <v>ADMINISTRATIVO</v>
      </c>
      <c r="E35" s="71" t="str">
        <f>VLOOKUP($B35,'BASE+TOMADOR'!$A:$BS,15,FALSE)</f>
        <v>ANALISTA DE COMPRAS</v>
      </c>
      <c r="F35" s="43" t="str">
        <f>VLOOKUP($B35,'BASE+TOMADOR'!$A:$BS,71,FALSE)</f>
        <v>Ativo</v>
      </c>
      <c r="G35" s="71" t="str">
        <f>VLOOKUP($B35,'BASE+TOMADOR'!$A:$BS,4,FALSE)</f>
        <v>G3S  FL 10 - PRES PRUD</v>
      </c>
      <c r="H35" s="71" t="str">
        <f>VLOOKUP($B35,'BASE+TOMADOR'!$A:$BS,7,FALSE)</f>
        <v>CONTRATO PJ</v>
      </c>
      <c r="I35" s="72">
        <f>IFERROR(VLOOKUP($B35,'BASE+TOMADOR'!$A:$BS,62,FALSE),0)</f>
        <v>541.66666666666663</v>
      </c>
      <c r="J35" s="72">
        <f>IFERROR(VLOOKUP($B35,'BASE+TOMADOR'!$A:$BS,67,FALSE),0)</f>
        <v>0</v>
      </c>
      <c r="K35" s="73">
        <f>VLOOKUP($B35,'BASE+TOMADOR'!$A:$BS,55,FALSE)</f>
        <v>521.87</v>
      </c>
      <c r="L35" s="73">
        <f>IFERROR(VLOOKUP($B35,'BASE+TOMADOR'!$A:$BS,56,FALSE),0)</f>
        <v>7021.87</v>
      </c>
      <c r="M35" s="72">
        <f>IFERROR(VLOOKUP($B35,'BASE+TOMADOR'!$A:$BS,58,FALSE),0)</f>
        <v>7021.87</v>
      </c>
      <c r="N35" s="74">
        <f t="shared" ref="N35:N66" si="3">M35/$M$1</f>
        <v>9.2141817411716832E-3</v>
      </c>
      <c r="O35" s="72">
        <f>IFERROR(VLOOKUP(B35,'[1]BASE+TOMADOR'!$A:$BF,58,0),0)</f>
        <v>5500</v>
      </c>
      <c r="P35" s="67">
        <f t="shared" ref="P35:P66" si="4">M35-O35</f>
        <v>1521.87</v>
      </c>
    </row>
    <row r="36" spans="1:16" ht="15" customHeight="1" x14ac:dyDescent="0.25">
      <c r="A36" s="43">
        <f t="shared" ref="A36:A67" si="5">A35+1</f>
        <v>34</v>
      </c>
      <c r="B36" s="71" t="s">
        <v>137</v>
      </c>
      <c r="C36" s="43" t="str">
        <f>IFERROR(VLOOKUP($B36,'BASE+TOMADOR'!$A:$BS,3,FALSE),0)</f>
        <v>CLT</v>
      </c>
      <c r="D36" s="71" t="str">
        <f>VLOOKUP($B36,'BASE+TOMADOR'!$A:$BS,8,FALSE)</f>
        <v>LOGISTICA</v>
      </c>
      <c r="E36" s="71" t="str">
        <f>VLOOKUP($B36,'BASE+TOMADOR'!$A:$BS,15,FALSE)</f>
        <v>MOTORISTA CARRETEIRO MANTENEDOR SENIOR I</v>
      </c>
      <c r="F36" s="43" t="str">
        <f>VLOOKUP($B36,'BASE+TOMADOR'!$A:$BS,71,FALSE)</f>
        <v>Ativo</v>
      </c>
      <c r="G36" s="71" t="str">
        <f>VLOOKUP($B36,'BASE+TOMADOR'!$A:$BS,4,FALSE)</f>
        <v>G S FL 04 - MARINGA</v>
      </c>
      <c r="H36" s="71" t="str">
        <f>VLOOKUP($B36,'BASE+TOMADOR'!$A:$BS,7,FALSE)</f>
        <v>20.504.237/0004-60</v>
      </c>
      <c r="I36" s="72">
        <f>IFERROR(VLOOKUP($B36,'BASE+TOMADOR'!$A:$BS,62,FALSE),0)</f>
        <v>1085.7622222222221</v>
      </c>
      <c r="J36" s="72">
        <f>IFERROR(VLOOKUP($B36,'BASE+TOMADOR'!$A:$BS,67,FALSE),0)</f>
        <v>2054.86</v>
      </c>
      <c r="K36" s="73">
        <f>VLOOKUP($B36,'BASE+TOMADOR'!$A:$BS,55,FALSE)</f>
        <v>1433.19</v>
      </c>
      <c r="L36" s="73">
        <f>IFERROR(VLOOKUP($B36,'BASE+TOMADOR'!$A:$BS,56,FALSE),0)</f>
        <v>7017.1100000000006</v>
      </c>
      <c r="M36" s="72">
        <f>IFERROR(VLOOKUP($B36,'BASE+TOMADOR'!$A:$BS,58,FALSE),0)</f>
        <v>7017.1100000000006</v>
      </c>
      <c r="N36" s="74">
        <f t="shared" si="3"/>
        <v>9.2079356122789554E-3</v>
      </c>
      <c r="O36" s="72">
        <f>IFERROR(VLOOKUP(B36,'[1]BASE+TOMADOR'!$A:$BF,58,0),0)</f>
        <v>6535.91</v>
      </c>
      <c r="P36" s="67">
        <f t="shared" si="4"/>
        <v>481.20000000000073</v>
      </c>
    </row>
    <row r="37" spans="1:16" ht="15" customHeight="1" x14ac:dyDescent="0.25">
      <c r="A37" s="43">
        <f t="shared" si="5"/>
        <v>35</v>
      </c>
      <c r="B37" s="71" t="s">
        <v>278</v>
      </c>
      <c r="C37" s="43" t="str">
        <f>IFERROR(VLOOKUP($B37,'BASE+TOMADOR'!$A:$BS,3,FALSE),0)</f>
        <v>CLT</v>
      </c>
      <c r="D37" s="71" t="str">
        <f>VLOOKUP($B37,'BASE+TOMADOR'!$A:$BS,8,FALSE)</f>
        <v>OPERACIONAL</v>
      </c>
      <c r="E37" s="71" t="str">
        <f>VLOOKUP($B37,'BASE+TOMADOR'!$A:$BS,15,FALSE)</f>
        <v>GERENTE DE PATIO SENIOR</v>
      </c>
      <c r="F37" s="43" t="str">
        <f>VLOOKUP($B37,'BASE+TOMADOR'!$A:$BS,71,FALSE)</f>
        <v>Ativo</v>
      </c>
      <c r="G37" s="71" t="str">
        <f>VLOOKUP($B37,'BASE+TOMADOR'!$A:$BS,4,FALSE)</f>
        <v>G3S CMATRIZ - CAMPO GRANDE</v>
      </c>
      <c r="H37" s="71" t="str">
        <f>VLOOKUP($B37,'BASE+TOMADOR'!$A:$BS,7,FALSE)</f>
        <v>20.947.332/0001-95</v>
      </c>
      <c r="I37" s="72">
        <f>IFERROR(VLOOKUP($B37,'BASE+TOMADOR'!$A:$BS,62,FALSE),0)</f>
        <v>1073.2847222222222</v>
      </c>
      <c r="J37" s="72">
        <f>IFERROR(VLOOKUP($B37,'BASE+TOMADOR'!$A:$BS,67,FALSE),0)</f>
        <v>2118.19</v>
      </c>
      <c r="K37" s="73">
        <f>VLOOKUP($B37,'BASE+TOMADOR'!$A:$BS,55,FALSE)</f>
        <v>1205.9099999999999</v>
      </c>
      <c r="L37" s="73">
        <f>IFERROR(VLOOKUP($B37,'BASE+TOMADOR'!$A:$BS,56,FALSE),0)</f>
        <v>6725.66</v>
      </c>
      <c r="M37" s="72">
        <f>IFERROR(VLOOKUP($B37,'BASE+TOMADOR'!$A:$BS,58,FALSE),0)</f>
        <v>6725.66</v>
      </c>
      <c r="N37" s="74">
        <f t="shared" si="3"/>
        <v>8.8254914387946148E-3</v>
      </c>
      <c r="O37" s="72">
        <f>IFERROR(VLOOKUP(B37,'[1]BASE+TOMADOR'!$A:$BF,58,0),0)</f>
        <v>6533.2300000000005</v>
      </c>
      <c r="P37" s="67">
        <f t="shared" si="4"/>
        <v>192.42999999999938</v>
      </c>
    </row>
    <row r="38" spans="1:16" ht="15" customHeight="1" x14ac:dyDescent="0.25">
      <c r="A38" s="43">
        <f t="shared" si="5"/>
        <v>36</v>
      </c>
      <c r="B38" s="71" t="s">
        <v>144</v>
      </c>
      <c r="C38" s="43" t="str">
        <f>IFERROR(VLOOKUP($B38,'BASE+TOMADOR'!$A:$BS,3,FALSE),0)</f>
        <v>CLT</v>
      </c>
      <c r="D38" s="71" t="str">
        <f>VLOOKUP($B38,'BASE+TOMADOR'!$A:$BS,8,FALSE)</f>
        <v>LOGISTICA</v>
      </c>
      <c r="E38" s="71" t="str">
        <f>VLOOKUP($B38,'BASE+TOMADOR'!$A:$BS,15,FALSE)</f>
        <v>MOTORISTA CARRETEIRO MANTENEDOR SENIOR I</v>
      </c>
      <c r="F38" s="43" t="str">
        <f>VLOOKUP($B38,'BASE+TOMADOR'!$A:$BS,71,FALSE)</f>
        <v>Ativo</v>
      </c>
      <c r="G38" s="71" t="str">
        <f>VLOOKUP($B38,'BASE+TOMADOR'!$A:$BS,4,FALSE)</f>
        <v>G S FL 03 - DOURADOS</v>
      </c>
      <c r="H38" s="71" t="str">
        <f>VLOOKUP($B38,'BASE+TOMADOR'!$A:$BS,7,FALSE)</f>
        <v>20.504.237/0003-89</v>
      </c>
      <c r="I38" s="72">
        <f>IFERROR(VLOOKUP($B38,'BASE+TOMADOR'!$A:$BS,62,FALSE),0)</f>
        <v>848.98333333333323</v>
      </c>
      <c r="J38" s="72">
        <f>IFERROR(VLOOKUP($B38,'BASE+TOMADOR'!$A:$BS,67,FALSE),0)</f>
        <v>1606.74</v>
      </c>
      <c r="K38" s="73">
        <f>VLOOKUP($B38,'BASE+TOMADOR'!$A:$BS,55,FALSE)</f>
        <v>2289.4699999999998</v>
      </c>
      <c r="L38" s="73">
        <f>IFERROR(VLOOKUP($B38,'BASE+TOMADOR'!$A:$BS,56,FALSE),0)</f>
        <v>6655.67</v>
      </c>
      <c r="M38" s="72">
        <f>IFERROR(VLOOKUP($B38,'BASE+TOMADOR'!$A:$BS,58,FALSE),0)</f>
        <v>6655.67</v>
      </c>
      <c r="N38" s="74">
        <f t="shared" si="3"/>
        <v>8.7336497242563784E-3</v>
      </c>
      <c r="O38" s="72">
        <f>IFERROR(VLOOKUP(B38,'[1]BASE+TOMADOR'!$A:$BF,58,0),0)</f>
        <v>5888.49</v>
      </c>
      <c r="P38" s="67">
        <f t="shared" si="4"/>
        <v>767.18000000000029</v>
      </c>
    </row>
    <row r="39" spans="1:16" ht="15" customHeight="1" x14ac:dyDescent="0.25">
      <c r="A39" s="43">
        <f t="shared" si="5"/>
        <v>37</v>
      </c>
      <c r="B39" s="71" t="s">
        <v>461</v>
      </c>
      <c r="C39" s="43" t="str">
        <f>IFERROR(VLOOKUP($B39,'BASE+TOMADOR'!$A:$BS,3,FALSE),0)</f>
        <v>PJ</v>
      </c>
      <c r="D39" s="71" t="str">
        <f>VLOOKUP($B39,'BASE+TOMADOR'!$A:$BS,8,FALSE)</f>
        <v>PILARES</v>
      </c>
      <c r="E39" s="71" t="str">
        <f>VLOOKUP($B39,'BASE+TOMADOR'!$A:$BS,15,FALSE)</f>
        <v>CONSULTOR</v>
      </c>
      <c r="F39" s="43" t="str">
        <f>VLOOKUP($B39,'BASE+TOMADOR'!$A:$BS,71,FALSE)</f>
        <v>Ativo</v>
      </c>
      <c r="G39" s="71" t="str">
        <f>VLOOKUP($B39,'BASE+TOMADOR'!$A:$BS,4,FALSE)</f>
        <v>G3S FL 10 - PRES PRUD</v>
      </c>
      <c r="H39" s="71" t="str">
        <f>VLOOKUP($B39,'BASE+TOMADOR'!$A:$BS,7,FALSE)</f>
        <v>CONTRATO PJ</v>
      </c>
      <c r="I39" s="72">
        <f>IFERROR(VLOOKUP($B39,'BASE+TOMADOR'!$A:$BS,62,FALSE),0)</f>
        <v>0</v>
      </c>
      <c r="J39" s="72">
        <f>IFERROR(VLOOKUP($B39,'BASE+TOMADOR'!$A:$BS,67,FALSE),0)</f>
        <v>0</v>
      </c>
      <c r="K39" s="73">
        <f>VLOOKUP($B39,'BASE+TOMADOR'!$A:$BS,55,FALSE)</f>
        <v>0</v>
      </c>
      <c r="L39" s="73">
        <f>IFERROR(VLOOKUP($B39,'BASE+TOMADOR'!$A:$BS,56,FALSE),0)</f>
        <v>6578</v>
      </c>
      <c r="M39" s="72">
        <f>IFERROR(VLOOKUP($B39,'BASE+TOMADOR'!$A:$BS,58,FALSE),0)</f>
        <v>6578</v>
      </c>
      <c r="N39" s="74">
        <f t="shared" si="3"/>
        <v>8.6317302219248333E-3</v>
      </c>
      <c r="O39" s="72">
        <f>IFERROR(VLOOKUP(B39,'[1]BASE+TOMADOR'!$A:$BF,58,0),0)</f>
        <v>6000</v>
      </c>
      <c r="P39" s="67">
        <f t="shared" si="4"/>
        <v>578</v>
      </c>
    </row>
    <row r="40" spans="1:16" ht="15" customHeight="1" x14ac:dyDescent="0.25">
      <c r="A40" s="43">
        <f t="shared" si="5"/>
        <v>38</v>
      </c>
      <c r="B40" s="71" t="s">
        <v>221</v>
      </c>
      <c r="C40" s="43" t="str">
        <f>IFERROR(VLOOKUP($B40,'BASE+TOMADOR'!$A:$BS,3,FALSE),0)</f>
        <v>CLT</v>
      </c>
      <c r="D40" s="71" t="str">
        <f>VLOOKUP($B40,'BASE+TOMADOR'!$A:$BS,8,FALSE)</f>
        <v>GESTÃO DE GENTE</v>
      </c>
      <c r="E40" s="71" t="str">
        <f>VLOOKUP($B40,'BASE+TOMADOR'!$A:$BS,15,FALSE)</f>
        <v>ANALISTA DE SESMT</v>
      </c>
      <c r="F40" s="43" t="str">
        <f>VLOOKUP($B40,'BASE+TOMADOR'!$A:$BS,71,FALSE)</f>
        <v>Ativo</v>
      </c>
      <c r="G40" s="71" t="str">
        <f>VLOOKUP($B40,'BASE+TOMADOR'!$A:$BS,4,FALSE)</f>
        <v>G3S FL 10 - PRES PRUD</v>
      </c>
      <c r="H40" s="71" t="str">
        <f>VLOOKUP($B40,'BASE+TOMADOR'!$A:$BS,7,FALSE)</f>
        <v>20.947.332/0010-86</v>
      </c>
      <c r="I40" s="72">
        <f>IFERROR(VLOOKUP($B40,'BASE+TOMADOR'!$A:$BS,62,FALSE),0)</f>
        <v>826.38888888888891</v>
      </c>
      <c r="J40" s="72">
        <f>IFERROR(VLOOKUP($B40,'BASE+TOMADOR'!$A:$BS,67,FALSE),0)</f>
        <v>1847.65</v>
      </c>
      <c r="K40" s="73">
        <f>VLOOKUP($B40,'BASE+TOMADOR'!$A:$BS,55,FALSE)</f>
        <v>2157.84</v>
      </c>
      <c r="L40" s="73">
        <f>IFERROR(VLOOKUP($B40,'BASE+TOMADOR'!$A:$BS,56,FALSE),0)</f>
        <v>6407.84</v>
      </c>
      <c r="M40" s="72">
        <f>IFERROR(VLOOKUP($B40,'BASE+TOMADOR'!$A:$BS,58,FALSE),0)</f>
        <v>6407.84</v>
      </c>
      <c r="N40" s="74">
        <f t="shared" si="3"/>
        <v>8.4084442361293445E-3</v>
      </c>
      <c r="O40" s="72">
        <f>IFERROR(VLOOKUP(B40,'[1]BASE+TOMADOR'!$A:$BF,58,0),0)</f>
        <v>4738.3999999999996</v>
      </c>
      <c r="P40" s="67">
        <f t="shared" si="4"/>
        <v>1669.4400000000005</v>
      </c>
    </row>
    <row r="41" spans="1:16" ht="15" customHeight="1" x14ac:dyDescent="0.25">
      <c r="A41" s="43">
        <f t="shared" si="5"/>
        <v>39</v>
      </c>
      <c r="B41" s="71" t="s">
        <v>306</v>
      </c>
      <c r="C41" s="43" t="str">
        <f>IFERROR(VLOOKUP($B41,'BASE+TOMADOR'!$A:$BS,3,FALSE),0)</f>
        <v>CLT</v>
      </c>
      <c r="D41" s="71" t="str">
        <f>VLOOKUP($B41,'BASE+TOMADOR'!$A:$BS,8,FALSE)</f>
        <v>OPERACIONAL</v>
      </c>
      <c r="E41" s="71" t="str">
        <f>VLOOKUP($B41,'BASE+TOMADOR'!$A:$BS,15,FALSE)</f>
        <v>GERENTE DE PATIO SENIOR</v>
      </c>
      <c r="F41" s="43" t="str">
        <f>VLOOKUP($B41,'BASE+TOMADOR'!$A:$BS,71,FALSE)</f>
        <v>Ativo</v>
      </c>
      <c r="G41" s="71" t="str">
        <f>VLOOKUP($B41,'BASE+TOMADOR'!$A:$BS,4,FALSE)</f>
        <v>G3S  FL 04 - PRES PRUD</v>
      </c>
      <c r="H41" s="71" t="str">
        <f>VLOOKUP($B41,'BASE+TOMADOR'!$A:$BS,7,FALSE)</f>
        <v>20.947.332/0004-38</v>
      </c>
      <c r="I41" s="72">
        <f>IFERROR(VLOOKUP($B41,'BASE+TOMADOR'!$A:$BS,62,FALSE),0)</f>
        <v>997.53111111111104</v>
      </c>
      <c r="J41" s="72">
        <f>IFERROR(VLOOKUP($B41,'BASE+TOMADOR'!$A:$BS,67,FALSE),0)</f>
        <v>1810.93</v>
      </c>
      <c r="K41" s="73">
        <f>VLOOKUP($B41,'BASE+TOMADOR'!$A:$BS,55,FALSE)</f>
        <v>1092.21</v>
      </c>
      <c r="L41" s="73">
        <f>IFERROR(VLOOKUP($B41,'BASE+TOMADOR'!$A:$BS,56,FALSE),0)</f>
        <v>6222.37</v>
      </c>
      <c r="M41" s="72">
        <f>IFERROR(VLOOKUP($B41,'BASE+TOMADOR'!$A:$BS,58,FALSE),0)</f>
        <v>6222.37</v>
      </c>
      <c r="N41" s="74">
        <f t="shared" si="3"/>
        <v>8.1650682853448495E-3</v>
      </c>
      <c r="O41" s="72">
        <f>IFERROR(VLOOKUP(B41,'[1]BASE+TOMADOR'!$A:$BF,58,0),0)</f>
        <v>5385.64</v>
      </c>
      <c r="P41" s="67">
        <f t="shared" si="4"/>
        <v>836.72999999999956</v>
      </c>
    </row>
    <row r="42" spans="1:16" ht="15" customHeight="1" x14ac:dyDescent="0.25">
      <c r="A42" s="43">
        <f t="shared" si="5"/>
        <v>40</v>
      </c>
      <c r="B42" s="71" t="s">
        <v>304</v>
      </c>
      <c r="C42" s="43" t="str">
        <f>IFERROR(VLOOKUP($B42,'BASE+TOMADOR'!$A:$BS,3,FALSE),0)</f>
        <v>CLT</v>
      </c>
      <c r="D42" s="71" t="str">
        <f>VLOOKUP($B42,'BASE+TOMADOR'!$A:$BS,8,FALSE)</f>
        <v>ADMINISTRATIVO</v>
      </c>
      <c r="E42" s="71" t="str">
        <f>VLOOKUP($B42,'BASE+TOMADOR'!$A:$BS,15,FALSE)</f>
        <v>SUPERVISOR(A) ADMINISTRATIVO(A)</v>
      </c>
      <c r="F42" s="43" t="str">
        <f>VLOOKUP($B42,'BASE+TOMADOR'!$A:$BS,71,FALSE)</f>
        <v>Ativo</v>
      </c>
      <c r="G42" s="71" t="str">
        <f>VLOOKUP($B42,'BASE+TOMADOR'!$A:$BS,4,FALSE)</f>
        <v>G3S  FL 04 - PRES PRUD</v>
      </c>
      <c r="H42" s="71" t="str">
        <f>VLOOKUP($B42,'BASE+TOMADOR'!$A:$BS,7,FALSE)</f>
        <v>20.947.332/0004-38</v>
      </c>
      <c r="I42" s="72">
        <f>IFERROR(VLOOKUP($B42,'BASE+TOMADOR'!$A:$BS,62,FALSE),0)</f>
        <v>923.37777777777785</v>
      </c>
      <c r="J42" s="72">
        <f>IFERROR(VLOOKUP($B42,'BASE+TOMADOR'!$A:$BS,67,FALSE),0)</f>
        <v>1676.3200000000002</v>
      </c>
      <c r="K42" s="73">
        <f>VLOOKUP($B42,'BASE+TOMADOR'!$A:$BS,55,FALSE)</f>
        <v>1426.21</v>
      </c>
      <c r="L42" s="73">
        <f>IFERROR(VLOOKUP($B42,'BASE+TOMADOR'!$A:$BS,56,FALSE),0)</f>
        <v>6175.01</v>
      </c>
      <c r="M42" s="72">
        <f>IFERROR(VLOOKUP($B42,'BASE+TOMADOR'!$A:$BS,58,FALSE),0)</f>
        <v>6175.01</v>
      </c>
      <c r="N42" s="74">
        <f t="shared" si="3"/>
        <v>8.102921927286115E-3</v>
      </c>
      <c r="O42" s="72">
        <f>IFERROR(VLOOKUP(B42,'[1]BASE+TOMADOR'!$A:$BF,58,0),0)</f>
        <v>5230.7300000000005</v>
      </c>
      <c r="P42" s="67">
        <f t="shared" si="4"/>
        <v>944.27999999999975</v>
      </c>
    </row>
    <row r="43" spans="1:16" ht="15" customHeight="1" x14ac:dyDescent="0.25">
      <c r="A43" s="43">
        <f t="shared" si="5"/>
        <v>41</v>
      </c>
      <c r="B43" s="71" t="s">
        <v>181</v>
      </c>
      <c r="C43" s="43" t="str">
        <f>IFERROR(VLOOKUP($B43,'BASE+TOMADOR'!$A:$BS,3,FALSE),0)</f>
        <v>CLT</v>
      </c>
      <c r="D43" s="71" t="str">
        <f>VLOOKUP($B43,'BASE+TOMADOR'!$A:$BS,8,FALSE)</f>
        <v>LOGISTICA</v>
      </c>
      <c r="E43" s="71" t="str">
        <f>VLOOKUP($B43,'BASE+TOMADOR'!$A:$BS,15,FALSE)</f>
        <v>MOTORISTA CARRETEIRO MANTENEDOR PLENO II</v>
      </c>
      <c r="F43" s="43" t="str">
        <f>VLOOKUP($B43,'BASE+TOMADOR'!$A:$BS,71,FALSE)</f>
        <v>Ativo</v>
      </c>
      <c r="G43" s="71" t="str">
        <f>VLOOKUP($B43,'BASE+TOMADOR'!$A:$BS,4,FALSE)</f>
        <v>G S FL 06 - CAMPO GRANDE</v>
      </c>
      <c r="H43" s="71" t="str">
        <f>VLOOKUP($B43,'BASE+TOMADOR'!$A:$BS,7,FALSE)</f>
        <v>20.504.237/0006-21</v>
      </c>
      <c r="I43" s="72">
        <f>IFERROR(VLOOKUP($B43,'BASE+TOMADOR'!$A:$BS,62,FALSE),0)</f>
        <v>780.19861111111118</v>
      </c>
      <c r="J43" s="72">
        <f>IFERROR(VLOOKUP($B43,'BASE+TOMADOR'!$A:$BS,67,FALSE),0)</f>
        <v>1476.57</v>
      </c>
      <c r="K43" s="73">
        <f>VLOOKUP($B43,'BASE+TOMADOR'!$A:$BS,55,FALSE)</f>
        <v>2090.31</v>
      </c>
      <c r="L43" s="73">
        <f>IFERROR(VLOOKUP($B43,'BASE+TOMADOR'!$A:$BS,56,FALSE),0)</f>
        <v>6102.76</v>
      </c>
      <c r="M43" s="72">
        <f>IFERROR(VLOOKUP($B43,'BASE+TOMADOR'!$A:$BS,58,FALSE),0)</f>
        <v>6102.76</v>
      </c>
      <c r="N43" s="74">
        <f t="shared" si="3"/>
        <v>8.0081146137357864E-3</v>
      </c>
      <c r="O43" s="72">
        <f>IFERROR(VLOOKUP(B43,'[1]BASE+TOMADOR'!$A:$BF,58,0),0)</f>
        <v>6616.17</v>
      </c>
      <c r="P43" s="67">
        <f t="shared" si="4"/>
        <v>-513.40999999999985</v>
      </c>
    </row>
    <row r="44" spans="1:16" ht="15" customHeight="1" x14ac:dyDescent="0.25">
      <c r="A44" s="43">
        <f t="shared" si="5"/>
        <v>42</v>
      </c>
      <c r="B44" s="71" t="s">
        <v>189</v>
      </c>
      <c r="C44" s="43" t="str">
        <f>IFERROR(VLOOKUP($B44,'BASE+TOMADOR'!$A:$BS,3,FALSE),0)</f>
        <v>CLT</v>
      </c>
      <c r="D44" s="71" t="str">
        <f>VLOOKUP($B44,'BASE+TOMADOR'!$A:$BS,8,FALSE)</f>
        <v>LOGISTICA</v>
      </c>
      <c r="E44" s="71" t="str">
        <f>VLOOKUP($B44,'BASE+TOMADOR'!$A:$BS,15,FALSE)</f>
        <v>MOTORISTA CARRETEIRO MANTENEDOR SENIOR I</v>
      </c>
      <c r="F44" s="43" t="str">
        <f>VLOOKUP($B44,'BASE+TOMADOR'!$A:$BS,71,FALSE)</f>
        <v>Ativo</v>
      </c>
      <c r="G44" s="71" t="str">
        <f>VLOOKUP($B44,'BASE+TOMADOR'!$A:$BS,4,FALSE)</f>
        <v>G S FL 07 - LONDRINA</v>
      </c>
      <c r="H44" s="71" t="str">
        <f>VLOOKUP($B44,'BASE+TOMADOR'!$A:$BS,7,FALSE)</f>
        <v>20.504.237/0007-02</v>
      </c>
      <c r="I44" s="72">
        <f>IFERROR(VLOOKUP($B44,'BASE+TOMADOR'!$A:$BS,62,FALSE),0)</f>
        <v>875.69611111111112</v>
      </c>
      <c r="J44" s="72">
        <f>IFERROR(VLOOKUP($B44,'BASE+TOMADOR'!$A:$BS,67,FALSE),0)</f>
        <v>1656.13</v>
      </c>
      <c r="K44" s="73">
        <f>VLOOKUP($B44,'BASE+TOMADOR'!$A:$BS,55,FALSE)</f>
        <v>1498.89</v>
      </c>
      <c r="L44" s="73">
        <f>IFERROR(VLOOKUP($B44,'BASE+TOMADOR'!$A:$BS,56,FALSE),0)</f>
        <v>6002.47</v>
      </c>
      <c r="M44" s="72">
        <f>IFERROR(VLOOKUP($B44,'BASE+TOMADOR'!$A:$BS,58,FALSE),0)</f>
        <v>6002.47</v>
      </c>
      <c r="N44" s="74">
        <f t="shared" si="3"/>
        <v>7.8765128770442623E-3</v>
      </c>
      <c r="O44" s="72">
        <f>IFERROR(VLOOKUP(B44,'[1]BASE+TOMADOR'!$A:$BF,58,0),0)</f>
        <v>6124.4699999999993</v>
      </c>
      <c r="P44" s="67">
        <f t="shared" si="4"/>
        <v>-121.99999999999909</v>
      </c>
    </row>
    <row r="45" spans="1:16" ht="15" customHeight="1" x14ac:dyDescent="0.25">
      <c r="A45" s="43">
        <f t="shared" si="5"/>
        <v>43</v>
      </c>
      <c r="B45" s="71" t="s">
        <v>449</v>
      </c>
      <c r="C45" s="43" t="str">
        <f>IFERROR(VLOOKUP($B45,'BASE+TOMADOR'!$A:$BS,3,FALSE),0)</f>
        <v>PJ</v>
      </c>
      <c r="D45" s="71" t="str">
        <f>VLOOKUP($B45,'BASE+TOMADOR'!$A:$BS,8,FALSE)</f>
        <v>PILARES</v>
      </c>
      <c r="E45" s="71" t="str">
        <f>VLOOKUP($B45,'BASE+TOMADOR'!$A:$BS,15,FALSE)</f>
        <v>CONSULTOR</v>
      </c>
      <c r="F45" s="43" t="str">
        <f>VLOOKUP($B45,'BASE+TOMADOR'!$A:$BS,71,FALSE)</f>
        <v>Ativo</v>
      </c>
      <c r="G45" s="71" t="str">
        <f>VLOOKUP($B45,'BASE+TOMADOR'!$A:$BS,4,FALSE)</f>
        <v>G3S FL 10 - PRES PRUD</v>
      </c>
      <c r="H45" s="71" t="str">
        <f>VLOOKUP($B45,'BASE+TOMADOR'!$A:$BS,7,FALSE)</f>
        <v>CONTRATO PJ</v>
      </c>
      <c r="I45" s="72">
        <f>IFERROR(VLOOKUP($B45,'BASE+TOMADOR'!$A:$BS,62,FALSE),0)</f>
        <v>500</v>
      </c>
      <c r="J45" s="72">
        <f>IFERROR(VLOOKUP($B45,'BASE+TOMADOR'!$A:$BS,67,FALSE),0)</f>
        <v>0</v>
      </c>
      <c r="K45" s="73">
        <f>VLOOKUP($B45,'BASE+TOMADOR'!$A:$BS,55,FALSE)</f>
        <v>0</v>
      </c>
      <c r="L45" s="73">
        <f>IFERROR(VLOOKUP($B45,'BASE+TOMADOR'!$A:$BS,56,FALSE),0)</f>
        <v>6000</v>
      </c>
      <c r="M45" s="72">
        <f>IFERROR(VLOOKUP($B45,'BASE+TOMADOR'!$A:$BS,58,FALSE),0)</f>
        <v>6000</v>
      </c>
      <c r="N45" s="74">
        <f t="shared" si="3"/>
        <v>7.8732717135221956E-3</v>
      </c>
      <c r="O45" s="72">
        <f>IFERROR(VLOOKUP(B45,'[1]BASE+TOMADOR'!$A:$BF,58,0),0)</f>
        <v>6000</v>
      </c>
      <c r="P45" s="67">
        <f t="shared" si="4"/>
        <v>0</v>
      </c>
    </row>
    <row r="46" spans="1:16" ht="15" customHeight="1" x14ac:dyDescent="0.25">
      <c r="A46" s="43">
        <f t="shared" si="5"/>
        <v>44</v>
      </c>
      <c r="B46" s="71" t="s">
        <v>320</v>
      </c>
      <c r="C46" s="43" t="str">
        <f>IFERROR(VLOOKUP($B46,'BASE+TOMADOR'!$A:$BS,3,FALSE),0)</f>
        <v>CLT</v>
      </c>
      <c r="D46" s="71" t="str">
        <f>VLOOKUP($B46,'BASE+TOMADOR'!$A:$BS,8,FALSE)</f>
        <v>LOGISTICA</v>
      </c>
      <c r="E46" s="71" t="str">
        <f>VLOOKUP($B46,'BASE+TOMADOR'!$A:$BS,15,FALSE)</f>
        <v>MOTORISTA TRUCK MANTENEDOR SENIOR</v>
      </c>
      <c r="F46" s="43" t="str">
        <f>VLOOKUP($B46,'BASE+TOMADOR'!$A:$BS,71,FALSE)</f>
        <v>Ativo</v>
      </c>
      <c r="G46" s="71" t="str">
        <f>VLOOKUP($B46,'BASE+TOMADOR'!$A:$BS,4,FALSE)</f>
        <v>G3S FL 05 - PRES PRUD</v>
      </c>
      <c r="H46" s="71" t="str">
        <f>VLOOKUP($B46,'BASE+TOMADOR'!$A:$BS,7,FALSE)</f>
        <v>20.947.332/0005-19</v>
      </c>
      <c r="I46" s="72">
        <f>IFERROR(VLOOKUP($B46,'BASE+TOMADOR'!$A:$BS,62,FALSE),0)</f>
        <v>671.2786111111111</v>
      </c>
      <c r="J46" s="72">
        <f>IFERROR(VLOOKUP($B46,'BASE+TOMADOR'!$A:$BS,67,FALSE),0)</f>
        <v>1218.6500000000001</v>
      </c>
      <c r="K46" s="73">
        <f>VLOOKUP($B46,'BASE+TOMADOR'!$A:$BS,55,FALSE)</f>
        <v>2447.87</v>
      </c>
      <c r="L46" s="73">
        <f>IFERROR(VLOOKUP($B46,'BASE+TOMADOR'!$A:$BS,56,FALSE),0)</f>
        <v>5900.16</v>
      </c>
      <c r="M46" s="72">
        <f>IFERROR(VLOOKUP($B46,'BASE+TOMADOR'!$A:$BS,58,FALSE),0)</f>
        <v>5900.16</v>
      </c>
      <c r="N46" s="74">
        <f t="shared" si="3"/>
        <v>7.7422604722091858E-3</v>
      </c>
      <c r="O46" s="72">
        <f>IFERROR(VLOOKUP(B46,'[1]BASE+TOMADOR'!$A:$BF,58,0),0)</f>
        <v>4228.62</v>
      </c>
      <c r="P46" s="67">
        <f t="shared" si="4"/>
        <v>1671.54</v>
      </c>
    </row>
    <row r="47" spans="1:16" ht="15" customHeight="1" x14ac:dyDescent="0.25">
      <c r="A47" s="43">
        <f t="shared" si="5"/>
        <v>45</v>
      </c>
      <c r="B47" s="71" t="s">
        <v>175</v>
      </c>
      <c r="C47" s="43" t="str">
        <f>IFERROR(VLOOKUP($B47,'BASE+TOMADOR'!$A:$BS,3,FALSE),0)</f>
        <v>CLT</v>
      </c>
      <c r="D47" s="71" t="str">
        <f>VLOOKUP($B47,'BASE+TOMADOR'!$A:$BS,8,FALSE)</f>
        <v>LOGISTICA</v>
      </c>
      <c r="E47" s="71" t="str">
        <f>VLOOKUP($B47,'BASE+TOMADOR'!$A:$BS,15,FALSE)</f>
        <v>MOTORISTA CARRETEIRO MANTENEDOR PLENO</v>
      </c>
      <c r="F47" s="43" t="str">
        <f>VLOOKUP($B47,'BASE+TOMADOR'!$A:$BS,71,FALSE)</f>
        <v>Ativo</v>
      </c>
      <c r="G47" s="71" t="str">
        <f>VLOOKUP($B47,'BASE+TOMADOR'!$A:$BS,4,FALSE)</f>
        <v>G S FL 06 - CAMPO GRANDE</v>
      </c>
      <c r="H47" s="71" t="str">
        <f>VLOOKUP($B47,'BASE+TOMADOR'!$A:$BS,7,FALSE)</f>
        <v>20.504.237/0006-21</v>
      </c>
      <c r="I47" s="72">
        <f>IFERROR(VLOOKUP($B47,'BASE+TOMADOR'!$A:$BS,62,FALSE),0)</f>
        <v>695.84472222222234</v>
      </c>
      <c r="J47" s="72">
        <f>IFERROR(VLOOKUP($B47,'BASE+TOMADOR'!$A:$BS,67,FALSE),0)</f>
        <v>1316.14</v>
      </c>
      <c r="K47" s="73">
        <f>VLOOKUP($B47,'BASE+TOMADOR'!$A:$BS,55,FALSE)</f>
        <v>2082.6299999999997</v>
      </c>
      <c r="L47" s="73">
        <f>IFERROR(VLOOKUP($B47,'BASE+TOMADOR'!$A:$BS,56,FALSE),0)</f>
        <v>5661.26</v>
      </c>
      <c r="M47" s="72">
        <f>IFERROR(VLOOKUP($B47,'BASE+TOMADOR'!$A:$BS,58,FALSE),0)</f>
        <v>5661.26</v>
      </c>
      <c r="N47" s="74">
        <f t="shared" si="3"/>
        <v>7.4287730368157775E-3</v>
      </c>
      <c r="O47" s="72">
        <f>IFERROR(VLOOKUP(B47,'[1]BASE+TOMADOR'!$A:$BF,58,0),0)</f>
        <v>4717.76</v>
      </c>
      <c r="P47" s="67">
        <f t="shared" si="4"/>
        <v>943.5</v>
      </c>
    </row>
    <row r="48" spans="1:16" ht="15" customHeight="1" x14ac:dyDescent="0.25">
      <c r="A48" s="43">
        <f t="shared" si="5"/>
        <v>46</v>
      </c>
      <c r="B48" s="71" t="s">
        <v>146</v>
      </c>
      <c r="C48" s="43" t="str">
        <f>IFERROR(VLOOKUP($B48,'BASE+TOMADOR'!$A:$BS,3,FALSE),0)</f>
        <v>CLT</v>
      </c>
      <c r="D48" s="71" t="str">
        <f>VLOOKUP($B48,'BASE+TOMADOR'!$A:$BS,8,FALSE)</f>
        <v>OPERACIONAL</v>
      </c>
      <c r="E48" s="71" t="str">
        <f>VLOOKUP($B48,'BASE+TOMADOR'!$A:$BS,15,FALSE)</f>
        <v>OPERADOR MANTENEDOR JR</v>
      </c>
      <c r="F48" s="43" t="str">
        <f>VLOOKUP($B48,'BASE+TOMADOR'!$A:$BS,71,FALSE)</f>
        <v>Ativo</v>
      </c>
      <c r="G48" s="71" t="str">
        <f>VLOOKUP($B48,'BASE+TOMADOR'!$A:$BS,4,FALSE)</f>
        <v>G S FL 03 - DOURADOS</v>
      </c>
      <c r="H48" s="71" t="str">
        <f>VLOOKUP($B48,'BASE+TOMADOR'!$A:$BS,7,FALSE)</f>
        <v>20.504.237/0003-89</v>
      </c>
      <c r="I48" s="72">
        <f>IFERROR(VLOOKUP($B48,'BASE+TOMADOR'!$A:$BS,62,FALSE),0)</f>
        <v>951.9708333333333</v>
      </c>
      <c r="J48" s="72">
        <f>IFERROR(VLOOKUP($B48,'BASE+TOMADOR'!$A:$BS,67,FALSE),0)</f>
        <v>1799.12</v>
      </c>
      <c r="K48" s="73">
        <f>VLOOKUP($B48,'BASE+TOMADOR'!$A:$BS,55,FALSE)</f>
        <v>709.58</v>
      </c>
      <c r="L48" s="73">
        <f>IFERROR(VLOOKUP($B48,'BASE+TOMADOR'!$A:$BS,56,FALSE),0)</f>
        <v>5605.43</v>
      </c>
      <c r="M48" s="72">
        <f>IFERROR(VLOOKUP($B48,'BASE+TOMADOR'!$A:$BS,58,FALSE),0)</f>
        <v>5605.43</v>
      </c>
      <c r="N48" s="74">
        <f t="shared" si="3"/>
        <v>7.3555122435214537E-3</v>
      </c>
      <c r="O48" s="72">
        <f>IFERROR(VLOOKUP(B48,'[1]BASE+TOMADOR'!$A:$BF,58,0),0)</f>
        <v>4525.88</v>
      </c>
      <c r="P48" s="67">
        <f t="shared" si="4"/>
        <v>1079.5500000000002</v>
      </c>
    </row>
    <row r="49" spans="1:16" ht="15" customHeight="1" x14ac:dyDescent="0.25">
      <c r="A49" s="43">
        <f t="shared" si="5"/>
        <v>47</v>
      </c>
      <c r="B49" s="71" t="s">
        <v>161</v>
      </c>
      <c r="C49" s="43" t="str">
        <f>IFERROR(VLOOKUP($B49,'BASE+TOMADOR'!$A:$BS,3,FALSE),0)</f>
        <v>CLT</v>
      </c>
      <c r="D49" s="71" t="str">
        <f>VLOOKUP($B49,'BASE+TOMADOR'!$A:$BS,8,FALSE)</f>
        <v>OPERACIONAL</v>
      </c>
      <c r="E49" s="71" t="str">
        <f>VLOOKUP($B49,'BASE+TOMADOR'!$A:$BS,15,FALSE)</f>
        <v>OPERADOR MANTENEDOR SENIOR</v>
      </c>
      <c r="F49" s="43" t="str">
        <f>VLOOKUP($B49,'BASE+TOMADOR'!$A:$BS,71,FALSE)</f>
        <v>Ativo</v>
      </c>
      <c r="G49" s="71" t="str">
        <f>VLOOKUP($B49,'BASE+TOMADOR'!$A:$BS,4,FALSE)</f>
        <v>G S FL 05 - BARUERI</v>
      </c>
      <c r="H49" s="71" t="str">
        <f>VLOOKUP($B49,'BASE+TOMADOR'!$A:$BS,7,FALSE)</f>
        <v>20.504.237/0005-40</v>
      </c>
      <c r="I49" s="72">
        <f>IFERROR(VLOOKUP($B49,'BASE+TOMADOR'!$A:$BS,62,FALSE),0)</f>
        <v>801.72944444444454</v>
      </c>
      <c r="J49" s="72">
        <f>IFERROR(VLOOKUP($B49,'BASE+TOMADOR'!$A:$BS,67,FALSE),0)</f>
        <v>1455.4699999999998</v>
      </c>
      <c r="K49" s="73">
        <f>VLOOKUP($B49,'BASE+TOMADOR'!$A:$BS,55,FALSE)</f>
        <v>1445</v>
      </c>
      <c r="L49" s="73">
        <f>IFERROR(VLOOKUP($B49,'BASE+TOMADOR'!$A:$BS,56,FALSE),0)</f>
        <v>5568.18</v>
      </c>
      <c r="M49" s="72">
        <f>IFERROR(VLOOKUP($B49,'BASE+TOMADOR'!$A:$BS,58,FALSE),0)</f>
        <v>5568.18</v>
      </c>
      <c r="N49" s="74">
        <f t="shared" si="3"/>
        <v>7.306632348300003E-3</v>
      </c>
      <c r="O49" s="72">
        <f>IFERROR(VLOOKUP(B49,'[1]BASE+TOMADOR'!$A:$BF,58,0),0)</f>
        <v>5581.39</v>
      </c>
      <c r="P49" s="67">
        <f t="shared" si="4"/>
        <v>-13.210000000000036</v>
      </c>
    </row>
    <row r="50" spans="1:16" ht="15" customHeight="1" x14ac:dyDescent="0.25">
      <c r="A50" s="43">
        <f t="shared" si="5"/>
        <v>48</v>
      </c>
      <c r="B50" s="71" t="s">
        <v>153</v>
      </c>
      <c r="C50" s="43" t="str">
        <f>IFERROR(VLOOKUP($B50,'BASE+TOMADOR'!$A:$BS,3,FALSE),0)</f>
        <v>CLT</v>
      </c>
      <c r="D50" s="71" t="str">
        <f>VLOOKUP($B50,'BASE+TOMADOR'!$A:$BS,8,FALSE)</f>
        <v>OPERACIONAL</v>
      </c>
      <c r="E50" s="71" t="str">
        <f>VLOOKUP($B50,'BASE+TOMADOR'!$A:$BS,15,FALSE)</f>
        <v>OPERADOR MANTENEDOR PLENO</v>
      </c>
      <c r="F50" s="43" t="str">
        <f>VLOOKUP($B50,'BASE+TOMADOR'!$A:$BS,71,FALSE)</f>
        <v>Ativo</v>
      </c>
      <c r="G50" s="71" t="str">
        <f>VLOOKUP($B50,'BASE+TOMADOR'!$A:$BS,4,FALSE)</f>
        <v>G S FL 05 - BARUERI</v>
      </c>
      <c r="H50" s="71" t="str">
        <f>VLOOKUP($B50,'BASE+TOMADOR'!$A:$BS,7,FALSE)</f>
        <v>20.504.237/0005-40</v>
      </c>
      <c r="I50" s="72">
        <f>IFERROR(VLOOKUP($B50,'BASE+TOMADOR'!$A:$BS,62,FALSE),0)</f>
        <v>751.87777777777774</v>
      </c>
      <c r="J50" s="72">
        <f>IFERROR(VLOOKUP($B50,'BASE+TOMADOR'!$A:$BS,67,FALSE),0)</f>
        <v>1364.97</v>
      </c>
      <c r="K50" s="73">
        <f>VLOOKUP($B50,'BASE+TOMADOR'!$A:$BS,55,FALSE)</f>
        <v>1487.87</v>
      </c>
      <c r="L50" s="73">
        <f>IFERROR(VLOOKUP($B50,'BASE+TOMADOR'!$A:$BS,56,FALSE),0)</f>
        <v>5354.67</v>
      </c>
      <c r="M50" s="72">
        <f>IFERROR(VLOOKUP($B50,'BASE+TOMADOR'!$A:$BS,58,FALSE),0)</f>
        <v>5354.67</v>
      </c>
      <c r="N50" s="74">
        <f t="shared" si="3"/>
        <v>7.0264619743743159E-3</v>
      </c>
      <c r="O50" s="72">
        <f>IFERROR(VLOOKUP(B50,'[1]BASE+TOMADOR'!$A:$BF,58,0),0)</f>
        <v>4708.8599999999997</v>
      </c>
      <c r="P50" s="67">
        <f t="shared" si="4"/>
        <v>645.8100000000004</v>
      </c>
    </row>
    <row r="51" spans="1:16" ht="15" customHeight="1" x14ac:dyDescent="0.25">
      <c r="A51" s="43">
        <f t="shared" si="5"/>
        <v>49</v>
      </c>
      <c r="B51" s="71" t="s">
        <v>108</v>
      </c>
      <c r="C51" s="43" t="str">
        <f>IFERROR(VLOOKUP($B51,'BASE+TOMADOR'!$A:$BS,3,FALSE),0)</f>
        <v>CLT</v>
      </c>
      <c r="D51" s="71" t="str">
        <f>VLOOKUP($B51,'BASE+TOMADOR'!$A:$BS,8,FALSE)</f>
        <v>TRANSMOVE</v>
      </c>
      <c r="E51" s="71" t="str">
        <f>VLOOKUP($B51,'BASE+TOMADOR'!$A:$BS,15,FALSE)</f>
        <v>ANALISTA ADMINISTRATIVO SENIOR</v>
      </c>
      <c r="F51" s="43" t="str">
        <f>VLOOKUP($B51,'BASE+TOMADOR'!$A:$BS,71,FALSE)</f>
        <v>Ativo</v>
      </c>
      <c r="G51" s="71" t="str">
        <f>VLOOKUP($B51,'BASE+TOMADOR'!$A:$BS,4,FALSE)</f>
        <v>G S MATRIZ - PRES PRUD</v>
      </c>
      <c r="H51" s="71" t="str">
        <f>VLOOKUP($B51,'BASE+TOMADOR'!$A:$BS,7,FALSE)</f>
        <v>20.504.237/0001-17</v>
      </c>
      <c r="I51" s="72">
        <f>IFERROR(VLOOKUP($B51,'BASE+TOMADOR'!$A:$BS,62,FALSE),0)</f>
        <v>736.20361111111106</v>
      </c>
      <c r="J51" s="72">
        <f>IFERROR(VLOOKUP($B51,'BASE+TOMADOR'!$A:$BS,67,FALSE),0)</f>
        <v>1335.7599999999998</v>
      </c>
      <c r="K51" s="73">
        <f>VLOOKUP($B51,'BASE+TOMADOR'!$A:$BS,55,FALSE)</f>
        <v>1479.87</v>
      </c>
      <c r="L51" s="73">
        <f>IFERROR(VLOOKUP($B51,'BASE+TOMADOR'!$A:$BS,56,FALSE),0)</f>
        <v>5266.0599999999995</v>
      </c>
      <c r="M51" s="72">
        <f>IFERROR(VLOOKUP($B51,'BASE+TOMADOR'!$A:$BS,58,FALSE),0)</f>
        <v>5266.0599999999995</v>
      </c>
      <c r="N51" s="74">
        <f t="shared" si="3"/>
        <v>6.9101868732851148E-3</v>
      </c>
      <c r="O51" s="72">
        <f>IFERROR(VLOOKUP(B51,'[1]BASE+TOMADOR'!$A:$BF,58,0),0)</f>
        <v>4203.21</v>
      </c>
      <c r="P51" s="67">
        <f t="shared" si="4"/>
        <v>1062.8499999999995</v>
      </c>
    </row>
    <row r="52" spans="1:16" ht="15" customHeight="1" x14ac:dyDescent="0.25">
      <c r="A52" s="43">
        <f t="shared" si="5"/>
        <v>50</v>
      </c>
      <c r="B52" s="71" t="s">
        <v>172</v>
      </c>
      <c r="C52" s="43" t="str">
        <f>IFERROR(VLOOKUP($B52,'BASE+TOMADOR'!$A:$BS,3,FALSE),0)</f>
        <v>CLT</v>
      </c>
      <c r="D52" s="71" t="str">
        <f>VLOOKUP($B52,'BASE+TOMADOR'!$A:$BS,8,FALSE)</f>
        <v>OPERACIONAL</v>
      </c>
      <c r="E52" s="71" t="str">
        <f>VLOOKUP($B52,'BASE+TOMADOR'!$A:$BS,15,FALSE)</f>
        <v>OPERADOR MANTENEDOR SENIOR</v>
      </c>
      <c r="F52" s="43" t="str">
        <f>VLOOKUP($B52,'BASE+TOMADOR'!$A:$BS,71,FALSE)</f>
        <v>Ativo</v>
      </c>
      <c r="G52" s="71" t="str">
        <f>VLOOKUP($B52,'BASE+TOMADOR'!$A:$BS,4,FALSE)</f>
        <v>G S FL 05 - BARUERI</v>
      </c>
      <c r="H52" s="71" t="str">
        <f>VLOOKUP($B52,'BASE+TOMADOR'!$A:$BS,7,FALSE)</f>
        <v>20.504.237/0005-40</v>
      </c>
      <c r="I52" s="72">
        <f>IFERROR(VLOOKUP($B52,'BASE+TOMADOR'!$A:$BS,62,FALSE),0)</f>
        <v>749.47055555555551</v>
      </c>
      <c r="J52" s="72">
        <f>IFERROR(VLOOKUP($B52,'BASE+TOMADOR'!$A:$BS,67,FALSE),0)</f>
        <v>1360.5900000000001</v>
      </c>
      <c r="K52" s="73">
        <f>VLOOKUP($B52,'BASE+TOMADOR'!$A:$BS,55,FALSE)</f>
        <v>1325.8400000000001</v>
      </c>
      <c r="L52" s="73">
        <f>IFERROR(VLOOKUP($B52,'BASE+TOMADOR'!$A:$BS,56,FALSE),0)</f>
        <v>5180.26</v>
      </c>
      <c r="M52" s="72">
        <f>IFERROR(VLOOKUP($B52,'BASE+TOMADOR'!$A:$BS,58,FALSE),0)</f>
        <v>5180.26</v>
      </c>
      <c r="N52" s="74">
        <f t="shared" si="3"/>
        <v>6.7975990877817485E-3</v>
      </c>
      <c r="O52" s="72">
        <f>IFERROR(VLOOKUP(B52,'[1]BASE+TOMADOR'!$A:$BF,58,0),0)</f>
        <v>5288.16</v>
      </c>
      <c r="P52" s="67">
        <f t="shared" si="4"/>
        <v>-107.89999999999964</v>
      </c>
    </row>
    <row r="53" spans="1:16" ht="15" customHeight="1" x14ac:dyDescent="0.25">
      <c r="A53" s="43">
        <f t="shared" si="5"/>
        <v>51</v>
      </c>
      <c r="B53" s="71" t="s">
        <v>335</v>
      </c>
      <c r="C53" s="43" t="str">
        <f>IFERROR(VLOOKUP($B53,'BASE+TOMADOR'!$A:$BS,3,FALSE),0)</f>
        <v>CLT</v>
      </c>
      <c r="D53" s="71" t="str">
        <f>VLOOKUP($B53,'BASE+TOMADOR'!$A:$BS,8,FALSE)</f>
        <v>COMERCIAL</v>
      </c>
      <c r="E53" s="71" t="str">
        <f>VLOOKUP($B53,'BASE+TOMADOR'!$A:$BS,15,FALSE)</f>
        <v>VENDEDOR(A)</v>
      </c>
      <c r="F53" s="43" t="str">
        <f>VLOOKUP($B53,'BASE+TOMADOR'!$A:$BS,71,FALSE)</f>
        <v>Ativo</v>
      </c>
      <c r="G53" s="71" t="str">
        <f>VLOOKUP($B53,'BASE+TOMADOR'!$A:$BS,4,FALSE)</f>
        <v>G3S FL 05 - PRES PRUD</v>
      </c>
      <c r="H53" s="71" t="str">
        <f>VLOOKUP($B53,'BASE+TOMADOR'!$A:$BS,7,FALSE)</f>
        <v>20.947.332/0005-19</v>
      </c>
      <c r="I53" s="72">
        <f>IFERROR(VLOOKUP($B53,'BASE+TOMADOR'!$A:$BS,62,FALSE),0)</f>
        <v>899.01583333333338</v>
      </c>
      <c r="J53" s="72">
        <f>IFERROR(VLOOKUP($B53,'BASE+TOMADOR'!$A:$BS,67,FALSE),0)</f>
        <v>1632.0900000000001</v>
      </c>
      <c r="K53" s="73">
        <f>VLOOKUP($B53,'BASE+TOMADOR'!$A:$BS,55,FALSE)</f>
        <v>521.87</v>
      </c>
      <c r="L53" s="73">
        <f>IFERROR(VLOOKUP($B53,'BASE+TOMADOR'!$A:$BS,56,FALSE),0)</f>
        <v>5145.38</v>
      </c>
      <c r="M53" s="72">
        <f>IFERROR(VLOOKUP($B53,'BASE+TOMADOR'!$A:$BS,58,FALSE),0)</f>
        <v>5145.38</v>
      </c>
      <c r="N53" s="74">
        <f t="shared" si="3"/>
        <v>6.7518291348871388E-3</v>
      </c>
      <c r="O53" s="72">
        <f>IFERROR(VLOOKUP(B53,'[1]BASE+TOMADOR'!$A:$BF,58,0),0)</f>
        <v>4929.17</v>
      </c>
      <c r="P53" s="67">
        <f t="shared" si="4"/>
        <v>216.21000000000004</v>
      </c>
    </row>
    <row r="54" spans="1:16" ht="15" customHeight="1" x14ac:dyDescent="0.25">
      <c r="A54" s="43">
        <f t="shared" si="5"/>
        <v>52</v>
      </c>
      <c r="B54" s="71" t="s">
        <v>121</v>
      </c>
      <c r="C54" s="43" t="str">
        <f>IFERROR(VLOOKUP($B54,'BASE+TOMADOR'!$A:$BS,3,FALSE),0)</f>
        <v>CLT</v>
      </c>
      <c r="D54" s="71" t="str">
        <f>VLOOKUP($B54,'BASE+TOMADOR'!$A:$BS,8,FALSE)</f>
        <v>OPERACIONAL</v>
      </c>
      <c r="E54" s="71" t="str">
        <f>VLOOKUP($B54,'BASE+TOMADOR'!$A:$BS,15,FALSE)</f>
        <v>OPERADOR MANTENEDOR JR</v>
      </c>
      <c r="F54" s="43" t="str">
        <f>VLOOKUP($B54,'BASE+TOMADOR'!$A:$BS,71,FALSE)</f>
        <v>Ativo</v>
      </c>
      <c r="G54" s="71" t="str">
        <f>VLOOKUP($B54,'BASE+TOMADOR'!$A:$BS,4,FALSE)</f>
        <v>G S MATRIZ - PRES PRUD</v>
      </c>
      <c r="H54" s="71" t="str">
        <f>VLOOKUP($B54,'BASE+TOMADOR'!$A:$BS,7,FALSE)</f>
        <v>20.504.237/0001-17</v>
      </c>
      <c r="I54" s="72">
        <f>IFERROR(VLOOKUP($B54,'BASE+TOMADOR'!$A:$BS,62,FALSE),0)</f>
        <v>783.02</v>
      </c>
      <c r="J54" s="72">
        <f>IFERROR(VLOOKUP($B54,'BASE+TOMADOR'!$A:$BS,67,FALSE),0)</f>
        <v>1421.5</v>
      </c>
      <c r="K54" s="73">
        <f>VLOOKUP($B54,'BASE+TOMADOR'!$A:$BS,55,FALSE)</f>
        <v>1092.21</v>
      </c>
      <c r="L54" s="73">
        <f>IFERROR(VLOOKUP($B54,'BASE+TOMADOR'!$A:$BS,56,FALSE),0)</f>
        <v>5119.17</v>
      </c>
      <c r="M54" s="72">
        <f>IFERROR(VLOOKUP($B54,'BASE+TOMADOR'!$A:$BS,58,FALSE),0)</f>
        <v>5119.17</v>
      </c>
      <c r="N54" s="74">
        <f t="shared" si="3"/>
        <v>6.7174360596185699E-3</v>
      </c>
      <c r="O54" s="72">
        <f>IFERROR(VLOOKUP(B54,'[1]BASE+TOMADOR'!$A:$BF,58,0),0)</f>
        <v>3613.93</v>
      </c>
      <c r="P54" s="67">
        <f t="shared" si="4"/>
        <v>1505.2400000000002</v>
      </c>
    </row>
    <row r="55" spans="1:16" ht="15" customHeight="1" x14ac:dyDescent="0.25">
      <c r="A55" s="43">
        <f t="shared" si="5"/>
        <v>53</v>
      </c>
      <c r="B55" s="71" t="s">
        <v>198</v>
      </c>
      <c r="C55" s="43" t="str">
        <f>IFERROR(VLOOKUP($B55,'BASE+TOMADOR'!$A:$BS,3,FALSE),0)</f>
        <v>CLT</v>
      </c>
      <c r="D55" s="71" t="str">
        <f>VLOOKUP($B55,'BASE+TOMADOR'!$A:$BS,8,FALSE)</f>
        <v>GESTÃO DE GENTE</v>
      </c>
      <c r="E55" s="71" t="str">
        <f>VLOOKUP($B55,'BASE+TOMADOR'!$A:$BS,15,FALSE)</f>
        <v>ANALISTA DE DEPTO PESSOAL</v>
      </c>
      <c r="F55" s="43" t="str">
        <f>VLOOKUP($B55,'BASE+TOMADOR'!$A:$BS,71,FALSE)</f>
        <v>Ativo</v>
      </c>
      <c r="G55" s="71" t="str">
        <f>VLOOKUP($B55,'BASE+TOMADOR'!$A:$BS,4,FALSE)</f>
        <v>G3S FL 10 - PRES PRUD</v>
      </c>
      <c r="H55" s="71" t="str">
        <f>VLOOKUP($B55,'BASE+TOMADOR'!$A:$BS,7,FALSE)</f>
        <v>20.947.332/0010-86</v>
      </c>
      <c r="I55" s="72">
        <f>IFERROR(VLOOKUP($B55,'BASE+TOMADOR'!$A:$BS,62,FALSE),0)</f>
        <v>888.36805555555566</v>
      </c>
      <c r="J55" s="72">
        <f>IFERROR(VLOOKUP($B55,'BASE+TOMADOR'!$A:$BS,67,FALSE),0)</f>
        <v>1681.29</v>
      </c>
      <c r="K55" s="73">
        <f>VLOOKUP($B55,'BASE+TOMADOR'!$A:$BS,55,FALSE)</f>
        <v>512.87</v>
      </c>
      <c r="L55" s="73">
        <f>IFERROR(VLOOKUP($B55,'BASE+TOMADOR'!$A:$BS,56,FALSE),0)</f>
        <v>5081.62</v>
      </c>
      <c r="M55" s="72">
        <f>IFERROR(VLOOKUP($B55,'BASE+TOMADOR'!$A:$BS,58,FALSE),0)</f>
        <v>5081.62</v>
      </c>
      <c r="N55" s="74">
        <f t="shared" si="3"/>
        <v>6.6681625008114427E-3</v>
      </c>
      <c r="O55" s="72">
        <f>IFERROR(VLOOKUP(B55,'[1]BASE+TOMADOR'!$A:$BF,58,0),0)</f>
        <v>4837.5</v>
      </c>
      <c r="P55" s="67">
        <f t="shared" si="4"/>
        <v>244.11999999999989</v>
      </c>
    </row>
    <row r="56" spans="1:16" ht="15" customHeight="1" x14ac:dyDescent="0.25">
      <c r="A56" s="43">
        <f t="shared" si="5"/>
        <v>54</v>
      </c>
      <c r="B56" s="71" t="s">
        <v>430</v>
      </c>
      <c r="C56" s="43" t="str">
        <f>IFERROR(VLOOKUP($B56,'BASE+TOMADOR'!$A:$BS,3,FALSE),0)</f>
        <v>PJ</v>
      </c>
      <c r="D56" s="71" t="str">
        <f>VLOOKUP($B56,'BASE+TOMADOR'!$A:$BS,8,FALSE)</f>
        <v>COMERCIAL</v>
      </c>
      <c r="E56" s="71" t="str">
        <f>VLOOKUP($B56,'BASE+TOMADOR'!$A:$BS,15,FALSE)</f>
        <v>COMPRADOR</v>
      </c>
      <c r="F56" s="43" t="str">
        <f>VLOOKUP($B56,'BASE+TOMADOR'!$A:$BS,71,FALSE)</f>
        <v>Ativo</v>
      </c>
      <c r="G56" s="71" t="str">
        <f>VLOOKUP($B56,'BASE+TOMADOR'!$A:$BS,4,FALSE)</f>
        <v>G S FL 06 - CAMPO GRANDE</v>
      </c>
      <c r="H56" s="71" t="str">
        <f>VLOOKUP($B56,'BASE+TOMADOR'!$A:$BS,7,FALSE)</f>
        <v>CONTRATO PJ</v>
      </c>
      <c r="I56" s="72">
        <f>IFERROR(VLOOKUP($B56,'BASE+TOMADOR'!$A:$BS,62,FALSE),0)</f>
        <v>416.66666666666669</v>
      </c>
      <c r="J56" s="72">
        <f>IFERROR(VLOOKUP($B56,'BASE+TOMADOR'!$A:$BS,67,FALSE),0)</f>
        <v>0</v>
      </c>
      <c r="K56" s="73">
        <f>VLOOKUP($B56,'BASE+TOMADOR'!$A:$BS,55,FALSE)</f>
        <v>12.87</v>
      </c>
      <c r="L56" s="73">
        <f>IFERROR(VLOOKUP($B56,'BASE+TOMADOR'!$A:$BS,56,FALSE),0)</f>
        <v>5012.87</v>
      </c>
      <c r="M56" s="72">
        <f>IFERROR(VLOOKUP($B56,'BASE+TOMADOR'!$A:$BS,58,FALSE),0)</f>
        <v>5012.87</v>
      </c>
      <c r="N56" s="74">
        <f t="shared" si="3"/>
        <v>6.5779479290940012E-3</v>
      </c>
      <c r="O56" s="72">
        <f>IFERROR(VLOOKUP(B56,'[1]BASE+TOMADOR'!$A:$BF,58,0),0)</f>
        <v>5000</v>
      </c>
      <c r="P56" s="67">
        <f t="shared" si="4"/>
        <v>12.869999999999891</v>
      </c>
    </row>
    <row r="57" spans="1:16" ht="15" customHeight="1" x14ac:dyDescent="0.25">
      <c r="A57" s="43">
        <f t="shared" si="5"/>
        <v>55</v>
      </c>
      <c r="B57" s="71" t="s">
        <v>215</v>
      </c>
      <c r="C57" s="43" t="str">
        <f>IFERROR(VLOOKUP($B57,'BASE+TOMADOR'!$A:$BS,3,FALSE),0)</f>
        <v>CLT</v>
      </c>
      <c r="D57" s="71" t="str">
        <f>VLOOKUP($B57,'BASE+TOMADOR'!$A:$BS,8,FALSE)</f>
        <v>COMERCIAL</v>
      </c>
      <c r="E57" s="71" t="str">
        <f>VLOOKUP($B57,'BASE+TOMADOR'!$A:$BS,15,FALSE)</f>
        <v>ANALISTA COMERCIAL SENIOR</v>
      </c>
      <c r="F57" s="43" t="str">
        <f>VLOOKUP($B57,'BASE+TOMADOR'!$A:$BS,71,FALSE)</f>
        <v>Ativo</v>
      </c>
      <c r="G57" s="71" t="str">
        <f>VLOOKUP($B57,'BASE+TOMADOR'!$A:$BS,4,FALSE)</f>
        <v>G3S FL 10 - PRES PRUD</v>
      </c>
      <c r="H57" s="71" t="str">
        <f>VLOOKUP($B57,'BASE+TOMADOR'!$A:$BS,7,FALSE)</f>
        <v>20.947.332/0010-86</v>
      </c>
      <c r="I57" s="72">
        <f>IFERROR(VLOOKUP($B57,'BASE+TOMADOR'!$A:$BS,62,FALSE),0)</f>
        <v>694.16666666666663</v>
      </c>
      <c r="J57" s="72">
        <f>IFERROR(VLOOKUP($B57,'BASE+TOMADOR'!$A:$BS,67,FALSE),0)</f>
        <v>1313.7600000000002</v>
      </c>
      <c r="K57" s="73">
        <f>VLOOKUP($B57,'BASE+TOMADOR'!$A:$BS,55,FALSE)</f>
        <v>1442.3400000000001</v>
      </c>
      <c r="L57" s="73">
        <f>IFERROR(VLOOKUP($B57,'BASE+TOMADOR'!$A:$BS,56,FALSE),0)</f>
        <v>5012.34</v>
      </c>
      <c r="M57" s="72">
        <f>IFERROR(VLOOKUP($B57,'BASE+TOMADOR'!$A:$BS,58,FALSE),0)</f>
        <v>5012.34</v>
      </c>
      <c r="N57" s="74">
        <f t="shared" si="3"/>
        <v>6.577252456759307E-3</v>
      </c>
      <c r="O57" s="72">
        <f>IFERROR(VLOOKUP(B57,'[1]BASE+TOMADOR'!$A:$BF,58,0),0)</f>
        <v>3948.49</v>
      </c>
      <c r="P57" s="67">
        <f t="shared" si="4"/>
        <v>1063.8500000000004</v>
      </c>
    </row>
    <row r="58" spans="1:16" ht="15" customHeight="1" x14ac:dyDescent="0.25">
      <c r="A58" s="43">
        <f t="shared" si="5"/>
        <v>56</v>
      </c>
      <c r="B58" s="71" t="s">
        <v>326</v>
      </c>
      <c r="C58" s="43" t="str">
        <f>IFERROR(VLOOKUP($B58,'BASE+TOMADOR'!$A:$BS,3,FALSE),0)</f>
        <v>CLT</v>
      </c>
      <c r="D58" s="71" t="str">
        <f>VLOOKUP($B58,'BASE+TOMADOR'!$A:$BS,8,FALSE)</f>
        <v>OPERACIONAL</v>
      </c>
      <c r="E58" s="71" t="str">
        <f>VLOOKUP($B58,'BASE+TOMADOR'!$A:$BS,15,FALSE)</f>
        <v>AUXILIAR DE PATIO SENIOR</v>
      </c>
      <c r="F58" s="43" t="str">
        <f>VLOOKUP($B58,'BASE+TOMADOR'!$A:$BS,71,FALSE)</f>
        <v>Ativo</v>
      </c>
      <c r="G58" s="71" t="str">
        <f>VLOOKUP($B58,'BASE+TOMADOR'!$A:$BS,4,FALSE)</f>
        <v>G3S FL 05 - PRES PRUD</v>
      </c>
      <c r="H58" s="71" t="str">
        <f>VLOOKUP($B58,'BASE+TOMADOR'!$A:$BS,7,FALSE)</f>
        <v>20.947.332/0005-19</v>
      </c>
      <c r="I58" s="72">
        <f>IFERROR(VLOOKUP($B58,'BASE+TOMADOR'!$A:$BS,62,FALSE),0)</f>
        <v>522.06777777777768</v>
      </c>
      <c r="J58" s="72">
        <f>IFERROR(VLOOKUP($B58,'BASE+TOMADOR'!$A:$BS,67,FALSE),0)</f>
        <v>947.76</v>
      </c>
      <c r="K58" s="73">
        <f>VLOOKUP($B58,'BASE+TOMADOR'!$A:$BS,55,FALSE)</f>
        <v>2231.87</v>
      </c>
      <c r="L58" s="73">
        <f>IFERROR(VLOOKUP($B58,'BASE+TOMADOR'!$A:$BS,56,FALSE),0)</f>
        <v>4916.7899999999991</v>
      </c>
      <c r="M58" s="72">
        <f>IFERROR(VLOOKUP($B58,'BASE+TOMADOR'!$A:$BS,58,FALSE),0)</f>
        <v>4916.7899999999991</v>
      </c>
      <c r="N58" s="74">
        <f t="shared" si="3"/>
        <v>6.4518706047214649E-3</v>
      </c>
      <c r="O58" s="72">
        <f>IFERROR(VLOOKUP(B58,'[1]BASE+TOMADOR'!$A:$BF,58,0),0)</f>
        <v>4660.83</v>
      </c>
      <c r="P58" s="67">
        <f t="shared" si="4"/>
        <v>255.95999999999913</v>
      </c>
    </row>
    <row r="59" spans="1:16" ht="15" customHeight="1" x14ac:dyDescent="0.25">
      <c r="A59" s="43">
        <f t="shared" si="5"/>
        <v>57</v>
      </c>
      <c r="B59" s="71" t="s">
        <v>301</v>
      </c>
      <c r="C59" s="43" t="str">
        <f>IFERROR(VLOOKUP($B59,'BASE+TOMADOR'!$A:$BS,3,FALSE),0)</f>
        <v>CLT</v>
      </c>
      <c r="D59" s="71" t="str">
        <f>VLOOKUP($B59,'BASE+TOMADOR'!$A:$BS,8,FALSE)</f>
        <v>OPERACIONAL</v>
      </c>
      <c r="E59" s="71" t="str">
        <f>VLOOKUP($B59,'BASE+TOMADOR'!$A:$BS,15,FALSE)</f>
        <v>SOLDADOR MAÇARIQUEIRO</v>
      </c>
      <c r="F59" s="43" t="str">
        <f>VLOOKUP($B59,'BASE+TOMADOR'!$A:$BS,71,FALSE)</f>
        <v>Ativo</v>
      </c>
      <c r="G59" s="71" t="str">
        <f>VLOOKUP($B59,'BASE+TOMADOR'!$A:$BS,4,FALSE)</f>
        <v>G3S  FL 04 - PRES PRUD</v>
      </c>
      <c r="H59" s="71" t="str">
        <f>VLOOKUP($B59,'BASE+TOMADOR'!$A:$BS,7,FALSE)</f>
        <v>20.947.332/0004-38</v>
      </c>
      <c r="I59" s="72">
        <f>IFERROR(VLOOKUP($B59,'BASE+TOMADOR'!$A:$BS,62,FALSE),0)</f>
        <v>643.08416666666676</v>
      </c>
      <c r="J59" s="72">
        <f>IFERROR(VLOOKUP($B59,'BASE+TOMADOR'!$A:$BS,67,FALSE),0)</f>
        <v>1167.46</v>
      </c>
      <c r="K59" s="73">
        <f>VLOOKUP($B59,'BASE+TOMADOR'!$A:$BS,55,FALSE)</f>
        <v>1607.21</v>
      </c>
      <c r="L59" s="73">
        <f>IFERROR(VLOOKUP($B59,'BASE+TOMADOR'!$A:$BS,56,FALSE),0)</f>
        <v>4914.5</v>
      </c>
      <c r="M59" s="72">
        <f>IFERROR(VLOOKUP($B59,'BASE+TOMADOR'!$A:$BS,58,FALSE),0)</f>
        <v>4914.5</v>
      </c>
      <c r="N59" s="74">
        <f t="shared" si="3"/>
        <v>6.4488656393508047E-3</v>
      </c>
      <c r="O59" s="72">
        <f>IFERROR(VLOOKUP(B59,'[1]BASE+TOMADOR'!$A:$BF,58,0),0)</f>
        <v>4214.93</v>
      </c>
      <c r="P59" s="67">
        <f t="shared" si="4"/>
        <v>699.56999999999971</v>
      </c>
    </row>
    <row r="60" spans="1:16" ht="15" customHeight="1" x14ac:dyDescent="0.25">
      <c r="A60" s="43">
        <f t="shared" si="5"/>
        <v>58</v>
      </c>
      <c r="B60" s="71" t="s">
        <v>191</v>
      </c>
      <c r="C60" s="43" t="str">
        <f>IFERROR(VLOOKUP($B60,'BASE+TOMADOR'!$A:$BS,3,FALSE),0)</f>
        <v>CLT</v>
      </c>
      <c r="D60" s="71" t="str">
        <f>VLOOKUP($B60,'BASE+TOMADOR'!$A:$BS,8,FALSE)</f>
        <v>OPERACIONAL</v>
      </c>
      <c r="E60" s="71" t="str">
        <f>VLOOKUP($B60,'BASE+TOMADOR'!$A:$BS,15,FALSE)</f>
        <v>OPERADOR MANTENEDOR JR</v>
      </c>
      <c r="F60" s="43" t="str">
        <f>VLOOKUP($B60,'BASE+TOMADOR'!$A:$BS,71,FALSE)</f>
        <v>Ativo</v>
      </c>
      <c r="G60" s="71" t="str">
        <f>VLOOKUP($B60,'BASE+TOMADOR'!$A:$BS,4,FALSE)</f>
        <v>G S FL 07 - LONDRINA</v>
      </c>
      <c r="H60" s="71" t="str">
        <f>VLOOKUP($B60,'BASE+TOMADOR'!$A:$BS,7,FALSE)</f>
        <v>20.504.237/0007-02</v>
      </c>
      <c r="I60" s="72">
        <f>IFERROR(VLOOKUP($B60,'BASE+TOMADOR'!$A:$BS,62,FALSE),0)</f>
        <v>751.38583333333327</v>
      </c>
      <c r="J60" s="72">
        <f>IFERROR(VLOOKUP($B60,'BASE+TOMADOR'!$A:$BS,67,FALSE),0)</f>
        <v>1422.0299999999997</v>
      </c>
      <c r="K60" s="73">
        <f>VLOOKUP($B60,'BASE+TOMADOR'!$A:$BS,55,FALSE)</f>
        <v>1042.3499999999999</v>
      </c>
      <c r="L60" s="73">
        <f>IFERROR(VLOOKUP($B60,'BASE+TOMADOR'!$A:$BS,56,FALSE),0)</f>
        <v>4906.62</v>
      </c>
      <c r="M60" s="72">
        <f>IFERROR(VLOOKUP($B60,'BASE+TOMADOR'!$A:$BS,58,FALSE),0)</f>
        <v>4906.62</v>
      </c>
      <c r="N60" s="74">
        <f t="shared" si="3"/>
        <v>6.4385254091670454E-3</v>
      </c>
      <c r="O60" s="72">
        <f>IFERROR(VLOOKUP(B60,'[1]BASE+TOMADOR'!$A:$BF,58,0),0)</f>
        <v>6296.1799999999994</v>
      </c>
      <c r="P60" s="67">
        <f t="shared" si="4"/>
        <v>-1389.5599999999995</v>
      </c>
    </row>
    <row r="61" spans="1:16" ht="15" customHeight="1" x14ac:dyDescent="0.25">
      <c r="A61" s="43">
        <f t="shared" si="5"/>
        <v>59</v>
      </c>
      <c r="B61" s="71" t="s">
        <v>185</v>
      </c>
      <c r="C61" s="43" t="str">
        <f>IFERROR(VLOOKUP($B61,'BASE+TOMADOR'!$A:$BS,3,FALSE),0)</f>
        <v>CLT</v>
      </c>
      <c r="D61" s="71" t="str">
        <f>VLOOKUP($B61,'BASE+TOMADOR'!$A:$BS,8,FALSE)</f>
        <v>OPERACIONAL</v>
      </c>
      <c r="E61" s="71" t="str">
        <f>VLOOKUP($B61,'BASE+TOMADOR'!$A:$BS,15,FALSE)</f>
        <v>OPERADOR MANTENEDOR SENIOR</v>
      </c>
      <c r="F61" s="43" t="str">
        <f>VLOOKUP($B61,'BASE+TOMADOR'!$A:$BS,71,FALSE)</f>
        <v>Ativo</v>
      </c>
      <c r="G61" s="71" t="str">
        <f>VLOOKUP($B61,'BASE+TOMADOR'!$A:$BS,4,FALSE)</f>
        <v>G S FL 06 - CAMPO GRANDE</v>
      </c>
      <c r="H61" s="71" t="str">
        <f>VLOOKUP($B61,'BASE+TOMADOR'!$A:$BS,7,FALSE)</f>
        <v>20.504.237/0006-21</v>
      </c>
      <c r="I61" s="72">
        <f>IFERROR(VLOOKUP($B61,'BASE+TOMADOR'!$A:$BS,62,FALSE),0)</f>
        <v>0</v>
      </c>
      <c r="J61" s="72">
        <f>IFERROR(VLOOKUP($B61,'BASE+TOMADOR'!$A:$BS,67,FALSE),0)</f>
        <v>1418.72</v>
      </c>
      <c r="K61" s="73">
        <f>VLOOKUP($B61,'BASE+TOMADOR'!$A:$BS,55,FALSE)</f>
        <v>1041.04</v>
      </c>
      <c r="L61" s="73">
        <f>IFERROR(VLOOKUP($B61,'BASE+TOMADOR'!$A:$BS,56,FALSE),0)</f>
        <v>4896.2999999999993</v>
      </c>
      <c r="M61" s="72">
        <f>IFERROR(VLOOKUP($B61,'BASE+TOMADOR'!$A:$BS,58,FALSE),0)</f>
        <v>4896.2999999999993</v>
      </c>
      <c r="N61" s="74">
        <f t="shared" si="3"/>
        <v>6.4249833818197863E-3</v>
      </c>
      <c r="O61" s="72">
        <f>IFERROR(VLOOKUP(B61,'[1]BASE+TOMADOR'!$A:$BF,58,0),0)</f>
        <v>0</v>
      </c>
      <c r="P61" s="67">
        <f t="shared" si="4"/>
        <v>4896.2999999999993</v>
      </c>
    </row>
    <row r="62" spans="1:16" ht="15" customHeight="1" x14ac:dyDescent="0.25">
      <c r="A62" s="43">
        <f t="shared" si="5"/>
        <v>60</v>
      </c>
      <c r="B62" s="71" t="s">
        <v>310</v>
      </c>
      <c r="C62" s="43" t="str">
        <f>IFERROR(VLOOKUP($B62,'BASE+TOMADOR'!$A:$BS,3,FALSE),0)</f>
        <v>CLT</v>
      </c>
      <c r="D62" s="71" t="str">
        <f>VLOOKUP($B62,'BASE+TOMADOR'!$A:$BS,8,FALSE)</f>
        <v>LOGISTICA</v>
      </c>
      <c r="E62" s="71" t="str">
        <f>VLOOKUP($B62,'BASE+TOMADOR'!$A:$BS,15,FALSE)</f>
        <v>MOTORISTA TRUCK MANTENEDOR SENIOR</v>
      </c>
      <c r="F62" s="43" t="str">
        <f>VLOOKUP($B62,'BASE+TOMADOR'!$A:$BS,71,FALSE)</f>
        <v>Ativo</v>
      </c>
      <c r="G62" s="71" t="str">
        <f>VLOOKUP($B62,'BASE+TOMADOR'!$A:$BS,4,FALSE)</f>
        <v>G3S FL 05 - PRES PRUD</v>
      </c>
      <c r="H62" s="71" t="str">
        <f>VLOOKUP($B62,'BASE+TOMADOR'!$A:$BS,7,FALSE)</f>
        <v>20.947.332/0005-19</v>
      </c>
      <c r="I62" s="72">
        <f>IFERROR(VLOOKUP($B62,'BASE+TOMADOR'!$A:$BS,62,FALSE),0)</f>
        <v>850.70611111111123</v>
      </c>
      <c r="J62" s="72">
        <f>IFERROR(VLOOKUP($B62,'BASE+TOMADOR'!$A:$BS,67,FALSE),0)</f>
        <v>1544.38</v>
      </c>
      <c r="K62" s="73">
        <f>VLOOKUP($B62,'BASE+TOMADOR'!$A:$BS,55,FALSE)</f>
        <v>512.87</v>
      </c>
      <c r="L62" s="73">
        <f>IFERROR(VLOOKUP($B62,'BASE+TOMADOR'!$A:$BS,56,FALSE),0)</f>
        <v>4887.93</v>
      </c>
      <c r="M62" s="72">
        <f>IFERROR(VLOOKUP($B62,'BASE+TOMADOR'!$A:$BS,58,FALSE),0)</f>
        <v>4887.93</v>
      </c>
      <c r="N62" s="74">
        <f t="shared" si="3"/>
        <v>6.4140001677794245E-3</v>
      </c>
      <c r="O62" s="72">
        <f>IFERROR(VLOOKUP(B62,'[1]BASE+TOMADOR'!$A:$BF,58,0),0)</f>
        <v>4946.2800000000007</v>
      </c>
      <c r="P62" s="67">
        <f t="shared" si="4"/>
        <v>-58.350000000000364</v>
      </c>
    </row>
    <row r="63" spans="1:16" ht="15" customHeight="1" x14ac:dyDescent="0.25">
      <c r="A63" s="43">
        <f t="shared" si="5"/>
        <v>61</v>
      </c>
      <c r="B63" s="71" t="s">
        <v>328</v>
      </c>
      <c r="C63" s="43" t="str">
        <f>IFERROR(VLOOKUP($B63,'BASE+TOMADOR'!$A:$BS,3,FALSE),0)</f>
        <v>CLT</v>
      </c>
      <c r="D63" s="71" t="str">
        <f>VLOOKUP($B63,'BASE+TOMADOR'!$A:$BS,8,FALSE)</f>
        <v>OPERACIONAL</v>
      </c>
      <c r="E63" s="71" t="str">
        <f>VLOOKUP($B63,'BASE+TOMADOR'!$A:$BS,15,FALSE)</f>
        <v>GERENTE DE PATIO JUNIOR</v>
      </c>
      <c r="F63" s="43" t="str">
        <f>VLOOKUP($B63,'BASE+TOMADOR'!$A:$BS,71,FALSE)</f>
        <v>Ativo</v>
      </c>
      <c r="G63" s="71" t="str">
        <f>VLOOKUP($B63,'BASE+TOMADOR'!$A:$BS,4,FALSE)</f>
        <v>G3S FL 05 - PRES PRUD</v>
      </c>
      <c r="H63" s="71" t="str">
        <f>VLOOKUP($B63,'BASE+TOMADOR'!$A:$BS,7,FALSE)</f>
        <v>20.947.332/0005-19</v>
      </c>
      <c r="I63" s="72">
        <f>IFERROR(VLOOKUP($B63,'BASE+TOMADOR'!$A:$BS,62,FALSE),0)</f>
        <v>837.26222222222214</v>
      </c>
      <c r="J63" s="72">
        <f>IFERROR(VLOOKUP($B63,'BASE+TOMADOR'!$A:$BS,67,FALSE),0)</f>
        <v>1519.97</v>
      </c>
      <c r="K63" s="73">
        <f>VLOOKUP($B63,'BASE+TOMADOR'!$A:$BS,55,FALSE)</f>
        <v>521.87</v>
      </c>
      <c r="L63" s="73">
        <f>IFERROR(VLOOKUP($B63,'BASE+TOMADOR'!$A:$BS,56,FALSE),0)</f>
        <v>4827.79</v>
      </c>
      <c r="M63" s="72">
        <f>IFERROR(VLOOKUP($B63,'BASE+TOMADOR'!$A:$BS,58,FALSE),0)</f>
        <v>4827.79</v>
      </c>
      <c r="N63" s="74">
        <f t="shared" si="3"/>
        <v>6.3350837409708862E-3</v>
      </c>
      <c r="O63" s="72">
        <f>IFERROR(VLOOKUP(B63,'[1]BASE+TOMADOR'!$A:$BF,58,0),0)</f>
        <v>3734.7799999999997</v>
      </c>
      <c r="P63" s="67">
        <f t="shared" si="4"/>
        <v>1093.0100000000002</v>
      </c>
    </row>
    <row r="64" spans="1:16" ht="15" customHeight="1" x14ac:dyDescent="0.25">
      <c r="A64" s="43">
        <f t="shared" si="5"/>
        <v>62</v>
      </c>
      <c r="B64" s="71" t="s">
        <v>168</v>
      </c>
      <c r="C64" s="43" t="str">
        <f>IFERROR(VLOOKUP($B64,'BASE+TOMADOR'!$A:$BS,3,FALSE),0)</f>
        <v>CLT</v>
      </c>
      <c r="D64" s="71" t="str">
        <f>VLOOKUP($B64,'BASE+TOMADOR'!$A:$BS,8,FALSE)</f>
        <v>OPERACIONAL</v>
      </c>
      <c r="E64" s="71" t="str">
        <f>VLOOKUP($B64,'BASE+TOMADOR'!$A:$BS,15,FALSE)</f>
        <v>OPERADOR MANTENEDOR SENIOR</v>
      </c>
      <c r="F64" s="43" t="str">
        <f>VLOOKUP($B64,'BASE+TOMADOR'!$A:$BS,71,FALSE)</f>
        <v>Ativo</v>
      </c>
      <c r="G64" s="71" t="str">
        <f>VLOOKUP($B64,'BASE+TOMADOR'!$A:$BS,4,FALSE)</f>
        <v>G S FL 05 - BARUERI</v>
      </c>
      <c r="H64" s="71" t="str">
        <f>VLOOKUP($B64,'BASE+TOMADOR'!$A:$BS,7,FALSE)</f>
        <v>20.504.237/0005-40</v>
      </c>
      <c r="I64" s="72">
        <f>IFERROR(VLOOKUP($B64,'BASE+TOMADOR'!$A:$BS,62,FALSE),0)</f>
        <v>745.5</v>
      </c>
      <c r="J64" s="72">
        <f>IFERROR(VLOOKUP($B64,'BASE+TOMADOR'!$A:$BS,67,FALSE),0)</f>
        <v>1353.3999999999999</v>
      </c>
      <c r="K64" s="73">
        <f>VLOOKUP($B64,'BASE+TOMADOR'!$A:$BS,55,FALSE)</f>
        <v>992.5</v>
      </c>
      <c r="L64" s="73">
        <f>IFERROR(VLOOKUP($B64,'BASE+TOMADOR'!$A:$BS,56,FALSE),0)</f>
        <v>4826.5</v>
      </c>
      <c r="M64" s="72">
        <f>IFERROR(VLOOKUP($B64,'BASE+TOMADOR'!$A:$BS,58,FALSE),0)</f>
        <v>4826.5</v>
      </c>
      <c r="N64" s="74">
        <f t="shared" si="3"/>
        <v>6.3333909875524794E-3</v>
      </c>
      <c r="O64" s="72">
        <f>IFERROR(VLOOKUP(B64,'[1]BASE+TOMADOR'!$A:$BF,58,0),0)</f>
        <v>5286.9599999999991</v>
      </c>
      <c r="P64" s="67">
        <f t="shared" si="4"/>
        <v>-460.45999999999913</v>
      </c>
    </row>
    <row r="65" spans="1:16" ht="15" customHeight="1" x14ac:dyDescent="0.25">
      <c r="A65" s="43">
        <f t="shared" si="5"/>
        <v>63</v>
      </c>
      <c r="B65" s="71" t="s">
        <v>186</v>
      </c>
      <c r="C65" s="43" t="str">
        <f>IFERROR(VLOOKUP($B65,'BASE+TOMADOR'!$A:$BS,3,FALSE),0)</f>
        <v>CLT</v>
      </c>
      <c r="D65" s="71" t="str">
        <f>VLOOKUP($B65,'BASE+TOMADOR'!$A:$BS,8,FALSE)</f>
        <v>OPERACIONAL</v>
      </c>
      <c r="E65" s="71" t="str">
        <f>VLOOKUP($B65,'BASE+TOMADOR'!$A:$BS,15,FALSE)</f>
        <v>OPERADOR MANTENEDOR JR</v>
      </c>
      <c r="F65" s="43" t="str">
        <f>VLOOKUP($B65,'BASE+TOMADOR'!$A:$BS,71,FALSE)</f>
        <v>Ativo</v>
      </c>
      <c r="G65" s="71" t="str">
        <f>VLOOKUP($B65,'BASE+TOMADOR'!$A:$BS,4,FALSE)</f>
        <v>G S FL 07 - LONDRINA</v>
      </c>
      <c r="H65" s="71" t="str">
        <f>VLOOKUP($B65,'BASE+TOMADOR'!$A:$BS,7,FALSE)</f>
        <v>20.504.237/0007-02</v>
      </c>
      <c r="I65" s="72">
        <f>IFERROR(VLOOKUP($B65,'BASE+TOMADOR'!$A:$BS,62,FALSE),0)</f>
        <v>726.24611111111108</v>
      </c>
      <c r="J65" s="72">
        <f>IFERROR(VLOOKUP($B65,'BASE+TOMADOR'!$A:$BS,67,FALSE),0)</f>
        <v>1371.08</v>
      </c>
      <c r="K65" s="73">
        <f>VLOOKUP($B65,'BASE+TOMADOR'!$A:$BS,55,FALSE)</f>
        <v>1042.3499999999999</v>
      </c>
      <c r="L65" s="73">
        <f>IFERROR(VLOOKUP($B65,'BASE+TOMADOR'!$A:$BS,56,FALSE),0)</f>
        <v>4777.33</v>
      </c>
      <c r="M65" s="72">
        <f>IFERROR(VLOOKUP($B65,'BASE+TOMADOR'!$A:$BS,58,FALSE),0)</f>
        <v>4777.33</v>
      </c>
      <c r="N65" s="74">
        <f t="shared" si="3"/>
        <v>6.2688695258601651E-3</v>
      </c>
      <c r="O65" s="72">
        <f>IFERROR(VLOOKUP(B65,'[1]BASE+TOMADOR'!$A:$BF,58,0),0)</f>
        <v>7489.5499999999993</v>
      </c>
      <c r="P65" s="67">
        <f t="shared" si="4"/>
        <v>-2712.2199999999993</v>
      </c>
    </row>
    <row r="66" spans="1:16" ht="15" customHeight="1" x14ac:dyDescent="0.25">
      <c r="A66" s="43">
        <f t="shared" si="5"/>
        <v>64</v>
      </c>
      <c r="B66" s="71" t="s">
        <v>232</v>
      </c>
      <c r="C66" s="43" t="str">
        <f>IFERROR(VLOOKUP($B66,'BASE+TOMADOR'!$A:$BS,3,FALSE),0)</f>
        <v>CLT</v>
      </c>
      <c r="D66" s="71" t="str">
        <f>VLOOKUP($B66,'BASE+TOMADOR'!$A:$BS,8,FALSE)</f>
        <v>GESTÃO DE GENTE</v>
      </c>
      <c r="E66" s="71" t="str">
        <f>VLOOKUP($B66,'BASE+TOMADOR'!$A:$BS,15,FALSE)</f>
        <v>ANALISTA DE RECURSOS HUMANOS SENIOR</v>
      </c>
      <c r="F66" s="43" t="str">
        <f>VLOOKUP($B66,'BASE+TOMADOR'!$A:$BS,71,FALSE)</f>
        <v>Ativo</v>
      </c>
      <c r="G66" s="71" t="str">
        <f>VLOOKUP($B66,'BASE+TOMADOR'!$A:$BS,4,FALSE)</f>
        <v>G3S FL 10 - PRES PRUD</v>
      </c>
      <c r="H66" s="71" t="str">
        <f>VLOOKUP($B66,'BASE+TOMADOR'!$A:$BS,7,FALSE)</f>
        <v>20.947.332/0010-86</v>
      </c>
      <c r="I66" s="72">
        <f>IFERROR(VLOOKUP($B66,'BASE+TOMADOR'!$A:$BS,62,FALSE),0)</f>
        <v>826.38888888888891</v>
      </c>
      <c r="J66" s="72">
        <f>IFERROR(VLOOKUP($B66,'BASE+TOMADOR'!$A:$BS,67,FALSE),0)</f>
        <v>1564</v>
      </c>
      <c r="K66" s="73">
        <f>VLOOKUP($B66,'BASE+TOMADOR'!$A:$BS,55,FALSE)</f>
        <v>521.87</v>
      </c>
      <c r="L66" s="73">
        <f>IFERROR(VLOOKUP($B66,'BASE+TOMADOR'!$A:$BS,56,FALSE),0)</f>
        <v>4771.87</v>
      </c>
      <c r="M66" s="72">
        <f>IFERROR(VLOOKUP($B66,'BASE+TOMADOR'!$A:$BS,58,FALSE),0)</f>
        <v>4771.87</v>
      </c>
      <c r="N66" s="74">
        <f t="shared" si="3"/>
        <v>6.2617048486008596E-3</v>
      </c>
      <c r="O66" s="72">
        <f>IFERROR(VLOOKUP(B66,'[1]BASE+TOMADOR'!$A:$BF,58,0),0)</f>
        <v>4500</v>
      </c>
      <c r="P66" s="67">
        <f t="shared" si="4"/>
        <v>271.86999999999989</v>
      </c>
    </row>
    <row r="67" spans="1:16" ht="15" customHeight="1" x14ac:dyDescent="0.25">
      <c r="A67" s="43">
        <f t="shared" si="5"/>
        <v>65</v>
      </c>
      <c r="B67" s="71" t="s">
        <v>300</v>
      </c>
      <c r="C67" s="43" t="str">
        <f>IFERROR(VLOOKUP($B67,'BASE+TOMADOR'!$A:$BS,3,FALSE),0)</f>
        <v>CLT</v>
      </c>
      <c r="D67" s="71" t="str">
        <f>VLOOKUP($B67,'BASE+TOMADOR'!$A:$BS,8,FALSE)</f>
        <v>OPERACIONAL</v>
      </c>
      <c r="E67" s="71" t="str">
        <f>VLOOKUP($B67,'BASE+TOMADOR'!$A:$BS,15,FALSE)</f>
        <v>AUXILIAR DE PATIO SENIOR</v>
      </c>
      <c r="F67" s="43" t="str">
        <f>VLOOKUP($B67,'BASE+TOMADOR'!$A:$BS,71,FALSE)</f>
        <v>Ativo</v>
      </c>
      <c r="G67" s="71" t="str">
        <f>VLOOKUP($B67,'BASE+TOMADOR'!$A:$BS,4,FALSE)</f>
        <v>G3S  FL 04 - PRES PRUD</v>
      </c>
      <c r="H67" s="71" t="str">
        <f>VLOOKUP($B67,'BASE+TOMADOR'!$A:$BS,7,FALSE)</f>
        <v>20.947.332/0004-38</v>
      </c>
      <c r="I67" s="72">
        <f>IFERROR(VLOOKUP($B67,'BASE+TOMADOR'!$A:$BS,62,FALSE),0)</f>
        <v>505.55555555555554</v>
      </c>
      <c r="J67" s="72">
        <f>IFERROR(VLOOKUP($B67,'BASE+TOMADOR'!$A:$BS,67,FALSE),0)</f>
        <v>933.8</v>
      </c>
      <c r="K67" s="73">
        <f>VLOOKUP($B67,'BASE+TOMADOR'!$A:$BS,55,FALSE)</f>
        <v>2109.34</v>
      </c>
      <c r="L67" s="73">
        <f>IFERROR(VLOOKUP($B67,'BASE+TOMADOR'!$A:$BS,56,FALSE),0)</f>
        <v>4709.34</v>
      </c>
      <c r="M67" s="72">
        <f>IFERROR(VLOOKUP($B67,'BASE+TOMADOR'!$A:$BS,58,FALSE),0)</f>
        <v>4709.34</v>
      </c>
      <c r="N67" s="74">
        <f t="shared" ref="N67:N98" si="6">M67/$M$1</f>
        <v>6.1796522352264363E-3</v>
      </c>
      <c r="O67" s="72">
        <f>IFERROR(VLOOKUP(B67,'[1]BASE+TOMADOR'!$A:$BF,58,0),0)</f>
        <v>6356.7000000000007</v>
      </c>
      <c r="P67" s="67">
        <f t="shared" ref="P67:P98" si="7">M67-O67</f>
        <v>-1647.3600000000006</v>
      </c>
    </row>
    <row r="68" spans="1:16" ht="15" customHeight="1" x14ac:dyDescent="0.25">
      <c r="A68" s="43">
        <f t="shared" ref="A68:A99" si="8">A67+1</f>
        <v>66</v>
      </c>
      <c r="B68" s="71" t="s">
        <v>165</v>
      </c>
      <c r="C68" s="43" t="str">
        <f>IFERROR(VLOOKUP($B68,'BASE+TOMADOR'!$A:$BS,3,FALSE),0)</f>
        <v>CLT</v>
      </c>
      <c r="D68" s="71" t="str">
        <f>VLOOKUP($B68,'BASE+TOMADOR'!$A:$BS,8,FALSE)</f>
        <v>OPERACIONAL</v>
      </c>
      <c r="E68" s="71" t="str">
        <f>VLOOKUP($B68,'BASE+TOMADOR'!$A:$BS,15,FALSE)</f>
        <v>OPERADOR MANTENEDOR PLENO</v>
      </c>
      <c r="F68" s="43" t="str">
        <f>VLOOKUP($B68,'BASE+TOMADOR'!$A:$BS,71,FALSE)</f>
        <v>Ativo</v>
      </c>
      <c r="G68" s="71" t="str">
        <f>VLOOKUP($B68,'BASE+TOMADOR'!$A:$BS,4,FALSE)</f>
        <v>G S FL 05 - BARUERI</v>
      </c>
      <c r="H68" s="71" t="str">
        <f>VLOOKUP($B68,'BASE+TOMADOR'!$A:$BS,7,FALSE)</f>
        <v>20.504.237/0005-40</v>
      </c>
      <c r="I68" s="72">
        <f>IFERROR(VLOOKUP($B68,'BASE+TOMADOR'!$A:$BS,62,FALSE),0)</f>
        <v>719.09249999999986</v>
      </c>
      <c r="J68" s="72">
        <f>IFERROR(VLOOKUP($B68,'BASE+TOMADOR'!$A:$BS,67,FALSE),0)</f>
        <v>1305.45</v>
      </c>
      <c r="K68" s="73">
        <f>VLOOKUP($B68,'BASE+TOMADOR'!$A:$BS,55,FALSE)</f>
        <v>1000.6</v>
      </c>
      <c r="L68" s="73">
        <f>IFERROR(VLOOKUP($B68,'BASE+TOMADOR'!$A:$BS,56,FALSE),0)</f>
        <v>4698.79</v>
      </c>
      <c r="M68" s="72">
        <f>IFERROR(VLOOKUP($B68,'BASE+TOMADOR'!$A:$BS,58,FALSE),0)</f>
        <v>4698.79</v>
      </c>
      <c r="N68" s="74">
        <f t="shared" si="6"/>
        <v>6.1658083991301595E-3</v>
      </c>
      <c r="O68" s="72">
        <f>IFERROR(VLOOKUP(B68,'[1]BASE+TOMADOR'!$A:$BF,58,0),0)</f>
        <v>4467.09</v>
      </c>
      <c r="P68" s="67">
        <f t="shared" si="7"/>
        <v>231.69999999999982</v>
      </c>
    </row>
    <row r="69" spans="1:16" ht="15" customHeight="1" x14ac:dyDescent="0.25">
      <c r="A69" s="43">
        <f t="shared" si="8"/>
        <v>67</v>
      </c>
      <c r="B69" s="71" t="s">
        <v>77</v>
      </c>
      <c r="C69" s="43" t="str">
        <f>IFERROR(VLOOKUP($B69,'BASE+TOMADOR'!$A:$BS,3,FALSE),0)</f>
        <v>CLT</v>
      </c>
      <c r="D69" s="71" t="str">
        <f>VLOOKUP($B69,'BASE+TOMADOR'!$A:$BS,8,FALSE)</f>
        <v>ADMINISTRATIVO</v>
      </c>
      <c r="E69" s="71" t="str">
        <f>VLOOKUP($B69,'BASE+TOMADOR'!$A:$BS,15,FALSE)</f>
        <v>AUX ADMINISTRATIVO SENIOR</v>
      </c>
      <c r="F69" s="43" t="str">
        <f>VLOOKUP($B69,'BASE+TOMADOR'!$A:$BS,71,FALSE)</f>
        <v>Ativo</v>
      </c>
      <c r="G69" s="71" t="str">
        <f>VLOOKUP($B69,'BASE+TOMADOR'!$A:$BS,4,FALSE)</f>
        <v>G3S  FL 08 - LONDRINA</v>
      </c>
      <c r="H69" s="71" t="str">
        <f>VLOOKUP($B69,'BASE+TOMADOR'!$A:$BS,7,FALSE)</f>
        <v>20.947.332/0008-61</v>
      </c>
      <c r="I69" s="72">
        <f>IFERROR(VLOOKUP($B69,'BASE+TOMADOR'!$A:$BS,62,FALSE),0)</f>
        <v>703.10333333333324</v>
      </c>
      <c r="J69" s="72">
        <f>IFERROR(VLOOKUP($B69,'BASE+TOMADOR'!$A:$BS,67,FALSE),0)</f>
        <v>1428.5</v>
      </c>
      <c r="K69" s="73">
        <f>VLOOKUP($B69,'BASE+TOMADOR'!$A:$BS,55,FALSE)</f>
        <v>1051.3499999999999</v>
      </c>
      <c r="L69" s="73">
        <f>IFERROR(VLOOKUP($B69,'BASE+TOMADOR'!$A:$BS,56,FALSE),0)</f>
        <v>4667.3099999999995</v>
      </c>
      <c r="M69" s="72">
        <f>IFERROR(VLOOKUP($B69,'BASE+TOMADOR'!$A:$BS,58,FALSE),0)</f>
        <v>4667.3099999999995</v>
      </c>
      <c r="N69" s="74">
        <f t="shared" si="6"/>
        <v>6.124499966873212E-3</v>
      </c>
      <c r="O69" s="72">
        <f>IFERROR(VLOOKUP(B69,'[1]BASE+TOMADOR'!$A:$BF,58,0),0)</f>
        <v>4689.0999999999995</v>
      </c>
      <c r="P69" s="67">
        <f t="shared" si="7"/>
        <v>-21.789999999999964</v>
      </c>
    </row>
    <row r="70" spans="1:16" ht="15" customHeight="1" x14ac:dyDescent="0.25">
      <c r="A70" s="43">
        <f t="shared" si="8"/>
        <v>68</v>
      </c>
      <c r="B70" s="71" t="s">
        <v>162</v>
      </c>
      <c r="C70" s="43" t="str">
        <f>IFERROR(VLOOKUP($B70,'BASE+TOMADOR'!$A:$BS,3,FALSE),0)</f>
        <v>CLT</v>
      </c>
      <c r="D70" s="71" t="str">
        <f>VLOOKUP($B70,'BASE+TOMADOR'!$A:$BS,8,FALSE)</f>
        <v>OPERACIONAL</v>
      </c>
      <c r="E70" s="71" t="str">
        <f>VLOOKUP($B70,'BASE+TOMADOR'!$A:$BS,15,FALSE)</f>
        <v>OPERADOR MANTENEDOR PLENO</v>
      </c>
      <c r="F70" s="43" t="str">
        <f>VLOOKUP($B70,'BASE+TOMADOR'!$A:$BS,71,FALSE)</f>
        <v>Ativo</v>
      </c>
      <c r="G70" s="71" t="str">
        <f>VLOOKUP($B70,'BASE+TOMADOR'!$A:$BS,4,FALSE)</f>
        <v>G S FL 05 - BARUERI</v>
      </c>
      <c r="H70" s="71" t="str">
        <f>VLOOKUP($B70,'BASE+TOMADOR'!$A:$BS,7,FALSE)</f>
        <v>20.504.237/0005-40</v>
      </c>
      <c r="I70" s="72">
        <f>IFERROR(VLOOKUP($B70,'BASE+TOMADOR'!$A:$BS,62,FALSE),0)</f>
        <v>666.99111111111097</v>
      </c>
      <c r="J70" s="72">
        <f>IFERROR(VLOOKUP($B70,'BASE+TOMADOR'!$A:$BS,67,FALSE),0)</f>
        <v>1210.8600000000001</v>
      </c>
      <c r="K70" s="73">
        <f>VLOOKUP($B70,'BASE+TOMADOR'!$A:$BS,55,FALSE)</f>
        <v>1143.2</v>
      </c>
      <c r="L70" s="73">
        <f>IFERROR(VLOOKUP($B70,'BASE+TOMADOR'!$A:$BS,56,FALSE),0)</f>
        <v>4573.4399999999996</v>
      </c>
      <c r="M70" s="72">
        <f>IFERROR(VLOOKUP($B70,'BASE+TOMADOR'!$A:$BS,58,FALSE),0)</f>
        <v>4573.4399999999996</v>
      </c>
      <c r="N70" s="74">
        <f t="shared" si="6"/>
        <v>6.0013226309151577E-3</v>
      </c>
      <c r="O70" s="72">
        <f>IFERROR(VLOOKUP(B70,'[1]BASE+TOMADOR'!$A:$BF,58,0),0)</f>
        <v>4869.8999999999996</v>
      </c>
      <c r="P70" s="67">
        <f t="shared" si="7"/>
        <v>-296.46000000000004</v>
      </c>
    </row>
    <row r="71" spans="1:16" ht="15" customHeight="1" x14ac:dyDescent="0.25">
      <c r="A71" s="43">
        <f t="shared" si="8"/>
        <v>69</v>
      </c>
      <c r="B71" s="71" t="s">
        <v>217</v>
      </c>
      <c r="C71" s="43" t="str">
        <f>IFERROR(VLOOKUP($B71,'BASE+TOMADOR'!$A:$BS,3,FALSE),0)</f>
        <v>CLT</v>
      </c>
      <c r="D71" s="71" t="str">
        <f>VLOOKUP($B71,'BASE+TOMADOR'!$A:$BS,8,FALSE)</f>
        <v>ADMINISTRATIVO</v>
      </c>
      <c r="E71" s="71" t="str">
        <f>VLOOKUP($B71,'BASE+TOMADOR'!$A:$BS,15,FALSE)</f>
        <v>ANALISTA FINANCEIRO SENIOR II</v>
      </c>
      <c r="F71" s="43" t="str">
        <f>VLOOKUP($B71,'BASE+TOMADOR'!$A:$BS,71,FALSE)</f>
        <v>Ativo</v>
      </c>
      <c r="G71" s="71" t="str">
        <f>VLOOKUP($B71,'BASE+TOMADOR'!$A:$BS,4,FALSE)</f>
        <v>G3S FL 10 - PRES PRUD</v>
      </c>
      <c r="H71" s="71" t="str">
        <f>VLOOKUP($B71,'BASE+TOMADOR'!$A:$BS,7,FALSE)</f>
        <v>20.947.332/0010-86</v>
      </c>
      <c r="I71" s="72">
        <f>IFERROR(VLOOKUP($B71,'BASE+TOMADOR'!$A:$BS,62,FALSE),0)</f>
        <v>748.61111111111109</v>
      </c>
      <c r="J71" s="72">
        <f>IFERROR(VLOOKUP($B71,'BASE+TOMADOR'!$A:$BS,67,FALSE),0)</f>
        <v>1416.8</v>
      </c>
      <c r="K71" s="73">
        <f>VLOOKUP($B71,'BASE+TOMADOR'!$A:$BS,55,FALSE)</f>
        <v>521.87</v>
      </c>
      <c r="L71" s="73">
        <f>IFERROR(VLOOKUP($B71,'BASE+TOMADOR'!$A:$BS,56,FALSE),0)</f>
        <v>4371.87</v>
      </c>
      <c r="M71" s="72">
        <f>IFERROR(VLOOKUP($B71,'BASE+TOMADOR'!$A:$BS,58,FALSE),0)</f>
        <v>4371.87</v>
      </c>
      <c r="N71" s="74">
        <f t="shared" si="6"/>
        <v>5.7368200676993801E-3</v>
      </c>
      <c r="O71" s="72">
        <f>IFERROR(VLOOKUP(B71,'[1]BASE+TOMADOR'!$A:$BF,58,0),0)</f>
        <v>4079.22</v>
      </c>
      <c r="P71" s="67">
        <f t="shared" si="7"/>
        <v>292.65000000000009</v>
      </c>
    </row>
    <row r="72" spans="1:16" ht="15" customHeight="1" x14ac:dyDescent="0.25">
      <c r="A72" s="43">
        <f t="shared" si="8"/>
        <v>70</v>
      </c>
      <c r="B72" s="71" t="s">
        <v>303</v>
      </c>
      <c r="C72" s="43" t="str">
        <f>IFERROR(VLOOKUP($B72,'BASE+TOMADOR'!$A:$BS,3,FALSE),0)</f>
        <v>CLT</v>
      </c>
      <c r="D72" s="71" t="str">
        <f>VLOOKUP($B72,'BASE+TOMADOR'!$A:$BS,8,FALSE)</f>
        <v>ADMINISTRATIVO</v>
      </c>
      <c r="E72" s="71" t="str">
        <f>VLOOKUP($B72,'BASE+TOMADOR'!$A:$BS,15,FALSE)</f>
        <v>AUX ADMINISTRATIVO SENIOR</v>
      </c>
      <c r="F72" s="43" t="str">
        <f>VLOOKUP($B72,'BASE+TOMADOR'!$A:$BS,71,FALSE)</f>
        <v>Ativo</v>
      </c>
      <c r="G72" s="71" t="str">
        <f>VLOOKUP($B72,'BASE+TOMADOR'!$A:$BS,4,FALSE)</f>
        <v>G3S  FL 04 - PRES PRUD</v>
      </c>
      <c r="H72" s="71" t="str">
        <f>VLOOKUP($B72,'BASE+TOMADOR'!$A:$BS,7,FALSE)</f>
        <v>20.947.332/0004-38</v>
      </c>
      <c r="I72" s="72">
        <f>IFERROR(VLOOKUP($B72,'BASE+TOMADOR'!$A:$BS,62,FALSE),0)</f>
        <v>573.61111111111109</v>
      </c>
      <c r="J72" s="72">
        <f>IFERROR(VLOOKUP($B72,'BASE+TOMADOR'!$A:$BS,67,FALSE),0)</f>
        <v>1041.3499999999999</v>
      </c>
      <c r="K72" s="73">
        <f>VLOOKUP($B72,'BASE+TOMADOR'!$A:$BS,55,FALSE)</f>
        <v>1417.21</v>
      </c>
      <c r="L72" s="73">
        <f>IFERROR(VLOOKUP($B72,'BASE+TOMADOR'!$A:$BS,56,FALSE),0)</f>
        <v>4367.21</v>
      </c>
      <c r="M72" s="72">
        <f>IFERROR(VLOOKUP($B72,'BASE+TOMADOR'!$A:$BS,58,FALSE),0)</f>
        <v>4367.21</v>
      </c>
      <c r="N72" s="74">
        <f t="shared" si="6"/>
        <v>5.7307051600018781E-3</v>
      </c>
      <c r="O72" s="72">
        <f>IFERROR(VLOOKUP(B72,'[1]BASE+TOMADOR'!$A:$BF,58,0),0)</f>
        <v>3889.57</v>
      </c>
      <c r="P72" s="67">
        <f t="shared" si="7"/>
        <v>477.63999999999987</v>
      </c>
    </row>
    <row r="73" spans="1:16" ht="15" customHeight="1" x14ac:dyDescent="0.25">
      <c r="A73" s="43">
        <f t="shared" si="8"/>
        <v>71</v>
      </c>
      <c r="B73" s="71" t="s">
        <v>213</v>
      </c>
      <c r="C73" s="43" t="str">
        <f>IFERROR(VLOOKUP($B73,'BASE+TOMADOR'!$A:$BS,3,FALSE),0)</f>
        <v>CLT</v>
      </c>
      <c r="D73" s="71" t="str">
        <f>VLOOKUP($B73,'BASE+TOMADOR'!$A:$BS,8,FALSE)</f>
        <v>ADMINISTRATIVO</v>
      </c>
      <c r="E73" s="71" t="str">
        <f>VLOOKUP($B73,'BASE+TOMADOR'!$A:$BS,15,FALSE)</f>
        <v>ANALISTA CONTABIL SENIOR</v>
      </c>
      <c r="F73" s="43" t="str">
        <f>VLOOKUP($B73,'BASE+TOMADOR'!$A:$BS,71,FALSE)</f>
        <v>Ativo</v>
      </c>
      <c r="G73" s="71" t="str">
        <f>VLOOKUP($B73,'BASE+TOMADOR'!$A:$BS,4,FALSE)</f>
        <v>G3S FL 10 - PRES PRUD</v>
      </c>
      <c r="H73" s="71" t="str">
        <f>VLOOKUP($B73,'BASE+TOMADOR'!$A:$BS,7,FALSE)</f>
        <v>20.947.332/0010-86</v>
      </c>
      <c r="I73" s="72">
        <f>IFERROR(VLOOKUP($B73,'BASE+TOMADOR'!$A:$BS,62,FALSE),0)</f>
        <v>723.09027777777771</v>
      </c>
      <c r="J73" s="72">
        <f>IFERROR(VLOOKUP($B73,'BASE+TOMADOR'!$A:$BS,67,FALSE),0)</f>
        <v>1368.49</v>
      </c>
      <c r="K73" s="73">
        <f>VLOOKUP($B73,'BASE+TOMADOR'!$A:$BS,55,FALSE)</f>
        <v>621.87</v>
      </c>
      <c r="L73" s="73">
        <f>IFERROR(VLOOKUP($B73,'BASE+TOMADOR'!$A:$BS,56,FALSE),0)</f>
        <v>4340.62</v>
      </c>
      <c r="M73" s="72">
        <f>IFERROR(VLOOKUP($B73,'BASE+TOMADOR'!$A:$BS,58,FALSE),0)</f>
        <v>4340.62</v>
      </c>
      <c r="N73" s="74">
        <f t="shared" si="6"/>
        <v>5.6958134441914519E-3</v>
      </c>
      <c r="O73" s="72">
        <f>IFERROR(VLOOKUP(B73,'[1]BASE+TOMADOR'!$A:$BF,58,0),0)</f>
        <v>4037.5</v>
      </c>
      <c r="P73" s="67">
        <f t="shared" si="7"/>
        <v>303.11999999999989</v>
      </c>
    </row>
    <row r="74" spans="1:16" ht="15" customHeight="1" x14ac:dyDescent="0.25">
      <c r="A74" s="43">
        <f t="shared" si="8"/>
        <v>72</v>
      </c>
      <c r="B74" s="71" t="s">
        <v>307</v>
      </c>
      <c r="C74" s="43" t="str">
        <f>IFERROR(VLOOKUP($B74,'BASE+TOMADOR'!$A:$BS,3,FALSE),0)</f>
        <v>CLT</v>
      </c>
      <c r="D74" s="71" t="str">
        <f>VLOOKUP($B74,'BASE+TOMADOR'!$A:$BS,8,FALSE)</f>
        <v>OPERACIONAL</v>
      </c>
      <c r="E74" s="71" t="str">
        <f>VLOOKUP($B74,'BASE+TOMADOR'!$A:$BS,15,FALSE)</f>
        <v>CLASSIFICADOR SENIOR</v>
      </c>
      <c r="F74" s="43" t="str">
        <f>VLOOKUP($B74,'BASE+TOMADOR'!$A:$BS,71,FALSE)</f>
        <v>Ativo</v>
      </c>
      <c r="G74" s="71" t="str">
        <f>VLOOKUP($B74,'BASE+TOMADOR'!$A:$BS,4,FALSE)</f>
        <v>G3S  FL 04 - PRES PRUD</v>
      </c>
      <c r="H74" s="71" t="str">
        <f>VLOOKUP($B74,'BASE+TOMADOR'!$A:$BS,7,FALSE)</f>
        <v>20.947.332/0004-38</v>
      </c>
      <c r="I74" s="72">
        <f>IFERROR(VLOOKUP($B74,'BASE+TOMADOR'!$A:$BS,62,FALSE),0)</f>
        <v>577.05083333333334</v>
      </c>
      <c r="J74" s="72">
        <f>IFERROR(VLOOKUP($B74,'BASE+TOMADOR'!$A:$BS,67,FALSE),0)</f>
        <v>1047.58</v>
      </c>
      <c r="K74" s="73">
        <f>VLOOKUP($B74,'BASE+TOMADOR'!$A:$BS,55,FALSE)</f>
        <v>1292.21</v>
      </c>
      <c r="L74" s="73">
        <f>IFERROR(VLOOKUP($B74,'BASE+TOMADOR'!$A:$BS,56,FALSE),0)</f>
        <v>4259.8999999999996</v>
      </c>
      <c r="M74" s="72">
        <f>IFERROR(VLOOKUP($B74,'BASE+TOMADOR'!$A:$BS,58,FALSE),0)</f>
        <v>4259.8999999999996</v>
      </c>
      <c r="N74" s="74">
        <f t="shared" si="6"/>
        <v>5.5898916954055331E-3</v>
      </c>
      <c r="O74" s="72">
        <f>IFERROR(VLOOKUP(B74,'[1]BASE+TOMADOR'!$A:$BF,58,0),0)</f>
        <v>3649.62</v>
      </c>
      <c r="P74" s="67">
        <f t="shared" si="7"/>
        <v>610.27999999999975</v>
      </c>
    </row>
    <row r="75" spans="1:16" ht="15" customHeight="1" x14ac:dyDescent="0.25">
      <c r="A75" s="43">
        <f t="shared" si="8"/>
        <v>73</v>
      </c>
      <c r="B75" s="71" t="s">
        <v>138</v>
      </c>
      <c r="C75" s="43" t="str">
        <f>IFERROR(VLOOKUP($B75,'BASE+TOMADOR'!$A:$BS,3,FALSE),0)</f>
        <v>CLT</v>
      </c>
      <c r="D75" s="71" t="str">
        <f>VLOOKUP($B75,'BASE+TOMADOR'!$A:$BS,8,FALSE)</f>
        <v>OPERACIONAL</v>
      </c>
      <c r="E75" s="71" t="str">
        <f>VLOOKUP($B75,'BASE+TOMADOR'!$A:$BS,15,FALSE)</f>
        <v>OPERADOR MANTENEDOR JR</v>
      </c>
      <c r="F75" s="43" t="str">
        <f>VLOOKUP($B75,'BASE+TOMADOR'!$A:$BS,71,FALSE)</f>
        <v>Ativo</v>
      </c>
      <c r="G75" s="71" t="str">
        <f>VLOOKUP($B75,'BASE+TOMADOR'!$A:$BS,4,FALSE)</f>
        <v>G S FL 04 - MARINGA</v>
      </c>
      <c r="H75" s="71" t="str">
        <f>VLOOKUP($B75,'BASE+TOMADOR'!$A:$BS,7,FALSE)</f>
        <v>20.504.237/0004-60</v>
      </c>
      <c r="I75" s="72">
        <f>IFERROR(VLOOKUP($B75,'BASE+TOMADOR'!$A:$BS,62,FALSE),0)</f>
        <v>636.04916666666668</v>
      </c>
      <c r="J75" s="72">
        <f>IFERROR(VLOOKUP($B75,'BASE+TOMADOR'!$A:$BS,67,FALSE),0)</f>
        <v>1203.75</v>
      </c>
      <c r="K75" s="73">
        <f>VLOOKUP($B75,'BASE+TOMADOR'!$A:$BS,55,FALSE)</f>
        <v>969.47</v>
      </c>
      <c r="L75" s="73">
        <f>IFERROR(VLOOKUP($B75,'BASE+TOMADOR'!$A:$BS,56,FALSE),0)</f>
        <v>4240.58</v>
      </c>
      <c r="M75" s="72">
        <f>IFERROR(VLOOKUP($B75,'BASE+TOMADOR'!$A:$BS,58,FALSE),0)</f>
        <v>4240.58</v>
      </c>
      <c r="N75" s="74">
        <f t="shared" si="6"/>
        <v>5.5645397604879914E-3</v>
      </c>
      <c r="O75" s="72">
        <f>IFERROR(VLOOKUP(B75,'[1]BASE+TOMADOR'!$A:$BF,58,0),0)</f>
        <v>3512.48</v>
      </c>
      <c r="P75" s="67">
        <f t="shared" si="7"/>
        <v>728.09999999999991</v>
      </c>
    </row>
    <row r="76" spans="1:16" ht="15" customHeight="1" x14ac:dyDescent="0.25">
      <c r="A76" s="43">
        <f t="shared" si="8"/>
        <v>74</v>
      </c>
      <c r="B76" s="71" t="s">
        <v>357</v>
      </c>
      <c r="C76" s="43" t="str">
        <f>IFERROR(VLOOKUP($B76,'BASE+TOMADOR'!$A:$BS,3,FALSE),0)</f>
        <v>CLT</v>
      </c>
      <c r="D76" s="71" t="str">
        <f>VLOOKUP($B76,'BASE+TOMADOR'!$A:$BS,8,FALSE)</f>
        <v>ADMINISTRATIVO</v>
      </c>
      <c r="E76" s="71" t="str">
        <f>VLOOKUP($B76,'BASE+TOMADOR'!$A:$BS,15,FALSE)</f>
        <v>AUX ADMINISTRATIVO PLENO</v>
      </c>
      <c r="F76" s="43" t="str">
        <f>VLOOKUP($B76,'BASE+TOMADOR'!$A:$BS,71,FALSE)</f>
        <v>Ativo</v>
      </c>
      <c r="G76" s="71" t="str">
        <f>VLOOKUP($B76,'BASE+TOMADOR'!$A:$BS,4,FALSE)</f>
        <v>G3S FL 06 - MARINGA</v>
      </c>
      <c r="H76" s="71" t="str">
        <f>VLOOKUP($B76,'BASE+TOMADOR'!$A:$BS,7,FALSE)</f>
        <v>20.947.332/0006-08</v>
      </c>
      <c r="I76" s="72">
        <f>IFERROR(VLOOKUP($B76,'BASE+TOMADOR'!$A:$BS,62,FALSE),0)</f>
        <v>655.50527777777779</v>
      </c>
      <c r="J76" s="72">
        <f>IFERROR(VLOOKUP($B76,'BASE+TOMADOR'!$A:$BS,67,FALSE),0)</f>
        <v>1190</v>
      </c>
      <c r="K76" s="73">
        <f>VLOOKUP($B76,'BASE+TOMADOR'!$A:$BS,55,FALSE)</f>
        <v>765.31999999999994</v>
      </c>
      <c r="L76" s="73">
        <f>IFERROR(VLOOKUP($B76,'BASE+TOMADOR'!$A:$BS,56,FALSE),0)</f>
        <v>4136.49</v>
      </c>
      <c r="M76" s="72">
        <f>IFERROR(VLOOKUP($B76,'BASE+TOMADOR'!$A:$BS,58,FALSE),0)</f>
        <v>4136.49</v>
      </c>
      <c r="N76" s="74">
        <f t="shared" si="6"/>
        <v>5.4279516183779039E-3</v>
      </c>
      <c r="O76" s="72">
        <f>IFERROR(VLOOKUP(B76,'[1]BASE+TOMADOR'!$A:$BF,58,0),0)</f>
        <v>3527.19</v>
      </c>
      <c r="P76" s="67">
        <f t="shared" si="7"/>
        <v>609.29999999999973</v>
      </c>
    </row>
    <row r="77" spans="1:16" ht="15" customHeight="1" x14ac:dyDescent="0.25">
      <c r="A77" s="43">
        <f t="shared" si="8"/>
        <v>75</v>
      </c>
      <c r="B77" s="71" t="s">
        <v>229</v>
      </c>
      <c r="C77" s="43" t="str">
        <f>IFERROR(VLOOKUP($B77,'BASE+TOMADOR'!$A:$BS,3,FALSE),0)</f>
        <v>CLT</v>
      </c>
      <c r="D77" s="71" t="str">
        <f>VLOOKUP($B77,'BASE+TOMADOR'!$A:$BS,8,FALSE)</f>
        <v>ADMINISTRATIVO</v>
      </c>
      <c r="E77" s="71" t="str">
        <f>VLOOKUP($B77,'BASE+TOMADOR'!$A:$BS,15,FALSE)</f>
        <v>ANALISTA FISCAL SENIOR I</v>
      </c>
      <c r="F77" s="43" t="str">
        <f>VLOOKUP($B77,'BASE+TOMADOR'!$A:$BS,71,FALSE)</f>
        <v>Ativo</v>
      </c>
      <c r="G77" s="71" t="str">
        <f>VLOOKUP($B77,'BASE+TOMADOR'!$A:$BS,4,FALSE)</f>
        <v>G3S FL 10 - PRES PRUD</v>
      </c>
      <c r="H77" s="71" t="str">
        <f>VLOOKUP($B77,'BASE+TOMADOR'!$A:$BS,7,FALSE)</f>
        <v>20.947.332/0010-86</v>
      </c>
      <c r="I77" s="72">
        <f>IFERROR(VLOOKUP($B77,'BASE+TOMADOR'!$A:$BS,62,FALSE),0)</f>
        <v>680.55555555555566</v>
      </c>
      <c r="J77" s="72">
        <f>IFERROR(VLOOKUP($B77,'BASE+TOMADOR'!$A:$BS,67,FALSE),0)</f>
        <v>1288</v>
      </c>
      <c r="K77" s="73">
        <f>VLOOKUP($B77,'BASE+TOMADOR'!$A:$BS,55,FALSE)</f>
        <v>521.87</v>
      </c>
      <c r="L77" s="73">
        <f>IFERROR(VLOOKUP($B77,'BASE+TOMADOR'!$A:$BS,56,FALSE),0)</f>
        <v>4021.87</v>
      </c>
      <c r="M77" s="72">
        <f>IFERROR(VLOOKUP($B77,'BASE+TOMADOR'!$A:$BS,58,FALSE),0)</f>
        <v>4021.87</v>
      </c>
      <c r="N77" s="74">
        <f t="shared" si="6"/>
        <v>5.2775458844105854E-3</v>
      </c>
      <c r="O77" s="72">
        <f>IFERROR(VLOOKUP(B77,'[1]BASE+TOMADOR'!$A:$BF,58,0),0)</f>
        <v>3625</v>
      </c>
      <c r="P77" s="67">
        <f t="shared" si="7"/>
        <v>396.86999999999989</v>
      </c>
    </row>
    <row r="78" spans="1:16" ht="15" customHeight="1" x14ac:dyDescent="0.25">
      <c r="A78" s="43">
        <f t="shared" si="8"/>
        <v>76</v>
      </c>
      <c r="B78" s="71" t="s">
        <v>324</v>
      </c>
      <c r="C78" s="43" t="str">
        <f>IFERROR(VLOOKUP($B78,'BASE+TOMADOR'!$A:$BS,3,FALSE),0)</f>
        <v>CLT</v>
      </c>
      <c r="D78" s="71" t="str">
        <f>VLOOKUP($B78,'BASE+TOMADOR'!$A:$BS,8,FALSE)</f>
        <v>ADMINISTRATIVO</v>
      </c>
      <c r="E78" s="71" t="str">
        <f>VLOOKUP($B78,'BASE+TOMADOR'!$A:$BS,15,FALSE)</f>
        <v>ANALISTA FINANCEIRO SENIOR I</v>
      </c>
      <c r="F78" s="43" t="str">
        <f>VLOOKUP($B78,'BASE+TOMADOR'!$A:$BS,71,FALSE)</f>
        <v>Ativo</v>
      </c>
      <c r="G78" s="71" t="str">
        <f>VLOOKUP($B78,'BASE+TOMADOR'!$A:$BS,4,FALSE)</f>
        <v>G3S FL 05 - PRES PRUD</v>
      </c>
      <c r="H78" s="71" t="str">
        <f>VLOOKUP($B78,'BASE+TOMADOR'!$A:$BS,7,FALSE)</f>
        <v>20.947.332/0005-19</v>
      </c>
      <c r="I78" s="72">
        <f>IFERROR(VLOOKUP($B78,'BASE+TOMADOR'!$A:$BS,62,FALSE),0)</f>
        <v>680.55555555555566</v>
      </c>
      <c r="J78" s="72">
        <f>IFERROR(VLOOKUP($B78,'BASE+TOMADOR'!$A:$BS,67,FALSE),0)</f>
        <v>1235.5</v>
      </c>
      <c r="K78" s="73">
        <f>VLOOKUP($B78,'BASE+TOMADOR'!$A:$BS,55,FALSE)</f>
        <v>521.87</v>
      </c>
      <c r="L78" s="73">
        <f>IFERROR(VLOOKUP($B78,'BASE+TOMADOR'!$A:$BS,56,FALSE),0)</f>
        <v>4021.87</v>
      </c>
      <c r="M78" s="72">
        <f>IFERROR(VLOOKUP($B78,'BASE+TOMADOR'!$A:$BS,58,FALSE),0)</f>
        <v>4021.87</v>
      </c>
      <c r="N78" s="74">
        <f t="shared" si="6"/>
        <v>5.2775458844105854E-3</v>
      </c>
      <c r="O78" s="72">
        <f>IFERROR(VLOOKUP(B78,'[1]BASE+TOMADOR'!$A:$BF,58,0),0)</f>
        <v>3557.91</v>
      </c>
      <c r="P78" s="67">
        <f t="shared" si="7"/>
        <v>463.96000000000004</v>
      </c>
    </row>
    <row r="79" spans="1:16" ht="15" customHeight="1" x14ac:dyDescent="0.25">
      <c r="A79" s="43">
        <f t="shared" si="8"/>
        <v>77</v>
      </c>
      <c r="B79" s="71" t="s">
        <v>275</v>
      </c>
      <c r="C79" s="43" t="str">
        <f>IFERROR(VLOOKUP($B79,'BASE+TOMADOR'!$A:$BS,3,FALSE),0)</f>
        <v>CLT</v>
      </c>
      <c r="D79" s="71" t="str">
        <f>VLOOKUP($B79,'BASE+TOMADOR'!$A:$BS,8,FALSE)</f>
        <v>ADMINISTRATIVO</v>
      </c>
      <c r="E79" s="71" t="str">
        <f>VLOOKUP($B79,'BASE+TOMADOR'!$A:$BS,15,FALSE)</f>
        <v>AUX ADMINISTRATIVO PLENO</v>
      </c>
      <c r="F79" s="43" t="str">
        <f>VLOOKUP($B79,'BASE+TOMADOR'!$A:$BS,71,FALSE)</f>
        <v>Ativo</v>
      </c>
      <c r="G79" s="71" t="str">
        <f>VLOOKUP($B79,'BASE+TOMADOR'!$A:$BS,4,FALSE)</f>
        <v>G3S CMATRIZ - CAMPO GRANDE</v>
      </c>
      <c r="H79" s="71" t="str">
        <f>VLOOKUP($B79,'BASE+TOMADOR'!$A:$BS,7,FALSE)</f>
        <v>20.947.332/0001-95</v>
      </c>
      <c r="I79" s="72">
        <f>IFERROR(VLOOKUP($B79,'BASE+TOMADOR'!$A:$BS,62,FALSE),0)</f>
        <v>574.89833333333331</v>
      </c>
      <c r="J79" s="72">
        <f>IFERROR(VLOOKUP($B79,'BASE+TOMADOR'!$A:$BS,67,FALSE),0)</f>
        <v>1134.5800000000002</v>
      </c>
      <c r="K79" s="73">
        <f>VLOOKUP($B79,'BASE+TOMADOR'!$A:$BS,55,FALSE)</f>
        <v>1054.9099999999999</v>
      </c>
      <c r="L79" s="73">
        <f>IFERROR(VLOOKUP($B79,'BASE+TOMADOR'!$A:$BS,56,FALSE),0)</f>
        <v>4011.5299999999997</v>
      </c>
      <c r="M79" s="72">
        <f>IFERROR(VLOOKUP($B79,'BASE+TOMADOR'!$A:$BS,58,FALSE),0)</f>
        <v>4011.5299999999997</v>
      </c>
      <c r="N79" s="74">
        <f t="shared" si="6"/>
        <v>5.2639776128242813E-3</v>
      </c>
      <c r="O79" s="72">
        <f>IFERROR(VLOOKUP(B79,'[1]BASE+TOMADOR'!$A:$BF,58,0),0)</f>
        <v>3435.45</v>
      </c>
      <c r="P79" s="67">
        <f t="shared" si="7"/>
        <v>576.07999999999993</v>
      </c>
    </row>
    <row r="80" spans="1:16" ht="15" customHeight="1" x14ac:dyDescent="0.25">
      <c r="A80" s="43">
        <f t="shared" si="8"/>
        <v>78</v>
      </c>
      <c r="B80" s="71" t="s">
        <v>321</v>
      </c>
      <c r="C80" s="43" t="str">
        <f>IFERROR(VLOOKUP($B80,'BASE+TOMADOR'!$A:$BS,3,FALSE),0)</f>
        <v>CLT</v>
      </c>
      <c r="D80" s="71" t="str">
        <f>VLOOKUP($B80,'BASE+TOMADOR'!$A:$BS,8,FALSE)</f>
        <v>ADMINISTRATIVO</v>
      </c>
      <c r="E80" s="71" t="str">
        <f>VLOOKUP($B80,'BASE+TOMADOR'!$A:$BS,15,FALSE)</f>
        <v>ANALISTA FINANCEIRO PLENO</v>
      </c>
      <c r="F80" s="43" t="str">
        <f>VLOOKUP($B80,'BASE+TOMADOR'!$A:$BS,71,FALSE)</f>
        <v>Ativo</v>
      </c>
      <c r="G80" s="71" t="str">
        <f>VLOOKUP($B80,'BASE+TOMADOR'!$A:$BS,4,FALSE)</f>
        <v>G3S FL 05 - PRES PRUD</v>
      </c>
      <c r="H80" s="71" t="str">
        <f>VLOOKUP($B80,'BASE+TOMADOR'!$A:$BS,7,FALSE)</f>
        <v>20.947.332/0005-19</v>
      </c>
      <c r="I80" s="72">
        <f>IFERROR(VLOOKUP($B80,'BASE+TOMADOR'!$A:$BS,62,FALSE),0)</f>
        <v>666.48555555555549</v>
      </c>
      <c r="J80" s="72">
        <f>IFERROR(VLOOKUP($B80,'BASE+TOMADOR'!$A:$BS,67,FALSE),0)</f>
        <v>1209.95</v>
      </c>
      <c r="K80" s="73">
        <f>VLOOKUP($B80,'BASE+TOMADOR'!$A:$BS,55,FALSE)</f>
        <v>521.87</v>
      </c>
      <c r="L80" s="73">
        <f>IFERROR(VLOOKUP($B80,'BASE+TOMADOR'!$A:$BS,56,FALSE),0)</f>
        <v>3949.5099999999998</v>
      </c>
      <c r="M80" s="72">
        <f>IFERROR(VLOOKUP($B80,'BASE+TOMADOR'!$A:$BS,58,FALSE),0)</f>
        <v>3949.5099999999998</v>
      </c>
      <c r="N80" s="74">
        <f t="shared" si="6"/>
        <v>5.1825942275455072E-3</v>
      </c>
      <c r="O80" s="72">
        <f>IFERROR(VLOOKUP(B80,'[1]BASE+TOMADOR'!$A:$BF,58,0),0)</f>
        <v>3380.46</v>
      </c>
      <c r="P80" s="67">
        <f t="shared" si="7"/>
        <v>569.04999999999973</v>
      </c>
    </row>
    <row r="81" spans="1:16" ht="15" customHeight="1" x14ac:dyDescent="0.25">
      <c r="A81" s="43">
        <f t="shared" si="8"/>
        <v>79</v>
      </c>
      <c r="B81" s="71" t="s">
        <v>286</v>
      </c>
      <c r="C81" s="43" t="str">
        <f>IFERROR(VLOOKUP($B81,'BASE+TOMADOR'!$A:$BS,3,FALSE),0)</f>
        <v>CLT</v>
      </c>
      <c r="D81" s="71" t="str">
        <f>VLOOKUP($B81,'BASE+TOMADOR'!$A:$BS,8,FALSE)</f>
        <v>ADMINISTRATIVO</v>
      </c>
      <c r="E81" s="71" t="str">
        <f>VLOOKUP($B81,'BASE+TOMADOR'!$A:$BS,15,FALSE)</f>
        <v>AUX ADMINISTRATIVO JUNIOR</v>
      </c>
      <c r="F81" s="43" t="str">
        <f>VLOOKUP($B81,'BASE+TOMADOR'!$A:$BS,71,FALSE)</f>
        <v>Ativo</v>
      </c>
      <c r="G81" s="71" t="str">
        <f>VLOOKUP($B81,'BASE+TOMADOR'!$A:$BS,4,FALSE)</f>
        <v>G3S  FL 03 - DOURADOS</v>
      </c>
      <c r="H81" s="71" t="str">
        <f>VLOOKUP($B81,'BASE+TOMADOR'!$A:$BS,7,FALSE)</f>
        <v>20.947.332/0003-57</v>
      </c>
      <c r="I81" s="72">
        <f>IFERROR(VLOOKUP($B81,'BASE+TOMADOR'!$A:$BS,62,FALSE),0)</f>
        <v>618.80388888888888</v>
      </c>
      <c r="J81" s="72">
        <f>IFERROR(VLOOKUP($B81,'BASE+TOMADOR'!$A:$BS,67,FALSE),0)</f>
        <v>1123.3800000000001</v>
      </c>
      <c r="K81" s="73">
        <f>VLOOKUP($B81,'BASE+TOMADOR'!$A:$BS,55,FALSE)</f>
        <v>718.58</v>
      </c>
      <c r="L81" s="73">
        <f>IFERROR(VLOOKUP($B81,'BASE+TOMADOR'!$A:$BS,56,FALSE),0)</f>
        <v>3901</v>
      </c>
      <c r="M81" s="72">
        <f>IFERROR(VLOOKUP($B81,'BASE+TOMADOR'!$A:$BS,58,FALSE),0)</f>
        <v>3901</v>
      </c>
      <c r="N81" s="74">
        <f t="shared" si="6"/>
        <v>5.1189388257416807E-3</v>
      </c>
      <c r="O81" s="72">
        <f>IFERROR(VLOOKUP(B81,'[1]BASE+TOMADOR'!$A:$BF,58,0),0)</f>
        <v>3702.73</v>
      </c>
      <c r="P81" s="67">
        <f t="shared" si="7"/>
        <v>198.26999999999998</v>
      </c>
    </row>
    <row r="82" spans="1:16" ht="15" customHeight="1" x14ac:dyDescent="0.25">
      <c r="A82" s="43">
        <f t="shared" si="8"/>
        <v>80</v>
      </c>
      <c r="B82" s="71" t="s">
        <v>224</v>
      </c>
      <c r="C82" s="43" t="str">
        <f>IFERROR(VLOOKUP($B82,'BASE+TOMADOR'!$A:$BS,3,FALSE),0)</f>
        <v>CLT</v>
      </c>
      <c r="D82" s="71" t="str">
        <f>VLOOKUP($B82,'BASE+TOMADOR'!$A:$BS,8,FALSE)</f>
        <v>ADMINISTRATIVO</v>
      </c>
      <c r="E82" s="71" t="str">
        <f>VLOOKUP($B82,'BASE+TOMADOR'!$A:$BS,15,FALSE)</f>
        <v>AUX ADMINISTRATIVO JUNIOR</v>
      </c>
      <c r="F82" s="43" t="str">
        <f>VLOOKUP($B82,'BASE+TOMADOR'!$A:$BS,71,FALSE)</f>
        <v>Ativo</v>
      </c>
      <c r="G82" s="71" t="str">
        <f>VLOOKUP($B82,'BASE+TOMADOR'!$A:$BS,4,FALSE)</f>
        <v>G3S FL 10 - PRES PRUD</v>
      </c>
      <c r="H82" s="71" t="str">
        <f>VLOOKUP($B82,'BASE+TOMADOR'!$A:$BS,7,FALSE)</f>
        <v>20.947.332/0010-86</v>
      </c>
      <c r="I82" s="72">
        <f>IFERROR(VLOOKUP($B82,'BASE+TOMADOR'!$A:$BS,62,FALSE),0)</f>
        <v>527.23611111111109</v>
      </c>
      <c r="J82" s="72">
        <f>IFERROR(VLOOKUP($B82,'BASE+TOMADOR'!$A:$BS,67,FALSE),0)</f>
        <v>997.81999999999994</v>
      </c>
      <c r="K82" s="73">
        <f>VLOOKUP($B82,'BASE+TOMADOR'!$A:$BS,55,FALSE)</f>
        <v>1101.21</v>
      </c>
      <c r="L82" s="73">
        <f>IFERROR(VLOOKUP($B82,'BASE+TOMADOR'!$A:$BS,56,FALSE),0)</f>
        <v>3812.71</v>
      </c>
      <c r="M82" s="72">
        <f>IFERROR(VLOOKUP($B82,'BASE+TOMADOR'!$A:$BS,58,FALSE),0)</f>
        <v>3812.71</v>
      </c>
      <c r="N82" s="74">
        <f t="shared" si="6"/>
        <v>5.0030836324772019E-3</v>
      </c>
      <c r="O82" s="72">
        <f>IFERROR(VLOOKUP(B82,'[1]BASE+TOMADOR'!$A:$BF,58,0),0)</f>
        <v>3577.7099999999996</v>
      </c>
      <c r="P82" s="67">
        <f t="shared" si="7"/>
        <v>235.00000000000045</v>
      </c>
    </row>
    <row r="83" spans="1:16" ht="15" customHeight="1" x14ac:dyDescent="0.25">
      <c r="A83" s="43">
        <f t="shared" si="8"/>
        <v>81</v>
      </c>
      <c r="B83" s="71" t="s">
        <v>334</v>
      </c>
      <c r="C83" s="43" t="str">
        <f>IFERROR(VLOOKUP($B83,'BASE+TOMADOR'!$A:$BS,3,FALSE),0)</f>
        <v>CLT</v>
      </c>
      <c r="D83" s="71" t="str">
        <f>VLOOKUP($B83,'BASE+TOMADOR'!$A:$BS,8,FALSE)</f>
        <v>OPERACIONAL</v>
      </c>
      <c r="E83" s="71" t="str">
        <f>VLOOKUP($B83,'BASE+TOMADOR'!$A:$BS,15,FALSE)</f>
        <v>AUXILIAR DE PATIO PLENO</v>
      </c>
      <c r="F83" s="43" t="str">
        <f>VLOOKUP($B83,'BASE+TOMADOR'!$A:$BS,71,FALSE)</f>
        <v>Ativo</v>
      </c>
      <c r="G83" s="71" t="str">
        <f>VLOOKUP($B83,'BASE+TOMADOR'!$A:$BS,4,FALSE)</f>
        <v>G3S FL 05 - PRES PRUD</v>
      </c>
      <c r="H83" s="71" t="str">
        <f>VLOOKUP($B83,'BASE+TOMADOR'!$A:$BS,7,FALSE)</f>
        <v>20.947.332/0005-19</v>
      </c>
      <c r="I83" s="72">
        <f>IFERROR(VLOOKUP($B83,'BASE+TOMADOR'!$A:$BS,62,FALSE),0)</f>
        <v>546.36166666666668</v>
      </c>
      <c r="J83" s="72">
        <f>IFERROR(VLOOKUP($B83,'BASE+TOMADOR'!$A:$BS,67,FALSE),0)</f>
        <v>991.86</v>
      </c>
      <c r="K83" s="73">
        <f>VLOOKUP($B83,'BASE+TOMADOR'!$A:$BS,55,FALSE)</f>
        <v>871.87</v>
      </c>
      <c r="L83" s="73">
        <f>IFERROR(VLOOKUP($B83,'BASE+TOMADOR'!$A:$BS,56,FALSE),0)</f>
        <v>3681.73</v>
      </c>
      <c r="M83" s="72">
        <f>IFERROR(VLOOKUP($B83,'BASE+TOMADOR'!$A:$BS,58,FALSE),0)</f>
        <v>3681.73</v>
      </c>
      <c r="N83" s="74">
        <f t="shared" si="6"/>
        <v>4.8312101109710117E-3</v>
      </c>
      <c r="O83" s="72">
        <f>IFERROR(VLOOKUP(B83,'[1]BASE+TOMADOR'!$A:$BF,58,0),0)</f>
        <v>3125.3199999999997</v>
      </c>
      <c r="P83" s="67">
        <f t="shared" si="7"/>
        <v>556.41000000000031</v>
      </c>
    </row>
    <row r="84" spans="1:16" ht="15" customHeight="1" x14ac:dyDescent="0.25">
      <c r="A84" s="43">
        <f t="shared" si="8"/>
        <v>82</v>
      </c>
      <c r="B84" s="71" t="s">
        <v>309</v>
      </c>
      <c r="C84" s="43" t="str">
        <f>IFERROR(VLOOKUP($B84,'BASE+TOMADOR'!$A:$BS,3,FALSE),0)</f>
        <v>CLT</v>
      </c>
      <c r="D84" s="71" t="str">
        <f>VLOOKUP($B84,'BASE+TOMADOR'!$A:$BS,8,FALSE)</f>
        <v>OPERACIONAL</v>
      </c>
      <c r="E84" s="71" t="str">
        <f>VLOOKUP($B84,'BASE+TOMADOR'!$A:$BS,15,FALSE)</f>
        <v>MACARIQUEIRO PLENO</v>
      </c>
      <c r="F84" s="43" t="str">
        <f>VLOOKUP($B84,'BASE+TOMADOR'!$A:$BS,71,FALSE)</f>
        <v>Ativo</v>
      </c>
      <c r="G84" s="71" t="str">
        <f>VLOOKUP($B84,'BASE+TOMADOR'!$A:$BS,4,FALSE)</f>
        <v>G3S  FL 04 - PRES PRUD</v>
      </c>
      <c r="H84" s="71" t="str">
        <f>VLOOKUP($B84,'BASE+TOMADOR'!$A:$BS,7,FALSE)</f>
        <v>20.947.332/0004-38</v>
      </c>
      <c r="I84" s="72">
        <f>IFERROR(VLOOKUP($B84,'BASE+TOMADOR'!$A:$BS,62,FALSE),0)</f>
        <v>503.125</v>
      </c>
      <c r="J84" s="72">
        <f>IFERROR(VLOOKUP($B84,'BASE+TOMADOR'!$A:$BS,67,FALSE),0)</f>
        <v>913.37999999999988</v>
      </c>
      <c r="K84" s="73">
        <f>VLOOKUP($B84,'BASE+TOMADOR'!$A:$BS,55,FALSE)</f>
        <v>1092.21</v>
      </c>
      <c r="L84" s="73">
        <f>IFERROR(VLOOKUP($B84,'BASE+TOMADOR'!$A:$BS,56,FALSE),0)</f>
        <v>3679.71</v>
      </c>
      <c r="M84" s="72">
        <f>IFERROR(VLOOKUP($B84,'BASE+TOMADOR'!$A:$BS,58,FALSE),0)</f>
        <v>3679.71</v>
      </c>
      <c r="N84" s="74">
        <f t="shared" si="6"/>
        <v>4.8285594428274592E-3</v>
      </c>
      <c r="O84" s="72">
        <f>IFERROR(VLOOKUP(B84,'[1]BASE+TOMADOR'!$A:$BF,58,0),0)</f>
        <v>2247.4499999999998</v>
      </c>
      <c r="P84" s="67">
        <f t="shared" si="7"/>
        <v>1432.2600000000002</v>
      </c>
    </row>
    <row r="85" spans="1:16" ht="15" customHeight="1" x14ac:dyDescent="0.25">
      <c r="A85" s="43">
        <f t="shared" si="8"/>
        <v>83</v>
      </c>
      <c r="B85" s="71" t="s">
        <v>284</v>
      </c>
      <c r="C85" s="43" t="str">
        <f>IFERROR(VLOOKUP($B85,'BASE+TOMADOR'!$A:$BS,3,FALSE),0)</f>
        <v>CLT</v>
      </c>
      <c r="D85" s="71" t="str">
        <f>VLOOKUP($B85,'BASE+TOMADOR'!$A:$BS,8,FALSE)</f>
        <v>ADMINISTRATIVO</v>
      </c>
      <c r="E85" s="71" t="str">
        <f>VLOOKUP($B85,'BASE+TOMADOR'!$A:$BS,15,FALSE)</f>
        <v>AUX ADMINISTRATIVO JUNIOR</v>
      </c>
      <c r="F85" s="43" t="str">
        <f>VLOOKUP($B85,'BASE+TOMADOR'!$A:$BS,71,FALSE)</f>
        <v>Ativo</v>
      </c>
      <c r="G85" s="71" t="str">
        <f>VLOOKUP($B85,'BASE+TOMADOR'!$A:$BS,4,FALSE)</f>
        <v>G3S  FL 03 - DOURADOS</v>
      </c>
      <c r="H85" s="71" t="str">
        <f>VLOOKUP($B85,'BASE+TOMADOR'!$A:$BS,7,FALSE)</f>
        <v>20.947.332/0003-57</v>
      </c>
      <c r="I85" s="72">
        <f>IFERROR(VLOOKUP($B85,'BASE+TOMADOR'!$A:$BS,62,FALSE),0)</f>
        <v>575.52250000000004</v>
      </c>
      <c r="J85" s="72">
        <f>IFERROR(VLOOKUP($B85,'BASE+TOMADOR'!$A:$BS,67,FALSE),0)</f>
        <v>1044.81</v>
      </c>
      <c r="K85" s="73">
        <f>VLOOKUP($B85,'BASE+TOMADOR'!$A:$BS,55,FALSE)</f>
        <v>718.58</v>
      </c>
      <c r="L85" s="73">
        <f>IFERROR(VLOOKUP($B85,'BASE+TOMADOR'!$A:$BS,56,FALSE),0)</f>
        <v>3678.41</v>
      </c>
      <c r="M85" s="72">
        <f>IFERROR(VLOOKUP($B85,'BASE+TOMADOR'!$A:$BS,58,FALSE),0)</f>
        <v>3678.41</v>
      </c>
      <c r="N85" s="74">
        <f t="shared" si="6"/>
        <v>4.8268535672895295E-3</v>
      </c>
      <c r="O85" s="72">
        <f>IFERROR(VLOOKUP(B85,'[1]BASE+TOMADOR'!$A:$BF,58,0),0)</f>
        <v>3389.65</v>
      </c>
      <c r="P85" s="67">
        <f t="shared" si="7"/>
        <v>288.75999999999976</v>
      </c>
    </row>
    <row r="86" spans="1:16" ht="15" customHeight="1" x14ac:dyDescent="0.25">
      <c r="A86" s="43">
        <f t="shared" si="8"/>
        <v>84</v>
      </c>
      <c r="B86" s="71" t="s">
        <v>262</v>
      </c>
      <c r="C86" s="43" t="str">
        <f>IFERROR(VLOOKUP($B86,'BASE+TOMADOR'!$A:$BS,3,FALSE),0)</f>
        <v>CLT</v>
      </c>
      <c r="D86" s="71" t="str">
        <f>VLOOKUP($B86,'BASE+TOMADOR'!$A:$BS,8,FALSE)</f>
        <v>OPERACIONAL</v>
      </c>
      <c r="E86" s="71" t="str">
        <f>VLOOKUP($B86,'BASE+TOMADOR'!$A:$BS,15,FALSE)</f>
        <v>AUXILIAR DE PATIO SENIOR</v>
      </c>
      <c r="F86" s="43" t="str">
        <f>VLOOKUP($B86,'BASE+TOMADOR'!$A:$BS,71,FALSE)</f>
        <v>Ativo</v>
      </c>
      <c r="G86" s="71" t="str">
        <f>VLOOKUP($B86,'BASE+TOMADOR'!$A:$BS,4,FALSE)</f>
        <v>G3S FL 11 - MARINGA</v>
      </c>
      <c r="H86" s="71" t="str">
        <f>VLOOKUP($B86,'BASE+TOMADOR'!$A:$BS,7,FALSE)</f>
        <v>20.947.332/0011-67</v>
      </c>
      <c r="I86" s="72">
        <f>IFERROR(VLOOKUP($B86,'BASE+TOMADOR'!$A:$BS,62,FALSE),0)</f>
        <v>524.09194444444438</v>
      </c>
      <c r="J86" s="72">
        <f>IFERROR(VLOOKUP($B86,'BASE+TOMADOR'!$A:$BS,67,FALSE),0)</f>
        <v>991.86</v>
      </c>
      <c r="K86" s="73">
        <f>VLOOKUP($B86,'BASE+TOMADOR'!$A:$BS,55,FALSE)</f>
        <v>969.47</v>
      </c>
      <c r="L86" s="73">
        <f>IFERROR(VLOOKUP($B86,'BASE+TOMADOR'!$A:$BS,56,FALSE),0)</f>
        <v>3664.8</v>
      </c>
      <c r="M86" s="72">
        <f>IFERROR(VLOOKUP($B86,'BASE+TOMADOR'!$A:$BS,58,FALSE),0)</f>
        <v>3664.8</v>
      </c>
      <c r="N86" s="74">
        <f t="shared" si="6"/>
        <v>4.8089943626193569E-3</v>
      </c>
      <c r="O86" s="72">
        <f>IFERROR(VLOOKUP(B86,'[1]BASE+TOMADOR'!$A:$BF,58,0),0)</f>
        <v>2848.01</v>
      </c>
      <c r="P86" s="67">
        <f t="shared" si="7"/>
        <v>816.79</v>
      </c>
    </row>
    <row r="87" spans="1:16" ht="15" customHeight="1" x14ac:dyDescent="0.25">
      <c r="A87" s="43">
        <f t="shared" si="8"/>
        <v>85</v>
      </c>
      <c r="B87" s="71" t="s">
        <v>210</v>
      </c>
      <c r="C87" s="43" t="str">
        <f>IFERROR(VLOOKUP($B87,'BASE+TOMADOR'!$A:$BS,3,FALSE),0)</f>
        <v>CLT</v>
      </c>
      <c r="D87" s="71" t="str">
        <f>VLOOKUP($B87,'BASE+TOMADOR'!$A:$BS,8,FALSE)</f>
        <v>COMERCIAL</v>
      </c>
      <c r="E87" s="71" t="str">
        <f>VLOOKUP($B87,'BASE+TOMADOR'!$A:$BS,15,FALSE)</f>
        <v>ASSISTENTE COMERCIAL</v>
      </c>
      <c r="F87" s="43" t="str">
        <f>VLOOKUP($B87,'BASE+TOMADOR'!$A:$BS,71,FALSE)</f>
        <v>Ativo</v>
      </c>
      <c r="G87" s="71" t="str">
        <f>VLOOKUP($B87,'BASE+TOMADOR'!$A:$BS,4,FALSE)</f>
        <v>G3S FL 10 - PRES PRUD</v>
      </c>
      <c r="H87" s="71" t="str">
        <f>VLOOKUP($B87,'BASE+TOMADOR'!$A:$BS,7,FALSE)</f>
        <v>20.947.332/0010-86</v>
      </c>
      <c r="I87" s="72">
        <f>IFERROR(VLOOKUP($B87,'BASE+TOMADOR'!$A:$BS,62,FALSE),0)</f>
        <v>407.94444444444446</v>
      </c>
      <c r="J87" s="72">
        <f>IFERROR(VLOOKUP($B87,'BASE+TOMADOR'!$A:$BS,67,FALSE),0)</f>
        <v>772.06000000000006</v>
      </c>
      <c r="K87" s="73">
        <f>VLOOKUP($B87,'BASE+TOMADOR'!$A:$BS,55,FALSE)</f>
        <v>1451.3400000000001</v>
      </c>
      <c r="L87" s="73">
        <f>IFERROR(VLOOKUP($B87,'BASE+TOMADOR'!$A:$BS,56,FALSE),0)</f>
        <v>3549.34</v>
      </c>
      <c r="M87" s="72">
        <f>IFERROR(VLOOKUP($B87,'BASE+TOMADOR'!$A:$BS,58,FALSE),0)</f>
        <v>3549.34</v>
      </c>
      <c r="N87" s="74">
        <f t="shared" si="6"/>
        <v>4.6574863706121449E-3</v>
      </c>
      <c r="O87" s="72">
        <f>IFERROR(VLOOKUP(B87,'[1]BASE+TOMADOR'!$A:$BF,58,0),0)</f>
        <v>2977.95</v>
      </c>
      <c r="P87" s="67">
        <f t="shared" si="7"/>
        <v>571.39000000000033</v>
      </c>
    </row>
    <row r="88" spans="1:16" ht="15" customHeight="1" x14ac:dyDescent="0.25">
      <c r="A88" s="43">
        <f t="shared" si="8"/>
        <v>86</v>
      </c>
      <c r="B88" s="71" t="s">
        <v>236</v>
      </c>
      <c r="C88" s="43" t="str">
        <f>IFERROR(VLOOKUP($B88,'BASE+TOMADOR'!$A:$BS,3,FALSE),0)</f>
        <v>CLT</v>
      </c>
      <c r="D88" s="71" t="str">
        <f>VLOOKUP($B88,'BASE+TOMADOR'!$A:$BS,8,FALSE)</f>
        <v>COMERCIAL</v>
      </c>
      <c r="E88" s="71" t="str">
        <f>VLOOKUP($B88,'BASE+TOMADOR'!$A:$BS,15,FALSE)</f>
        <v>ASSISTENTE COMERCIAL</v>
      </c>
      <c r="F88" s="43" t="str">
        <f>VLOOKUP($B88,'BASE+TOMADOR'!$A:$BS,71,FALSE)</f>
        <v>Ativo</v>
      </c>
      <c r="G88" s="71" t="str">
        <f>VLOOKUP($B88,'BASE+TOMADOR'!$A:$BS,4,FALSE)</f>
        <v>G3S FL 10 - PRES PRUD</v>
      </c>
      <c r="H88" s="71" t="str">
        <f>VLOOKUP($B88,'BASE+TOMADOR'!$A:$BS,7,FALSE)</f>
        <v>20.947.332/0010-86</v>
      </c>
      <c r="I88" s="72">
        <f>IFERROR(VLOOKUP($B88,'BASE+TOMADOR'!$A:$BS,62,FALSE),0)</f>
        <v>407.94444444444446</v>
      </c>
      <c r="J88" s="72">
        <f>IFERROR(VLOOKUP($B88,'BASE+TOMADOR'!$A:$BS,67,FALSE),0)</f>
        <v>772.06000000000006</v>
      </c>
      <c r="K88" s="73">
        <f>VLOOKUP($B88,'BASE+TOMADOR'!$A:$BS,55,FALSE)</f>
        <v>1451.3400000000001</v>
      </c>
      <c r="L88" s="73">
        <f>IFERROR(VLOOKUP($B88,'BASE+TOMADOR'!$A:$BS,56,FALSE),0)</f>
        <v>3549.34</v>
      </c>
      <c r="M88" s="72">
        <f>IFERROR(VLOOKUP($B88,'BASE+TOMADOR'!$A:$BS,58,FALSE),0)</f>
        <v>3549.34</v>
      </c>
      <c r="N88" s="74">
        <f t="shared" si="6"/>
        <v>4.6574863706121449E-3</v>
      </c>
      <c r="O88" s="72">
        <f>IFERROR(VLOOKUP(B88,'[1]BASE+TOMADOR'!$A:$BF,58,0),0)</f>
        <v>2959.2599999999998</v>
      </c>
      <c r="P88" s="67">
        <f t="shared" si="7"/>
        <v>590.08000000000038</v>
      </c>
    </row>
    <row r="89" spans="1:16" ht="15" customHeight="1" x14ac:dyDescent="0.25">
      <c r="A89" s="43">
        <f t="shared" si="8"/>
        <v>87</v>
      </c>
      <c r="B89" s="71" t="s">
        <v>238</v>
      </c>
      <c r="C89" s="43" t="str">
        <f>IFERROR(VLOOKUP($B89,'BASE+TOMADOR'!$A:$BS,3,FALSE),0)</f>
        <v>CLT</v>
      </c>
      <c r="D89" s="71" t="str">
        <f>VLOOKUP($B89,'BASE+TOMADOR'!$A:$BS,8,FALSE)</f>
        <v>COMERCIAL</v>
      </c>
      <c r="E89" s="71" t="str">
        <f>VLOOKUP($B89,'BASE+TOMADOR'!$A:$BS,15,FALSE)</f>
        <v>ASSISTENTE COMERCIAL</v>
      </c>
      <c r="F89" s="43" t="str">
        <f>VLOOKUP($B89,'BASE+TOMADOR'!$A:$BS,71,FALSE)</f>
        <v>Ativo</v>
      </c>
      <c r="G89" s="71" t="str">
        <f>VLOOKUP($B89,'BASE+TOMADOR'!$A:$BS,4,FALSE)</f>
        <v>G3S FL 10 - PRES PRUD</v>
      </c>
      <c r="H89" s="71" t="str">
        <f>VLOOKUP($B89,'BASE+TOMADOR'!$A:$BS,7,FALSE)</f>
        <v>20.947.332/0010-86</v>
      </c>
      <c r="I89" s="72">
        <f>IFERROR(VLOOKUP($B89,'BASE+TOMADOR'!$A:$BS,62,FALSE),0)</f>
        <v>407.94444444444446</v>
      </c>
      <c r="J89" s="72">
        <f>IFERROR(VLOOKUP($B89,'BASE+TOMADOR'!$A:$BS,67,FALSE),0)</f>
        <v>772.06000000000006</v>
      </c>
      <c r="K89" s="73">
        <f>VLOOKUP($B89,'BASE+TOMADOR'!$A:$BS,55,FALSE)</f>
        <v>1451.3400000000001</v>
      </c>
      <c r="L89" s="73">
        <f>IFERROR(VLOOKUP($B89,'BASE+TOMADOR'!$A:$BS,56,FALSE),0)</f>
        <v>3549.34</v>
      </c>
      <c r="M89" s="72">
        <f>IFERROR(VLOOKUP($B89,'BASE+TOMADOR'!$A:$BS,58,FALSE),0)</f>
        <v>3549.34</v>
      </c>
      <c r="N89" s="74">
        <f t="shared" si="6"/>
        <v>4.6574863706121449E-3</v>
      </c>
      <c r="O89" s="72">
        <f>IFERROR(VLOOKUP(B89,'[1]BASE+TOMADOR'!$A:$BF,58,0),0)</f>
        <v>2737.72</v>
      </c>
      <c r="P89" s="67">
        <f t="shared" si="7"/>
        <v>811.62000000000035</v>
      </c>
    </row>
    <row r="90" spans="1:16" ht="15" customHeight="1" x14ac:dyDescent="0.25">
      <c r="A90" s="43">
        <f t="shared" si="8"/>
        <v>88</v>
      </c>
      <c r="B90" s="71" t="s">
        <v>344</v>
      </c>
      <c r="C90" s="43" t="str">
        <f>IFERROR(VLOOKUP($B90,'BASE+TOMADOR'!$A:$BS,3,FALSE),0)</f>
        <v>CLT</v>
      </c>
      <c r="D90" s="71" t="str">
        <f>VLOOKUP($B90,'BASE+TOMADOR'!$A:$BS,8,FALSE)</f>
        <v>OPERACIONAL</v>
      </c>
      <c r="E90" s="71" t="str">
        <f>VLOOKUP($B90,'BASE+TOMADOR'!$A:$BS,15,FALSE)</f>
        <v>AUXILIAR DE PATIO JUNIOR</v>
      </c>
      <c r="F90" s="43" t="str">
        <f>VLOOKUP($B90,'BASE+TOMADOR'!$A:$BS,71,FALSE)</f>
        <v>Ativo</v>
      </c>
      <c r="G90" s="71" t="str">
        <f>VLOOKUP($B90,'BASE+TOMADOR'!$A:$BS,4,FALSE)</f>
        <v>G3S FL 05 - PRES PRUD</v>
      </c>
      <c r="H90" s="71" t="str">
        <f>VLOOKUP($B90,'BASE+TOMADOR'!$A:$BS,7,FALSE)</f>
        <v>20.947.332/0005-19</v>
      </c>
      <c r="I90" s="72">
        <f>IFERROR(VLOOKUP($B90,'BASE+TOMADOR'!$A:$BS,62,FALSE),0)</f>
        <v>497.75444444444452</v>
      </c>
      <c r="J90" s="72">
        <f>IFERROR(VLOOKUP($B90,'BASE+TOMADOR'!$A:$BS,67,FALSE),0)</f>
        <v>903.63</v>
      </c>
      <c r="K90" s="73">
        <f>VLOOKUP($B90,'BASE+TOMADOR'!$A:$BS,55,FALSE)</f>
        <v>871.87</v>
      </c>
      <c r="L90" s="73">
        <f>IFERROR(VLOOKUP($B90,'BASE+TOMADOR'!$A:$BS,56,FALSE),0)</f>
        <v>3431.75</v>
      </c>
      <c r="M90" s="72">
        <f>IFERROR(VLOOKUP($B90,'BASE+TOMADOR'!$A:$BS,58,FALSE),0)</f>
        <v>3431.75</v>
      </c>
      <c r="N90" s="74">
        <f t="shared" si="6"/>
        <v>4.5031833671466326E-3</v>
      </c>
      <c r="O90" s="72">
        <f>IFERROR(VLOOKUP(B90,'[1]BASE+TOMADOR'!$A:$BF,58,0),0)</f>
        <v>2735.48</v>
      </c>
      <c r="P90" s="67">
        <f t="shared" si="7"/>
        <v>696.27</v>
      </c>
    </row>
    <row r="91" spans="1:16" ht="15" customHeight="1" x14ac:dyDescent="0.25">
      <c r="A91" s="43">
        <f t="shared" si="8"/>
        <v>89</v>
      </c>
      <c r="B91" s="71" t="s">
        <v>192</v>
      </c>
      <c r="C91" s="43" t="str">
        <f>IFERROR(VLOOKUP($B91,'BASE+TOMADOR'!$A:$BS,3,FALSE),0)</f>
        <v>CLT</v>
      </c>
      <c r="D91" s="71" t="str">
        <f>VLOOKUP($B91,'BASE+TOMADOR'!$A:$BS,8,FALSE)</f>
        <v>COMERCIAL</v>
      </c>
      <c r="E91" s="71" t="str">
        <f>VLOOKUP($B91,'BASE+TOMADOR'!$A:$BS,15,FALSE)</f>
        <v>VENDEDOR (A)</v>
      </c>
      <c r="F91" s="43" t="str">
        <f>VLOOKUP($B91,'BASE+TOMADOR'!$A:$BS,71,FALSE)</f>
        <v>Ativo</v>
      </c>
      <c r="G91" s="71" t="str">
        <f>VLOOKUP($B91,'BASE+TOMADOR'!$A:$BS,4,FALSE)</f>
        <v>RSE COM DE FERRO,ACO E LOCA</v>
      </c>
      <c r="H91" s="71" t="str">
        <f>VLOOKUP($B91,'BASE+TOMADOR'!$A:$BS,7,FALSE)</f>
        <v>6.916.551/0001-86</v>
      </c>
      <c r="I91" s="72">
        <f>IFERROR(VLOOKUP($B91,'BASE+TOMADOR'!$A:$BS,62,FALSE),0)</f>
        <v>486.11111111111114</v>
      </c>
      <c r="J91" s="72">
        <f>IFERROR(VLOOKUP($B91,'BASE+TOMADOR'!$A:$BS,67,FALSE),0)</f>
        <v>882.5</v>
      </c>
      <c r="K91" s="73">
        <f>VLOOKUP($B91,'BASE+TOMADOR'!$A:$BS,55,FALSE)</f>
        <v>921.87</v>
      </c>
      <c r="L91" s="73">
        <f>IFERROR(VLOOKUP($B91,'BASE+TOMADOR'!$A:$BS,56,FALSE),0)</f>
        <v>3421.87</v>
      </c>
      <c r="M91" s="72">
        <f>IFERROR(VLOOKUP($B91,'BASE+TOMADOR'!$A:$BS,58,FALSE),0)</f>
        <v>3421.87</v>
      </c>
      <c r="N91" s="74">
        <f t="shared" si="6"/>
        <v>4.4902187130583656E-3</v>
      </c>
      <c r="O91" s="72">
        <f>IFERROR(VLOOKUP(B91,'[1]BASE+TOMADOR'!$A:$BF,58,0),0)</f>
        <v>4216.67</v>
      </c>
      <c r="P91" s="67">
        <f t="shared" si="7"/>
        <v>-794.80000000000018</v>
      </c>
    </row>
    <row r="92" spans="1:16" ht="15" customHeight="1" x14ac:dyDescent="0.25">
      <c r="A92" s="43">
        <f t="shared" si="8"/>
        <v>90</v>
      </c>
      <c r="B92" s="71" t="s">
        <v>287</v>
      </c>
      <c r="C92" s="43" t="str">
        <f>IFERROR(VLOOKUP($B92,'BASE+TOMADOR'!$A:$BS,3,FALSE),0)</f>
        <v>CLT</v>
      </c>
      <c r="D92" s="71" t="str">
        <f>VLOOKUP($B92,'BASE+TOMADOR'!$A:$BS,8,FALSE)</f>
        <v>OPERACIONAL</v>
      </c>
      <c r="E92" s="71" t="str">
        <f>VLOOKUP($B92,'BASE+TOMADOR'!$A:$BS,15,FALSE)</f>
        <v>MACARIQUEIRO PLENO</v>
      </c>
      <c r="F92" s="43" t="str">
        <f>VLOOKUP($B92,'BASE+TOMADOR'!$A:$BS,71,FALSE)</f>
        <v>Ativo</v>
      </c>
      <c r="G92" s="71" t="str">
        <f>VLOOKUP($B92,'BASE+TOMADOR'!$A:$BS,4,FALSE)</f>
        <v>G3S  FL 03 - DOURADOS</v>
      </c>
      <c r="H92" s="71" t="str">
        <f>VLOOKUP($B92,'BASE+TOMADOR'!$A:$BS,7,FALSE)</f>
        <v>20.947.332/0003-57</v>
      </c>
      <c r="I92" s="72">
        <f>IFERROR(VLOOKUP($B92,'BASE+TOMADOR'!$A:$BS,62,FALSE),0)</f>
        <v>503.52361111111117</v>
      </c>
      <c r="J92" s="72">
        <f>IFERROR(VLOOKUP($B92,'BASE+TOMADOR'!$A:$BS,67,FALSE),0)</f>
        <v>914.1</v>
      </c>
      <c r="K92" s="73">
        <f>VLOOKUP($B92,'BASE+TOMADOR'!$A:$BS,55,FALSE)</f>
        <v>709.58</v>
      </c>
      <c r="L92" s="73">
        <f>IFERROR(VLOOKUP($B92,'BASE+TOMADOR'!$A:$BS,56,FALSE),0)</f>
        <v>3299.13</v>
      </c>
      <c r="M92" s="72">
        <f>IFERROR(VLOOKUP($B92,'BASE+TOMADOR'!$A:$BS,58,FALSE),0)</f>
        <v>3299.13</v>
      </c>
      <c r="N92" s="74">
        <f t="shared" si="6"/>
        <v>4.3291578180387471E-3</v>
      </c>
      <c r="O92" s="72">
        <f>IFERROR(VLOOKUP(B92,'[1]BASE+TOMADOR'!$A:$BF,58,0),0)</f>
        <v>3780.11</v>
      </c>
      <c r="P92" s="67">
        <f t="shared" si="7"/>
        <v>-480.98</v>
      </c>
    </row>
    <row r="93" spans="1:16" ht="15" customHeight="1" x14ac:dyDescent="0.25">
      <c r="A93" s="43">
        <f t="shared" si="8"/>
        <v>91</v>
      </c>
      <c r="B93" s="71" t="s">
        <v>332</v>
      </c>
      <c r="C93" s="43" t="str">
        <f>IFERROR(VLOOKUP($B93,'BASE+TOMADOR'!$A:$BS,3,FALSE),0)</f>
        <v>CLT</v>
      </c>
      <c r="D93" s="71" t="str">
        <f>VLOOKUP($B93,'BASE+TOMADOR'!$A:$BS,8,FALSE)</f>
        <v>OPERACIONAL</v>
      </c>
      <c r="E93" s="71" t="str">
        <f>VLOOKUP($B93,'BASE+TOMADOR'!$A:$BS,15,FALSE)</f>
        <v>AUXILIAR DE PATIO PLENO</v>
      </c>
      <c r="F93" s="43" t="str">
        <f>VLOOKUP($B93,'BASE+TOMADOR'!$A:$BS,71,FALSE)</f>
        <v>Ativo</v>
      </c>
      <c r="G93" s="71" t="str">
        <f>VLOOKUP($B93,'BASE+TOMADOR'!$A:$BS,4,FALSE)</f>
        <v>G3S FL 05 - PRES PRUD</v>
      </c>
      <c r="H93" s="71" t="str">
        <f>VLOOKUP($B93,'BASE+TOMADOR'!$A:$BS,7,FALSE)</f>
        <v>20.947.332/0005-19</v>
      </c>
      <c r="I93" s="72">
        <f>IFERROR(VLOOKUP($B93,'BASE+TOMADOR'!$A:$BS,62,FALSE),0)</f>
        <v>472.99194444444441</v>
      </c>
      <c r="J93" s="72">
        <f>IFERROR(VLOOKUP($B93,'BASE+TOMADOR'!$A:$BS,67,FALSE),0)</f>
        <v>858.67000000000007</v>
      </c>
      <c r="K93" s="73">
        <f>VLOOKUP($B93,'BASE+TOMADOR'!$A:$BS,55,FALSE)</f>
        <v>862.87</v>
      </c>
      <c r="L93" s="73">
        <f>IFERROR(VLOOKUP($B93,'BASE+TOMADOR'!$A:$BS,56,FALSE),0)</f>
        <v>3295.3999999999996</v>
      </c>
      <c r="M93" s="72">
        <f>IFERROR(VLOOKUP($B93,'BASE+TOMADOR'!$A:$BS,58,FALSE),0)</f>
        <v>3295.3999999999996</v>
      </c>
      <c r="N93" s="74">
        <f t="shared" si="6"/>
        <v>4.3242632674568397E-3</v>
      </c>
      <c r="O93" s="72">
        <f>IFERROR(VLOOKUP(B93,'[1]BASE+TOMADOR'!$A:$BF,58,0),0)</f>
        <v>2786.88</v>
      </c>
      <c r="P93" s="67">
        <f t="shared" si="7"/>
        <v>508.51999999999953</v>
      </c>
    </row>
    <row r="94" spans="1:16" ht="15" customHeight="1" x14ac:dyDescent="0.25">
      <c r="A94" s="43">
        <f t="shared" si="8"/>
        <v>92</v>
      </c>
      <c r="B94" s="71" t="s">
        <v>338</v>
      </c>
      <c r="C94" s="43" t="str">
        <f>IFERROR(VLOOKUP($B94,'BASE+TOMADOR'!$A:$BS,3,FALSE),0)</f>
        <v>CLT</v>
      </c>
      <c r="D94" s="71" t="str">
        <f>VLOOKUP($B94,'BASE+TOMADOR'!$A:$BS,8,FALSE)</f>
        <v>OPERACIONAL</v>
      </c>
      <c r="E94" s="71" t="str">
        <f>VLOOKUP($B94,'BASE+TOMADOR'!$A:$BS,15,FALSE)</f>
        <v>AUXILIAR DE PATIO JUNIOR</v>
      </c>
      <c r="F94" s="43" t="str">
        <f>VLOOKUP($B94,'BASE+TOMADOR'!$A:$BS,71,FALSE)</f>
        <v>Ativo</v>
      </c>
      <c r="G94" s="71" t="str">
        <f>VLOOKUP($B94,'BASE+TOMADOR'!$A:$BS,4,FALSE)</f>
        <v>G3S FL 05 - PRES PRUD</v>
      </c>
      <c r="H94" s="71" t="str">
        <f>VLOOKUP($B94,'BASE+TOMADOR'!$A:$BS,7,FALSE)</f>
        <v>20.947.332/0005-19</v>
      </c>
      <c r="I94" s="72">
        <f>IFERROR(VLOOKUP($B94,'BASE+TOMADOR'!$A:$BS,62,FALSE),0)</f>
        <v>470.74416666666673</v>
      </c>
      <c r="J94" s="72">
        <f>IFERROR(VLOOKUP($B94,'BASE+TOMADOR'!$A:$BS,67,FALSE),0)</f>
        <v>854.57999999999993</v>
      </c>
      <c r="K94" s="73">
        <f>VLOOKUP($B94,'BASE+TOMADOR'!$A:$BS,55,FALSE)</f>
        <v>862.87</v>
      </c>
      <c r="L94" s="73">
        <f>IFERROR(VLOOKUP($B94,'BASE+TOMADOR'!$A:$BS,56,FALSE),0)</f>
        <v>3283.84</v>
      </c>
      <c r="M94" s="72">
        <f>IFERROR(VLOOKUP($B94,'BASE+TOMADOR'!$A:$BS,58,FALSE),0)</f>
        <v>3283.84</v>
      </c>
      <c r="N94" s="74">
        <f t="shared" si="6"/>
        <v>4.3090940972887876E-3</v>
      </c>
      <c r="O94" s="72">
        <f>IFERROR(VLOOKUP(B94,'[1]BASE+TOMADOR'!$A:$BF,58,0),0)</f>
        <v>2815.19</v>
      </c>
      <c r="P94" s="67">
        <f t="shared" si="7"/>
        <v>468.65000000000009</v>
      </c>
    </row>
    <row r="95" spans="1:16" ht="15" customHeight="1" x14ac:dyDescent="0.25">
      <c r="A95" s="43">
        <f t="shared" si="8"/>
        <v>93</v>
      </c>
      <c r="B95" s="71" t="s">
        <v>343</v>
      </c>
      <c r="C95" s="43" t="str">
        <f>IFERROR(VLOOKUP($B95,'BASE+TOMADOR'!$A:$BS,3,FALSE),0)</f>
        <v>CLT</v>
      </c>
      <c r="D95" s="71" t="str">
        <f>VLOOKUP($B95,'BASE+TOMADOR'!$A:$BS,8,FALSE)</f>
        <v>OPERACIONAL</v>
      </c>
      <c r="E95" s="71" t="str">
        <f>VLOOKUP($B95,'BASE+TOMADOR'!$A:$BS,15,FALSE)</f>
        <v>AUXILIAR DE PATIO JUNIOR</v>
      </c>
      <c r="F95" s="43" t="str">
        <f>VLOOKUP($B95,'BASE+TOMADOR'!$A:$BS,71,FALSE)</f>
        <v>Ativo</v>
      </c>
      <c r="G95" s="71" t="str">
        <f>VLOOKUP($B95,'BASE+TOMADOR'!$A:$BS,4,FALSE)</f>
        <v>G3S FL 05 - PRES PRUD</v>
      </c>
      <c r="H95" s="71" t="str">
        <f>VLOOKUP($B95,'BASE+TOMADOR'!$A:$BS,7,FALSE)</f>
        <v>20.947.332/0005-19</v>
      </c>
      <c r="I95" s="72">
        <f>IFERROR(VLOOKUP($B95,'BASE+TOMADOR'!$A:$BS,62,FALSE),0)</f>
        <v>459.30111111111114</v>
      </c>
      <c r="J95" s="72">
        <f>IFERROR(VLOOKUP($B95,'BASE+TOMADOR'!$A:$BS,67,FALSE),0)</f>
        <v>833.81000000000006</v>
      </c>
      <c r="K95" s="73">
        <f>VLOOKUP($B95,'BASE+TOMADOR'!$A:$BS,55,FALSE)</f>
        <v>871.87</v>
      </c>
      <c r="L95" s="73">
        <f>IFERROR(VLOOKUP($B95,'BASE+TOMADOR'!$A:$BS,56,FALSE),0)</f>
        <v>3233.99</v>
      </c>
      <c r="M95" s="72">
        <f>IFERROR(VLOOKUP($B95,'BASE+TOMADOR'!$A:$BS,58,FALSE),0)</f>
        <v>3233.99</v>
      </c>
      <c r="N95" s="74">
        <f t="shared" si="6"/>
        <v>4.2436803314689405E-3</v>
      </c>
      <c r="O95" s="72">
        <f>IFERROR(VLOOKUP(B95,'[1]BASE+TOMADOR'!$A:$BF,58,0),0)</f>
        <v>2568.25</v>
      </c>
      <c r="P95" s="67">
        <f t="shared" si="7"/>
        <v>665.73999999999978</v>
      </c>
    </row>
    <row r="96" spans="1:16" ht="15" customHeight="1" x14ac:dyDescent="0.25">
      <c r="A96" s="43">
        <f t="shared" si="8"/>
        <v>94</v>
      </c>
      <c r="B96" s="71" t="s">
        <v>280</v>
      </c>
      <c r="C96" s="43" t="str">
        <f>IFERROR(VLOOKUP($B96,'BASE+TOMADOR'!$A:$BS,3,FALSE),0)</f>
        <v>CLT</v>
      </c>
      <c r="D96" s="71" t="str">
        <f>VLOOKUP($B96,'BASE+TOMADOR'!$A:$BS,8,FALSE)</f>
        <v>OPERACIONAL</v>
      </c>
      <c r="E96" s="71" t="str">
        <f>VLOOKUP($B96,'BASE+TOMADOR'!$A:$BS,15,FALSE)</f>
        <v>AUXILIAR DE PATIO JUNIOR</v>
      </c>
      <c r="F96" s="43" t="str">
        <f>VLOOKUP($B96,'BASE+TOMADOR'!$A:$BS,71,FALSE)</f>
        <v>Ativo</v>
      </c>
      <c r="G96" s="71" t="str">
        <f>VLOOKUP($B96,'BASE+TOMADOR'!$A:$BS,4,FALSE)</f>
        <v>G3S CMATRIZ - CAMPO GRANDE</v>
      </c>
      <c r="H96" s="71" t="str">
        <f>VLOOKUP($B96,'BASE+TOMADOR'!$A:$BS,7,FALSE)</f>
        <v>20.947.332/0001-95</v>
      </c>
      <c r="I96" s="72">
        <f>IFERROR(VLOOKUP($B96,'BASE+TOMADOR'!$A:$BS,62,FALSE),0)</f>
        <v>419.02777777777783</v>
      </c>
      <c r="J96" s="72">
        <f>IFERROR(VLOOKUP($B96,'BASE+TOMADOR'!$A:$BS,67,FALSE),0)</f>
        <v>826.98</v>
      </c>
      <c r="K96" s="73">
        <f>VLOOKUP($B96,'BASE+TOMADOR'!$A:$BS,55,FALSE)</f>
        <v>1045.9099999999999</v>
      </c>
      <c r="L96" s="73">
        <f>IFERROR(VLOOKUP($B96,'BASE+TOMADOR'!$A:$BS,56,FALSE),0)</f>
        <v>3200.91</v>
      </c>
      <c r="M96" s="72">
        <f>IFERROR(VLOOKUP($B96,'BASE+TOMADOR'!$A:$BS,58,FALSE),0)</f>
        <v>3200.91</v>
      </c>
      <c r="N96" s="74">
        <f t="shared" si="6"/>
        <v>4.2002723600883885E-3</v>
      </c>
      <c r="O96" s="72">
        <f>IFERROR(VLOOKUP(B96,'[1]BASE+TOMADOR'!$A:$BF,58,0),0)</f>
        <v>1479.04</v>
      </c>
      <c r="P96" s="67">
        <f t="shared" si="7"/>
        <v>1721.87</v>
      </c>
    </row>
    <row r="97" spans="1:16" ht="15" customHeight="1" x14ac:dyDescent="0.25">
      <c r="A97" s="43">
        <f t="shared" si="8"/>
        <v>95</v>
      </c>
      <c r="B97" s="71" t="s">
        <v>359</v>
      </c>
      <c r="C97" s="43" t="str">
        <f>IFERROR(VLOOKUP($B97,'BASE+TOMADOR'!$A:$BS,3,FALSE),0)</f>
        <v>CLT</v>
      </c>
      <c r="D97" s="71" t="str">
        <f>VLOOKUP($B97,'BASE+TOMADOR'!$A:$BS,8,FALSE)</f>
        <v>OPERACIONAL</v>
      </c>
      <c r="E97" s="71" t="str">
        <f>VLOOKUP($B97,'BASE+TOMADOR'!$A:$BS,15,FALSE)</f>
        <v>CLASSIFICADOR PLENO</v>
      </c>
      <c r="F97" s="43" t="str">
        <f>VLOOKUP($B97,'BASE+TOMADOR'!$A:$BS,71,FALSE)</f>
        <v>Ativo</v>
      </c>
      <c r="G97" s="71" t="str">
        <f>VLOOKUP($B97,'BASE+TOMADOR'!$A:$BS,4,FALSE)</f>
        <v>G3S FL 06 - MARINGA</v>
      </c>
      <c r="H97" s="71" t="str">
        <f>VLOOKUP($B97,'BASE+TOMADOR'!$A:$BS,7,FALSE)</f>
        <v>20.947.332/0006-08</v>
      </c>
      <c r="I97" s="72">
        <f>IFERROR(VLOOKUP($B97,'BASE+TOMADOR'!$A:$BS,62,FALSE),0)</f>
        <v>471.03194444444438</v>
      </c>
      <c r="J97" s="72">
        <f>IFERROR(VLOOKUP($B97,'BASE+TOMADOR'!$A:$BS,67,FALSE),0)</f>
        <v>855.11</v>
      </c>
      <c r="K97" s="73">
        <f>VLOOKUP($B97,'BASE+TOMADOR'!$A:$BS,55,FALSE)</f>
        <v>774.31999999999994</v>
      </c>
      <c r="L97" s="73">
        <f>IFERROR(VLOOKUP($B97,'BASE+TOMADOR'!$A:$BS,56,FALSE),0)</f>
        <v>3196.7699999999995</v>
      </c>
      <c r="M97" s="72">
        <f>IFERROR(VLOOKUP($B97,'BASE+TOMADOR'!$A:$BS,58,FALSE),0)</f>
        <v>3196.7699999999995</v>
      </c>
      <c r="N97" s="74">
        <f t="shared" si="6"/>
        <v>4.1948398026060577E-3</v>
      </c>
      <c r="O97" s="72">
        <f>IFERROR(VLOOKUP(B97,'[1]BASE+TOMADOR'!$A:$BF,58,0),0)</f>
        <v>2343.37</v>
      </c>
      <c r="P97" s="67">
        <f t="shared" si="7"/>
        <v>853.39999999999964</v>
      </c>
    </row>
    <row r="98" spans="1:16" ht="15" customHeight="1" x14ac:dyDescent="0.25">
      <c r="A98" s="43">
        <f t="shared" si="8"/>
        <v>96</v>
      </c>
      <c r="B98" s="71" t="s">
        <v>206</v>
      </c>
      <c r="C98" s="43" t="str">
        <f>IFERROR(VLOOKUP($B98,'BASE+TOMADOR'!$A:$BS,3,FALSE),0)</f>
        <v>CLT</v>
      </c>
      <c r="D98" s="71" t="str">
        <f>VLOOKUP($B98,'BASE+TOMADOR'!$A:$BS,8,FALSE)</f>
        <v>ADMINISTRATIVO</v>
      </c>
      <c r="E98" s="71" t="str">
        <f>VLOOKUP($B98,'BASE+TOMADOR'!$A:$BS,15,FALSE)</f>
        <v>ANALISTA CONTABIL JUNIOR</v>
      </c>
      <c r="F98" s="43" t="str">
        <f>VLOOKUP($B98,'BASE+TOMADOR'!$A:$BS,71,FALSE)</f>
        <v>Ativo</v>
      </c>
      <c r="G98" s="71" t="str">
        <f>VLOOKUP($B98,'BASE+TOMADOR'!$A:$BS,4,FALSE)</f>
        <v>G3S FL 10 - PRES PRUD</v>
      </c>
      <c r="H98" s="71" t="str">
        <f>VLOOKUP($B98,'BASE+TOMADOR'!$A:$BS,7,FALSE)</f>
        <v>20.947.332/0010-86</v>
      </c>
      <c r="I98" s="72">
        <f>IFERROR(VLOOKUP($B98,'BASE+TOMADOR'!$A:$BS,62,FALSE),0)</f>
        <v>516.49305555555554</v>
      </c>
      <c r="J98" s="72">
        <f>IFERROR(VLOOKUP($B98,'BASE+TOMADOR'!$A:$BS,67,FALSE),0)</f>
        <v>977.49</v>
      </c>
      <c r="K98" s="73">
        <f>VLOOKUP($B98,'BASE+TOMADOR'!$A:$BS,55,FALSE)</f>
        <v>521.87</v>
      </c>
      <c r="L98" s="73">
        <f>IFERROR(VLOOKUP($B98,'BASE+TOMADOR'!$A:$BS,56,FALSE),0)</f>
        <v>3178.12</v>
      </c>
      <c r="M98" s="72">
        <f>IFERROR(VLOOKUP($B98,'BASE+TOMADOR'!$A:$BS,58,FALSE),0)</f>
        <v>3178.12</v>
      </c>
      <c r="N98" s="74">
        <f t="shared" si="6"/>
        <v>4.1703670496965268E-3</v>
      </c>
      <c r="O98" s="72">
        <f>IFERROR(VLOOKUP(B98,'[1]BASE+TOMADOR'!$A:$BF,58,0),0)</f>
        <v>2822.92</v>
      </c>
      <c r="P98" s="67">
        <f t="shared" si="7"/>
        <v>355.19999999999982</v>
      </c>
    </row>
    <row r="99" spans="1:16" ht="15" customHeight="1" x14ac:dyDescent="0.25">
      <c r="A99" s="43">
        <f t="shared" si="8"/>
        <v>97</v>
      </c>
      <c r="B99" s="71" t="s">
        <v>227</v>
      </c>
      <c r="C99" s="43" t="str">
        <f>IFERROR(VLOOKUP($B99,'BASE+TOMADOR'!$A:$BS,3,FALSE),0)</f>
        <v>CLT</v>
      </c>
      <c r="D99" s="71" t="str">
        <f>VLOOKUP($B99,'BASE+TOMADOR'!$A:$BS,8,FALSE)</f>
        <v>ADMINISTRATIVO</v>
      </c>
      <c r="E99" s="71" t="str">
        <f>VLOOKUP($B99,'BASE+TOMADOR'!$A:$BS,15,FALSE)</f>
        <v>ANALISTA FINANCEIRO JUNIOR</v>
      </c>
      <c r="F99" s="43" t="str">
        <f>VLOOKUP($B99,'BASE+TOMADOR'!$A:$BS,71,FALSE)</f>
        <v>Ativo</v>
      </c>
      <c r="G99" s="71" t="str">
        <f>VLOOKUP($B99,'BASE+TOMADOR'!$A:$BS,4,FALSE)</f>
        <v>G3S FL 10 - PRES PRUD</v>
      </c>
      <c r="H99" s="71" t="str">
        <f>VLOOKUP($B99,'BASE+TOMADOR'!$A:$BS,7,FALSE)</f>
        <v>20.947.332/0010-86</v>
      </c>
      <c r="I99" s="72">
        <f>IFERROR(VLOOKUP($B99,'BASE+TOMADOR'!$A:$BS,62,FALSE),0)</f>
        <v>516.49305555555554</v>
      </c>
      <c r="J99" s="72">
        <f>IFERROR(VLOOKUP($B99,'BASE+TOMADOR'!$A:$BS,67,FALSE),0)</f>
        <v>977.49</v>
      </c>
      <c r="K99" s="73">
        <f>VLOOKUP($B99,'BASE+TOMADOR'!$A:$BS,55,FALSE)</f>
        <v>521.87</v>
      </c>
      <c r="L99" s="73">
        <f>IFERROR(VLOOKUP($B99,'BASE+TOMADOR'!$A:$BS,56,FALSE),0)</f>
        <v>3178.12</v>
      </c>
      <c r="M99" s="72">
        <f>IFERROR(VLOOKUP($B99,'BASE+TOMADOR'!$A:$BS,58,FALSE),0)</f>
        <v>3178.12</v>
      </c>
      <c r="N99" s="74">
        <f t="shared" ref="N99:N126" si="9">M99/$M$1</f>
        <v>4.1703670496965268E-3</v>
      </c>
      <c r="O99" s="72">
        <f>IFERROR(VLOOKUP(B99,'[1]BASE+TOMADOR'!$A:$BF,58,0),0)</f>
        <v>2820.05</v>
      </c>
      <c r="P99" s="67">
        <f t="shared" ref="P99:P130" si="10">M99-O99</f>
        <v>358.06999999999971</v>
      </c>
    </row>
    <row r="100" spans="1:16" ht="15" customHeight="1" x14ac:dyDescent="0.25">
      <c r="A100" s="43">
        <f t="shared" ref="A100:A126" si="11">A99+1</f>
        <v>98</v>
      </c>
      <c r="B100" s="71" t="s">
        <v>349</v>
      </c>
      <c r="C100" s="43" t="str">
        <f>IFERROR(VLOOKUP($B100,'BASE+TOMADOR'!$A:$BS,3,FALSE),0)</f>
        <v>CLT</v>
      </c>
      <c r="D100" s="71" t="str">
        <f>VLOOKUP($B100,'BASE+TOMADOR'!$A:$BS,8,FALSE)</f>
        <v>OPERACIONAL</v>
      </c>
      <c r="E100" s="71" t="str">
        <f>VLOOKUP($B100,'BASE+TOMADOR'!$A:$BS,15,FALSE)</f>
        <v>AUXILIAR DE PATIO JUNIOR</v>
      </c>
      <c r="F100" s="43" t="str">
        <f>VLOOKUP($B100,'BASE+TOMADOR'!$A:$BS,71,FALSE)</f>
        <v>Ativo</v>
      </c>
      <c r="G100" s="71" t="str">
        <f>VLOOKUP($B100,'BASE+TOMADOR'!$A:$BS,4,FALSE)</f>
        <v>G3S FL 05 - PRES PRUD</v>
      </c>
      <c r="H100" s="71" t="str">
        <f>VLOOKUP($B100,'BASE+TOMADOR'!$A:$BS,7,FALSE)</f>
        <v>20.947.332/0005-19</v>
      </c>
      <c r="I100" s="72">
        <f>IFERROR(VLOOKUP($B100,'BASE+TOMADOR'!$A:$BS,62,FALSE),0)</f>
        <v>442.4038888888889</v>
      </c>
      <c r="J100" s="72">
        <f>IFERROR(VLOOKUP($B100,'BASE+TOMADOR'!$A:$BS,67,FALSE),0)</f>
        <v>803.13</v>
      </c>
      <c r="K100" s="73">
        <f>VLOOKUP($B100,'BASE+TOMADOR'!$A:$BS,55,FALSE)</f>
        <v>862.87</v>
      </c>
      <c r="L100" s="73">
        <f>IFERROR(VLOOKUP($B100,'BASE+TOMADOR'!$A:$BS,56,FALSE),0)</f>
        <v>3138.0899999999997</v>
      </c>
      <c r="M100" s="72">
        <f>IFERROR(VLOOKUP($B100,'BASE+TOMADOR'!$A:$BS,58,FALSE),0)</f>
        <v>3138.0899999999997</v>
      </c>
      <c r="N100" s="74">
        <f t="shared" si="9"/>
        <v>4.1178392052478108E-3</v>
      </c>
      <c r="O100" s="72">
        <f>IFERROR(VLOOKUP(B100,'[1]BASE+TOMADOR'!$A:$BF,58,0),0)</f>
        <v>2433.17</v>
      </c>
      <c r="P100" s="67">
        <f t="shared" si="10"/>
        <v>704.91999999999962</v>
      </c>
    </row>
    <row r="101" spans="1:16" ht="15" customHeight="1" x14ac:dyDescent="0.25">
      <c r="A101" s="43">
        <f t="shared" si="11"/>
        <v>99</v>
      </c>
      <c r="B101" s="71" t="s">
        <v>358</v>
      </c>
      <c r="C101" s="43" t="str">
        <f>IFERROR(VLOOKUP($B101,'BASE+TOMADOR'!$A:$BS,3,FALSE),0)</f>
        <v>CLT</v>
      </c>
      <c r="D101" s="71" t="str">
        <f>VLOOKUP($B101,'BASE+TOMADOR'!$A:$BS,8,FALSE)</f>
        <v>ADMINISTRATIVO</v>
      </c>
      <c r="E101" s="71" t="str">
        <f>VLOOKUP($B101,'BASE+TOMADOR'!$A:$BS,15,FALSE)</f>
        <v>AUX ADMINISTRATIVO JUNIOR</v>
      </c>
      <c r="F101" s="43" t="str">
        <f>VLOOKUP($B101,'BASE+TOMADOR'!$A:$BS,71,FALSE)</f>
        <v>Ativo</v>
      </c>
      <c r="G101" s="71" t="str">
        <f>VLOOKUP($B101,'BASE+TOMADOR'!$A:$BS,4,FALSE)</f>
        <v>G3S FL 06 - MARINGA</v>
      </c>
      <c r="H101" s="71" t="str">
        <f>VLOOKUP($B101,'BASE+TOMADOR'!$A:$BS,7,FALSE)</f>
        <v>20.947.332/0006-08</v>
      </c>
      <c r="I101" s="72">
        <f>IFERROR(VLOOKUP($B101,'BASE+TOMADOR'!$A:$BS,62,FALSE),0)</f>
        <v>510.05888888888887</v>
      </c>
      <c r="J101" s="72">
        <f>IFERROR(VLOOKUP($B101,'BASE+TOMADOR'!$A:$BS,67,FALSE),0)</f>
        <v>934.51</v>
      </c>
      <c r="K101" s="73">
        <f>VLOOKUP($B101,'BASE+TOMADOR'!$A:$BS,55,FALSE)</f>
        <v>456.6</v>
      </c>
      <c r="L101" s="73">
        <f>IFERROR(VLOOKUP($B101,'BASE+TOMADOR'!$A:$BS,56,FALSE),0)</f>
        <v>3079.7599999999998</v>
      </c>
      <c r="M101" s="72">
        <f>IFERROR(VLOOKUP($B101,'BASE+TOMADOR'!$A:$BS,58,FALSE),0)</f>
        <v>3079.7599999999998</v>
      </c>
      <c r="N101" s="74">
        <f t="shared" si="9"/>
        <v>4.0412978820728524E-3</v>
      </c>
      <c r="O101" s="72">
        <f>IFERROR(VLOOKUP(B101,'[1]BASE+TOMADOR'!$A:$BF,58,0),0)</f>
        <v>2858.2799999999997</v>
      </c>
      <c r="P101" s="67">
        <f t="shared" si="10"/>
        <v>221.48000000000002</v>
      </c>
    </row>
    <row r="102" spans="1:16" ht="15" customHeight="1" x14ac:dyDescent="0.25">
      <c r="A102" s="43">
        <f t="shared" si="11"/>
        <v>100</v>
      </c>
      <c r="B102" s="71" t="s">
        <v>269</v>
      </c>
      <c r="C102" s="43" t="str">
        <f>IFERROR(VLOOKUP($B102,'BASE+TOMADOR'!$A:$BS,3,FALSE),0)</f>
        <v>CLT</v>
      </c>
      <c r="D102" s="71" t="str">
        <f>VLOOKUP($B102,'BASE+TOMADOR'!$A:$BS,8,FALSE)</f>
        <v>ADMINISTRATIVO</v>
      </c>
      <c r="E102" s="71" t="str">
        <f>VLOOKUP($B102,'BASE+TOMADOR'!$A:$BS,15,FALSE)</f>
        <v>AUX ADMINISTRATIVO JUNIOR</v>
      </c>
      <c r="F102" s="43" t="str">
        <f>VLOOKUP($B102,'BASE+TOMADOR'!$A:$BS,71,FALSE)</f>
        <v>Ativo</v>
      </c>
      <c r="G102" s="71" t="str">
        <f>VLOOKUP($B102,'BASE+TOMADOR'!$A:$BS,4,FALSE)</f>
        <v>G3S FL 11 - MARINGA</v>
      </c>
      <c r="H102" s="71" t="str">
        <f>VLOOKUP($B102,'BASE+TOMADOR'!$A:$BS,7,FALSE)</f>
        <v>20.947.332/0011-67</v>
      </c>
      <c r="I102" s="72">
        <f>IFERROR(VLOOKUP($B102,'BASE+TOMADOR'!$A:$BS,62,FALSE),0)</f>
        <v>506.24194444444447</v>
      </c>
      <c r="J102" s="72">
        <f>IFERROR(VLOOKUP($B102,'BASE+TOMADOR'!$A:$BS,67,FALSE),0)</f>
        <v>958.09</v>
      </c>
      <c r="K102" s="73">
        <f>VLOOKUP($B102,'BASE+TOMADOR'!$A:$BS,55,FALSE)</f>
        <v>456.6</v>
      </c>
      <c r="L102" s="73">
        <f>IFERROR(VLOOKUP($B102,'BASE+TOMADOR'!$A:$BS,56,FALSE),0)</f>
        <v>3060.13</v>
      </c>
      <c r="M102" s="72">
        <f>IFERROR(VLOOKUP($B102,'BASE+TOMADOR'!$A:$BS,58,FALSE),0)</f>
        <v>3060.13</v>
      </c>
      <c r="N102" s="74">
        <f t="shared" si="9"/>
        <v>4.0155391614501131E-3</v>
      </c>
      <c r="O102" s="72">
        <f>IFERROR(VLOOKUP(B102,'[1]BASE+TOMADOR'!$A:$BF,58,0),0)</f>
        <v>0</v>
      </c>
      <c r="P102" s="67">
        <f t="shared" si="10"/>
        <v>3060.13</v>
      </c>
    </row>
    <row r="103" spans="1:16" ht="15" customHeight="1" x14ac:dyDescent="0.25">
      <c r="A103" s="43">
        <f t="shared" si="11"/>
        <v>101</v>
      </c>
      <c r="B103" s="71" t="s">
        <v>113</v>
      </c>
      <c r="C103" s="43" t="str">
        <f>IFERROR(VLOOKUP($B103,'BASE+TOMADOR'!$A:$BS,3,FALSE),0)</f>
        <v>CLT</v>
      </c>
      <c r="D103" s="71" t="str">
        <f>VLOOKUP($B103,'BASE+TOMADOR'!$A:$BS,8,FALSE)</f>
        <v>INTRA-LOGISTICA</v>
      </c>
      <c r="E103" s="71" t="str">
        <f>VLOOKUP($B103,'BASE+TOMADOR'!$A:$BS,15,FALSE)</f>
        <v>ANALISTA ADMINISTRATIVO OPERACIONAL JUNIOR</v>
      </c>
      <c r="F103" s="43" t="str">
        <f>VLOOKUP($B103,'BASE+TOMADOR'!$A:$BS,71,FALSE)</f>
        <v>Ativo</v>
      </c>
      <c r="G103" s="71" t="str">
        <f>VLOOKUP($B103,'BASE+TOMADOR'!$A:$BS,4,FALSE)</f>
        <v>G S MATRIZ - PRES PRUD</v>
      </c>
      <c r="H103" s="71" t="str">
        <f>VLOOKUP($B103,'BASE+TOMADOR'!$A:$BS,7,FALSE)</f>
        <v>20.504.237/0001-17</v>
      </c>
      <c r="I103" s="72">
        <f>IFERROR(VLOOKUP($B103,'BASE+TOMADOR'!$A:$BS,62,FALSE),0)</f>
        <v>486.11111111111114</v>
      </c>
      <c r="J103" s="72">
        <f>IFERROR(VLOOKUP($B103,'BASE+TOMADOR'!$A:$BS,67,FALSE),0)</f>
        <v>882.5</v>
      </c>
      <c r="K103" s="73">
        <f>VLOOKUP($B103,'BASE+TOMADOR'!$A:$BS,55,FALSE)</f>
        <v>521.87</v>
      </c>
      <c r="L103" s="73">
        <f>IFERROR(VLOOKUP($B103,'BASE+TOMADOR'!$A:$BS,56,FALSE),0)</f>
        <v>3021.87</v>
      </c>
      <c r="M103" s="72">
        <f>IFERROR(VLOOKUP($B103,'BASE+TOMADOR'!$A:$BS,58,FALSE),0)</f>
        <v>3021.87</v>
      </c>
      <c r="N103" s="74">
        <f t="shared" si="9"/>
        <v>3.9653339321568861E-3</v>
      </c>
      <c r="O103" s="72">
        <f>IFERROR(VLOOKUP(B103,'[1]BASE+TOMADOR'!$A:$BF,58,0),0)</f>
        <v>2500</v>
      </c>
      <c r="P103" s="67">
        <f t="shared" si="10"/>
        <v>521.86999999999989</v>
      </c>
    </row>
    <row r="104" spans="1:16" ht="15" customHeight="1" x14ac:dyDescent="0.25">
      <c r="A104" s="43">
        <f t="shared" si="11"/>
        <v>102</v>
      </c>
      <c r="B104" s="71" t="s">
        <v>347</v>
      </c>
      <c r="C104" s="43" t="str">
        <f>IFERROR(VLOOKUP($B104,'BASE+TOMADOR'!$A:$BS,3,FALSE),0)</f>
        <v>CLT</v>
      </c>
      <c r="D104" s="71" t="str">
        <f>VLOOKUP($B104,'BASE+TOMADOR'!$A:$BS,8,FALSE)</f>
        <v>COMERCIAL</v>
      </c>
      <c r="E104" s="71" t="str">
        <f>VLOOKUP($B104,'BASE+TOMADOR'!$A:$BS,15,FALSE)</f>
        <v>VENDEDOR INTERNO PLENO</v>
      </c>
      <c r="F104" s="43" t="str">
        <f>VLOOKUP($B104,'BASE+TOMADOR'!$A:$BS,71,FALSE)</f>
        <v>Ativo</v>
      </c>
      <c r="G104" s="71" t="str">
        <f>VLOOKUP($B104,'BASE+TOMADOR'!$A:$BS,4,FALSE)</f>
        <v>G3S FL 05 - PRES PRUD</v>
      </c>
      <c r="H104" s="71" t="str">
        <f>VLOOKUP($B104,'BASE+TOMADOR'!$A:$BS,7,FALSE)</f>
        <v>20.947.332/0005-19</v>
      </c>
      <c r="I104" s="72">
        <f>IFERROR(VLOOKUP($B104,'BASE+TOMADOR'!$A:$BS,62,FALSE),0)</f>
        <v>486.11111111111114</v>
      </c>
      <c r="J104" s="72">
        <f>IFERROR(VLOOKUP($B104,'BASE+TOMADOR'!$A:$BS,67,FALSE),0)</f>
        <v>882.5</v>
      </c>
      <c r="K104" s="73">
        <f>VLOOKUP($B104,'BASE+TOMADOR'!$A:$BS,55,FALSE)</f>
        <v>512.87</v>
      </c>
      <c r="L104" s="73">
        <f>IFERROR(VLOOKUP($B104,'BASE+TOMADOR'!$A:$BS,56,FALSE),0)</f>
        <v>3012.87</v>
      </c>
      <c r="M104" s="72">
        <f>IFERROR(VLOOKUP($B104,'BASE+TOMADOR'!$A:$BS,58,FALSE),0)</f>
        <v>3012.87</v>
      </c>
      <c r="N104" s="74">
        <f t="shared" si="9"/>
        <v>3.9535240245866026E-3</v>
      </c>
      <c r="O104" s="72">
        <f>IFERROR(VLOOKUP(B104,'[1]BASE+TOMADOR'!$A:$BF,58,0),0)</f>
        <v>2500</v>
      </c>
      <c r="P104" s="67">
        <f t="shared" si="10"/>
        <v>512.86999999999989</v>
      </c>
    </row>
    <row r="105" spans="1:16" s="66" customFormat="1" ht="15" customHeight="1" x14ac:dyDescent="0.25">
      <c r="A105" s="43">
        <f t="shared" si="11"/>
        <v>103</v>
      </c>
      <c r="B105" s="71" t="s">
        <v>361</v>
      </c>
      <c r="C105" s="43" t="str">
        <f>IFERROR(VLOOKUP($B105,'BASE+TOMADOR'!$A:$BS,3,FALSE),0)</f>
        <v>CLT</v>
      </c>
      <c r="D105" s="71" t="str">
        <f>VLOOKUP($B105,'BASE+TOMADOR'!$A:$BS,8,FALSE)</f>
        <v>OPERACIONAL</v>
      </c>
      <c r="E105" s="71" t="str">
        <f>VLOOKUP($B105,'BASE+TOMADOR'!$A:$BS,15,FALSE)</f>
        <v>AUXILIAR DE PATIO JUNIOR</v>
      </c>
      <c r="F105" s="43" t="str">
        <f>VLOOKUP($B105,'BASE+TOMADOR'!$A:$BS,71,FALSE)</f>
        <v>Ativo</v>
      </c>
      <c r="G105" s="71" t="str">
        <f>VLOOKUP($B105,'BASE+TOMADOR'!$A:$BS,4,FALSE)</f>
        <v>G3S FL 06 - MARINGA</v>
      </c>
      <c r="H105" s="71" t="str">
        <f>VLOOKUP($B105,'BASE+TOMADOR'!$A:$BS,7,FALSE)</f>
        <v>20.947.332/0006-08</v>
      </c>
      <c r="I105" s="72">
        <f>IFERROR(VLOOKUP($B105,'BASE+TOMADOR'!$A:$BS,62,FALSE),0)</f>
        <v>0</v>
      </c>
      <c r="J105" s="72">
        <f>IFERROR(VLOOKUP($B105,'BASE+TOMADOR'!$A:$BS,67,FALSE),0)</f>
        <v>760.70999999999992</v>
      </c>
      <c r="K105" s="73">
        <f>VLOOKUP($B105,'BASE+TOMADOR'!$A:$BS,55,FALSE)</f>
        <v>770.45</v>
      </c>
      <c r="L105" s="73">
        <f>IFERROR(VLOOKUP($B105,'BASE+TOMADOR'!$A:$BS,56,FALSE),0)</f>
        <v>2925.45</v>
      </c>
      <c r="M105" s="72">
        <f>IFERROR(VLOOKUP($B105,'BASE+TOMADOR'!$A:$BS,58,FALSE),0)</f>
        <v>2925.45</v>
      </c>
      <c r="N105" s="74">
        <f t="shared" si="9"/>
        <v>3.8388104557205843E-3</v>
      </c>
      <c r="O105" s="72">
        <f>IFERROR(VLOOKUP(B105,'[1]BASE+TOMADOR'!$A:$BF,58,0),0)</f>
        <v>0</v>
      </c>
      <c r="P105" s="67">
        <f t="shared" si="10"/>
        <v>2925.45</v>
      </c>
    </row>
    <row r="106" spans="1:16" s="66" customFormat="1" ht="15" customHeight="1" x14ac:dyDescent="0.25">
      <c r="A106" s="43">
        <f t="shared" si="11"/>
        <v>104</v>
      </c>
      <c r="B106" s="71" t="s">
        <v>289</v>
      </c>
      <c r="C106" s="43" t="str">
        <f>IFERROR(VLOOKUP($B106,'BASE+TOMADOR'!$A:$BS,3,FALSE),0)</f>
        <v>CLT</v>
      </c>
      <c r="D106" s="71" t="str">
        <f>VLOOKUP($B106,'BASE+TOMADOR'!$A:$BS,8,FALSE)</f>
        <v>OPERACIONAL</v>
      </c>
      <c r="E106" s="71" t="str">
        <f>VLOOKUP($B106,'BASE+TOMADOR'!$A:$BS,15,FALSE)</f>
        <v>MACARIQUEIRO PLENO</v>
      </c>
      <c r="F106" s="43" t="str">
        <f>VLOOKUP($B106,'BASE+TOMADOR'!$A:$BS,71,FALSE)</f>
        <v>Ativo</v>
      </c>
      <c r="G106" s="71" t="str">
        <f>VLOOKUP($B106,'BASE+TOMADOR'!$A:$BS,4,FALSE)</f>
        <v>G3S  FL 03 - DOURADOS</v>
      </c>
      <c r="H106" s="71" t="str">
        <f>VLOOKUP($B106,'BASE+TOMADOR'!$A:$BS,7,FALSE)</f>
        <v>20.947.332/0003-57</v>
      </c>
      <c r="I106" s="72">
        <f>IFERROR(VLOOKUP($B106,'BASE+TOMADOR'!$A:$BS,62,FALSE),0)</f>
        <v>503.125</v>
      </c>
      <c r="J106" s="72">
        <f>IFERROR(VLOOKUP($B106,'BASE+TOMADOR'!$A:$BS,67,FALSE),0)</f>
        <v>870.52999999999986</v>
      </c>
      <c r="K106" s="73">
        <f>VLOOKUP($B106,'BASE+TOMADOR'!$A:$BS,55,FALSE)</f>
        <v>196.71</v>
      </c>
      <c r="L106" s="73">
        <f>IFERROR(VLOOKUP($B106,'BASE+TOMADOR'!$A:$BS,56,FALSE),0)</f>
        <v>2784.21</v>
      </c>
      <c r="M106" s="72">
        <f>IFERROR(VLOOKUP($B106,'BASE+TOMADOR'!$A:$BS,58,FALSE),0)</f>
        <v>2784.21</v>
      </c>
      <c r="N106" s="74">
        <f t="shared" si="9"/>
        <v>3.6534736395842718E-3</v>
      </c>
      <c r="O106" s="72">
        <f>IFERROR(VLOOKUP(B106,'[1]BASE+TOMADOR'!$A:$BF,58,0),0)</f>
        <v>3157.69</v>
      </c>
      <c r="P106" s="67">
        <f t="shared" si="10"/>
        <v>-373.48</v>
      </c>
    </row>
    <row r="107" spans="1:16" s="66" customFormat="1" ht="15" customHeight="1" x14ac:dyDescent="0.25">
      <c r="A107" s="43">
        <f t="shared" si="11"/>
        <v>105</v>
      </c>
      <c r="B107" s="71" t="s">
        <v>341</v>
      </c>
      <c r="C107" s="43" t="str">
        <f>IFERROR(VLOOKUP($B107,'BASE+TOMADOR'!$A:$BS,3,FALSE),0)</f>
        <v>CLT</v>
      </c>
      <c r="D107" s="71" t="str">
        <f>VLOOKUP($B107,'BASE+TOMADOR'!$A:$BS,8,FALSE)</f>
        <v>ADMINISTRATIVO</v>
      </c>
      <c r="E107" s="71" t="str">
        <f>VLOOKUP($B107,'BASE+TOMADOR'!$A:$BS,15,FALSE)</f>
        <v>AUXILIAR FINANCEIRO</v>
      </c>
      <c r="F107" s="43" t="str">
        <f>VLOOKUP($B107,'BASE+TOMADOR'!$A:$BS,71,FALSE)</f>
        <v>Ativo</v>
      </c>
      <c r="G107" s="71" t="str">
        <f>VLOOKUP($B107,'BASE+TOMADOR'!$A:$BS,4,FALSE)</f>
        <v>G3S FL 05 - PRES PRUD</v>
      </c>
      <c r="H107" s="71" t="str">
        <f>VLOOKUP($B107,'BASE+TOMADOR'!$A:$BS,7,FALSE)</f>
        <v>20.947.332/0005-19</v>
      </c>
      <c r="I107" s="72">
        <f>IFERROR(VLOOKUP($B107,'BASE+TOMADOR'!$A:$BS,62,FALSE),0)</f>
        <v>438.42555555555555</v>
      </c>
      <c r="J107" s="72">
        <f>IFERROR(VLOOKUP($B107,'BASE+TOMADOR'!$A:$BS,67,FALSE),0)</f>
        <v>795.6099999999999</v>
      </c>
      <c r="K107" s="73">
        <f>VLOOKUP($B107,'BASE+TOMADOR'!$A:$BS,55,FALSE)</f>
        <v>521.87</v>
      </c>
      <c r="L107" s="73">
        <f>IFERROR(VLOOKUP($B107,'BASE+TOMADOR'!$A:$BS,56,FALSE),0)</f>
        <v>2776.63</v>
      </c>
      <c r="M107" s="72">
        <f>IFERROR(VLOOKUP($B107,'BASE+TOMADOR'!$A:$BS,58,FALSE),0)</f>
        <v>2776.63</v>
      </c>
      <c r="N107" s="74">
        <f t="shared" si="9"/>
        <v>3.6435270729861888E-3</v>
      </c>
      <c r="O107" s="72">
        <f>IFERROR(VLOOKUP(B107,'[1]BASE+TOMADOR'!$A:$BF,58,0),0)</f>
        <v>2355.8199999999997</v>
      </c>
      <c r="P107" s="67">
        <f t="shared" si="10"/>
        <v>420.8100000000004</v>
      </c>
    </row>
    <row r="108" spans="1:16" s="66" customFormat="1" ht="15" customHeight="1" x14ac:dyDescent="0.25">
      <c r="A108" s="43">
        <f t="shared" si="11"/>
        <v>106</v>
      </c>
      <c r="B108" s="71" t="s">
        <v>350</v>
      </c>
      <c r="C108" s="43" t="str">
        <f>IFERROR(VLOOKUP($B108,'BASE+TOMADOR'!$A:$BS,3,FALSE),0)</f>
        <v>CLT</v>
      </c>
      <c r="D108" s="71" t="str">
        <f>VLOOKUP($B108,'BASE+TOMADOR'!$A:$BS,8,FALSE)</f>
        <v>ADMINISTRATIVO</v>
      </c>
      <c r="E108" s="71" t="str">
        <f>VLOOKUP($B108,'BASE+TOMADOR'!$A:$BS,15,FALSE)</f>
        <v>AUXILIAR CONTABIL</v>
      </c>
      <c r="F108" s="43" t="str">
        <f>VLOOKUP($B108,'BASE+TOMADOR'!$A:$BS,71,FALSE)</f>
        <v>Ativo</v>
      </c>
      <c r="G108" s="71" t="str">
        <f>VLOOKUP($B108,'BASE+TOMADOR'!$A:$BS,4,FALSE)</f>
        <v>G3S FL 05 - PRES PRUD</v>
      </c>
      <c r="H108" s="71" t="str">
        <f>VLOOKUP($B108,'BASE+TOMADOR'!$A:$BS,7,FALSE)</f>
        <v>20.947.332/0005-19</v>
      </c>
      <c r="I108" s="72">
        <f>IFERROR(VLOOKUP($B108,'BASE+TOMADOR'!$A:$BS,62,FALSE),0)</f>
        <v>0</v>
      </c>
      <c r="J108" s="72">
        <f>IFERROR(VLOOKUP($B108,'BASE+TOMADOR'!$A:$BS,67,FALSE),0)</f>
        <v>740.59</v>
      </c>
      <c r="K108" s="73">
        <f>VLOOKUP($B108,'BASE+TOMADOR'!$A:$BS,55,FALSE)</f>
        <v>528.87</v>
      </c>
      <c r="L108" s="73">
        <f>IFERROR(VLOOKUP($B108,'BASE+TOMADOR'!$A:$BS,56,FALSE),0)</f>
        <v>2626.87</v>
      </c>
      <c r="M108" s="72">
        <f>IFERROR(VLOOKUP($B108,'BASE+TOMADOR'!$A:$BS,58,FALSE),0)</f>
        <v>2626.87</v>
      </c>
      <c r="N108" s="74">
        <f t="shared" si="9"/>
        <v>3.4470102110166745E-3</v>
      </c>
      <c r="O108" s="72">
        <f>IFERROR(VLOOKUP(B108,'[1]BASE+TOMADOR'!$A:$BF,58,0),0)</f>
        <v>1597</v>
      </c>
      <c r="P108" s="67">
        <f t="shared" si="10"/>
        <v>1029.8699999999999</v>
      </c>
    </row>
    <row r="109" spans="1:16" s="66" customFormat="1" ht="15" customHeight="1" x14ac:dyDescent="0.25">
      <c r="A109" s="43">
        <f t="shared" si="11"/>
        <v>107</v>
      </c>
      <c r="B109" s="71" t="s">
        <v>173</v>
      </c>
      <c r="C109" s="43" t="str">
        <f>IFERROR(VLOOKUP($B109,'BASE+TOMADOR'!$A:$BS,3,FALSE),0)</f>
        <v>CLT</v>
      </c>
      <c r="D109" s="71" t="str">
        <f>VLOOKUP($B109,'BASE+TOMADOR'!$A:$BS,8,FALSE)</f>
        <v>OPERACIONAL</v>
      </c>
      <c r="E109" s="71" t="str">
        <f>VLOOKUP($B109,'BASE+TOMADOR'!$A:$BS,15,FALSE)</f>
        <v>OPERADOR MANTENEDOR SENIOR</v>
      </c>
      <c r="F109" s="43" t="str">
        <f>VLOOKUP($B109,'BASE+TOMADOR'!$A:$BS,71,FALSE)</f>
        <v>Ativo</v>
      </c>
      <c r="G109" s="71" t="str">
        <f>VLOOKUP($B109,'BASE+TOMADOR'!$A:$BS,4,FALSE)</f>
        <v>G S FL 05 - BARUERI</v>
      </c>
      <c r="H109" s="71" t="str">
        <f>VLOOKUP($B109,'BASE+TOMADOR'!$A:$BS,7,FALSE)</f>
        <v>20.504.237/0005-40</v>
      </c>
      <c r="I109" s="72">
        <f>IFERROR(VLOOKUP($B109,'BASE+TOMADOR'!$A:$BS,62,FALSE),0)</f>
        <v>0</v>
      </c>
      <c r="J109" s="72">
        <f>IFERROR(VLOOKUP($B109,'BASE+TOMADOR'!$A:$BS,67,FALSE),0)</f>
        <v>713.59</v>
      </c>
      <c r="K109" s="73">
        <f>VLOOKUP($B109,'BASE+TOMADOR'!$A:$BS,55,FALSE)</f>
        <v>573.03</v>
      </c>
      <c r="L109" s="73">
        <f>IFERROR(VLOOKUP($B109,'BASE+TOMADOR'!$A:$BS,56,FALSE),0)</f>
        <v>2594.5699999999997</v>
      </c>
      <c r="M109" s="72">
        <f>IFERROR(VLOOKUP($B109,'BASE+TOMADOR'!$A:$BS,58,FALSE),0)</f>
        <v>2594.5699999999997</v>
      </c>
      <c r="N109" s="74">
        <f t="shared" si="9"/>
        <v>3.4046257649588802E-3</v>
      </c>
      <c r="O109" s="72">
        <f>IFERROR(VLOOKUP(B109,'[1]BASE+TOMADOR'!$A:$BF,58,0),0)</f>
        <v>0</v>
      </c>
      <c r="P109" s="67">
        <f t="shared" si="10"/>
        <v>2594.5699999999997</v>
      </c>
    </row>
    <row r="110" spans="1:16" s="66" customFormat="1" ht="15" customHeight="1" x14ac:dyDescent="0.25">
      <c r="A110" s="43">
        <f t="shared" si="11"/>
        <v>108</v>
      </c>
      <c r="B110" s="71" t="s">
        <v>298</v>
      </c>
      <c r="C110" s="43" t="str">
        <f>IFERROR(VLOOKUP($B110,'BASE+TOMADOR'!$A:$BS,3,FALSE),0)</f>
        <v>CLT</v>
      </c>
      <c r="D110" s="71" t="str">
        <f>VLOOKUP($B110,'BASE+TOMADOR'!$A:$BS,8,FALSE)</f>
        <v>ADMINISTRATIVO</v>
      </c>
      <c r="E110" s="71" t="str">
        <f>VLOOKUP($B110,'BASE+TOMADOR'!$A:$BS,15,FALSE)</f>
        <v>FAXINEIRO (EMPRESA)</v>
      </c>
      <c r="F110" s="43" t="str">
        <f>VLOOKUP($B110,'BASE+TOMADOR'!$A:$BS,71,FALSE)</f>
        <v>Ativo</v>
      </c>
      <c r="G110" s="71" t="str">
        <f>VLOOKUP($B110,'BASE+TOMADOR'!$A:$BS,4,FALSE)</f>
        <v>G3S  FL 04 - PRES PRUD</v>
      </c>
      <c r="H110" s="71" t="str">
        <f>VLOOKUP($B110,'BASE+TOMADOR'!$A:$BS,7,FALSE)</f>
        <v>20.947.332/0004-38</v>
      </c>
      <c r="I110" s="72">
        <f>IFERROR(VLOOKUP($B110,'BASE+TOMADOR'!$A:$BS,62,FALSE),0)</f>
        <v>359.68333333333334</v>
      </c>
      <c r="J110" s="72">
        <f>IFERROR(VLOOKUP($B110,'BASE+TOMADOR'!$A:$BS,67,FALSE),0)</f>
        <v>652.96</v>
      </c>
      <c r="K110" s="73">
        <f>VLOOKUP($B110,'BASE+TOMADOR'!$A:$BS,55,FALSE)</f>
        <v>512.87</v>
      </c>
      <c r="L110" s="73">
        <f>IFERROR(VLOOKUP($B110,'BASE+TOMADOR'!$A:$BS,56,FALSE),0)</f>
        <v>2362.67</v>
      </c>
      <c r="M110" s="72">
        <f>IFERROR(VLOOKUP($B110,'BASE+TOMADOR'!$A:$BS,58,FALSE),0)</f>
        <v>2362.67</v>
      </c>
      <c r="N110" s="74">
        <f t="shared" si="9"/>
        <v>3.1003238132312478E-3</v>
      </c>
      <c r="O110" s="72">
        <f>IFERROR(VLOOKUP(B110,'[1]BASE+TOMADOR'!$A:$BF,58,0),0)</f>
        <v>1849.8</v>
      </c>
      <c r="P110" s="67">
        <f t="shared" si="10"/>
        <v>512.87000000000012</v>
      </c>
    </row>
    <row r="111" spans="1:16" s="66" customFormat="1" ht="15" customHeight="1" x14ac:dyDescent="0.25">
      <c r="A111" s="43">
        <f t="shared" si="11"/>
        <v>109</v>
      </c>
      <c r="B111" s="71" t="s">
        <v>255</v>
      </c>
      <c r="C111" s="43" t="str">
        <f>IFERROR(VLOOKUP($B111,'BASE+TOMADOR'!$A:$BS,3,FALSE),0)</f>
        <v>ESTÁGIO</v>
      </c>
      <c r="D111" s="71" t="str">
        <f>VLOOKUP($B111,'BASE+TOMADOR'!$A:$BS,8,FALSE)</f>
        <v>COMERCIAL</v>
      </c>
      <c r="E111" s="71" t="str">
        <f>VLOOKUP($B111,'BASE+TOMADOR'!$A:$BS,15,FALSE)</f>
        <v>AUXILIAR COMERCIAL - ESTAGIARIO</v>
      </c>
      <c r="F111" s="43" t="str">
        <f>VLOOKUP($B111,'BASE+TOMADOR'!$A:$BS,71,FALSE)</f>
        <v>Ativo</v>
      </c>
      <c r="G111" s="71" t="str">
        <f>VLOOKUP($B111,'BASE+TOMADOR'!$A:$BS,4,FALSE)</f>
        <v>G3S FL 10 - PRES PRUD</v>
      </c>
      <c r="H111" s="71" t="str">
        <f>VLOOKUP($B111,'BASE+TOMADOR'!$A:$BS,7,FALSE)</f>
        <v>20.947.332/0010-86</v>
      </c>
      <c r="I111" s="72">
        <f>IFERROR(VLOOKUP($B111,'BASE+TOMADOR'!$A:$BS,62,FALSE),0)</f>
        <v>0</v>
      </c>
      <c r="J111" s="72">
        <f>IFERROR(VLOOKUP($B111,'BASE+TOMADOR'!$A:$BS,67,FALSE),0)</f>
        <v>0</v>
      </c>
      <c r="K111" s="73">
        <f>VLOOKUP($B111,'BASE+TOMADOR'!$A:$BS,55,FALSE)</f>
        <v>1521.88</v>
      </c>
      <c r="L111" s="73">
        <f>IFERROR(VLOOKUP($B111,'BASE+TOMADOR'!$A:$BS,56,FALSE),0)</f>
        <v>1521.88</v>
      </c>
      <c r="M111" s="72">
        <f>IFERROR(VLOOKUP($B111,'BASE+TOMADOR'!$A:$BS,58,FALSE),0)</f>
        <v>1521.88</v>
      </c>
      <c r="N111" s="74">
        <f t="shared" si="9"/>
        <v>1.9970291258958601E-3</v>
      </c>
      <c r="O111" s="72">
        <f>IFERROR(VLOOKUP(B111,'[1]BASE+TOMADOR'!$A:$BF,58,0),0)</f>
        <v>1466.67</v>
      </c>
      <c r="P111" s="67">
        <f t="shared" si="10"/>
        <v>55.210000000000036</v>
      </c>
    </row>
    <row r="112" spans="1:16" s="66" customFormat="1" ht="15" customHeight="1" x14ac:dyDescent="0.25">
      <c r="A112" s="43">
        <f t="shared" si="11"/>
        <v>110</v>
      </c>
      <c r="B112" s="71" t="s">
        <v>352</v>
      </c>
      <c r="C112" s="43" t="str">
        <f>IFERROR(VLOOKUP($B112,'BASE+TOMADOR'!$A:$BS,3,FALSE),0)</f>
        <v>ESTÁGIO</v>
      </c>
      <c r="D112" s="71" t="str">
        <f>VLOOKUP($B112,'BASE+TOMADOR'!$A:$BS,8,FALSE)</f>
        <v>COMERCIAL</v>
      </c>
      <c r="E112" s="71" t="str">
        <f>VLOOKUP($B112,'BASE+TOMADOR'!$A:$BS,15,FALSE)</f>
        <v>AUXILIAR COMERCIAL - ESTAGIARIO</v>
      </c>
      <c r="F112" s="43" t="str">
        <f>VLOOKUP($B112,'BASE+TOMADOR'!$A:$BS,71,FALSE)</f>
        <v>Ativo</v>
      </c>
      <c r="G112" s="71" t="str">
        <f>VLOOKUP($B112,'BASE+TOMADOR'!$A:$BS,4,FALSE)</f>
        <v>G3S FL 05 - PRES PRUD</v>
      </c>
      <c r="H112" s="71" t="str">
        <f>VLOOKUP($B112,'BASE+TOMADOR'!$A:$BS,7,FALSE)</f>
        <v>20.947.332/0005-19</v>
      </c>
      <c r="I112" s="72">
        <f>IFERROR(VLOOKUP($B112,'BASE+TOMADOR'!$A:$BS,62,FALSE),0)</f>
        <v>0</v>
      </c>
      <c r="J112" s="72">
        <f>IFERROR(VLOOKUP($B112,'BASE+TOMADOR'!$A:$BS,67,FALSE),0)</f>
        <v>0</v>
      </c>
      <c r="K112" s="73">
        <f>VLOOKUP($B112,'BASE+TOMADOR'!$A:$BS,55,FALSE)</f>
        <v>1521.87</v>
      </c>
      <c r="L112" s="73">
        <f>IFERROR(VLOOKUP($B112,'BASE+TOMADOR'!$A:$BS,56,FALSE),0)</f>
        <v>1521.87</v>
      </c>
      <c r="M112" s="72">
        <f>IFERROR(VLOOKUP($B112,'BASE+TOMADOR'!$A:$BS,58,FALSE),0)</f>
        <v>1521.87</v>
      </c>
      <c r="N112" s="74">
        <f t="shared" si="9"/>
        <v>1.9970160037763372E-3</v>
      </c>
      <c r="O112" s="72">
        <f>IFERROR(VLOOKUP(B112,'[1]BASE+TOMADOR'!$A:$BF,58,0),0)</f>
        <v>1550</v>
      </c>
      <c r="P112" s="67">
        <f t="shared" si="10"/>
        <v>-28.130000000000109</v>
      </c>
    </row>
    <row r="113" spans="1:16" s="66" customFormat="1" ht="15" customHeight="1" x14ac:dyDescent="0.25">
      <c r="A113" s="43">
        <f t="shared" si="11"/>
        <v>111</v>
      </c>
      <c r="B113" s="71" t="s">
        <v>251</v>
      </c>
      <c r="C113" s="43" t="str">
        <f>IFERROR(VLOOKUP($B113,'BASE+TOMADOR'!$A:$BS,3,FALSE),0)</f>
        <v>ESTÁGIO</v>
      </c>
      <c r="D113" s="71" t="str">
        <f>VLOOKUP($B113,'BASE+TOMADOR'!$A:$BS,8,FALSE)</f>
        <v>ADMINISTRATIVO</v>
      </c>
      <c r="E113" s="71" t="str">
        <f>VLOOKUP($B113,'BASE+TOMADOR'!$A:$BS,15,FALSE)</f>
        <v>AUXILIAR ADMINISTRATIVO - ESTAGIARIO(A)</v>
      </c>
      <c r="F113" s="43" t="str">
        <f>VLOOKUP($B113,'BASE+TOMADOR'!$A:$BS,71,FALSE)</f>
        <v>Ativo</v>
      </c>
      <c r="G113" s="71" t="str">
        <f>VLOOKUP($B113,'BASE+TOMADOR'!$A:$BS,4,FALSE)</f>
        <v>G3S FL 10 - PRES PRUD</v>
      </c>
      <c r="H113" s="71" t="str">
        <f>VLOOKUP($B113,'BASE+TOMADOR'!$A:$BS,7,FALSE)</f>
        <v>20.947.332/0010-86</v>
      </c>
      <c r="I113" s="72">
        <f>IFERROR(VLOOKUP($B113,'BASE+TOMADOR'!$A:$BS,62,FALSE),0)</f>
        <v>0</v>
      </c>
      <c r="J113" s="72">
        <f>IFERROR(VLOOKUP($B113,'BASE+TOMADOR'!$A:$BS,67,FALSE),0)</f>
        <v>0</v>
      </c>
      <c r="K113" s="73">
        <f>VLOOKUP($B113,'BASE+TOMADOR'!$A:$BS,55,FALSE)</f>
        <v>1521.87</v>
      </c>
      <c r="L113" s="73">
        <f>IFERROR(VLOOKUP($B113,'BASE+TOMADOR'!$A:$BS,56,FALSE),0)</f>
        <v>1521.87</v>
      </c>
      <c r="M113" s="72">
        <f>IFERROR(VLOOKUP($B113,'BASE+TOMADOR'!$A:$BS,58,FALSE),0)</f>
        <v>1521.87</v>
      </c>
      <c r="N113" s="74">
        <f t="shared" si="9"/>
        <v>1.9970160037763372E-3</v>
      </c>
      <c r="O113" s="72">
        <f>IFERROR(VLOOKUP(B113,'[1]BASE+TOMADOR'!$A:$BF,58,0),0)</f>
        <v>1000</v>
      </c>
      <c r="P113" s="67">
        <f t="shared" si="10"/>
        <v>521.86999999999989</v>
      </c>
    </row>
    <row r="114" spans="1:16" s="66" customFormat="1" ht="15" customHeight="1" x14ac:dyDescent="0.25">
      <c r="A114" s="43">
        <f t="shared" si="11"/>
        <v>112</v>
      </c>
      <c r="B114" s="71" t="s">
        <v>249</v>
      </c>
      <c r="C114" s="43" t="str">
        <f>IFERROR(VLOOKUP($B114,'BASE+TOMADOR'!$A:$BS,3,FALSE),0)</f>
        <v>ESTÁGIO</v>
      </c>
      <c r="D114" s="71" t="str">
        <f>VLOOKUP($B114,'BASE+TOMADOR'!$A:$BS,8,FALSE)</f>
        <v>ADMINISTRATIVO</v>
      </c>
      <c r="E114" s="71" t="str">
        <f>VLOOKUP($B114,'BASE+TOMADOR'!$A:$BS,15,FALSE)</f>
        <v>AUXILIAR FINANCEIRO - ESTAGIARIO</v>
      </c>
      <c r="F114" s="43" t="str">
        <f>VLOOKUP($B114,'BASE+TOMADOR'!$A:$BS,71,FALSE)</f>
        <v>Ativo</v>
      </c>
      <c r="G114" s="71" t="str">
        <f>VLOOKUP($B114,'BASE+TOMADOR'!$A:$BS,4,FALSE)</f>
        <v>G3S FL 10 - PRES PRUD</v>
      </c>
      <c r="H114" s="71" t="str">
        <f>VLOOKUP($B114,'BASE+TOMADOR'!$A:$BS,7,FALSE)</f>
        <v>20.947.332/0010-86</v>
      </c>
      <c r="I114" s="72">
        <f>IFERROR(VLOOKUP($B114,'BASE+TOMADOR'!$A:$BS,62,FALSE),0)</f>
        <v>0</v>
      </c>
      <c r="J114" s="72">
        <f>IFERROR(VLOOKUP($B114,'BASE+TOMADOR'!$A:$BS,67,FALSE),0)</f>
        <v>0</v>
      </c>
      <c r="K114" s="73">
        <f>VLOOKUP($B114,'BASE+TOMADOR'!$A:$BS,55,FALSE)</f>
        <v>1521.87</v>
      </c>
      <c r="L114" s="73">
        <f>IFERROR(VLOOKUP($B114,'BASE+TOMADOR'!$A:$BS,56,FALSE),0)</f>
        <v>1521.87</v>
      </c>
      <c r="M114" s="72">
        <f>IFERROR(VLOOKUP($B114,'BASE+TOMADOR'!$A:$BS,58,FALSE),0)</f>
        <v>1521.87</v>
      </c>
      <c r="N114" s="74">
        <f t="shared" si="9"/>
        <v>1.9970160037763372E-3</v>
      </c>
      <c r="O114" s="72">
        <f>IFERROR(VLOOKUP(B114,'[1]BASE+TOMADOR'!$A:$BF,58,0),0)</f>
        <v>1000</v>
      </c>
      <c r="P114" s="67">
        <f t="shared" si="10"/>
        <v>521.86999999999989</v>
      </c>
    </row>
    <row r="115" spans="1:16" s="66" customFormat="1" ht="15" customHeight="1" x14ac:dyDescent="0.25">
      <c r="A115" s="43">
        <f t="shared" si="11"/>
        <v>113</v>
      </c>
      <c r="B115" s="71" t="s">
        <v>243</v>
      </c>
      <c r="C115" s="43" t="str">
        <f>IFERROR(VLOOKUP($B115,'BASE+TOMADOR'!$A:$BS,3,FALSE),0)</f>
        <v>ESTÁGIO</v>
      </c>
      <c r="D115" s="71" t="str">
        <f>VLOOKUP($B115,'BASE+TOMADOR'!$A:$BS,8,FALSE)</f>
        <v>ADMINISTRATIVO</v>
      </c>
      <c r="E115" s="71" t="str">
        <f>VLOOKUP($B115,'BASE+TOMADOR'!$A:$BS,15,FALSE)</f>
        <v>AUXILIAR ADMINISTRATIVO - ESTAGIARIO(A)</v>
      </c>
      <c r="F115" s="43" t="str">
        <f>VLOOKUP($B115,'BASE+TOMADOR'!$A:$BS,71,FALSE)</f>
        <v>Ativo</v>
      </c>
      <c r="G115" s="71" t="str">
        <f>VLOOKUP($B115,'BASE+TOMADOR'!$A:$BS,4,FALSE)</f>
        <v>G3S FL 10 - PRES PRUD</v>
      </c>
      <c r="H115" s="71" t="str">
        <f>VLOOKUP($B115,'BASE+TOMADOR'!$A:$BS,7,FALSE)</f>
        <v>20.947.332/0010-86</v>
      </c>
      <c r="I115" s="72">
        <f>IFERROR(VLOOKUP($B115,'BASE+TOMADOR'!$A:$BS,62,FALSE),0)</f>
        <v>0</v>
      </c>
      <c r="J115" s="72">
        <f>IFERROR(VLOOKUP($B115,'BASE+TOMADOR'!$A:$BS,67,FALSE),0)</f>
        <v>0</v>
      </c>
      <c r="K115" s="73">
        <f>VLOOKUP($B115,'BASE+TOMADOR'!$A:$BS,55,FALSE)</f>
        <v>1521.87</v>
      </c>
      <c r="L115" s="73">
        <f>IFERROR(VLOOKUP($B115,'BASE+TOMADOR'!$A:$BS,56,FALSE),0)</f>
        <v>1521.87</v>
      </c>
      <c r="M115" s="72">
        <f>IFERROR(VLOOKUP($B115,'BASE+TOMADOR'!$A:$BS,58,FALSE),0)</f>
        <v>1521.87</v>
      </c>
      <c r="N115" s="74">
        <f t="shared" si="9"/>
        <v>1.9970160037763372E-3</v>
      </c>
      <c r="O115" s="72">
        <f>IFERROR(VLOOKUP(B115,'[1]BASE+TOMADOR'!$A:$BF,58,0),0)</f>
        <v>1000</v>
      </c>
      <c r="P115" s="67">
        <f t="shared" si="10"/>
        <v>521.86999999999989</v>
      </c>
    </row>
    <row r="116" spans="1:16" s="66" customFormat="1" ht="15" customHeight="1" x14ac:dyDescent="0.25">
      <c r="A116" s="43">
        <f t="shared" si="11"/>
        <v>114</v>
      </c>
      <c r="B116" s="71" t="s">
        <v>246</v>
      </c>
      <c r="C116" s="43" t="str">
        <f>IFERROR(VLOOKUP($B116,'BASE+TOMADOR'!$A:$BS,3,FALSE),0)</f>
        <v>ESTÁGIO</v>
      </c>
      <c r="D116" s="71" t="str">
        <f>VLOOKUP($B116,'BASE+TOMADOR'!$A:$BS,8,FALSE)</f>
        <v>COMERCIAL</v>
      </c>
      <c r="E116" s="71" t="str">
        <f>VLOOKUP($B116,'BASE+TOMADOR'!$A:$BS,15,FALSE)</f>
        <v>AUXILIAR COMERCIAL - ESTAGIARIO</v>
      </c>
      <c r="F116" s="43" t="str">
        <f>VLOOKUP($B116,'BASE+TOMADOR'!$A:$BS,71,FALSE)</f>
        <v>Ativo</v>
      </c>
      <c r="G116" s="71" t="str">
        <f>VLOOKUP($B116,'BASE+TOMADOR'!$A:$BS,4,FALSE)</f>
        <v>G3S FL 10 - PRES PRUD</v>
      </c>
      <c r="H116" s="71" t="str">
        <f>VLOOKUP($B116,'BASE+TOMADOR'!$A:$BS,7,FALSE)</f>
        <v>20.947.332/0010-86</v>
      </c>
      <c r="I116" s="72">
        <f>IFERROR(VLOOKUP($B116,'BASE+TOMADOR'!$A:$BS,62,FALSE),0)</f>
        <v>0</v>
      </c>
      <c r="J116" s="72">
        <f>IFERROR(VLOOKUP($B116,'BASE+TOMADOR'!$A:$BS,67,FALSE),0)</f>
        <v>0</v>
      </c>
      <c r="K116" s="73">
        <f>VLOOKUP($B116,'BASE+TOMADOR'!$A:$BS,55,FALSE)</f>
        <v>1521.87</v>
      </c>
      <c r="L116" s="73">
        <f>IFERROR(VLOOKUP($B116,'BASE+TOMADOR'!$A:$BS,56,FALSE),0)</f>
        <v>1521.87</v>
      </c>
      <c r="M116" s="72">
        <f>IFERROR(VLOOKUP($B116,'BASE+TOMADOR'!$A:$BS,58,FALSE),0)</f>
        <v>1521.87</v>
      </c>
      <c r="N116" s="74">
        <f t="shared" si="9"/>
        <v>1.9970160037763372E-3</v>
      </c>
      <c r="O116" s="72">
        <f>IFERROR(VLOOKUP(B116,'[1]BASE+TOMADOR'!$A:$BF,58,0),0)</f>
        <v>1000</v>
      </c>
      <c r="P116" s="67">
        <f>M129-O129</f>
        <v>5843.1</v>
      </c>
    </row>
    <row r="117" spans="1:16" s="66" customFormat="1" ht="15" customHeight="1" x14ac:dyDescent="0.25">
      <c r="A117" s="43">
        <f t="shared" si="11"/>
        <v>115</v>
      </c>
      <c r="B117" s="71" t="s">
        <v>248</v>
      </c>
      <c r="C117" s="43" t="str">
        <f>IFERROR(VLOOKUP($B117,'BASE+TOMADOR'!$A:$BS,3,FALSE),0)</f>
        <v>ESTÁGIO</v>
      </c>
      <c r="D117" s="71" t="str">
        <f>VLOOKUP($B117,'BASE+TOMADOR'!$A:$BS,8,FALSE)</f>
        <v>ADMINISTRATIVO</v>
      </c>
      <c r="E117" s="71" t="str">
        <f>VLOOKUP($B117,'BASE+TOMADOR'!$A:$BS,15,FALSE)</f>
        <v>AUXILIAR ADMINISTRATIVO - ESTAGIARIO(A)</v>
      </c>
      <c r="F117" s="43" t="str">
        <f>VLOOKUP($B117,'BASE+TOMADOR'!$A:$BS,71,FALSE)</f>
        <v>Ativo</v>
      </c>
      <c r="G117" s="71" t="str">
        <f>VLOOKUP($B117,'BASE+TOMADOR'!$A:$BS,4,FALSE)</f>
        <v>G3S FL 10 - PRES PRUD</v>
      </c>
      <c r="H117" s="71" t="str">
        <f>VLOOKUP($B117,'BASE+TOMADOR'!$A:$BS,7,FALSE)</f>
        <v>20.947.332/0010-86</v>
      </c>
      <c r="I117" s="72">
        <f>IFERROR(VLOOKUP($B117,'BASE+TOMADOR'!$A:$BS,62,FALSE),0)</f>
        <v>0</v>
      </c>
      <c r="J117" s="72">
        <f>IFERROR(VLOOKUP($B117,'BASE+TOMADOR'!$A:$BS,67,FALSE),0)</f>
        <v>0</v>
      </c>
      <c r="K117" s="73">
        <f>VLOOKUP($B117,'BASE+TOMADOR'!$A:$BS,55,FALSE)</f>
        <v>1521.87</v>
      </c>
      <c r="L117" s="73">
        <f>IFERROR(VLOOKUP($B117,'BASE+TOMADOR'!$A:$BS,56,FALSE),0)</f>
        <v>1521.87</v>
      </c>
      <c r="M117" s="72">
        <f>IFERROR(VLOOKUP($B117,'BASE+TOMADOR'!$A:$BS,58,FALSE),0)</f>
        <v>1521.87</v>
      </c>
      <c r="N117" s="74">
        <f t="shared" si="9"/>
        <v>1.9970160037763372E-3</v>
      </c>
      <c r="O117" s="72">
        <f>IFERROR(VLOOKUP(B117,'[1]BASE+TOMADOR'!$A:$BF,58,0),0)</f>
        <v>1000</v>
      </c>
      <c r="P117" s="67"/>
    </row>
    <row r="118" spans="1:16" s="66" customFormat="1" ht="15" customHeight="1" x14ac:dyDescent="0.25">
      <c r="A118" s="43">
        <f t="shared" si="11"/>
        <v>116</v>
      </c>
      <c r="B118" s="71" t="s">
        <v>256</v>
      </c>
      <c r="C118" s="43" t="str">
        <f>IFERROR(VLOOKUP($B118,'BASE+TOMADOR'!$A:$BS,3,FALSE),0)</f>
        <v>ESTÁGIO</v>
      </c>
      <c r="D118" s="71" t="str">
        <f>VLOOKUP($B118,'BASE+TOMADOR'!$A:$BS,8,FALSE)</f>
        <v>GESTÃO DE GENTE</v>
      </c>
      <c r="E118" s="71" t="str">
        <f>VLOOKUP($B118,'BASE+TOMADOR'!$A:$BS,15,FALSE)</f>
        <v>AUXILIAR ADMINISTRATIVO - ESTAGIARIO(A)</v>
      </c>
      <c r="F118" s="43" t="str">
        <f>VLOOKUP($B118,'BASE+TOMADOR'!$A:$BS,71,FALSE)</f>
        <v>Ativo</v>
      </c>
      <c r="G118" s="71" t="str">
        <f>VLOOKUP($B118,'BASE+TOMADOR'!$A:$BS,4,FALSE)</f>
        <v>G3S FL 10 - PRES PRUD</v>
      </c>
      <c r="H118" s="71" t="str">
        <f>VLOOKUP($B118,'BASE+TOMADOR'!$A:$BS,7,FALSE)</f>
        <v>20.947.332/0010-86</v>
      </c>
      <c r="I118" s="72">
        <f>IFERROR(VLOOKUP($B118,'BASE+TOMADOR'!$A:$BS,62,FALSE),0)</f>
        <v>0</v>
      </c>
      <c r="J118" s="72">
        <f>IFERROR(VLOOKUP($B118,'BASE+TOMADOR'!$A:$BS,67,FALSE),0)</f>
        <v>0</v>
      </c>
      <c r="K118" s="73">
        <f>VLOOKUP($B118,'BASE+TOMADOR'!$A:$BS,55,FALSE)</f>
        <v>1521.87</v>
      </c>
      <c r="L118" s="73">
        <f>IFERROR(VLOOKUP($B118,'BASE+TOMADOR'!$A:$BS,56,FALSE),0)</f>
        <v>1521.87</v>
      </c>
      <c r="M118" s="72">
        <f>IFERROR(VLOOKUP($B118,'BASE+TOMADOR'!$A:$BS,58,FALSE),0)</f>
        <v>1521.87</v>
      </c>
      <c r="N118" s="74">
        <f t="shared" si="9"/>
        <v>1.9970160037763372E-3</v>
      </c>
      <c r="O118" s="72">
        <f>IFERROR(VLOOKUP(B118,'[1]BASE+TOMADOR'!$A:$BF,58,0),0)</f>
        <v>900</v>
      </c>
      <c r="P118" s="67"/>
    </row>
    <row r="119" spans="1:16" s="66" customFormat="1" ht="15" customHeight="1" x14ac:dyDescent="0.25">
      <c r="A119" s="43">
        <f t="shared" si="11"/>
        <v>117</v>
      </c>
      <c r="B119" s="71" t="s">
        <v>353</v>
      </c>
      <c r="C119" s="43" t="str">
        <f>IFERROR(VLOOKUP($B119,'BASE+TOMADOR'!$A:$BS,3,FALSE),0)</f>
        <v>ESTÁGIO</v>
      </c>
      <c r="D119" s="71" t="str">
        <f>VLOOKUP($B119,'BASE+TOMADOR'!$A:$BS,8,FALSE)</f>
        <v>ADMINISTRATIVO</v>
      </c>
      <c r="E119" s="71" t="str">
        <f>VLOOKUP($B119,'BASE+TOMADOR'!$A:$BS,15,FALSE)</f>
        <v>AUXILIAR FINANCEIRO - ESTAGIARIO</v>
      </c>
      <c r="F119" s="43" t="str">
        <f>VLOOKUP($B119,'BASE+TOMADOR'!$A:$BS,71,FALSE)</f>
        <v>Ativo</v>
      </c>
      <c r="G119" s="71" t="str">
        <f>VLOOKUP($B119,'BASE+TOMADOR'!$A:$BS,4,FALSE)</f>
        <v>G3S FL 05 - PRES PRUD</v>
      </c>
      <c r="H119" s="71" t="str">
        <f>VLOOKUP($B119,'BASE+TOMADOR'!$A:$BS,7,FALSE)</f>
        <v>20.947.332/0005-19</v>
      </c>
      <c r="I119" s="72">
        <f>IFERROR(VLOOKUP($B119,'BASE+TOMADOR'!$A:$BS,62,FALSE),0)</f>
        <v>0</v>
      </c>
      <c r="J119" s="72">
        <f>IFERROR(VLOOKUP($B119,'BASE+TOMADOR'!$A:$BS,67,FALSE),0)</f>
        <v>0</v>
      </c>
      <c r="K119" s="73">
        <f>VLOOKUP($B119,'BASE+TOMADOR'!$A:$BS,55,FALSE)</f>
        <v>1521.87</v>
      </c>
      <c r="L119" s="73">
        <f>IFERROR(VLOOKUP($B119,'BASE+TOMADOR'!$A:$BS,56,FALSE),0)</f>
        <v>1521.87</v>
      </c>
      <c r="M119" s="72">
        <f>IFERROR(VLOOKUP($B119,'BASE+TOMADOR'!$A:$BS,58,FALSE),0)</f>
        <v>1521.87</v>
      </c>
      <c r="N119" s="74">
        <f t="shared" si="9"/>
        <v>1.9970160037763372E-3</v>
      </c>
      <c r="O119" s="72">
        <f>IFERROR(VLOOKUP(B119,'[1]BASE+TOMADOR'!$A:$BF,58,0),0)</f>
        <v>650</v>
      </c>
      <c r="P119" s="67"/>
    </row>
    <row r="120" spans="1:16" s="66" customFormat="1" ht="15" customHeight="1" x14ac:dyDescent="0.25">
      <c r="A120" s="43">
        <f t="shared" si="11"/>
        <v>118</v>
      </c>
      <c r="B120" s="71" t="s">
        <v>254</v>
      </c>
      <c r="C120" s="43" t="str">
        <f>IFERROR(VLOOKUP($B120,'BASE+TOMADOR'!$A:$BS,3,FALSE),0)</f>
        <v>ESTÁGIO</v>
      </c>
      <c r="D120" s="71" t="str">
        <f>VLOOKUP($B120,'BASE+TOMADOR'!$A:$BS,8,FALSE)</f>
        <v>COMERCIAL</v>
      </c>
      <c r="E120" s="71" t="str">
        <f>VLOOKUP($B120,'BASE+TOMADOR'!$A:$BS,15,FALSE)</f>
        <v>AUXILIAR COMERCIAL - ESTAGIARIO</v>
      </c>
      <c r="F120" s="43" t="str">
        <f>VLOOKUP($B120,'BASE+TOMADOR'!$A:$BS,71,FALSE)</f>
        <v>Ativo</v>
      </c>
      <c r="G120" s="71" t="str">
        <f>VLOOKUP($B120,'BASE+TOMADOR'!$A:$BS,4,FALSE)</f>
        <v>G3S FL 10 - PRES PRUD</v>
      </c>
      <c r="H120" s="71" t="str">
        <f>VLOOKUP($B120,'BASE+TOMADOR'!$A:$BS,7,FALSE)</f>
        <v>20.947.332/0010-86</v>
      </c>
      <c r="I120" s="72">
        <f>IFERROR(VLOOKUP($B120,'BASE+TOMADOR'!$A:$BS,62,FALSE),0)</f>
        <v>0</v>
      </c>
      <c r="J120" s="72">
        <f>IFERROR(VLOOKUP($B120,'BASE+TOMADOR'!$A:$BS,67,FALSE),0)</f>
        <v>0</v>
      </c>
      <c r="K120" s="73">
        <f>VLOOKUP($B120,'BASE+TOMADOR'!$A:$BS,55,FALSE)</f>
        <v>1512.87</v>
      </c>
      <c r="L120" s="73">
        <f>IFERROR(VLOOKUP($B120,'BASE+TOMADOR'!$A:$BS,56,FALSE),0)</f>
        <v>1512.87</v>
      </c>
      <c r="M120" s="72">
        <f>IFERROR(VLOOKUP($B120,'BASE+TOMADOR'!$A:$BS,58,FALSE),0)</f>
        <v>1512.87</v>
      </c>
      <c r="N120" s="74">
        <f t="shared" si="9"/>
        <v>1.9852060962060538E-3</v>
      </c>
      <c r="O120" s="72">
        <f>IFERROR(VLOOKUP(B120,'[1]BASE+TOMADOR'!$A:$BF,58,0),0)</f>
        <v>1000</v>
      </c>
      <c r="P120" s="67"/>
    </row>
    <row r="121" spans="1:16" s="66" customFormat="1" ht="15" customHeight="1" x14ac:dyDescent="0.25">
      <c r="A121" s="43">
        <f t="shared" si="11"/>
        <v>119</v>
      </c>
      <c r="B121" s="71" t="s">
        <v>258</v>
      </c>
      <c r="C121" s="43" t="str">
        <f>IFERROR(VLOOKUP($B121,'BASE+TOMADOR'!$A:$BS,3,FALSE),0)</f>
        <v>ESTÁGIO</v>
      </c>
      <c r="D121" s="71" t="str">
        <f>VLOOKUP($B121,'BASE+TOMADOR'!$A:$BS,8,FALSE)</f>
        <v>ADMINISTRATIVO</v>
      </c>
      <c r="E121" s="71" t="str">
        <f>VLOOKUP($B121,'BASE+TOMADOR'!$A:$BS,15,FALSE)</f>
        <v>AUXILIAR CONTABIL - ESTAGIARIO</v>
      </c>
      <c r="F121" s="43" t="str">
        <f>VLOOKUP($B121,'BASE+TOMADOR'!$A:$BS,71,FALSE)</f>
        <v>Ativo</v>
      </c>
      <c r="G121" s="71" t="str">
        <f>VLOOKUP($B121,'BASE+TOMADOR'!$A:$BS,4,FALSE)</f>
        <v>G3S FL 10 - PRES PRUD</v>
      </c>
      <c r="H121" s="71" t="str">
        <f>VLOOKUP($B121,'BASE+TOMADOR'!$A:$BS,7,FALSE)</f>
        <v>20.947.332/0010-86</v>
      </c>
      <c r="I121" s="72">
        <f>IFERROR(VLOOKUP($B121,'BASE+TOMADOR'!$A:$BS,62,FALSE),0)</f>
        <v>0</v>
      </c>
      <c r="J121" s="72">
        <f>IFERROR(VLOOKUP($B121,'BASE+TOMADOR'!$A:$BS,67,FALSE),0)</f>
        <v>0</v>
      </c>
      <c r="K121" s="73">
        <f>VLOOKUP($B121,'BASE+TOMADOR'!$A:$BS,55,FALSE)</f>
        <v>1500</v>
      </c>
      <c r="L121" s="73">
        <f>IFERROR(VLOOKUP($B121,'BASE+TOMADOR'!$A:$BS,56,FALSE),0)</f>
        <v>1500</v>
      </c>
      <c r="M121" s="72">
        <f>IFERROR(VLOOKUP($B121,'BASE+TOMADOR'!$A:$BS,58,FALSE),0)</f>
        <v>1500</v>
      </c>
      <c r="N121" s="74">
        <f t="shared" si="9"/>
        <v>1.9683179283805489E-3</v>
      </c>
      <c r="O121" s="72">
        <f>IFERROR(VLOOKUP(B121,'[1]BASE+TOMADOR'!$A:$BF,58,0),0)</f>
        <v>0</v>
      </c>
      <c r="P121" s="67"/>
    </row>
    <row r="122" spans="1:16" s="66" customFormat="1" ht="15" customHeight="1" x14ac:dyDescent="0.25">
      <c r="A122" s="43">
        <f t="shared" si="11"/>
        <v>120</v>
      </c>
      <c r="B122" s="71" t="s">
        <v>257</v>
      </c>
      <c r="C122" s="43" t="str">
        <f>IFERROR(VLOOKUP($B122,'BASE+TOMADOR'!$A:$BS,3,FALSE),0)</f>
        <v>ESTÁGIO</v>
      </c>
      <c r="D122" s="71" t="str">
        <f>VLOOKUP($B122,'BASE+TOMADOR'!$A:$BS,8,FALSE)</f>
        <v>COMERCIAL</v>
      </c>
      <c r="E122" s="71" t="str">
        <f>VLOOKUP($B122,'BASE+TOMADOR'!$A:$BS,15,FALSE)</f>
        <v>AUXILIAR COMERCIAL - ESTAGIARIO</v>
      </c>
      <c r="F122" s="43" t="str">
        <f>VLOOKUP($B122,'BASE+TOMADOR'!$A:$BS,71,FALSE)</f>
        <v>Ativo</v>
      </c>
      <c r="G122" s="71" t="str">
        <f>VLOOKUP($B122,'BASE+TOMADOR'!$A:$BS,4,FALSE)</f>
        <v>G3S FL 10 - PRES PRUD</v>
      </c>
      <c r="H122" s="71" t="str">
        <f>VLOOKUP($B122,'BASE+TOMADOR'!$A:$BS,7,FALSE)</f>
        <v>20.947.332/0010-86</v>
      </c>
      <c r="I122" s="72">
        <f>IFERROR(VLOOKUP($B122,'BASE+TOMADOR'!$A:$BS,62,FALSE),0)</f>
        <v>0</v>
      </c>
      <c r="J122" s="72">
        <f>IFERROR(VLOOKUP($B122,'BASE+TOMADOR'!$A:$BS,67,FALSE),0)</f>
        <v>0</v>
      </c>
      <c r="K122" s="73">
        <f>VLOOKUP($B122,'BASE+TOMADOR'!$A:$BS,55,FALSE)</f>
        <v>1500</v>
      </c>
      <c r="L122" s="73">
        <f>IFERROR(VLOOKUP($B122,'BASE+TOMADOR'!$A:$BS,56,FALSE),0)</f>
        <v>1500</v>
      </c>
      <c r="M122" s="72">
        <f>IFERROR(VLOOKUP($B122,'BASE+TOMADOR'!$A:$BS,58,FALSE),0)</f>
        <v>1500</v>
      </c>
      <c r="N122" s="74">
        <f t="shared" si="9"/>
        <v>1.9683179283805489E-3</v>
      </c>
      <c r="O122" s="72">
        <f>IFERROR(VLOOKUP(B122,'[1]BASE+TOMADOR'!$A:$BF,58,0),0)</f>
        <v>0</v>
      </c>
      <c r="P122" s="67"/>
    </row>
    <row r="123" spans="1:16" s="66" customFormat="1" ht="15" customHeight="1" x14ac:dyDescent="0.25">
      <c r="A123" s="43">
        <f t="shared" si="11"/>
        <v>121</v>
      </c>
      <c r="B123" s="71" t="s">
        <v>126</v>
      </c>
      <c r="C123" s="43" t="str">
        <f>IFERROR(VLOOKUP($B123,'BASE+TOMADOR'!$A:$BS,3,FALSE),0)</f>
        <v>ESTÁGIO</v>
      </c>
      <c r="D123" s="71" t="str">
        <f>VLOOKUP($B123,'BASE+TOMADOR'!$A:$BS,8,FALSE)</f>
        <v>INTRA-LOGISTICA</v>
      </c>
      <c r="E123" s="71" t="str">
        <f>VLOOKUP($B123,'BASE+TOMADOR'!$A:$BS,15,FALSE)</f>
        <v>AUXILIAR DE ENGENHARIA - ESTAGIARIO</v>
      </c>
      <c r="F123" s="43" t="str">
        <f>VLOOKUP($B123,'BASE+TOMADOR'!$A:$BS,71,FALSE)</f>
        <v>Ativo</v>
      </c>
      <c r="G123" s="71" t="str">
        <f>VLOOKUP($B123,'BASE+TOMADOR'!$A:$BS,4,FALSE)</f>
        <v>G S MATRIZ - PRES PRUD</v>
      </c>
      <c r="H123" s="71" t="str">
        <f>VLOOKUP($B123,'BASE+TOMADOR'!$A:$BS,7,FALSE)</f>
        <v>20.504.237/0001-17</v>
      </c>
      <c r="I123" s="72">
        <f>IFERROR(VLOOKUP($B123,'BASE+TOMADOR'!$A:$BS,62,FALSE),0)</f>
        <v>0</v>
      </c>
      <c r="J123" s="72">
        <f>IFERROR(VLOOKUP($B123,'BASE+TOMADOR'!$A:$BS,67,FALSE),0)</f>
        <v>0</v>
      </c>
      <c r="K123" s="73">
        <f>VLOOKUP($B123,'BASE+TOMADOR'!$A:$BS,55,FALSE)</f>
        <v>1500</v>
      </c>
      <c r="L123" s="73">
        <f>IFERROR(VLOOKUP($B123,'BASE+TOMADOR'!$A:$BS,56,FALSE),0)</f>
        <v>1500</v>
      </c>
      <c r="M123" s="72">
        <f>IFERROR(VLOOKUP($B123,'BASE+TOMADOR'!$A:$BS,58,FALSE),0)</f>
        <v>1500</v>
      </c>
      <c r="N123" s="74">
        <f t="shared" si="9"/>
        <v>1.9683179283805489E-3</v>
      </c>
      <c r="O123" s="72">
        <f>IFERROR(VLOOKUP(B123,'[1]BASE+TOMADOR'!$A:$BF,58,0),0)</f>
        <v>0</v>
      </c>
      <c r="P123" s="67"/>
    </row>
    <row r="124" spans="1:16" s="66" customFormat="1" ht="15" customHeight="1" x14ac:dyDescent="0.25">
      <c r="A124" s="43">
        <f t="shared" si="11"/>
        <v>122</v>
      </c>
      <c r="B124" s="71" t="s">
        <v>122</v>
      </c>
      <c r="C124" s="43" t="str">
        <f>IFERROR(VLOOKUP($B124,'BASE+TOMADOR'!$A:$BS,3,FALSE),0)</f>
        <v>ESTÁGIO</v>
      </c>
      <c r="D124" s="71" t="str">
        <f>VLOOKUP($B124,'BASE+TOMADOR'!$A:$BS,8,FALSE)</f>
        <v>INTRA-LOGISTICA</v>
      </c>
      <c r="E124" s="71" t="str">
        <f>VLOOKUP($B124,'BASE+TOMADOR'!$A:$BS,15,FALSE)</f>
        <v>AUXILIAR DE MARKETING - ESTAGIARIO</v>
      </c>
      <c r="F124" s="43" t="str">
        <f>VLOOKUP($B124,'BASE+TOMADOR'!$A:$BS,71,FALSE)</f>
        <v>Ativo</v>
      </c>
      <c r="G124" s="71" t="str">
        <f>VLOOKUP($B124,'BASE+TOMADOR'!$A:$BS,4,FALSE)</f>
        <v>G S MATRIZ - PRES PRUD</v>
      </c>
      <c r="H124" s="71" t="str">
        <f>VLOOKUP($B124,'BASE+TOMADOR'!$A:$BS,7,FALSE)</f>
        <v>20.504.237/0001-17</v>
      </c>
      <c r="I124" s="72">
        <f>IFERROR(VLOOKUP($B124,'BASE+TOMADOR'!$A:$BS,62,FALSE),0)</f>
        <v>0</v>
      </c>
      <c r="J124" s="72">
        <f>IFERROR(VLOOKUP($B124,'BASE+TOMADOR'!$A:$BS,67,FALSE),0)</f>
        <v>0</v>
      </c>
      <c r="K124" s="73">
        <f>VLOOKUP($B124,'BASE+TOMADOR'!$A:$BS,55,FALSE)</f>
        <v>1500</v>
      </c>
      <c r="L124" s="73">
        <f>IFERROR(VLOOKUP($B124,'BASE+TOMADOR'!$A:$BS,56,FALSE),0)</f>
        <v>1500</v>
      </c>
      <c r="M124" s="72">
        <f>IFERROR(VLOOKUP($B124,'BASE+TOMADOR'!$A:$BS,58,FALSE),0)</f>
        <v>1500</v>
      </c>
      <c r="N124" s="74">
        <f t="shared" si="9"/>
        <v>1.9683179283805489E-3</v>
      </c>
      <c r="O124" s="72">
        <f>IFERROR(VLOOKUP(B124,'[1]BASE+TOMADOR'!$A:$BF,58,0),0)</f>
        <v>0</v>
      </c>
      <c r="P124" s="67"/>
    </row>
    <row r="125" spans="1:16" s="66" customFormat="1" ht="15" customHeight="1" x14ac:dyDescent="0.25">
      <c r="A125" s="43">
        <f t="shared" si="11"/>
        <v>123</v>
      </c>
      <c r="B125" s="71" t="s">
        <v>260</v>
      </c>
      <c r="C125" s="43" t="str">
        <f>IFERROR(VLOOKUP($B125,'BASE+TOMADOR'!$A:$BS,3,FALSE),0)</f>
        <v>ESTÁGIO</v>
      </c>
      <c r="D125" s="71" t="str">
        <f>VLOOKUP($B125,'BASE+TOMADOR'!$A:$BS,8,FALSE)</f>
        <v>ADMINISTRATIVO</v>
      </c>
      <c r="E125" s="71" t="str">
        <f>VLOOKUP($B125,'BASE+TOMADOR'!$A:$BS,15,FALSE)</f>
        <v>AUXILIAR DE QUALIDADE - ESTAGIARIO</v>
      </c>
      <c r="F125" s="43" t="str">
        <f>VLOOKUP($B125,'BASE+TOMADOR'!$A:$BS,71,FALSE)</f>
        <v>Ativo</v>
      </c>
      <c r="G125" s="71" t="str">
        <f>VLOOKUP($B125,'BASE+TOMADOR'!$A:$BS,4,FALSE)</f>
        <v>G3S FL 10 - PRES PRUD</v>
      </c>
      <c r="H125" s="71" t="str">
        <f>VLOOKUP($B125,'BASE+TOMADOR'!$A:$BS,7,FALSE)</f>
        <v>20.947.332/0010-86</v>
      </c>
      <c r="I125" s="72">
        <f>IFERROR(VLOOKUP($B125,'BASE+TOMADOR'!$A:$BS,62,FALSE),0)</f>
        <v>0</v>
      </c>
      <c r="J125" s="72">
        <f>IFERROR(VLOOKUP($B125,'BASE+TOMADOR'!$A:$BS,67,FALSE),0)</f>
        <v>0</v>
      </c>
      <c r="K125" s="73">
        <f>VLOOKUP($B125,'BASE+TOMADOR'!$A:$BS,55,FALSE)</f>
        <v>650</v>
      </c>
      <c r="L125" s="73">
        <f>IFERROR(VLOOKUP($B125,'BASE+TOMADOR'!$A:$BS,56,FALSE),0)</f>
        <v>650</v>
      </c>
      <c r="M125" s="72">
        <f>IFERROR(VLOOKUP($B125,'BASE+TOMADOR'!$A:$BS,58,FALSE),0)</f>
        <v>650</v>
      </c>
      <c r="N125" s="74">
        <f t="shared" si="9"/>
        <v>8.5293776896490446E-4</v>
      </c>
      <c r="O125" s="72">
        <f>IFERROR(VLOOKUP(B125,'[1]BASE+TOMADOR'!$A:$BF,58,0),0)</f>
        <v>0</v>
      </c>
      <c r="P125" s="67"/>
    </row>
    <row r="126" spans="1:16" s="66" customFormat="1" ht="15" customHeight="1" x14ac:dyDescent="0.25">
      <c r="A126" s="43">
        <f t="shared" si="11"/>
        <v>124</v>
      </c>
      <c r="B126" s="71" t="s">
        <v>440</v>
      </c>
      <c r="C126" s="43" t="str">
        <f>IFERROR(VLOOKUP($B126,'BASE+TOMADOR'!$A:$BS,3,FALSE),0)</f>
        <v>PJ</v>
      </c>
      <c r="D126" s="71" t="str">
        <f>VLOOKUP($B126,'BASE+TOMADOR'!$A:$BS,8,FALSE)</f>
        <v>COMERCIAL</v>
      </c>
      <c r="E126" s="71" t="str">
        <f>VLOOKUP($B126,'BASE+TOMADOR'!$A:$BS,15,FALSE)</f>
        <v>GERENTE</v>
      </c>
      <c r="F126" s="43" t="str">
        <f>VLOOKUP($B126,'BASE+TOMADOR'!$A:$BS,71,FALSE)</f>
        <v>Ativo</v>
      </c>
      <c r="G126" s="71" t="str">
        <f>VLOOKUP($B126,'BASE+TOMADOR'!$A:$BS,4,FALSE)</f>
        <v>G S FL 05 - BARUERI</v>
      </c>
      <c r="H126" s="71" t="str">
        <f>VLOOKUP($B126,'BASE+TOMADOR'!$A:$BS,7,FALSE)</f>
        <v>CONTRATO PJ</v>
      </c>
      <c r="I126" s="72">
        <f>IFERROR(VLOOKUP($B126,'BASE+TOMADOR'!$A:$BS,62,FALSE),0)</f>
        <v>0</v>
      </c>
      <c r="J126" s="72">
        <f>IFERROR(VLOOKUP($B126,'BASE+TOMADOR'!$A:$BS,67,FALSE),0)</f>
        <v>0</v>
      </c>
      <c r="K126" s="73">
        <f>VLOOKUP($B126,'BASE+TOMADOR'!$A:$BS,55,FALSE)</f>
        <v>0</v>
      </c>
      <c r="L126" s="73">
        <f>IFERROR(VLOOKUP($B126,'BASE+TOMADOR'!$A:$BS,56,FALSE),0)</f>
        <v>0</v>
      </c>
      <c r="M126" s="72">
        <f>IFERROR(VLOOKUP($B126,'BASE+TOMADOR'!$A:$BS,58,FALSE),0)</f>
        <v>0</v>
      </c>
      <c r="N126" s="74">
        <f t="shared" si="9"/>
        <v>0</v>
      </c>
      <c r="O126" s="72">
        <f>IFERROR(VLOOKUP(B126,'[1]BASE+TOMADOR'!$A:$BF,58,0),0)</f>
        <v>0</v>
      </c>
      <c r="P126" s="67"/>
    </row>
    <row r="127" spans="1:16" s="66" customFormat="1" ht="15" customHeight="1" x14ac:dyDescent="0.25">
      <c r="A127" s="43">
        <v>1</v>
      </c>
      <c r="B127" s="155" t="s">
        <v>453</v>
      </c>
      <c r="C127" s="154" t="str">
        <f>IFERROR(VLOOKUP($B127,'BASE+TOMADOR'!$A:$BS,3,FALSE),0)</f>
        <v>PJ</v>
      </c>
      <c r="D127" s="155" t="str">
        <f>VLOOKUP($B127,'BASE+TOMADOR'!$A:$BS,8,FALSE)</f>
        <v>SELETIVA DOURADOS</v>
      </c>
      <c r="E127" s="155" t="str">
        <f>VLOOKUP($B127,'BASE+TOMADOR'!$A:$BS,15,FALSE)</f>
        <v>COMPRADOR</v>
      </c>
      <c r="F127" s="154" t="str">
        <f>VLOOKUP($B127,'BASE+TOMADOR'!$A:$BS,71,FALSE)</f>
        <v>Desligado</v>
      </c>
      <c r="G127" s="155" t="str">
        <f>VLOOKUP($B127,'BASE+TOMADOR'!$A:$BS,4,FALSE)</f>
        <v>G3S  FL 03 - DOURADOS</v>
      </c>
      <c r="H127" s="155" t="str">
        <f>VLOOKUP($B127,'BASE+TOMADOR'!$A:$BS,7,FALSE)</f>
        <v>CONTRATO PJ</v>
      </c>
      <c r="I127" s="156">
        <f>IFERROR(VLOOKUP($B127,'BASE+TOMADOR'!$A:$BS,62,FALSE),0)</f>
        <v>833.33333333333337</v>
      </c>
      <c r="J127" s="156">
        <f>IFERROR(VLOOKUP($B127,'BASE+TOMADOR'!$A:$BS,67,FALSE),0)</f>
        <v>0</v>
      </c>
      <c r="K127" s="157">
        <f>VLOOKUP($B127,'BASE+TOMADOR'!$A:$BS,55,FALSE)</f>
        <v>0</v>
      </c>
      <c r="L127" s="157">
        <f>IFERROR(VLOOKUP($B127,'BASE+TOMADOR'!$A:$BS,56,FALSE),0)</f>
        <v>10000</v>
      </c>
      <c r="M127" s="156">
        <f>IFERROR(VLOOKUP($B127,'BASE+TOMADOR'!$A:$BS,58,FALSE),0)</f>
        <v>10000</v>
      </c>
      <c r="N127" s="75"/>
      <c r="O127" s="156">
        <f>IFERROR(VLOOKUP(B127,'[1]BASE+TOMADOR'!$A:$BF,58,0),0)</f>
        <v>10000</v>
      </c>
      <c r="P127" s="67"/>
    </row>
    <row r="128" spans="1:16" s="66" customFormat="1" ht="15" customHeight="1" x14ac:dyDescent="0.25">
      <c r="A128" s="43">
        <f t="shared" ref="A128:A136" si="12">A127+1</f>
        <v>2</v>
      </c>
      <c r="B128" s="71" t="s">
        <v>133</v>
      </c>
      <c r="C128" s="43" t="str">
        <f>IFERROR(VLOOKUP($B128,'BASE+TOMADOR'!$A:$BS,3,FALSE),0)</f>
        <v>CLT</v>
      </c>
      <c r="D128" s="71" t="str">
        <f>VLOOKUP($B128,'BASE+TOMADOR'!$A:$BS,8,FALSE)</f>
        <v>LOGISTICA</v>
      </c>
      <c r="E128" s="71" t="str">
        <f>VLOOKUP($B128,'BASE+TOMADOR'!$A:$BS,15,FALSE)</f>
        <v>MOTORISTA CARRETEIRO MANTENEDOR SENIOR I</v>
      </c>
      <c r="F128" s="43" t="str">
        <f>VLOOKUP($B128,'BASE+TOMADOR'!$A:$BS,71,FALSE)</f>
        <v>Desligado</v>
      </c>
      <c r="G128" s="71" t="str">
        <f>VLOOKUP($B128,'BASE+TOMADOR'!$A:$BS,4,FALSE)</f>
        <v>G S FL 04 - MARINGA</v>
      </c>
      <c r="H128" s="71" t="str">
        <f>VLOOKUP($B128,'BASE+TOMADOR'!$A:$BS,7,FALSE)</f>
        <v>20.504.237/0004-60</v>
      </c>
      <c r="I128" s="72">
        <f>IFERROR(VLOOKUP($B128,'BASE+TOMADOR'!$A:$BS,62,FALSE),0)</f>
        <v>595.97027777777771</v>
      </c>
      <c r="J128" s="72">
        <f>IFERROR(VLOOKUP($B128,'BASE+TOMADOR'!$A:$BS,67,FALSE),0)</f>
        <v>882.7</v>
      </c>
      <c r="K128" s="73">
        <f>VLOOKUP($B128,'BASE+TOMADOR'!$A:$BS,55,FALSE)</f>
        <v>2223.0700000000002</v>
      </c>
      <c r="L128" s="73">
        <f>IFERROR(VLOOKUP($B128,'BASE+TOMADOR'!$A:$BS,56,FALSE),0)</f>
        <v>5288.0599999999995</v>
      </c>
      <c r="M128" s="72">
        <f>IFERROR(VLOOKUP($B128,'BASE+TOMADOR'!$A:$BS,70,FALSE),0)</f>
        <v>21959.25</v>
      </c>
      <c r="N128" s="74">
        <f t="shared" ref="N128:N129" si="13">M128/$M$1</f>
        <v>2.8815190312527043E-2</v>
      </c>
      <c r="O128" s="72">
        <f>IFERROR(VLOOKUP(B128,'[2]BASE+TOMADOR'!$A:$BF,58,0),0)</f>
        <v>5257.63</v>
      </c>
      <c r="P128" s="67">
        <f>M128-O128</f>
        <v>16701.62</v>
      </c>
    </row>
    <row r="129" spans="1:17" s="66" customFormat="1" ht="15" customHeight="1" x14ac:dyDescent="0.25">
      <c r="A129" s="43">
        <f t="shared" si="12"/>
        <v>3</v>
      </c>
      <c r="B129" s="71" t="s">
        <v>145</v>
      </c>
      <c r="C129" s="43" t="str">
        <f>IFERROR(VLOOKUP($B129,'BASE+TOMADOR'!$A:$BS,3,FALSE),0)</f>
        <v>CLT</v>
      </c>
      <c r="D129" s="71" t="str">
        <f>VLOOKUP($B129,'BASE+TOMADOR'!$A:$BS,8,FALSE)</f>
        <v>LOGISTICA</v>
      </c>
      <c r="E129" s="71" t="str">
        <f>VLOOKUP($B129,'BASE+TOMADOR'!$A:$BS,15,FALSE)</f>
        <v>MOTORISTA CARRETEIRO MANTENEDOR SENIOR I</v>
      </c>
      <c r="F129" s="43" t="str">
        <f>VLOOKUP($B129,'BASE+TOMADOR'!$A:$BS,71,FALSE)</f>
        <v>Desligado</v>
      </c>
      <c r="G129" s="71" t="str">
        <f>VLOOKUP($B129,'BASE+TOMADOR'!$A:$BS,4,FALSE)</f>
        <v>G S FL 03 - DOURADOS</v>
      </c>
      <c r="H129" s="71" t="str">
        <f>VLOOKUP($B129,'BASE+TOMADOR'!$A:$BS,7,FALSE)</f>
        <v>20.504.237/0003-89</v>
      </c>
      <c r="I129" s="72">
        <f>IFERROR(VLOOKUP($B129,'BASE+TOMADOR'!$A:$BS,62,FALSE),0)</f>
        <v>77.945000000000007</v>
      </c>
      <c r="J129" s="72">
        <f>IFERROR(VLOOKUP($B129,'BASE+TOMADOR'!$A:$BS,67,FALSE),0)</f>
        <v>115.42999999999999</v>
      </c>
      <c r="K129" s="73">
        <f>VLOOKUP($B129,'BASE+TOMADOR'!$A:$BS,55,FALSE)</f>
        <v>774.40000000000009</v>
      </c>
      <c r="L129" s="73">
        <f>IFERROR(VLOOKUP($B129,'BASE+TOMADOR'!$A:$BS,56,FALSE),0)</f>
        <v>1175.2600000000002</v>
      </c>
      <c r="M129" s="72">
        <f>IFERROR(VLOOKUP($B129,'BASE+TOMADOR'!$A:$BS,70,FALSE),0)</f>
        <v>10721.78</v>
      </c>
      <c r="N129" s="74">
        <f t="shared" si="13"/>
        <v>1.4069247865434668E-2</v>
      </c>
      <c r="O129" s="72">
        <f>IFERROR(VLOOKUP(B129,'[2]BASE+TOMADOR'!$A:$BF,58,0),0)</f>
        <v>4878.68</v>
      </c>
      <c r="P129" s="67">
        <f>M129-O129</f>
        <v>5843.1</v>
      </c>
    </row>
    <row r="130" spans="1:17" s="66" customFormat="1" ht="15" customHeight="1" x14ac:dyDescent="0.25">
      <c r="A130" s="43">
        <f t="shared" si="12"/>
        <v>4</v>
      </c>
      <c r="B130" s="71" t="s">
        <v>237</v>
      </c>
      <c r="C130" s="43" t="str">
        <f>IFERROR(VLOOKUP($B130,'BASE+TOMADOR'!$A:$BS,3,FALSE),0)</f>
        <v>CLT</v>
      </c>
      <c r="D130" s="71" t="str">
        <f>VLOOKUP($B130,'BASE+TOMADOR'!$A:$BS,8,FALSE)</f>
        <v>COMERCIAL</v>
      </c>
      <c r="E130" s="71" t="str">
        <f>VLOOKUP($B130,'BASE+TOMADOR'!$A:$BS,15,FALSE)</f>
        <v>ASSISTENTE COMERCIAL</v>
      </c>
      <c r="F130" s="43" t="str">
        <f>VLOOKUP($B130,'BASE+TOMADOR'!$A:$BS,71,FALSE)</f>
        <v>Desligado</v>
      </c>
      <c r="G130" s="71" t="str">
        <f>VLOOKUP($B130,'BASE+TOMADOR'!$A:$BS,4,FALSE)</f>
        <v>G3S FL 10 - PRES PRUD</v>
      </c>
      <c r="H130" s="71" t="str">
        <f>VLOOKUP($B130,'BASE+TOMADOR'!$A:$BS,7,FALSE)</f>
        <v>20.947.332/0010-86</v>
      </c>
      <c r="I130" s="72">
        <f>IFERROR(VLOOKUP($B130,'BASE+TOMADOR'!$A:$BS,62,FALSE),0)</f>
        <v>1.6391666666666667</v>
      </c>
      <c r="J130" s="72">
        <f>IFERROR(VLOOKUP($B130,'BASE+TOMADOR'!$A:$BS,67,FALSE),0)</f>
        <v>2.42</v>
      </c>
      <c r="K130" s="73">
        <f>VLOOKUP($B130,'BASE+TOMADOR'!$A:$BS,55,FALSE)</f>
        <v>1346.14</v>
      </c>
      <c r="L130" s="73">
        <f>IFERROR(VLOOKUP($B130,'BASE+TOMADOR'!$A:$BS,56,FALSE),0)</f>
        <v>1354.5700000000002</v>
      </c>
      <c r="M130" s="72">
        <f>IFERROR(VLOOKUP($B130,'BASE+TOMADOR'!$A:$BS,70,FALSE),0)</f>
        <v>6934.39</v>
      </c>
      <c r="N130" s="74"/>
      <c r="O130" s="72">
        <f>IFERROR(VLOOKUP(B130,'[2]BASE+TOMADOR'!$A:$BF,58,0),0)</f>
        <v>2458.52</v>
      </c>
      <c r="P130" s="67"/>
    </row>
    <row r="131" spans="1:17" s="66" customFormat="1" ht="15" customHeight="1" x14ac:dyDescent="0.25">
      <c r="A131" s="43">
        <f t="shared" si="12"/>
        <v>5</v>
      </c>
      <c r="B131" s="71" t="s">
        <v>239</v>
      </c>
      <c r="C131" s="43" t="str">
        <f>IFERROR(VLOOKUP($B131,'BASE+TOMADOR'!$A:$BS,3,FALSE),0)</f>
        <v>ESTÁGIO</v>
      </c>
      <c r="D131" s="71" t="str">
        <f>VLOOKUP($B131,'BASE+TOMADOR'!$A:$BS,8,FALSE)</f>
        <v>ADMINISTRATIVO</v>
      </c>
      <c r="E131" s="71" t="str">
        <f>VLOOKUP($B131,'BASE+TOMADOR'!$A:$BS,15,FALSE)</f>
        <v>AUXILIAR ADMINISTRATIVO - ESTAGIARIO(A)</v>
      </c>
      <c r="F131" s="43" t="str">
        <f>VLOOKUP($B131,'BASE+TOMADOR'!$A:$BS,71,FALSE)</f>
        <v>Desligado</v>
      </c>
      <c r="G131" s="71" t="str">
        <f>VLOOKUP($B131,'BASE+TOMADOR'!$A:$BS,4,FALSE)</f>
        <v>G3S FL 10 - PRES PRUD</v>
      </c>
      <c r="H131" s="71" t="str">
        <f>VLOOKUP($B131,'BASE+TOMADOR'!$A:$BS,7,FALSE)</f>
        <v>20.947.332/0010-86</v>
      </c>
      <c r="I131" s="72">
        <f>IFERROR(VLOOKUP($B131,'BASE+TOMADOR'!$A:$BS,62,FALSE),0)</f>
        <v>0</v>
      </c>
      <c r="J131" s="72">
        <f>IFERROR(VLOOKUP($B131,'BASE+TOMADOR'!$A:$BS,67,FALSE),0)</f>
        <v>0</v>
      </c>
      <c r="K131" s="73">
        <f>VLOOKUP($B131,'BASE+TOMADOR'!$A:$BS,55,FALSE)</f>
        <v>1188.54</v>
      </c>
      <c r="L131" s="73">
        <f>IFERROR(VLOOKUP($B131,'BASE+TOMADOR'!$A:$BS,56,FALSE),0)</f>
        <v>1188.54</v>
      </c>
      <c r="M131" s="72">
        <f>IFERROR(VLOOKUP($B131,'BASE+TOMADOR'!$A:$BS,70,FALSE),0)</f>
        <v>900</v>
      </c>
      <c r="N131" s="74"/>
      <c r="O131" s="72">
        <f>IFERROR(VLOOKUP(B131,'[2]BASE+TOMADOR'!$A:$BF,58,0),0)</f>
        <v>1000</v>
      </c>
      <c r="P131" s="67"/>
    </row>
    <row r="132" spans="1:17" s="66" customFormat="1" ht="15" customHeight="1" x14ac:dyDescent="0.25">
      <c r="A132" s="43">
        <f t="shared" si="12"/>
        <v>6</v>
      </c>
      <c r="B132" s="71" t="s">
        <v>268</v>
      </c>
      <c r="C132" s="43" t="str">
        <f>IFERROR(VLOOKUP($B132,'BASE+TOMADOR'!$A:$BS,3,FALSE),0)</f>
        <v>CLT</v>
      </c>
      <c r="D132" s="71" t="str">
        <f>VLOOKUP($B132,'BASE+TOMADOR'!$A:$BS,8,FALSE)</f>
        <v>OPERACIONAL</v>
      </c>
      <c r="E132" s="71" t="str">
        <f>VLOOKUP($B132,'BASE+TOMADOR'!$A:$BS,15,FALSE)</f>
        <v>GERENTE DE PATIO SENIOR</v>
      </c>
      <c r="F132" s="43" t="str">
        <f>VLOOKUP($B132,'BASE+TOMADOR'!$A:$BS,71,FALSE)</f>
        <v>Desligado</v>
      </c>
      <c r="G132" s="71" t="str">
        <f>VLOOKUP($B132,'BASE+TOMADOR'!$A:$BS,4,FALSE)</f>
        <v>G3S FL 11 - MARINGA</v>
      </c>
      <c r="H132" s="71" t="str">
        <f>VLOOKUP($B132,'BASE+TOMADOR'!$A:$BS,7,FALSE)</f>
        <v>20.947.332/0011-67</v>
      </c>
      <c r="I132" s="72">
        <f>IFERROR(VLOOKUP($B132,'BASE+TOMADOR'!$A:$BS,62,FALSE),0)</f>
        <v>200.095</v>
      </c>
      <c r="J132" s="72">
        <f>IFERROR(VLOOKUP($B132,'BASE+TOMADOR'!$A:$BS,67,FALSE),0)</f>
        <v>552.25</v>
      </c>
      <c r="K132" s="73">
        <f>VLOOKUP($B132,'BASE+TOMADOR'!$A:$BS,55,FALSE)</f>
        <v>295.59000000000003</v>
      </c>
      <c r="L132" s="73">
        <f>IFERROR(VLOOKUP($B132,'BASE+TOMADOR'!$A:$BS,56,FALSE),0)</f>
        <v>1324.65</v>
      </c>
      <c r="M132" s="72">
        <f>IFERROR(VLOOKUP($B132,'BASE+TOMADOR'!$A:$BS,70,FALSE),0)</f>
        <v>4483.47</v>
      </c>
      <c r="N132" s="74"/>
      <c r="O132" s="72">
        <f>IFERROR(VLOOKUP(B132,'[2]BASE+TOMADOR'!$A:$BF,58,0),0)</f>
        <v>649.83999999999992</v>
      </c>
      <c r="P132" s="67"/>
    </row>
    <row r="133" spans="1:17" s="66" customFormat="1" ht="15" customHeight="1" x14ac:dyDescent="0.25">
      <c r="A133" s="43">
        <f t="shared" si="12"/>
        <v>7</v>
      </c>
      <c r="B133" s="71" t="s">
        <v>271</v>
      </c>
      <c r="C133" s="43" t="str">
        <f>IFERROR(VLOOKUP($B133,'BASE+TOMADOR'!$A:$BS,3,FALSE),0)</f>
        <v>CLT</v>
      </c>
      <c r="D133" s="71" t="str">
        <f>VLOOKUP($B133,'BASE+TOMADOR'!$A:$BS,8,FALSE)</f>
        <v>OPERACIONAL</v>
      </c>
      <c r="E133" s="71" t="str">
        <f>VLOOKUP($B133,'BASE+TOMADOR'!$A:$BS,15,FALSE)</f>
        <v>AUXILIAR DE PATIO JUNIOR</v>
      </c>
      <c r="F133" s="43" t="str">
        <f>VLOOKUP($B133,'BASE+TOMADOR'!$A:$BS,71,FALSE)</f>
        <v>Desligado</v>
      </c>
      <c r="G133" s="71" t="str">
        <f>VLOOKUP($B133,'BASE+TOMADOR'!$A:$BS,4,FALSE)</f>
        <v>G3S CMATRIZ - CAMPO GRANDE</v>
      </c>
      <c r="H133" s="71" t="str">
        <f>VLOOKUP($B133,'BASE+TOMADOR'!$A:$BS,7,FALSE)</f>
        <v>20.947.332/0001-95</v>
      </c>
      <c r="I133" s="72">
        <f>IFERROR(VLOOKUP($B133,'BASE+TOMADOR'!$A:$BS,62,FALSE),0)</f>
        <v>0</v>
      </c>
      <c r="J133" s="72">
        <f>IFERROR(VLOOKUP($B133,'BASE+TOMADOR'!$A:$BS,67,FALSE),0)</f>
        <v>0</v>
      </c>
      <c r="K133" s="73">
        <f>VLOOKUP($B133,'BASE+TOMADOR'!$A:$BS,55,FALSE)</f>
        <v>610.84</v>
      </c>
      <c r="L133" s="73">
        <f>IFERROR(VLOOKUP($B133,'BASE+TOMADOR'!$A:$BS,56,FALSE),0)</f>
        <v>610.84</v>
      </c>
      <c r="M133" s="72">
        <f>IFERROR(VLOOKUP($B133,'BASE+TOMADOR'!$A:$BS,70,FALSE),0)</f>
        <v>6569.72</v>
      </c>
      <c r="N133" s="74"/>
      <c r="O133" s="72">
        <f>IFERROR(VLOOKUP(B133,'[2]BASE+TOMADOR'!$A:$BF,58,0),0)</f>
        <v>2478.8200000000002</v>
      </c>
      <c r="P133" s="67"/>
    </row>
    <row r="134" spans="1:17" s="66" customFormat="1" ht="15" customHeight="1" x14ac:dyDescent="0.25">
      <c r="A134" s="43">
        <f t="shared" si="12"/>
        <v>8</v>
      </c>
      <c r="B134" s="71" t="s">
        <v>279</v>
      </c>
      <c r="C134" s="43" t="str">
        <f>IFERROR(VLOOKUP($B134,'BASE+TOMADOR'!$A:$BS,3,FALSE),0)</f>
        <v>CLT</v>
      </c>
      <c r="D134" s="71" t="str">
        <f>VLOOKUP($B134,'BASE+TOMADOR'!$A:$BS,8,FALSE)</f>
        <v>OPERACIONAL</v>
      </c>
      <c r="E134" s="71" t="str">
        <f>VLOOKUP($B134,'BASE+TOMADOR'!$A:$BS,15,FALSE)</f>
        <v>AUXILIAR DE PATIO JUNIOR</v>
      </c>
      <c r="F134" s="43" t="str">
        <f>VLOOKUP($B134,'BASE+TOMADOR'!$A:$BS,71,FALSE)</f>
        <v>Desligado</v>
      </c>
      <c r="G134" s="71" t="str">
        <f>VLOOKUP($B134,'BASE+TOMADOR'!$A:$BS,4,FALSE)</f>
        <v>G3S CMATRIZ - CAMPO GRANDE</v>
      </c>
      <c r="H134" s="71" t="str">
        <f>VLOOKUP($B134,'BASE+TOMADOR'!$A:$BS,7,FALSE)</f>
        <v>20.947.332/0001-95</v>
      </c>
      <c r="I134" s="72">
        <f>IFERROR(VLOOKUP($B134,'BASE+TOMADOR'!$A:$BS,62,FALSE),0)</f>
        <v>0</v>
      </c>
      <c r="J134" s="72">
        <f>IFERROR(VLOOKUP($B134,'BASE+TOMADOR'!$A:$BS,67,FALSE),0)</f>
        <v>0</v>
      </c>
      <c r="K134" s="73">
        <f>VLOOKUP($B134,'BASE+TOMADOR'!$A:$BS,55,FALSE)</f>
        <v>260.84000000000003</v>
      </c>
      <c r="L134" s="73">
        <f>IFERROR(VLOOKUP($B134,'BASE+TOMADOR'!$A:$BS,56,FALSE),0)</f>
        <v>260.84000000000003</v>
      </c>
      <c r="M134" s="72">
        <f>IFERROR(VLOOKUP($B134,'BASE+TOMADOR'!$A:$BS,70,FALSE),0)</f>
        <v>1845.49</v>
      </c>
      <c r="N134" s="74"/>
      <c r="O134" s="72">
        <f>IFERROR(VLOOKUP(B134,'[2]BASE+TOMADOR'!$A:$BF,58,0),0)</f>
        <v>2215.56</v>
      </c>
      <c r="P134" s="67"/>
    </row>
    <row r="135" spans="1:17" s="66" customFormat="1" ht="15" customHeight="1" x14ac:dyDescent="0.25">
      <c r="A135" s="43">
        <f t="shared" si="12"/>
        <v>9</v>
      </c>
      <c r="B135" s="71" t="s">
        <v>336</v>
      </c>
      <c r="C135" s="43" t="str">
        <f>IFERROR(VLOOKUP($B135,'BASE+TOMADOR'!$A:$BS,3,FALSE),0)</f>
        <v>CLT</v>
      </c>
      <c r="D135" s="71" t="str">
        <f>VLOOKUP($B135,'BASE+TOMADOR'!$A:$BS,8,FALSE)</f>
        <v>LOGISTICA</v>
      </c>
      <c r="E135" s="71" t="str">
        <f>VLOOKUP($B135,'BASE+TOMADOR'!$A:$BS,15,FALSE)</f>
        <v>MOTORISTA TRUCK MANTENEDOR JUNIOR</v>
      </c>
      <c r="F135" s="43" t="str">
        <f>VLOOKUP($B135,'BASE+TOMADOR'!$A:$BS,71,FALSE)</f>
        <v>Desligado</v>
      </c>
      <c r="G135" s="71" t="str">
        <f>VLOOKUP($B135,'BASE+TOMADOR'!$A:$BS,4,FALSE)</f>
        <v>G3S FL 05 - PRES PRUD</v>
      </c>
      <c r="H135" s="71" t="str">
        <f>VLOOKUP($B135,'BASE+TOMADOR'!$A:$BS,7,FALSE)</f>
        <v>20.947.332/0005-19</v>
      </c>
      <c r="I135" s="72">
        <f>IFERROR(VLOOKUP($B135,'BASE+TOMADOR'!$A:$BS,62,FALSE),0)</f>
        <v>52.021666666666668</v>
      </c>
      <c r="J135" s="72">
        <f>IFERROR(VLOOKUP($B135,'BASE+TOMADOR'!$A:$BS,67,FALSE),0)</f>
        <v>73.03</v>
      </c>
      <c r="K135" s="73">
        <f>VLOOKUP($B135,'BASE+TOMADOR'!$A:$BS,55,FALSE)</f>
        <v>554.03</v>
      </c>
      <c r="L135" s="73">
        <f>IFERROR(VLOOKUP($B135,'BASE+TOMADOR'!$A:$BS,56,FALSE),0)</f>
        <v>821.56999999999994</v>
      </c>
      <c r="M135" s="72">
        <f>IFERROR(VLOOKUP($B135,'BASE+TOMADOR'!$A:$BS,70,FALSE),0)</f>
        <v>7959.66</v>
      </c>
      <c r="N135" s="74">
        <f t="shared" ref="N135" si="14">M135/$M$1</f>
        <v>1.044476098787568E-2</v>
      </c>
      <c r="O135" s="72">
        <f>IFERROR(VLOOKUP(B135,'[2]BASE+TOMADOR'!$A:$BF,58,0),0)</f>
        <v>2631.96</v>
      </c>
      <c r="P135" s="67">
        <f>M135-O135</f>
        <v>5327.7</v>
      </c>
    </row>
    <row r="136" spans="1:17" x14ac:dyDescent="0.25">
      <c r="A136" s="43">
        <f t="shared" si="12"/>
        <v>10</v>
      </c>
      <c r="B136" s="71" t="s">
        <v>345</v>
      </c>
      <c r="C136" s="43" t="str">
        <f>IFERROR(VLOOKUP($B136,'BASE+TOMADOR'!$A:$BS,3,FALSE),0)</f>
        <v>CLT</v>
      </c>
      <c r="D136" s="71" t="str">
        <f>VLOOKUP($B136,'BASE+TOMADOR'!$A:$BS,8,FALSE)</f>
        <v>COMERCIAL</v>
      </c>
      <c r="E136" s="71" t="str">
        <f>VLOOKUP($B136,'BASE+TOMADOR'!$A:$BS,15,FALSE)</f>
        <v>VENDEDOR INTERNO SENIOR</v>
      </c>
      <c r="F136" s="43" t="str">
        <f>VLOOKUP($B136,'BASE+TOMADOR'!$A:$BS,71,FALSE)</f>
        <v>Desligado</v>
      </c>
      <c r="G136" s="71" t="str">
        <f>VLOOKUP($B136,'BASE+TOMADOR'!$A:$BS,4,FALSE)</f>
        <v>G3S FL 05 - PRES PRUD</v>
      </c>
      <c r="H136" s="71" t="str">
        <f>VLOOKUP($B136,'BASE+TOMADOR'!$A:$BS,7,FALSE)</f>
        <v>20.947.332/0005-19</v>
      </c>
      <c r="I136" s="72">
        <f>IFERROR(VLOOKUP($B136,'BASE+TOMADOR'!$A:$BS,62,FALSE),0)</f>
        <v>0</v>
      </c>
      <c r="J136" s="72">
        <f>IFERROR(VLOOKUP($B136,'BASE+TOMADOR'!$A:$BS,67,FALSE),0)</f>
        <v>88</v>
      </c>
      <c r="K136" s="73">
        <f>VLOOKUP($B136,'BASE+TOMADOR'!$A:$BS,55,FALSE)</f>
        <v>183.33</v>
      </c>
      <c r="L136" s="73">
        <f>IFERROR(VLOOKUP($B136,'BASE+TOMADOR'!$A:$BS,56,FALSE),0)</f>
        <v>183.33</v>
      </c>
      <c r="M136" s="72">
        <f>IFERROR(VLOOKUP($B136,'BASE+TOMADOR'!$A:$BS,70,FALSE),0)</f>
        <v>1726.41</v>
      </c>
      <c r="N136" s="74"/>
      <c r="O136" s="72">
        <f>IFERROR(VLOOKUP(B136,'[2]BASE+TOMADOR'!$A:$BF,58,0),0)</f>
        <v>610</v>
      </c>
      <c r="P136" s="67"/>
    </row>
    <row r="137" spans="1:17" x14ac:dyDescent="0.25">
      <c r="B137" s="2"/>
      <c r="I137" s="49"/>
      <c r="J137" s="49"/>
      <c r="K137" s="48"/>
      <c r="L137" s="48"/>
      <c r="M137" s="49"/>
      <c r="N137" s="50"/>
      <c r="O137" s="49"/>
      <c r="P137" s="67"/>
    </row>
    <row r="138" spans="1:17" x14ac:dyDescent="0.25">
      <c r="B138" s="98" t="s">
        <v>2</v>
      </c>
      <c r="C138" s="1" t="s">
        <v>684</v>
      </c>
      <c r="D138" s="1" t="s">
        <v>685</v>
      </c>
      <c r="Q138" s="1">
        <v>1</v>
      </c>
    </row>
    <row r="139" spans="1:17" x14ac:dyDescent="0.25">
      <c r="B139" s="2" t="s">
        <v>426</v>
      </c>
      <c r="C139" s="1">
        <v>124</v>
      </c>
      <c r="D139" s="48">
        <v>688971.84000000008</v>
      </c>
    </row>
    <row r="140" spans="1:17" x14ac:dyDescent="0.25">
      <c r="B140" s="99" t="s">
        <v>5</v>
      </c>
      <c r="C140" s="1">
        <v>90</v>
      </c>
      <c r="D140" s="160">
        <v>479060.16000000021</v>
      </c>
    </row>
    <row r="141" spans="1:17" x14ac:dyDescent="0.25">
      <c r="B141" s="99" t="s">
        <v>8</v>
      </c>
      <c r="C141" s="1">
        <v>18</v>
      </c>
      <c r="D141" s="160">
        <v>178172.13999999998</v>
      </c>
    </row>
    <row r="142" spans="1:17" x14ac:dyDescent="0.25">
      <c r="B142" s="99" t="s">
        <v>6</v>
      </c>
      <c r="C142" s="1">
        <v>15</v>
      </c>
      <c r="D142" s="48">
        <v>21859.709999999995</v>
      </c>
      <c r="J142" s="48"/>
    </row>
    <row r="143" spans="1:17" x14ac:dyDescent="0.25">
      <c r="B143" s="99" t="s">
        <v>7</v>
      </c>
      <c r="C143" s="1">
        <v>1</v>
      </c>
      <c r="D143" s="48">
        <v>9879.83</v>
      </c>
    </row>
    <row r="144" spans="1:17" x14ac:dyDescent="0.25">
      <c r="B144" s="2" t="s">
        <v>455</v>
      </c>
      <c r="C144" s="1">
        <v>10</v>
      </c>
      <c r="D144" s="48">
        <v>73100.17</v>
      </c>
    </row>
    <row r="145" spans="2:5" x14ac:dyDescent="0.25">
      <c r="B145" s="100" t="s">
        <v>5</v>
      </c>
      <c r="C145" s="1">
        <v>8</v>
      </c>
      <c r="D145" s="160">
        <v>62200.17</v>
      </c>
    </row>
    <row r="146" spans="2:5" x14ac:dyDescent="0.25">
      <c r="B146" s="99" t="s">
        <v>8</v>
      </c>
      <c r="C146" s="1">
        <v>1</v>
      </c>
      <c r="D146" s="160">
        <v>10000</v>
      </c>
    </row>
    <row r="147" spans="2:5" x14ac:dyDescent="0.25">
      <c r="B147" s="100" t="s">
        <v>6</v>
      </c>
      <c r="C147" s="1">
        <v>1</v>
      </c>
      <c r="D147" s="48">
        <v>900</v>
      </c>
    </row>
    <row r="148" spans="2:5" x14ac:dyDescent="0.25">
      <c r="B148" s="1" t="s">
        <v>686</v>
      </c>
      <c r="C148" s="1">
        <v>134</v>
      </c>
      <c r="D148" s="48">
        <v>762072.01000000013</v>
      </c>
    </row>
    <row r="149" spans="2:5" x14ac:dyDescent="0.25">
      <c r="D149" s="48"/>
    </row>
    <row r="150" spans="2:5" x14ac:dyDescent="0.25">
      <c r="D150" s="48"/>
    </row>
    <row r="151" spans="2:5" x14ac:dyDescent="0.25">
      <c r="D151" s="48"/>
    </row>
    <row r="152" spans="2:5" x14ac:dyDescent="0.25">
      <c r="D152" s="48"/>
    </row>
    <row r="153" spans="2:5" x14ac:dyDescent="0.25">
      <c r="D153" s="48"/>
    </row>
    <row r="154" spans="2:5" x14ac:dyDescent="0.25">
      <c r="D154" s="48"/>
    </row>
    <row r="155" spans="2:5" x14ac:dyDescent="0.25">
      <c r="D155" s="48"/>
    </row>
    <row r="156" spans="2:5" x14ac:dyDescent="0.25">
      <c r="D156" s="48"/>
    </row>
    <row r="157" spans="2:5" x14ac:dyDescent="0.25">
      <c r="D157" s="48"/>
    </row>
    <row r="158" spans="2:5" x14ac:dyDescent="0.25">
      <c r="B158" s="102" t="s">
        <v>12</v>
      </c>
      <c r="C158" s="98" t="s">
        <v>13</v>
      </c>
      <c r="D158" s="2" t="s">
        <v>684</v>
      </c>
      <c r="E158" s="1" t="s">
        <v>685</v>
      </c>
    </row>
    <row r="159" spans="2:5" x14ac:dyDescent="0.25">
      <c r="B159" s="103" t="s">
        <v>193</v>
      </c>
      <c r="C159" s="2" t="s">
        <v>194</v>
      </c>
      <c r="D159" s="2">
        <v>1</v>
      </c>
      <c r="E159" s="48">
        <v>3421.87</v>
      </c>
    </row>
    <row r="160" spans="2:5" x14ac:dyDescent="0.25">
      <c r="B160" s="103" t="s">
        <v>291</v>
      </c>
      <c r="C160" s="2" t="s">
        <v>292</v>
      </c>
      <c r="D160" s="2">
        <v>9</v>
      </c>
      <c r="E160" s="48">
        <v>45979.270000000004</v>
      </c>
    </row>
    <row r="161" spans="2:14" x14ac:dyDescent="0.25">
      <c r="B161" s="103"/>
      <c r="C161" s="2" t="s">
        <v>424</v>
      </c>
      <c r="D161" s="2">
        <v>5</v>
      </c>
      <c r="E161" s="48">
        <v>71306.040000000008</v>
      </c>
    </row>
    <row r="162" spans="2:14" x14ac:dyDescent="0.25">
      <c r="B162" s="103" t="s">
        <v>467</v>
      </c>
      <c r="C162" s="2" t="s">
        <v>424</v>
      </c>
      <c r="D162" s="2">
        <v>1</v>
      </c>
      <c r="E162" s="48">
        <v>7021.87</v>
      </c>
      <c r="G162"/>
      <c r="H162"/>
      <c r="K162"/>
      <c r="L162" s="12"/>
      <c r="M162"/>
      <c r="N162"/>
    </row>
    <row r="163" spans="2:14" x14ac:dyDescent="0.25">
      <c r="B163" s="103" t="s">
        <v>149</v>
      </c>
      <c r="C163" s="2" t="s">
        <v>150</v>
      </c>
      <c r="D163" s="2">
        <v>13</v>
      </c>
      <c r="E163" s="48">
        <v>86503.38</v>
      </c>
      <c r="G163"/>
      <c r="H163"/>
      <c r="K163"/>
      <c r="L163" s="12"/>
      <c r="M163"/>
      <c r="N163"/>
    </row>
    <row r="164" spans="2:14" x14ac:dyDescent="0.25">
      <c r="B164" s="103"/>
      <c r="C164" s="2" t="s">
        <v>424</v>
      </c>
      <c r="D164" s="2">
        <v>2</v>
      </c>
      <c r="E164" s="48">
        <v>10012.870000000001</v>
      </c>
      <c r="G164"/>
      <c r="H164"/>
      <c r="K164"/>
      <c r="L164" s="12"/>
      <c r="M164"/>
      <c r="N164"/>
    </row>
    <row r="165" spans="2:14" x14ac:dyDescent="0.25">
      <c r="B165" s="103" t="s">
        <v>311</v>
      </c>
      <c r="C165" s="2" t="s">
        <v>312</v>
      </c>
      <c r="D165" s="2">
        <v>22</v>
      </c>
      <c r="E165" s="48">
        <v>91371.14</v>
      </c>
      <c r="G165"/>
      <c r="H165"/>
      <c r="K165"/>
      <c r="L165" s="12"/>
      <c r="M165"/>
      <c r="N165"/>
    </row>
    <row r="166" spans="2:14" x14ac:dyDescent="0.25">
      <c r="B166" s="103"/>
      <c r="C166" s="2" t="s">
        <v>424</v>
      </c>
      <c r="D166" s="2">
        <v>1</v>
      </c>
      <c r="E166" s="48">
        <v>12012.87</v>
      </c>
      <c r="G166"/>
      <c r="H166"/>
      <c r="K166"/>
      <c r="L166" s="12"/>
      <c r="M166"/>
      <c r="N166"/>
    </row>
    <row r="167" spans="2:14" x14ac:dyDescent="0.25">
      <c r="B167" s="103" t="s">
        <v>129</v>
      </c>
      <c r="C167" s="2" t="s">
        <v>130</v>
      </c>
      <c r="D167" s="2">
        <v>5</v>
      </c>
      <c r="E167" s="48">
        <v>48738.64</v>
      </c>
      <c r="G167"/>
      <c r="H167"/>
      <c r="K167"/>
      <c r="L167" s="12"/>
      <c r="M167"/>
      <c r="N167"/>
    </row>
    <row r="168" spans="2:14" x14ac:dyDescent="0.25">
      <c r="B168" s="103" t="s">
        <v>282</v>
      </c>
      <c r="C168" s="2" t="s">
        <v>283</v>
      </c>
      <c r="D168" s="2">
        <v>5</v>
      </c>
      <c r="E168" s="48">
        <v>31293.15</v>
      </c>
      <c r="G168"/>
      <c r="H168"/>
      <c r="K168"/>
      <c r="L168" s="12"/>
      <c r="M168"/>
      <c r="N168"/>
    </row>
    <row r="169" spans="2:14" x14ac:dyDescent="0.25">
      <c r="B169" s="103"/>
      <c r="C169" s="2" t="s">
        <v>424</v>
      </c>
      <c r="D169" s="2">
        <v>1</v>
      </c>
      <c r="E169" s="48">
        <v>10000</v>
      </c>
      <c r="G169"/>
      <c r="H169"/>
      <c r="K169"/>
      <c r="L169" s="12"/>
      <c r="M169"/>
      <c r="N169"/>
    </row>
    <row r="170" spans="2:14" x14ac:dyDescent="0.25">
      <c r="B170" s="103" t="s">
        <v>355</v>
      </c>
      <c r="C170" s="2" t="s">
        <v>356</v>
      </c>
      <c r="D170" s="2">
        <v>5</v>
      </c>
      <c r="E170" s="48">
        <v>20389.12</v>
      </c>
      <c r="G170"/>
      <c r="H170"/>
      <c r="K170"/>
      <c r="L170" s="12"/>
      <c r="M170"/>
      <c r="N170"/>
    </row>
    <row r="171" spans="2:14" x14ac:dyDescent="0.25">
      <c r="B171" s="103"/>
      <c r="C171" s="2" t="s">
        <v>424</v>
      </c>
      <c r="D171" s="2">
        <v>1</v>
      </c>
      <c r="E171" s="48">
        <v>8021.87</v>
      </c>
      <c r="G171"/>
      <c r="H171"/>
      <c r="K171"/>
      <c r="L171" s="12"/>
      <c r="M171"/>
      <c r="N171"/>
    </row>
    <row r="172" spans="2:14" x14ac:dyDescent="0.25">
      <c r="B172" s="103" t="s">
        <v>176</v>
      </c>
      <c r="C172" s="2" t="s">
        <v>177</v>
      </c>
      <c r="D172" s="2">
        <v>3</v>
      </c>
      <c r="E172" s="48">
        <v>16660.32</v>
      </c>
      <c r="G172"/>
      <c r="H172"/>
      <c r="K172"/>
      <c r="L172" s="12"/>
      <c r="M172"/>
      <c r="N172"/>
    </row>
    <row r="173" spans="2:14" x14ac:dyDescent="0.25">
      <c r="B173" s="103"/>
      <c r="C173" s="2" t="s">
        <v>424</v>
      </c>
      <c r="D173" s="2">
        <v>1</v>
      </c>
      <c r="E173" s="48">
        <v>5012.87</v>
      </c>
      <c r="G173"/>
      <c r="H173"/>
      <c r="K173"/>
      <c r="L173" s="12"/>
      <c r="M173"/>
      <c r="N173"/>
    </row>
    <row r="174" spans="2:14" x14ac:dyDescent="0.25">
      <c r="B174" s="103" t="s">
        <v>94</v>
      </c>
      <c r="C174" s="2" t="s">
        <v>95</v>
      </c>
      <c r="D174" s="2">
        <v>9</v>
      </c>
      <c r="E174" s="48">
        <v>55875.75</v>
      </c>
      <c r="G174"/>
      <c r="H174"/>
      <c r="K174"/>
      <c r="L174" s="12"/>
      <c r="M174"/>
      <c r="N174"/>
    </row>
    <row r="175" spans="2:14" x14ac:dyDescent="0.25">
      <c r="B175" s="103" t="s">
        <v>79</v>
      </c>
      <c r="C175" s="2" t="s">
        <v>80</v>
      </c>
      <c r="D175" s="2">
        <v>2</v>
      </c>
      <c r="E175" s="48">
        <v>15804.409999999998</v>
      </c>
      <c r="G175"/>
      <c r="H175"/>
      <c r="K175"/>
      <c r="L175" s="12"/>
      <c r="M175"/>
      <c r="N175"/>
    </row>
    <row r="176" spans="2:14" x14ac:dyDescent="0.25">
      <c r="B176" s="103" t="s">
        <v>140</v>
      </c>
      <c r="C176" s="2" t="s">
        <v>141</v>
      </c>
      <c r="D176" s="2">
        <v>4</v>
      </c>
      <c r="E176" s="48">
        <v>30139.33</v>
      </c>
      <c r="G176"/>
      <c r="H176"/>
      <c r="K176"/>
      <c r="L176" s="12"/>
      <c r="M176"/>
      <c r="N176"/>
    </row>
    <row r="177" spans="2:5" x14ac:dyDescent="0.25">
      <c r="B177" s="103" t="s">
        <v>272</v>
      </c>
      <c r="C177" s="2" t="s">
        <v>273</v>
      </c>
      <c r="D177" s="2">
        <v>5</v>
      </c>
      <c r="E177" s="48">
        <v>22353.31</v>
      </c>
    </row>
    <row r="178" spans="2:5" x14ac:dyDescent="0.25">
      <c r="B178" s="103" t="s">
        <v>187</v>
      </c>
      <c r="C178" s="2" t="s">
        <v>188</v>
      </c>
      <c r="D178" s="2">
        <v>3</v>
      </c>
      <c r="E178" s="48">
        <v>15686.42</v>
      </c>
    </row>
    <row r="179" spans="2:5" x14ac:dyDescent="0.25">
      <c r="B179" s="103" t="s">
        <v>199</v>
      </c>
      <c r="C179" s="2" t="s">
        <v>200</v>
      </c>
      <c r="D179" s="2">
        <v>26</v>
      </c>
      <c r="E179" s="48">
        <v>78475.360000000015</v>
      </c>
    </row>
    <row r="180" spans="2:5" x14ac:dyDescent="0.25">
      <c r="B180" s="103"/>
      <c r="C180" s="2" t="s">
        <v>424</v>
      </c>
      <c r="D180" s="2">
        <v>6</v>
      </c>
      <c r="E180" s="48">
        <v>56283.750000000007</v>
      </c>
    </row>
    <row r="181" spans="2:5" x14ac:dyDescent="0.25">
      <c r="B181" s="1" t="s">
        <v>263</v>
      </c>
      <c r="C181" s="2" t="s">
        <v>264</v>
      </c>
      <c r="D181" s="2">
        <v>3</v>
      </c>
      <c r="E181" s="48">
        <v>11208.400000000001</v>
      </c>
    </row>
    <row r="182" spans="2:5" x14ac:dyDescent="0.25">
      <c r="B182" s="1" t="s">
        <v>438</v>
      </c>
      <c r="C182" s="2" t="s">
        <v>424</v>
      </c>
      <c r="D182" s="2">
        <v>1</v>
      </c>
      <c r="E182" s="48">
        <v>8500</v>
      </c>
    </row>
    <row r="183" spans="2:5" ht="13.9" customHeight="1" x14ac:dyDescent="0.25">
      <c r="B183" s="1" t="s">
        <v>686</v>
      </c>
      <c r="D183" s="2">
        <v>134</v>
      </c>
      <c r="E183" s="48">
        <v>762072.00999999989</v>
      </c>
    </row>
    <row r="185" spans="2:5" x14ac:dyDescent="0.25">
      <c r="B185" s="5"/>
      <c r="C185" s="5"/>
    </row>
  </sheetData>
  <autoFilter ref="A2:O136" xr:uid="{D12CA574-7460-41EF-8B5D-188A312AA43A}"/>
  <sortState xmlns:xlrd2="http://schemas.microsoft.com/office/spreadsheetml/2017/richdata2" ref="A3:P114">
    <sortCondition ref="F3:F114"/>
  </sortState>
  <mergeCells count="2">
    <mergeCell ref="K1:L1"/>
    <mergeCell ref="B1:E1"/>
  </mergeCells>
  <printOptions horizontalCentered="1"/>
  <pageMargins left="0" right="0" top="0.11811023622047245" bottom="0" header="0" footer="0"/>
  <pageSetup paperSize="9" scale="66" fitToHeight="0" orientation="landscape" r:id="rId3"/>
  <rowBreaks count="2" manualBreakCount="2">
    <brk id="53" max="16383" man="1"/>
    <brk id="105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00" id="{F294BE4C-F6FD-4FC3-8A81-CFFBB12EA42B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P3:P137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2B912-287E-4D07-8EBE-1950393D2DC7}">
  <sheetPr>
    <tabColor rgb="FF0070C0"/>
    <pageSetUpPr fitToPage="1"/>
  </sheetPr>
  <dimension ref="A1:Q61"/>
  <sheetViews>
    <sheetView showGridLines="0" zoomScale="90" zoomScaleNormal="90" workbookViewId="0">
      <pane ySplit="2" topLeftCell="A12" activePane="bottomLeft" state="frozen"/>
      <selection activeCell="X49" sqref="X49"/>
      <selection pane="bottomLeft" activeCell="H30" sqref="H30"/>
    </sheetView>
  </sheetViews>
  <sheetFormatPr defaultColWidth="9.140625" defaultRowHeight="15.75" x14ac:dyDescent="0.25"/>
  <cols>
    <col min="1" max="1" width="10.42578125" style="1" bestFit="1" customWidth="1"/>
    <col min="2" max="2" width="45.5703125" style="1" bestFit="1" customWidth="1"/>
    <col min="3" max="3" width="19.28515625" style="1" bestFit="1" customWidth="1"/>
    <col min="4" max="4" width="18.140625" style="2" bestFit="1" customWidth="1"/>
    <col min="5" max="5" width="41.28515625" style="2" bestFit="1" customWidth="1"/>
    <col min="6" max="6" width="12" style="1" hidden="1" customWidth="1"/>
    <col min="7" max="7" width="22.5703125" style="2" hidden="1" customWidth="1"/>
    <col min="8" max="8" width="19.28515625" style="2" bestFit="1" customWidth="1"/>
    <col min="9" max="9" width="19.7109375" style="1" bestFit="1" customWidth="1"/>
    <col min="10" max="10" width="17" style="1" bestFit="1" customWidth="1"/>
    <col min="11" max="11" width="13.28515625" style="2" hidden="1" customWidth="1"/>
    <col min="12" max="12" width="11.7109375" style="40" hidden="1" customWidth="1"/>
    <col min="13" max="13" width="14.7109375" style="6" bestFit="1" customWidth="1"/>
    <col min="14" max="14" width="7.7109375" style="4" bestFit="1" customWidth="1"/>
    <col min="15" max="15" width="16.28515625" style="1" bestFit="1" customWidth="1"/>
    <col min="16" max="16" width="5.28515625" style="1" bestFit="1" customWidth="1"/>
    <col min="17" max="18" width="9.140625" style="1" bestFit="1"/>
    <col min="19" max="16384" width="9.140625" style="1"/>
  </cols>
  <sheetData>
    <row r="1" spans="1:17" x14ac:dyDescent="0.25">
      <c r="A1" s="90" t="s">
        <v>203</v>
      </c>
      <c r="B1" s="164" t="str">
        <f>GERAL!B1</f>
        <v>FOLHA DE PAGAMENTO MARÇO/2026</v>
      </c>
      <c r="C1" s="164"/>
      <c r="D1" s="164"/>
      <c r="E1" s="164"/>
      <c r="G1" s="1"/>
      <c r="H1" s="1"/>
      <c r="I1" s="80">
        <f>SUBTOTAL(9,I3:I25)</f>
        <v>10403.661388888886</v>
      </c>
      <c r="J1" s="80">
        <f>SUBTOTAL(9,J3:J25)</f>
        <v>11121.21</v>
      </c>
      <c r="K1" s="163" t="s">
        <v>669</v>
      </c>
      <c r="L1" s="163"/>
      <c r="M1" s="80">
        <f>SUBTOTAL(9,M3:M25)</f>
        <v>109316.89999999997</v>
      </c>
      <c r="N1" s="1"/>
      <c r="O1" s="80">
        <f>[1]PILARES!$M$1</f>
        <v>96546.41</v>
      </c>
      <c r="P1"/>
      <c r="Q1"/>
    </row>
    <row r="2" spans="1:17" s="7" customFormat="1" ht="30" customHeight="1" x14ac:dyDescent="0.25">
      <c r="A2" s="8" t="s">
        <v>670</v>
      </c>
      <c r="B2" s="8" t="s">
        <v>362</v>
      </c>
      <c r="C2" s="8" t="s">
        <v>671</v>
      </c>
      <c r="D2" s="8" t="s">
        <v>672</v>
      </c>
      <c r="E2" s="8" t="s">
        <v>673</v>
      </c>
      <c r="F2" s="8" t="s">
        <v>674</v>
      </c>
      <c r="G2" s="8" t="s">
        <v>675</v>
      </c>
      <c r="H2" s="8" t="s">
        <v>13</v>
      </c>
      <c r="I2" s="9" t="s">
        <v>676</v>
      </c>
      <c r="J2" s="9" t="s">
        <v>677</v>
      </c>
      <c r="K2" s="8" t="s">
        <v>678</v>
      </c>
      <c r="L2" s="41" t="s">
        <v>679</v>
      </c>
      <c r="M2" s="9" t="str">
        <f>GERAL!M2</f>
        <v>TT BRUTO
MARÇO</v>
      </c>
      <c r="N2" s="9" t="s">
        <v>681</v>
      </c>
      <c r="O2" s="9" t="str">
        <f>GERAL!O2</f>
        <v>TT BRUTO
FEVEREIRO</v>
      </c>
    </row>
    <row r="3" spans="1:17" x14ac:dyDescent="0.25">
      <c r="A3" s="43">
        <v>1</v>
      </c>
      <c r="B3" s="71" t="s">
        <v>433</v>
      </c>
      <c r="C3" s="43" t="str">
        <f>IFERROR(VLOOKUP($B3,'BASE+TOMADOR'!$A:$BS,3,FALSE),0)</f>
        <v>PJ</v>
      </c>
      <c r="D3" s="71" t="str">
        <f>VLOOKUP($B3,'BASE+TOMADOR'!$A:$BS,8,FALSE)</f>
        <v>PILARES</v>
      </c>
      <c r="E3" s="71" t="str">
        <f>VLOOKUP($B3,'BASE+TOMADOR'!$A:$BS,15,FALSE)</f>
        <v>CONSULTOR</v>
      </c>
      <c r="F3" s="43" t="str">
        <f>VLOOKUP($B3,'BASE+TOMADOR'!$A:$BS,71,FALSE)</f>
        <v>Ativo</v>
      </c>
      <c r="G3" s="71" t="str">
        <f>VLOOKUP($B3,'BASE+TOMADOR'!$A:$BS,4,FALSE)</f>
        <v>G3S FL 10 - PRES PRUD</v>
      </c>
      <c r="H3" s="71" t="str">
        <f>VLOOKUP($B3,'BASE+TOMADOR'!$A:$BS,7,FALSE)</f>
        <v>CONTRATO PJ</v>
      </c>
      <c r="I3" s="72">
        <f>IFERROR(VLOOKUP($B3,'BASE+TOMADOR'!$A:$BS,62,FALSE),0)</f>
        <v>915.55583333333334</v>
      </c>
      <c r="J3" s="72">
        <f>IFERROR(VLOOKUP($B3,'BASE+TOMADOR'!$A:$BS,67,FALSE),0)</f>
        <v>0</v>
      </c>
      <c r="K3" s="73">
        <f>VLOOKUP($B3,'BASE+TOMADOR'!$A:$BS,55,FALSE)</f>
        <v>12.87</v>
      </c>
      <c r="L3" s="73">
        <f>IFERROR(VLOOKUP($B3,'BASE+TOMADOR'!$A:$BS,56,FALSE),0)</f>
        <v>10999.54</v>
      </c>
      <c r="M3" s="72">
        <f>IFERROR(VLOOKUP($B3,'BASE+TOMADOR'!$A:$BS,58,FALSE),0)</f>
        <v>10999.54</v>
      </c>
      <c r="N3" s="74">
        <f t="shared" ref="N3" si="0">M3/$M$1</f>
        <v>0.10062067255840593</v>
      </c>
      <c r="O3" s="72">
        <f>IFERROR(VLOOKUP(B3,'[1]BASE+TOMADOR'!$A:$BF,58,0),0)</f>
        <v>12693.34</v>
      </c>
      <c r="P3" s="67">
        <f t="shared" ref="P3:P21" si="1">M3-O3</f>
        <v>-1693.7999999999993</v>
      </c>
      <c r="Q3"/>
    </row>
    <row r="4" spans="1:17" x14ac:dyDescent="0.25">
      <c r="A4" s="43">
        <f t="shared" ref="A4:A23" si="2">A3+1</f>
        <v>2</v>
      </c>
      <c r="B4" s="71" t="s">
        <v>423</v>
      </c>
      <c r="C4" s="43" t="str">
        <f>IFERROR(VLOOKUP($B4,'BASE+TOMADOR'!$A:$BS,3,FALSE),0)</f>
        <v>PJ</v>
      </c>
      <c r="D4" s="71" t="str">
        <f>VLOOKUP($B4,'BASE+TOMADOR'!$A:$BS,8,FALSE)</f>
        <v>PILARES</v>
      </c>
      <c r="E4" s="71" t="str">
        <f>VLOOKUP($B4,'BASE+TOMADOR'!$A:$BS,15,FALSE)</f>
        <v>SUPERVISOR(A) FINANCEIRO</v>
      </c>
      <c r="F4" s="43" t="str">
        <f>VLOOKUP($B4,'BASE+TOMADOR'!$A:$BS,71,FALSE)</f>
        <v>Ativo</v>
      </c>
      <c r="G4" s="71" t="str">
        <f>VLOOKUP($B4,'BASE+TOMADOR'!$A:$BS,4,FALSE)</f>
        <v>G3S FL 10 - PRES PRUD</v>
      </c>
      <c r="H4" s="71" t="str">
        <f>VLOOKUP($B4,'BASE+TOMADOR'!$A:$BS,7,FALSE)</f>
        <v>CONTRATO PJ</v>
      </c>
      <c r="I4" s="72">
        <f>IFERROR(VLOOKUP($B4,'BASE+TOMADOR'!$A:$BS,62,FALSE),0)</f>
        <v>1000</v>
      </c>
      <c r="J4" s="72">
        <f>IFERROR(VLOOKUP($B4,'BASE+TOMADOR'!$A:$BS,67,FALSE),0)</f>
        <v>0</v>
      </c>
      <c r="K4" s="73">
        <f>VLOOKUP($B4,'BASE+TOMADOR'!$A:$BS,55,FALSE)</f>
        <v>21.87</v>
      </c>
      <c r="L4" s="73">
        <f>IFERROR(VLOOKUP($B4,'BASE+TOMADOR'!$A:$BS,56,FALSE),0)</f>
        <v>12021.87</v>
      </c>
      <c r="M4" s="72">
        <f>IFERROR(VLOOKUP($B4,'BASE+TOMADOR'!$A:$BS,58,FALSE),0)</f>
        <v>12021.87</v>
      </c>
      <c r="N4" s="74">
        <f t="shared" ref="N4:N20" si="3">M4/$M$1</f>
        <v>0.1099726574756511</v>
      </c>
      <c r="O4" s="72">
        <f>IFERROR(VLOOKUP(B4,'[1]BASE+TOMADOR'!$A:$BF,58,0),0)</f>
        <v>12000</v>
      </c>
      <c r="P4" s="67">
        <f t="shared" si="1"/>
        <v>21.8700000000008</v>
      </c>
      <c r="Q4"/>
    </row>
    <row r="5" spans="1:17" s="66" customFormat="1" x14ac:dyDescent="0.25">
      <c r="A5" s="43">
        <f t="shared" si="2"/>
        <v>3</v>
      </c>
      <c r="B5" s="71" t="s">
        <v>452</v>
      </c>
      <c r="C5" s="43" t="str">
        <f>IFERROR(VLOOKUP($B5,'BASE+TOMADOR'!$A:$BS,3,FALSE),0)</f>
        <v>PJ</v>
      </c>
      <c r="D5" s="71" t="str">
        <f>VLOOKUP($B5,'BASE+TOMADOR'!$A:$BS,8,FALSE)</f>
        <v>PILARES</v>
      </c>
      <c r="E5" s="71" t="str">
        <f>VLOOKUP($B5,'BASE+TOMADOR'!$A:$BS,15,FALSE)</f>
        <v>CONSULTOR</v>
      </c>
      <c r="F5" s="43" t="str">
        <f>VLOOKUP($B5,'BASE+TOMADOR'!$A:$BS,71,FALSE)</f>
        <v>Ativo</v>
      </c>
      <c r="G5" s="71" t="str">
        <f>VLOOKUP($B5,'BASE+TOMADOR'!$A:$BS,4,FALSE)</f>
        <v>G3S FL 10 - PRES PRUD</v>
      </c>
      <c r="H5" s="71" t="str">
        <f>VLOOKUP($B5,'BASE+TOMADOR'!$A:$BS,7,FALSE)</f>
        <v>CONTRATO PJ</v>
      </c>
      <c r="I5" s="72">
        <f>IFERROR(VLOOKUP($B5,'BASE+TOMADOR'!$A:$BS,62,FALSE),0)</f>
        <v>957.55000000000007</v>
      </c>
      <c r="J5" s="72">
        <f>IFERROR(VLOOKUP($B5,'BASE+TOMADOR'!$A:$BS,67,FALSE),0)</f>
        <v>0</v>
      </c>
      <c r="K5" s="73">
        <f>VLOOKUP($B5,'BASE+TOMADOR'!$A:$BS,55,FALSE)</f>
        <v>21.87</v>
      </c>
      <c r="L5" s="73">
        <f>IFERROR(VLOOKUP($B5,'BASE+TOMADOR'!$A:$BS,56,FALSE),0)</f>
        <v>11512.470000000001</v>
      </c>
      <c r="M5" s="72">
        <f>IFERROR(VLOOKUP($B5,'BASE+TOMADOR'!$A:$BS,58,FALSE),0)</f>
        <v>11512.470000000001</v>
      </c>
      <c r="N5" s="74">
        <f t="shared" si="3"/>
        <v>0.10531281073649185</v>
      </c>
      <c r="O5" s="72">
        <f>IFERROR(VLOOKUP(B5,'[1]BASE+TOMADOR'!$A:$BF,58,0),0)</f>
        <v>9192.48</v>
      </c>
      <c r="P5" s="67">
        <f t="shared" si="1"/>
        <v>2319.9900000000016</v>
      </c>
    </row>
    <row r="6" spans="1:17" x14ac:dyDescent="0.25">
      <c r="A6" s="43">
        <f t="shared" si="2"/>
        <v>4</v>
      </c>
      <c r="B6" s="71" t="s">
        <v>456</v>
      </c>
      <c r="C6" s="43" t="str">
        <f>IFERROR(VLOOKUP($B6,'BASE+TOMADOR'!$A:$BS,3,FALSE),0)</f>
        <v>PJ</v>
      </c>
      <c r="D6" s="71" t="str">
        <f>VLOOKUP($B6,'BASE+TOMADOR'!$A:$BS,8,FALSE)</f>
        <v>PILARES</v>
      </c>
      <c r="E6" s="71" t="str">
        <f>VLOOKUP($B6,'BASE+TOMADOR'!$A:$BS,15,FALSE)</f>
        <v>COORDENADOR DE QUALIDADE</v>
      </c>
      <c r="F6" s="43" t="str">
        <f>VLOOKUP($B6,'BASE+TOMADOR'!$A:$BS,71,FALSE)</f>
        <v>Ativo</v>
      </c>
      <c r="G6" s="71" t="str">
        <f>VLOOKUP($B6,'BASE+TOMADOR'!$A:$BS,4,FALSE)</f>
        <v>G3S FL 10 - PRES PRUD</v>
      </c>
      <c r="H6" s="71" t="str">
        <f>VLOOKUP($B6,'BASE+TOMADOR'!$A:$BS,7,FALSE)</f>
        <v>CONTRATO PJ</v>
      </c>
      <c r="I6" s="72">
        <f>IFERROR(VLOOKUP($B6,'BASE+TOMADOR'!$A:$BS,62,FALSE),0)</f>
        <v>762.5</v>
      </c>
      <c r="J6" s="72">
        <f>IFERROR(VLOOKUP($B6,'BASE+TOMADOR'!$A:$BS,67,FALSE),0)</f>
        <v>0</v>
      </c>
      <c r="K6" s="73">
        <f>VLOOKUP($B6,'BASE+TOMADOR'!$A:$BS,55,FALSE)</f>
        <v>21.87</v>
      </c>
      <c r="L6" s="73">
        <f>IFERROR(VLOOKUP($B6,'BASE+TOMADOR'!$A:$BS,56,FALSE),0)</f>
        <v>9171.8700000000008</v>
      </c>
      <c r="M6" s="72">
        <f>IFERROR(VLOOKUP($B6,'BASE+TOMADOR'!$A:$BS,58,FALSE),0)</f>
        <v>9171.8700000000008</v>
      </c>
      <c r="N6" s="74">
        <f t="shared" si="3"/>
        <v>8.3901665707681095E-2</v>
      </c>
      <c r="O6" s="72">
        <f>IFERROR(VLOOKUP(B6,'[1]BASE+TOMADOR'!$A:$BF,58,0),0)</f>
        <v>8800</v>
      </c>
      <c r="P6" s="67">
        <f t="shared" si="1"/>
        <v>371.8700000000008</v>
      </c>
    </row>
    <row r="7" spans="1:17" x14ac:dyDescent="0.25">
      <c r="A7" s="43">
        <f t="shared" si="2"/>
        <v>5</v>
      </c>
      <c r="B7" s="71" t="s">
        <v>461</v>
      </c>
      <c r="C7" s="43" t="str">
        <f>IFERROR(VLOOKUP($B7,'BASE+TOMADOR'!$A:$BS,3,FALSE),0)</f>
        <v>PJ</v>
      </c>
      <c r="D7" s="71" t="str">
        <f>VLOOKUP($B7,'BASE+TOMADOR'!$A:$BS,8,FALSE)</f>
        <v>PILARES</v>
      </c>
      <c r="E7" s="71" t="str">
        <f>VLOOKUP($B7,'BASE+TOMADOR'!$A:$BS,15,FALSE)</f>
        <v>CONSULTOR</v>
      </c>
      <c r="F7" s="43" t="str">
        <f>VLOOKUP($B7,'BASE+TOMADOR'!$A:$BS,71,FALSE)</f>
        <v>Ativo</v>
      </c>
      <c r="G7" s="71" t="str">
        <f>VLOOKUP($B7,'BASE+TOMADOR'!$A:$BS,4,FALSE)</f>
        <v>G3S FL 10 - PRES PRUD</v>
      </c>
      <c r="H7" s="71" t="str">
        <f>VLOOKUP($B7,'BASE+TOMADOR'!$A:$BS,7,FALSE)</f>
        <v>CONTRATO PJ</v>
      </c>
      <c r="I7" s="72">
        <f>IFERROR(VLOOKUP($B7,'BASE+TOMADOR'!$A:$BS,62,FALSE),0)</f>
        <v>0</v>
      </c>
      <c r="J7" s="72">
        <f>IFERROR(VLOOKUP($B7,'BASE+TOMADOR'!$A:$BS,67,FALSE),0)</f>
        <v>0</v>
      </c>
      <c r="K7" s="73">
        <f>VLOOKUP($B7,'BASE+TOMADOR'!$A:$BS,55,FALSE)</f>
        <v>0</v>
      </c>
      <c r="L7" s="73">
        <f>IFERROR(VLOOKUP($B7,'BASE+TOMADOR'!$A:$BS,56,FALSE),0)</f>
        <v>6578</v>
      </c>
      <c r="M7" s="72">
        <f>IFERROR(VLOOKUP($B7,'BASE+TOMADOR'!$A:$BS,58,FALSE),0)</f>
        <v>6578</v>
      </c>
      <c r="N7" s="74">
        <f t="shared" si="3"/>
        <v>6.0173678543756749E-2</v>
      </c>
      <c r="O7" s="72">
        <f>IFERROR(VLOOKUP(B7,'[1]BASE+TOMADOR'!$A:$BF,58,0),0)</f>
        <v>6000</v>
      </c>
      <c r="P7" s="67">
        <f t="shared" si="1"/>
        <v>578</v>
      </c>
    </row>
    <row r="8" spans="1:17" x14ac:dyDescent="0.25">
      <c r="A8" s="43">
        <f t="shared" si="2"/>
        <v>6</v>
      </c>
      <c r="B8" s="71" t="s">
        <v>466</v>
      </c>
      <c r="C8" s="43" t="str">
        <f>IFERROR(VLOOKUP($B8,'BASE+TOMADOR'!$A:$BS,3,FALSE),0)</f>
        <v>PJ</v>
      </c>
      <c r="D8" s="71" t="str">
        <f>VLOOKUP($B8,'BASE+TOMADOR'!$A:$BS,8,FALSE)</f>
        <v>ADMINISTRATIVO</v>
      </c>
      <c r="E8" s="71" t="str">
        <f>VLOOKUP($B8,'BASE+TOMADOR'!$A:$BS,15,FALSE)</f>
        <v>ANALISTA DE COMPRAS</v>
      </c>
      <c r="F8" s="43" t="str">
        <f>VLOOKUP($B8,'BASE+TOMADOR'!$A:$BS,71,FALSE)</f>
        <v>Ativo</v>
      </c>
      <c r="G8" s="71" t="str">
        <f>VLOOKUP($B8,'BASE+TOMADOR'!$A:$BS,4,FALSE)</f>
        <v>G3S  FL 10 - PRES PRUD</v>
      </c>
      <c r="H8" s="71" t="str">
        <f>VLOOKUP($B8,'BASE+TOMADOR'!$A:$BS,7,FALSE)</f>
        <v>CONTRATO PJ</v>
      </c>
      <c r="I8" s="72">
        <f>IFERROR(VLOOKUP($B8,'BASE+TOMADOR'!$A:$BS,62,FALSE),0)</f>
        <v>541.66666666666663</v>
      </c>
      <c r="J8" s="72">
        <f>IFERROR(VLOOKUP($B8,'BASE+TOMADOR'!$A:$BS,67,FALSE),0)</f>
        <v>0</v>
      </c>
      <c r="K8" s="73">
        <f>VLOOKUP($B8,'BASE+TOMADOR'!$A:$BS,55,FALSE)</f>
        <v>521.87</v>
      </c>
      <c r="L8" s="73">
        <f>IFERROR(VLOOKUP($B8,'BASE+TOMADOR'!$A:$BS,56,FALSE),0)</f>
        <v>7021.87</v>
      </c>
      <c r="M8" s="72">
        <f>IFERROR(VLOOKUP($B8,'BASE+TOMADOR'!$A:$BS,58,FALSE),0)</f>
        <v>7021.87</v>
      </c>
      <c r="N8" s="74">
        <f t="shared" si="3"/>
        <v>6.4234075426580911E-2</v>
      </c>
      <c r="O8" s="72">
        <f>IFERROR(VLOOKUP(B8,'[1]BASE+TOMADOR'!$A:$BF,58,0),0)</f>
        <v>5500</v>
      </c>
      <c r="P8" s="67">
        <f t="shared" si="1"/>
        <v>1521.87</v>
      </c>
    </row>
    <row r="9" spans="1:17" x14ac:dyDescent="0.25">
      <c r="A9" s="43">
        <f t="shared" si="2"/>
        <v>7</v>
      </c>
      <c r="B9" s="71" t="s">
        <v>198</v>
      </c>
      <c r="C9" s="43" t="str">
        <f>IFERROR(VLOOKUP($B9,'BASE+TOMADOR'!$A:$BS,3,FALSE),0)</f>
        <v>CLT</v>
      </c>
      <c r="D9" s="71" t="str">
        <f>VLOOKUP($B9,'BASE+TOMADOR'!$A:$BS,8,FALSE)</f>
        <v>GESTÃO DE GENTE</v>
      </c>
      <c r="E9" s="71" t="str">
        <f>VLOOKUP($B9,'BASE+TOMADOR'!$A:$BS,15,FALSE)</f>
        <v>ANALISTA DE DEPTO PESSOAL</v>
      </c>
      <c r="F9" s="43" t="str">
        <f>VLOOKUP($B9,'BASE+TOMADOR'!$A:$BS,71,FALSE)</f>
        <v>Ativo</v>
      </c>
      <c r="G9" s="71" t="str">
        <f>VLOOKUP($B9,'BASE+TOMADOR'!$A:$BS,4,FALSE)</f>
        <v>G3S FL 10 - PRES PRUD</v>
      </c>
      <c r="H9" s="71" t="str">
        <f>VLOOKUP($B9,'BASE+TOMADOR'!$A:$BS,7,FALSE)</f>
        <v>20.947.332/0010-86</v>
      </c>
      <c r="I9" s="72">
        <f>IFERROR(VLOOKUP($B9,'BASE+TOMADOR'!$A:$BS,62,FALSE),0)</f>
        <v>888.36805555555566</v>
      </c>
      <c r="J9" s="72">
        <f>IFERROR(VLOOKUP($B9,'BASE+TOMADOR'!$A:$BS,67,FALSE),0)</f>
        <v>1681.29</v>
      </c>
      <c r="K9" s="73">
        <f>VLOOKUP($B9,'BASE+TOMADOR'!$A:$BS,55,FALSE)</f>
        <v>512.87</v>
      </c>
      <c r="L9" s="73">
        <f>IFERROR(VLOOKUP($B9,'BASE+TOMADOR'!$A:$BS,56,FALSE),0)</f>
        <v>5081.62</v>
      </c>
      <c r="M9" s="72">
        <f>IFERROR(VLOOKUP($B9,'BASE+TOMADOR'!$A:$BS,58,FALSE),0)</f>
        <v>5081.62</v>
      </c>
      <c r="N9" s="74">
        <f t="shared" si="3"/>
        <v>4.6485218662439216E-2</v>
      </c>
      <c r="O9" s="72">
        <f>IFERROR(VLOOKUP(B9,'[1]BASE+TOMADOR'!$A:$BF,58,0),0)</f>
        <v>4837.5</v>
      </c>
      <c r="P9" s="67">
        <f t="shared" si="1"/>
        <v>244.11999999999989</v>
      </c>
    </row>
    <row r="10" spans="1:17" x14ac:dyDescent="0.25">
      <c r="A10" s="43">
        <f t="shared" si="2"/>
        <v>8</v>
      </c>
      <c r="B10" s="71" t="s">
        <v>221</v>
      </c>
      <c r="C10" s="43" t="str">
        <f>IFERROR(VLOOKUP($B10,'BASE+TOMADOR'!$A:$BS,3,FALSE),0)</f>
        <v>CLT</v>
      </c>
      <c r="D10" s="71" t="str">
        <f>VLOOKUP($B10,'BASE+TOMADOR'!$A:$BS,8,FALSE)</f>
        <v>GESTÃO DE GENTE</v>
      </c>
      <c r="E10" s="71" t="str">
        <f>VLOOKUP($B10,'BASE+TOMADOR'!$A:$BS,15,FALSE)</f>
        <v>ANALISTA DE SESMT</v>
      </c>
      <c r="F10" s="43" t="str">
        <f>VLOOKUP($B10,'BASE+TOMADOR'!$A:$BS,71,FALSE)</f>
        <v>Ativo</v>
      </c>
      <c r="G10" s="71" t="str">
        <f>VLOOKUP($B10,'BASE+TOMADOR'!$A:$BS,4,FALSE)</f>
        <v>G3S FL 10 - PRES PRUD</v>
      </c>
      <c r="H10" s="71" t="str">
        <f>VLOOKUP($B10,'BASE+TOMADOR'!$A:$BS,7,FALSE)</f>
        <v>20.947.332/0010-86</v>
      </c>
      <c r="I10" s="72">
        <f>IFERROR(VLOOKUP($B10,'BASE+TOMADOR'!$A:$BS,62,FALSE),0)</f>
        <v>826.38888888888891</v>
      </c>
      <c r="J10" s="72">
        <f>IFERROR(VLOOKUP($B10,'BASE+TOMADOR'!$A:$BS,67,FALSE),0)</f>
        <v>1847.65</v>
      </c>
      <c r="K10" s="73">
        <f>VLOOKUP($B10,'BASE+TOMADOR'!$A:$BS,55,FALSE)</f>
        <v>2157.84</v>
      </c>
      <c r="L10" s="73">
        <f>IFERROR(VLOOKUP($B10,'BASE+TOMADOR'!$A:$BS,56,FALSE),0)</f>
        <v>6407.84</v>
      </c>
      <c r="M10" s="72">
        <f>IFERROR(VLOOKUP($B10,'BASE+TOMADOR'!$A:$BS,58,FALSE),0)</f>
        <v>6407.84</v>
      </c>
      <c r="N10" s="74">
        <f t="shared" si="3"/>
        <v>5.8617103119462791E-2</v>
      </c>
      <c r="O10" s="72">
        <f>IFERROR(VLOOKUP(B10,'[1]BASE+TOMADOR'!$A:$BF,58,0),0)</f>
        <v>4738.3999999999996</v>
      </c>
      <c r="P10" s="67">
        <f t="shared" si="1"/>
        <v>1669.4400000000005</v>
      </c>
    </row>
    <row r="11" spans="1:17" x14ac:dyDescent="0.25">
      <c r="A11" s="43">
        <f t="shared" si="2"/>
        <v>9</v>
      </c>
      <c r="B11" s="71" t="s">
        <v>232</v>
      </c>
      <c r="C11" s="43" t="str">
        <f>IFERROR(VLOOKUP($B11,'BASE+TOMADOR'!$A:$BS,3,FALSE),0)</f>
        <v>CLT</v>
      </c>
      <c r="D11" s="71" t="str">
        <f>VLOOKUP($B11,'BASE+TOMADOR'!$A:$BS,8,FALSE)</f>
        <v>GESTÃO DE GENTE</v>
      </c>
      <c r="E11" s="71" t="str">
        <f>VLOOKUP($B11,'BASE+TOMADOR'!$A:$BS,15,FALSE)</f>
        <v>ANALISTA DE RECURSOS HUMANOS SENIOR</v>
      </c>
      <c r="F11" s="43" t="str">
        <f>VLOOKUP($B11,'BASE+TOMADOR'!$A:$BS,71,FALSE)</f>
        <v>Ativo</v>
      </c>
      <c r="G11" s="71" t="str">
        <f>VLOOKUP($B11,'BASE+TOMADOR'!$A:$BS,4,FALSE)</f>
        <v>G3S FL 10 - PRES PRUD</v>
      </c>
      <c r="H11" s="71" t="str">
        <f>VLOOKUP($B11,'BASE+TOMADOR'!$A:$BS,7,FALSE)</f>
        <v>20.947.332/0010-86</v>
      </c>
      <c r="I11" s="72">
        <f>IFERROR(VLOOKUP($B11,'BASE+TOMADOR'!$A:$BS,62,FALSE),0)</f>
        <v>826.38888888888891</v>
      </c>
      <c r="J11" s="72">
        <f>IFERROR(VLOOKUP($B11,'BASE+TOMADOR'!$A:$BS,67,FALSE),0)</f>
        <v>1564</v>
      </c>
      <c r="K11" s="73">
        <f>VLOOKUP($B11,'BASE+TOMADOR'!$A:$BS,55,FALSE)</f>
        <v>521.87</v>
      </c>
      <c r="L11" s="73">
        <f>IFERROR(VLOOKUP($B11,'BASE+TOMADOR'!$A:$BS,56,FALSE),0)</f>
        <v>4771.87</v>
      </c>
      <c r="M11" s="72">
        <f>IFERROR(VLOOKUP($B11,'BASE+TOMADOR'!$A:$BS,58,FALSE),0)</f>
        <v>4771.87</v>
      </c>
      <c r="N11" s="74">
        <f t="shared" si="3"/>
        <v>4.3651713504499319E-2</v>
      </c>
      <c r="O11" s="72">
        <f>IFERROR(VLOOKUP(B11,'[1]BASE+TOMADOR'!$A:$BF,58,0),0)</f>
        <v>4500</v>
      </c>
      <c r="P11" s="67">
        <f t="shared" si="1"/>
        <v>271.86999999999989</v>
      </c>
    </row>
    <row r="12" spans="1:17" x14ac:dyDescent="0.25">
      <c r="A12" s="43">
        <f t="shared" si="2"/>
        <v>10</v>
      </c>
      <c r="B12" s="71" t="s">
        <v>449</v>
      </c>
      <c r="C12" s="43" t="str">
        <f>IFERROR(VLOOKUP($B12,'BASE+TOMADOR'!$A:$BS,3,FALSE),0)</f>
        <v>PJ</v>
      </c>
      <c r="D12" s="71" t="str">
        <f>VLOOKUP($B12,'BASE+TOMADOR'!$A:$BS,8,FALSE)</f>
        <v>PILARES</v>
      </c>
      <c r="E12" s="71" t="str">
        <f>VLOOKUP($B12,'BASE+TOMADOR'!$A:$BS,15,FALSE)</f>
        <v>CONSULTOR</v>
      </c>
      <c r="F12" s="43" t="str">
        <f>VLOOKUP($B12,'BASE+TOMADOR'!$A:$BS,71,FALSE)</f>
        <v>Ativo</v>
      </c>
      <c r="G12" s="71" t="str">
        <f>VLOOKUP($B12,'BASE+TOMADOR'!$A:$BS,4,FALSE)</f>
        <v>G3S FL 10 - PRES PRUD</v>
      </c>
      <c r="H12" s="71" t="str">
        <f>VLOOKUP($B12,'BASE+TOMADOR'!$A:$BS,7,FALSE)</f>
        <v>CONTRATO PJ</v>
      </c>
      <c r="I12" s="72">
        <f>IFERROR(VLOOKUP($B12,'BASE+TOMADOR'!$A:$BS,62,FALSE),0)</f>
        <v>500</v>
      </c>
      <c r="J12" s="72">
        <f>IFERROR(VLOOKUP($B12,'BASE+TOMADOR'!$A:$BS,67,FALSE),0)</f>
        <v>0</v>
      </c>
      <c r="K12" s="73">
        <f>VLOOKUP($B12,'BASE+TOMADOR'!$A:$BS,55,FALSE)</f>
        <v>0</v>
      </c>
      <c r="L12" s="73">
        <f>IFERROR(VLOOKUP($B12,'BASE+TOMADOR'!$A:$BS,56,FALSE),0)</f>
        <v>6000</v>
      </c>
      <c r="M12" s="72">
        <f>IFERROR(VLOOKUP($B12,'BASE+TOMADOR'!$A:$BS,58,FALSE),0)</f>
        <v>6000</v>
      </c>
      <c r="N12" s="74">
        <f t="shared" si="3"/>
        <v>5.4886298458884236E-2</v>
      </c>
      <c r="O12" s="72">
        <f>IFERROR(VLOOKUP(B12,'[1]BASE+TOMADOR'!$A:$BF,58,0),0)</f>
        <v>6000</v>
      </c>
      <c r="P12" s="67">
        <f t="shared" si="1"/>
        <v>0</v>
      </c>
    </row>
    <row r="13" spans="1:17" x14ac:dyDescent="0.25">
      <c r="A13" s="43">
        <f t="shared" si="2"/>
        <v>11</v>
      </c>
      <c r="B13" s="71" t="s">
        <v>213</v>
      </c>
      <c r="C13" s="43" t="str">
        <f>IFERROR(VLOOKUP($B13,'BASE+TOMADOR'!$A:$BS,3,FALSE),0)</f>
        <v>CLT</v>
      </c>
      <c r="D13" s="71" t="str">
        <f>VLOOKUP($B13,'BASE+TOMADOR'!$A:$BS,8,FALSE)</f>
        <v>ADMINISTRATIVO</v>
      </c>
      <c r="E13" s="71" t="str">
        <f>VLOOKUP($B13,'BASE+TOMADOR'!$A:$BS,15,FALSE)</f>
        <v>ANALISTA CONTABIL SENIOR</v>
      </c>
      <c r="F13" s="43" t="str">
        <f>VLOOKUP($B13,'BASE+TOMADOR'!$A:$BS,71,FALSE)</f>
        <v>Ativo</v>
      </c>
      <c r="G13" s="71" t="str">
        <f>VLOOKUP($B13,'BASE+TOMADOR'!$A:$BS,4,FALSE)</f>
        <v>G3S FL 10 - PRES PRUD</v>
      </c>
      <c r="H13" s="71" t="str">
        <f>VLOOKUP($B13,'BASE+TOMADOR'!$A:$BS,7,FALSE)</f>
        <v>20.947.332/0010-86</v>
      </c>
      <c r="I13" s="72">
        <f>IFERROR(VLOOKUP($B13,'BASE+TOMADOR'!$A:$BS,62,FALSE),0)</f>
        <v>723.09027777777771</v>
      </c>
      <c r="J13" s="72">
        <f>IFERROR(VLOOKUP($B13,'BASE+TOMADOR'!$A:$BS,67,FALSE),0)</f>
        <v>1368.49</v>
      </c>
      <c r="K13" s="73">
        <f>VLOOKUP($B13,'BASE+TOMADOR'!$A:$BS,55,FALSE)</f>
        <v>621.87</v>
      </c>
      <c r="L13" s="73">
        <f>IFERROR(VLOOKUP($B13,'BASE+TOMADOR'!$A:$BS,56,FALSE),0)</f>
        <v>4340.62</v>
      </c>
      <c r="M13" s="72">
        <f>IFERROR(VLOOKUP($B13,'BASE+TOMADOR'!$A:$BS,58,FALSE),0)</f>
        <v>4340.62</v>
      </c>
      <c r="N13" s="74">
        <f t="shared" si="3"/>
        <v>3.9706760802767013E-2</v>
      </c>
      <c r="O13" s="72">
        <f>IFERROR(VLOOKUP(B13,'[1]BASE+TOMADOR'!$A:$BF,58,0),0)</f>
        <v>4037.5</v>
      </c>
      <c r="P13" s="67">
        <f t="shared" si="1"/>
        <v>303.11999999999989</v>
      </c>
    </row>
    <row r="14" spans="1:17" x14ac:dyDescent="0.25">
      <c r="A14" s="43">
        <f t="shared" si="2"/>
        <v>12</v>
      </c>
      <c r="B14" s="71" t="s">
        <v>217</v>
      </c>
      <c r="C14" s="43" t="str">
        <f>IFERROR(VLOOKUP($B14,'BASE+TOMADOR'!$A:$BS,3,FALSE),0)</f>
        <v>CLT</v>
      </c>
      <c r="D14" s="71" t="str">
        <f>VLOOKUP($B14,'BASE+TOMADOR'!$A:$BS,8,FALSE)</f>
        <v>ADMINISTRATIVO</v>
      </c>
      <c r="E14" s="71" t="str">
        <f>VLOOKUP($B14,'BASE+TOMADOR'!$A:$BS,15,FALSE)</f>
        <v>ANALISTA FINANCEIRO SENIOR II</v>
      </c>
      <c r="F14" s="43" t="str">
        <f>VLOOKUP($B14,'BASE+TOMADOR'!$A:$BS,71,FALSE)</f>
        <v>Ativo</v>
      </c>
      <c r="G14" s="71" t="str">
        <f>VLOOKUP($B14,'BASE+TOMADOR'!$A:$BS,4,FALSE)</f>
        <v>G3S FL 10 - PRES PRUD</v>
      </c>
      <c r="H14" s="71" t="str">
        <f>VLOOKUP($B14,'BASE+TOMADOR'!$A:$BS,7,FALSE)</f>
        <v>20.947.332/0010-86</v>
      </c>
      <c r="I14" s="72">
        <f>IFERROR(VLOOKUP($B14,'BASE+TOMADOR'!$A:$BS,62,FALSE),0)</f>
        <v>748.61111111111109</v>
      </c>
      <c r="J14" s="72">
        <f>IFERROR(VLOOKUP($B14,'BASE+TOMADOR'!$A:$BS,67,FALSE),0)</f>
        <v>1416.8</v>
      </c>
      <c r="K14" s="73">
        <f>VLOOKUP($B14,'BASE+TOMADOR'!$A:$BS,55,FALSE)</f>
        <v>521.87</v>
      </c>
      <c r="L14" s="73">
        <f>IFERROR(VLOOKUP($B14,'BASE+TOMADOR'!$A:$BS,56,FALSE),0)</f>
        <v>4371.87</v>
      </c>
      <c r="M14" s="72">
        <f>IFERROR(VLOOKUP($B14,'BASE+TOMADOR'!$A:$BS,58,FALSE),0)</f>
        <v>4371.87</v>
      </c>
      <c r="N14" s="74">
        <f t="shared" si="3"/>
        <v>3.9992626940573699E-2</v>
      </c>
      <c r="O14" s="72">
        <f>IFERROR(VLOOKUP(B14,'[1]BASE+TOMADOR'!$A:$BF,58,0),0)</f>
        <v>4079.22</v>
      </c>
      <c r="P14" s="67">
        <f t="shared" si="1"/>
        <v>292.65000000000009</v>
      </c>
    </row>
    <row r="15" spans="1:17" x14ac:dyDescent="0.25">
      <c r="A15" s="43">
        <f t="shared" si="2"/>
        <v>13</v>
      </c>
      <c r="B15" s="71" t="s">
        <v>229</v>
      </c>
      <c r="C15" s="43" t="str">
        <f>IFERROR(VLOOKUP($B15,'BASE+TOMADOR'!$A:$BS,3,FALSE),0)</f>
        <v>CLT</v>
      </c>
      <c r="D15" s="71" t="str">
        <f>VLOOKUP($B15,'BASE+TOMADOR'!$A:$BS,8,FALSE)</f>
        <v>ADMINISTRATIVO</v>
      </c>
      <c r="E15" s="71" t="str">
        <f>VLOOKUP($B15,'BASE+TOMADOR'!$A:$BS,15,FALSE)</f>
        <v>ANALISTA FISCAL SENIOR I</v>
      </c>
      <c r="F15" s="43" t="str">
        <f>VLOOKUP($B15,'BASE+TOMADOR'!$A:$BS,71,FALSE)</f>
        <v>Ativo</v>
      </c>
      <c r="G15" s="71" t="str">
        <f>VLOOKUP($B15,'BASE+TOMADOR'!$A:$BS,4,FALSE)</f>
        <v>G3S FL 10 - PRES PRUD</v>
      </c>
      <c r="H15" s="71" t="str">
        <f>VLOOKUP($B15,'BASE+TOMADOR'!$A:$BS,7,FALSE)</f>
        <v>20.947.332/0010-86</v>
      </c>
      <c r="I15" s="72">
        <f>IFERROR(VLOOKUP($B15,'BASE+TOMADOR'!$A:$BS,62,FALSE),0)</f>
        <v>680.55555555555566</v>
      </c>
      <c r="J15" s="72">
        <f>IFERROR(VLOOKUP($B15,'BASE+TOMADOR'!$A:$BS,67,FALSE),0)</f>
        <v>1288</v>
      </c>
      <c r="K15" s="73">
        <f>VLOOKUP($B15,'BASE+TOMADOR'!$A:$BS,55,FALSE)</f>
        <v>521.87</v>
      </c>
      <c r="L15" s="73">
        <f>IFERROR(VLOOKUP($B15,'BASE+TOMADOR'!$A:$BS,56,FALSE),0)</f>
        <v>4021.87</v>
      </c>
      <c r="M15" s="72">
        <f>IFERROR(VLOOKUP($B15,'BASE+TOMADOR'!$A:$BS,58,FALSE),0)</f>
        <v>4021.87</v>
      </c>
      <c r="N15" s="74">
        <f t="shared" si="3"/>
        <v>3.6790926197138786E-2</v>
      </c>
      <c r="O15" s="72">
        <f>IFERROR(VLOOKUP(B15,'[1]BASE+TOMADOR'!$A:$BF,58,0),0)</f>
        <v>3625</v>
      </c>
      <c r="P15" s="67">
        <f t="shared" si="1"/>
        <v>396.86999999999989</v>
      </c>
    </row>
    <row r="16" spans="1:17" x14ac:dyDescent="0.25">
      <c r="A16" s="43">
        <f t="shared" si="2"/>
        <v>14</v>
      </c>
      <c r="B16" s="71" t="s">
        <v>206</v>
      </c>
      <c r="C16" s="43" t="str">
        <f>IFERROR(VLOOKUP($B16,'BASE+TOMADOR'!$A:$BS,3,FALSE),0)</f>
        <v>CLT</v>
      </c>
      <c r="D16" s="71" t="str">
        <f>VLOOKUP($B16,'BASE+TOMADOR'!$A:$BS,8,FALSE)</f>
        <v>ADMINISTRATIVO</v>
      </c>
      <c r="E16" s="71" t="str">
        <f>VLOOKUP($B16,'BASE+TOMADOR'!$A:$BS,15,FALSE)</f>
        <v>ANALISTA CONTABIL JUNIOR</v>
      </c>
      <c r="F16" s="43" t="str">
        <f>VLOOKUP($B16,'BASE+TOMADOR'!$A:$BS,71,FALSE)</f>
        <v>Ativo</v>
      </c>
      <c r="G16" s="71" t="str">
        <f>VLOOKUP($B16,'BASE+TOMADOR'!$A:$BS,4,FALSE)</f>
        <v>G3S FL 10 - PRES PRUD</v>
      </c>
      <c r="H16" s="71" t="str">
        <f>VLOOKUP($B16,'BASE+TOMADOR'!$A:$BS,7,FALSE)</f>
        <v>20.947.332/0010-86</v>
      </c>
      <c r="I16" s="72">
        <f>IFERROR(VLOOKUP($B16,'BASE+TOMADOR'!$A:$BS,62,FALSE),0)</f>
        <v>516.49305555555554</v>
      </c>
      <c r="J16" s="72">
        <f>IFERROR(VLOOKUP($B16,'BASE+TOMADOR'!$A:$BS,67,FALSE),0)</f>
        <v>977.49</v>
      </c>
      <c r="K16" s="73">
        <f>VLOOKUP($B16,'BASE+TOMADOR'!$A:$BS,55,FALSE)</f>
        <v>521.87</v>
      </c>
      <c r="L16" s="73">
        <f>IFERROR(VLOOKUP($B16,'BASE+TOMADOR'!$A:$BS,56,FALSE),0)</f>
        <v>3178.12</v>
      </c>
      <c r="M16" s="72">
        <f>IFERROR(VLOOKUP($B16,'BASE+TOMADOR'!$A:$BS,58,FALSE),0)</f>
        <v>3178.12</v>
      </c>
      <c r="N16" s="74">
        <f t="shared" si="3"/>
        <v>2.9072540476358193E-2</v>
      </c>
      <c r="O16" s="72">
        <f>IFERROR(VLOOKUP(B16,'[1]BASE+TOMADOR'!$A:$BF,58,0),0)</f>
        <v>2822.92</v>
      </c>
      <c r="P16" s="67">
        <f t="shared" si="1"/>
        <v>355.19999999999982</v>
      </c>
    </row>
    <row r="17" spans="1:16" x14ac:dyDescent="0.25">
      <c r="A17" s="43">
        <f t="shared" si="2"/>
        <v>15</v>
      </c>
      <c r="B17" s="71" t="s">
        <v>227</v>
      </c>
      <c r="C17" s="43" t="str">
        <f>IFERROR(VLOOKUP($B17,'BASE+TOMADOR'!$A:$BS,3,FALSE),0)</f>
        <v>CLT</v>
      </c>
      <c r="D17" s="71" t="str">
        <f>VLOOKUP($B17,'BASE+TOMADOR'!$A:$BS,8,FALSE)</f>
        <v>ADMINISTRATIVO</v>
      </c>
      <c r="E17" s="71" t="str">
        <f>VLOOKUP($B17,'BASE+TOMADOR'!$A:$BS,15,FALSE)</f>
        <v>ANALISTA FINANCEIRO JUNIOR</v>
      </c>
      <c r="F17" s="43" t="str">
        <f>VLOOKUP($B17,'BASE+TOMADOR'!$A:$BS,71,FALSE)</f>
        <v>Ativo</v>
      </c>
      <c r="G17" s="71" t="str">
        <f>VLOOKUP($B17,'BASE+TOMADOR'!$A:$BS,4,FALSE)</f>
        <v>G3S FL 10 - PRES PRUD</v>
      </c>
      <c r="H17" s="71" t="str">
        <f>VLOOKUP($B17,'BASE+TOMADOR'!$A:$BS,7,FALSE)</f>
        <v>20.947.332/0010-86</v>
      </c>
      <c r="I17" s="72">
        <f>IFERROR(VLOOKUP($B17,'BASE+TOMADOR'!$A:$BS,62,FALSE),0)</f>
        <v>516.49305555555554</v>
      </c>
      <c r="J17" s="72">
        <f>IFERROR(VLOOKUP($B17,'BASE+TOMADOR'!$A:$BS,67,FALSE),0)</f>
        <v>977.49</v>
      </c>
      <c r="K17" s="73">
        <f>VLOOKUP($B17,'BASE+TOMADOR'!$A:$BS,55,FALSE)</f>
        <v>521.87</v>
      </c>
      <c r="L17" s="73">
        <f>IFERROR(VLOOKUP($B17,'BASE+TOMADOR'!$A:$BS,56,FALSE),0)</f>
        <v>3178.12</v>
      </c>
      <c r="M17" s="72">
        <f>IFERROR(VLOOKUP($B17,'BASE+TOMADOR'!$A:$BS,58,FALSE),0)</f>
        <v>3178.12</v>
      </c>
      <c r="N17" s="74">
        <f t="shared" si="3"/>
        <v>2.9072540476358193E-2</v>
      </c>
      <c r="O17" s="72">
        <f>IFERROR(VLOOKUP(B17,'[1]BASE+TOMADOR'!$A:$BF,58,0),0)</f>
        <v>2820.05</v>
      </c>
      <c r="P17" s="67">
        <f t="shared" si="1"/>
        <v>358.06999999999971</v>
      </c>
    </row>
    <row r="18" spans="1:16" x14ac:dyDescent="0.25">
      <c r="A18" s="43">
        <f t="shared" si="2"/>
        <v>16</v>
      </c>
      <c r="B18" s="71" t="s">
        <v>243</v>
      </c>
      <c r="C18" s="43" t="str">
        <f>IFERROR(VLOOKUP($B18,'BASE+TOMADOR'!$A:$BS,3,FALSE),0)</f>
        <v>ESTÁGIO</v>
      </c>
      <c r="D18" s="71" t="str">
        <f>VLOOKUP($B18,'BASE+TOMADOR'!$A:$BS,8,FALSE)</f>
        <v>ADMINISTRATIVO</v>
      </c>
      <c r="E18" s="71" t="str">
        <f>VLOOKUP($B18,'BASE+TOMADOR'!$A:$BS,15,FALSE)</f>
        <v>AUXILIAR ADMINISTRATIVO - ESTAGIARIO(A)</v>
      </c>
      <c r="F18" s="43" t="str">
        <f>VLOOKUP($B18,'BASE+TOMADOR'!$A:$BS,71,FALSE)</f>
        <v>Ativo</v>
      </c>
      <c r="G18" s="71" t="str">
        <f>VLOOKUP($B18,'BASE+TOMADOR'!$A:$BS,4,FALSE)</f>
        <v>G3S FL 10 - PRES PRUD</v>
      </c>
      <c r="H18" s="71" t="str">
        <f>VLOOKUP($B18,'BASE+TOMADOR'!$A:$BS,7,FALSE)</f>
        <v>20.947.332/0010-86</v>
      </c>
      <c r="I18" s="72">
        <f>IFERROR(VLOOKUP($B18,'BASE+TOMADOR'!$A:$BS,62,FALSE),0)</f>
        <v>0</v>
      </c>
      <c r="J18" s="72">
        <f>IFERROR(VLOOKUP($B18,'BASE+TOMADOR'!$A:$BS,67,FALSE),0)</f>
        <v>0</v>
      </c>
      <c r="K18" s="73">
        <f>VLOOKUP($B18,'BASE+TOMADOR'!$A:$BS,55,FALSE)</f>
        <v>1521.87</v>
      </c>
      <c r="L18" s="73">
        <f>IFERROR(VLOOKUP($B18,'BASE+TOMADOR'!$A:$BS,56,FALSE),0)</f>
        <v>1521.87</v>
      </c>
      <c r="M18" s="72">
        <f>IFERROR(VLOOKUP($B18,'BASE+TOMADOR'!$A:$BS,58,FALSE),0)</f>
        <v>1521.87</v>
      </c>
      <c r="N18" s="74">
        <f t="shared" si="3"/>
        <v>1.392163517260369E-2</v>
      </c>
      <c r="O18" s="72">
        <f>IFERROR(VLOOKUP(B18,'[1]BASE+TOMADOR'!$A:$BF,58,0),0)</f>
        <v>1000</v>
      </c>
      <c r="P18" s="67">
        <f t="shared" si="1"/>
        <v>521.86999999999989</v>
      </c>
    </row>
    <row r="19" spans="1:16" x14ac:dyDescent="0.25">
      <c r="A19" s="43">
        <f t="shared" si="2"/>
        <v>17</v>
      </c>
      <c r="B19" s="71" t="s">
        <v>248</v>
      </c>
      <c r="C19" s="43" t="str">
        <f>IFERROR(VLOOKUP($B19,'BASE+TOMADOR'!$A:$BS,3,FALSE),0)</f>
        <v>ESTÁGIO</v>
      </c>
      <c r="D19" s="71" t="str">
        <f>VLOOKUP($B19,'BASE+TOMADOR'!$A:$BS,8,FALSE)</f>
        <v>ADMINISTRATIVO</v>
      </c>
      <c r="E19" s="71" t="str">
        <f>VLOOKUP($B19,'BASE+TOMADOR'!$A:$BS,15,FALSE)</f>
        <v>AUXILIAR ADMINISTRATIVO - ESTAGIARIO(A)</v>
      </c>
      <c r="F19" s="43" t="str">
        <f>VLOOKUP($B19,'BASE+TOMADOR'!$A:$BS,71,FALSE)</f>
        <v>Ativo</v>
      </c>
      <c r="G19" s="71" t="str">
        <f>VLOOKUP($B19,'BASE+TOMADOR'!$A:$BS,4,FALSE)</f>
        <v>G3S FL 10 - PRES PRUD</v>
      </c>
      <c r="H19" s="71" t="str">
        <f>VLOOKUP($B19,'BASE+TOMADOR'!$A:$BS,7,FALSE)</f>
        <v>20.947.332/0010-86</v>
      </c>
      <c r="I19" s="72">
        <f>IFERROR(VLOOKUP($B19,'BASE+TOMADOR'!$A:$BS,62,FALSE),0)</f>
        <v>0</v>
      </c>
      <c r="J19" s="72">
        <f>IFERROR(VLOOKUP($B19,'BASE+TOMADOR'!$A:$BS,67,FALSE),0)</f>
        <v>0</v>
      </c>
      <c r="K19" s="73">
        <f>VLOOKUP($B19,'BASE+TOMADOR'!$A:$BS,55,FALSE)</f>
        <v>1521.87</v>
      </c>
      <c r="L19" s="73">
        <f>IFERROR(VLOOKUP($B19,'BASE+TOMADOR'!$A:$BS,56,FALSE),0)</f>
        <v>1521.87</v>
      </c>
      <c r="M19" s="72">
        <f>IFERROR(VLOOKUP($B19,'BASE+TOMADOR'!$A:$BS,58,FALSE),0)</f>
        <v>1521.87</v>
      </c>
      <c r="N19" s="74">
        <f t="shared" si="3"/>
        <v>1.392163517260369E-2</v>
      </c>
      <c r="O19" s="72">
        <f>IFERROR(VLOOKUP(B19,'[1]BASE+TOMADOR'!$A:$BF,58,0),0)</f>
        <v>1000</v>
      </c>
      <c r="P19" s="67">
        <f t="shared" si="1"/>
        <v>521.86999999999989</v>
      </c>
    </row>
    <row r="20" spans="1:16" s="70" customFormat="1" x14ac:dyDescent="0.25">
      <c r="A20" s="43">
        <f t="shared" si="2"/>
        <v>18</v>
      </c>
      <c r="B20" s="71" t="s">
        <v>249</v>
      </c>
      <c r="C20" s="43" t="str">
        <f>IFERROR(VLOOKUP($B20,'BASE+TOMADOR'!$A:$BS,3,FALSE),0)</f>
        <v>ESTÁGIO</v>
      </c>
      <c r="D20" s="71" t="str">
        <f>VLOOKUP($B20,'BASE+TOMADOR'!$A:$BS,8,FALSE)</f>
        <v>ADMINISTRATIVO</v>
      </c>
      <c r="E20" s="71" t="str">
        <f>VLOOKUP($B20,'BASE+TOMADOR'!$A:$BS,15,FALSE)</f>
        <v>AUXILIAR FINANCEIRO - ESTAGIARIO</v>
      </c>
      <c r="F20" s="43" t="str">
        <f>VLOOKUP($B20,'BASE+TOMADOR'!$A:$BS,71,FALSE)</f>
        <v>Ativo</v>
      </c>
      <c r="G20" s="71" t="str">
        <f>VLOOKUP($B20,'BASE+TOMADOR'!$A:$BS,4,FALSE)</f>
        <v>G3S FL 10 - PRES PRUD</v>
      </c>
      <c r="H20" s="71" t="str">
        <f>VLOOKUP($B20,'BASE+TOMADOR'!$A:$BS,7,FALSE)</f>
        <v>20.947.332/0010-86</v>
      </c>
      <c r="I20" s="72">
        <f>IFERROR(VLOOKUP($B20,'BASE+TOMADOR'!$A:$BS,62,FALSE),0)</f>
        <v>0</v>
      </c>
      <c r="J20" s="72">
        <f>IFERROR(VLOOKUP($B20,'BASE+TOMADOR'!$A:$BS,67,FALSE),0)</f>
        <v>0</v>
      </c>
      <c r="K20" s="73">
        <f>VLOOKUP($B20,'BASE+TOMADOR'!$A:$BS,55,FALSE)</f>
        <v>1521.87</v>
      </c>
      <c r="L20" s="73">
        <f>IFERROR(VLOOKUP($B20,'BASE+TOMADOR'!$A:$BS,56,FALSE),0)</f>
        <v>1521.87</v>
      </c>
      <c r="M20" s="72">
        <f>IFERROR(VLOOKUP($B20,'BASE+TOMADOR'!$A:$BS,58,FALSE),0)</f>
        <v>1521.87</v>
      </c>
      <c r="N20" s="74">
        <f t="shared" si="3"/>
        <v>1.392163517260369E-2</v>
      </c>
      <c r="O20" s="72">
        <f>IFERROR(VLOOKUP(B20,'[1]BASE+TOMADOR'!$A:$BF,58,0),0)</f>
        <v>1000</v>
      </c>
      <c r="P20" s="67">
        <f t="shared" si="1"/>
        <v>521.86999999999989</v>
      </c>
    </row>
    <row r="21" spans="1:16" s="70" customFormat="1" x14ac:dyDescent="0.25">
      <c r="A21" s="43">
        <f t="shared" si="2"/>
        <v>19</v>
      </c>
      <c r="B21" s="71" t="s">
        <v>256</v>
      </c>
      <c r="C21" s="43" t="str">
        <f>IFERROR(VLOOKUP($B21,'BASE+TOMADOR'!$A:$BS,3,FALSE),0)</f>
        <v>ESTÁGIO</v>
      </c>
      <c r="D21" s="71" t="str">
        <f>VLOOKUP($B21,'BASE+TOMADOR'!$A:$BS,8,FALSE)</f>
        <v>GESTÃO DE GENTE</v>
      </c>
      <c r="E21" s="71" t="str">
        <f>VLOOKUP($B21,'BASE+TOMADOR'!$A:$BS,15,FALSE)</f>
        <v>AUXILIAR ADMINISTRATIVO - ESTAGIARIO(A)</v>
      </c>
      <c r="F21" s="43" t="str">
        <f>VLOOKUP($B21,'BASE+TOMADOR'!$A:$BS,71,FALSE)</f>
        <v>Ativo</v>
      </c>
      <c r="G21" s="71" t="str">
        <f>VLOOKUP($B21,'BASE+TOMADOR'!$A:$BS,4,FALSE)</f>
        <v>G3S FL 10 - PRES PRUD</v>
      </c>
      <c r="H21" s="71" t="str">
        <f>VLOOKUP($B21,'BASE+TOMADOR'!$A:$BS,7,FALSE)</f>
        <v>20.947.332/0010-86</v>
      </c>
      <c r="I21" s="72">
        <f>IFERROR(VLOOKUP($B21,'BASE+TOMADOR'!$A:$BS,62,FALSE),0)</f>
        <v>0</v>
      </c>
      <c r="J21" s="72">
        <f>IFERROR(VLOOKUP($B21,'BASE+TOMADOR'!$A:$BS,67,FALSE),0)</f>
        <v>0</v>
      </c>
      <c r="K21" s="73">
        <f>VLOOKUP($B21,'BASE+TOMADOR'!$A:$BS,55,FALSE)</f>
        <v>1521.87</v>
      </c>
      <c r="L21" s="73">
        <f>IFERROR(VLOOKUP($B21,'BASE+TOMADOR'!$A:$BS,56,FALSE),0)</f>
        <v>1521.87</v>
      </c>
      <c r="M21" s="72">
        <f>IFERROR(VLOOKUP($B21,'BASE+TOMADOR'!$A:$BS,58,FALSE),0)</f>
        <v>1521.87</v>
      </c>
      <c r="N21" s="74">
        <f t="shared" ref="N21" si="4">M21/$M$1</f>
        <v>1.392163517260369E-2</v>
      </c>
      <c r="O21" s="72">
        <f>IFERROR(VLOOKUP(B21,'[1]BASE+TOMADOR'!$A:$BF,58,0),0)</f>
        <v>900</v>
      </c>
      <c r="P21" s="67">
        <f t="shared" si="1"/>
        <v>621.86999999999989</v>
      </c>
    </row>
    <row r="22" spans="1:16" s="70" customFormat="1" x14ac:dyDescent="0.25">
      <c r="A22" s="43">
        <f t="shared" si="2"/>
        <v>20</v>
      </c>
      <c r="B22" s="153" t="s">
        <v>258</v>
      </c>
      <c r="C22" s="43" t="str">
        <f>IFERROR(VLOOKUP($B22,'BASE+TOMADOR'!$A:$BS,3,FALSE),0)</f>
        <v>ESTÁGIO</v>
      </c>
      <c r="D22" s="71" t="str">
        <f>VLOOKUP($B22,'BASE+TOMADOR'!$A:$BS,8,FALSE)</f>
        <v>ADMINISTRATIVO</v>
      </c>
      <c r="E22" s="71" t="str">
        <f>VLOOKUP($B22,'BASE+TOMADOR'!$A:$BS,15,FALSE)</f>
        <v>AUXILIAR CONTABIL - ESTAGIARIO</v>
      </c>
      <c r="F22" s="43" t="str">
        <f>VLOOKUP($B22,'BASE+TOMADOR'!$A:$BS,71,FALSE)</f>
        <v>Ativo</v>
      </c>
      <c r="G22" s="71" t="str">
        <f>VLOOKUP($B22,'BASE+TOMADOR'!$A:$BS,4,FALSE)</f>
        <v>G3S FL 10 - PRES PRUD</v>
      </c>
      <c r="H22" s="71" t="str">
        <f>VLOOKUP($B22,'BASE+TOMADOR'!$A:$BS,7,FALSE)</f>
        <v>20.947.332/0010-86</v>
      </c>
      <c r="I22" s="72">
        <f>IFERROR(VLOOKUP($B22,'BASE+TOMADOR'!$A:$BS,62,FALSE),0)</f>
        <v>0</v>
      </c>
      <c r="J22" s="72">
        <f>IFERROR(VLOOKUP($B22,'BASE+TOMADOR'!$A:$BS,67,FALSE),0)</f>
        <v>0</v>
      </c>
      <c r="K22" s="73">
        <f>VLOOKUP($B22,'BASE+TOMADOR'!$A:$BS,55,FALSE)</f>
        <v>1500</v>
      </c>
      <c r="L22" s="73">
        <f>IFERROR(VLOOKUP($B22,'BASE+TOMADOR'!$A:$BS,56,FALSE),0)</f>
        <v>1500</v>
      </c>
      <c r="M22" s="72">
        <f>IFERROR(VLOOKUP($B22,'BASE+TOMADOR'!$A:$BS,58,FALSE),0)</f>
        <v>1500</v>
      </c>
      <c r="N22" s="74">
        <f t="shared" ref="N22:N23" si="5">M22/$M$1</f>
        <v>1.3721574614721059E-2</v>
      </c>
      <c r="O22" s="72">
        <f>IFERROR(VLOOKUP(B22,'[1]BASE+TOMADOR'!$A:$BF,58,0),0)</f>
        <v>0</v>
      </c>
      <c r="P22" s="67">
        <f t="shared" ref="P22:P23" si="6">M22-O22</f>
        <v>1500</v>
      </c>
    </row>
    <row r="23" spans="1:16" s="70" customFormat="1" x14ac:dyDescent="0.25">
      <c r="A23" s="43">
        <f t="shared" si="2"/>
        <v>21</v>
      </c>
      <c r="B23" s="153" t="s">
        <v>260</v>
      </c>
      <c r="C23" s="43" t="str">
        <f>IFERROR(VLOOKUP($B23,'BASE+TOMADOR'!$A:$BS,3,FALSE),0)</f>
        <v>ESTÁGIO</v>
      </c>
      <c r="D23" s="71" t="str">
        <f>VLOOKUP($B23,'BASE+TOMADOR'!$A:$BS,8,FALSE)</f>
        <v>ADMINISTRATIVO</v>
      </c>
      <c r="E23" s="71" t="str">
        <f>VLOOKUP($B23,'BASE+TOMADOR'!$A:$BS,15,FALSE)</f>
        <v>AUXILIAR DE QUALIDADE - ESTAGIARIO</v>
      </c>
      <c r="F23" s="43" t="str">
        <f>VLOOKUP($B23,'BASE+TOMADOR'!$A:$BS,71,FALSE)</f>
        <v>Ativo</v>
      </c>
      <c r="G23" s="71" t="str">
        <f>VLOOKUP($B23,'BASE+TOMADOR'!$A:$BS,4,FALSE)</f>
        <v>G3S FL 10 - PRES PRUD</v>
      </c>
      <c r="H23" s="71" t="str">
        <f>VLOOKUP($B23,'BASE+TOMADOR'!$A:$BS,7,FALSE)</f>
        <v>20.947.332/0010-86</v>
      </c>
      <c r="I23" s="72">
        <f>IFERROR(VLOOKUP($B23,'BASE+TOMADOR'!$A:$BS,62,FALSE),0)</f>
        <v>0</v>
      </c>
      <c r="J23" s="72">
        <f>IFERROR(VLOOKUP($B23,'BASE+TOMADOR'!$A:$BS,67,FALSE),0)</f>
        <v>0</v>
      </c>
      <c r="K23" s="73">
        <f>VLOOKUP($B23,'BASE+TOMADOR'!$A:$BS,55,FALSE)</f>
        <v>650</v>
      </c>
      <c r="L23" s="73">
        <f>IFERROR(VLOOKUP($B23,'BASE+TOMADOR'!$A:$BS,56,FALSE),0)</f>
        <v>650</v>
      </c>
      <c r="M23" s="72">
        <f>IFERROR(VLOOKUP($B23,'BASE+TOMADOR'!$A:$BS,58,FALSE),0)</f>
        <v>650</v>
      </c>
      <c r="N23" s="74">
        <f t="shared" si="5"/>
        <v>5.9460156663791253E-3</v>
      </c>
      <c r="O23" s="72">
        <f>IFERROR(VLOOKUP(B23,'[1]BASE+TOMADOR'!$A:$BF,58,0),0)</f>
        <v>0</v>
      </c>
      <c r="P23" s="67">
        <f t="shared" si="6"/>
        <v>650</v>
      </c>
    </row>
    <row r="24" spans="1:16" s="70" customFormat="1" x14ac:dyDescent="0.25">
      <c r="A24" s="152">
        <v>22</v>
      </c>
      <c r="B24" s="153" t="s">
        <v>251</v>
      </c>
      <c r="C24" s="43" t="str">
        <f>IFERROR(VLOOKUP($B24,'BASE+TOMADOR'!$A:$BS,3,FALSE),0)</f>
        <v>ESTÁGIO</v>
      </c>
      <c r="D24" s="71" t="str">
        <f>VLOOKUP($B24,'BASE+TOMADOR'!$A:$BS,8,FALSE)</f>
        <v>ADMINISTRATIVO</v>
      </c>
      <c r="E24" s="71" t="str">
        <f>VLOOKUP($B24,'BASE+TOMADOR'!$A:$BS,15,FALSE)</f>
        <v>AUXILIAR ADMINISTRATIVO - ESTAGIARIO(A)</v>
      </c>
      <c r="F24" s="43" t="str">
        <f>VLOOKUP($B24,'BASE+TOMADOR'!$A:$BS,71,FALSE)</f>
        <v>Ativo</v>
      </c>
      <c r="G24" s="71" t="str">
        <f>VLOOKUP($B24,'BASE+TOMADOR'!$A:$BS,4,FALSE)</f>
        <v>G3S FL 10 - PRES PRUD</v>
      </c>
      <c r="H24" s="71" t="str">
        <f>VLOOKUP($B24,'BASE+TOMADOR'!$A:$BS,7,FALSE)</f>
        <v>20.947.332/0010-86</v>
      </c>
      <c r="I24" s="72">
        <f>IFERROR(VLOOKUP($B24,'BASE+TOMADOR'!$A:$BS,62,FALSE),0)</f>
        <v>0</v>
      </c>
      <c r="J24" s="72">
        <f>IFERROR(VLOOKUP($B24,'BASE+TOMADOR'!$A:$BS,67,FALSE),0)</f>
        <v>0</v>
      </c>
      <c r="K24" s="73">
        <f>VLOOKUP($B24,'BASE+TOMADOR'!$A:$BS,55,FALSE)</f>
        <v>1521.87</v>
      </c>
      <c r="L24" s="73">
        <f>IFERROR(VLOOKUP($B24,'BASE+TOMADOR'!$A:$BS,56,FALSE),0)</f>
        <v>1521.87</v>
      </c>
      <c r="M24" s="72">
        <f>IFERROR(VLOOKUP($B24,'BASE+TOMADOR'!$A:$BS,58,FALSE),0)</f>
        <v>1521.87</v>
      </c>
      <c r="N24" s="74">
        <f t="shared" ref="N24" si="7">M24/$M$1</f>
        <v>1.392163517260369E-2</v>
      </c>
      <c r="O24" s="72">
        <f>IFERROR(VLOOKUP(B24,'[1]BASE+TOMADOR'!$A:$BF,58,0),0)</f>
        <v>1000</v>
      </c>
      <c r="P24" s="67">
        <f t="shared" ref="P24" si="8">M24-O24</f>
        <v>521.86999999999989</v>
      </c>
    </row>
    <row r="25" spans="1:16" s="70" customFormat="1" x14ac:dyDescent="0.25">
      <c r="A25" s="144">
        <v>1</v>
      </c>
      <c r="B25" s="145" t="s">
        <v>239</v>
      </c>
      <c r="C25" s="144" t="str">
        <f>IFERROR(VLOOKUP($B21,'BASE+TOMADOR'!$A:$BS,3,FALSE),0)</f>
        <v>ESTÁGIO</v>
      </c>
      <c r="D25" s="146" t="str">
        <f>VLOOKUP($B21,'BASE+TOMADOR'!$A:$BS,8,FALSE)</f>
        <v>GESTÃO DE GENTE</v>
      </c>
      <c r="E25" s="146" t="str">
        <f>VLOOKUP($B21,'BASE+TOMADOR'!$A:$BS,15,FALSE)</f>
        <v>AUXILIAR ADMINISTRATIVO - ESTAGIARIO(A)</v>
      </c>
      <c r="F25" s="144" t="str">
        <f>VLOOKUP($B21,'BASE+TOMADOR'!$A:$BS,71,FALSE)</f>
        <v>Ativo</v>
      </c>
      <c r="G25" s="146" t="str">
        <f>VLOOKUP($B21,'BASE+TOMADOR'!$A:$BS,4,FALSE)</f>
        <v>G3S FL 10 - PRES PRUD</v>
      </c>
      <c r="H25" s="146" t="str">
        <f>VLOOKUP($B21,'BASE+TOMADOR'!$A:$BS,7,FALSE)</f>
        <v>20.947.332/0010-86</v>
      </c>
      <c r="I25" s="147">
        <f>IFERROR(VLOOKUP($B25,'BASE+TOMADOR'!$A:$BS,62,FALSE),0)</f>
        <v>0</v>
      </c>
      <c r="J25" s="147">
        <f>IFERROR(VLOOKUP($B25,'BASE+TOMADOR'!$A:$BS,67,FALSE),0)</f>
        <v>0</v>
      </c>
      <c r="K25" s="148">
        <f>VLOOKUP($B25,'BASE+TOMADOR'!$A:$BS,55,FALSE)</f>
        <v>1188.54</v>
      </c>
      <c r="L25" s="148">
        <f>IFERROR(VLOOKUP($B25,'BASE+TOMADOR'!$A:$BS,56,FALSE),0)</f>
        <v>1188.54</v>
      </c>
      <c r="M25" s="147">
        <f>IFERROR(VLOOKUP($B25,'BASE+TOMADOR'!$A:$BS,70,FALSE),0)</f>
        <v>900</v>
      </c>
      <c r="N25" s="149">
        <f t="shared" ref="N25" si="9">M25/$M$1</f>
        <v>8.2329447688326354E-3</v>
      </c>
      <c r="O25" s="147">
        <f>IFERROR(VLOOKUP(B25,'[1]BASE+TOMADOR'!$A:$BF,58,0),0)</f>
        <v>1000</v>
      </c>
      <c r="P25" s="67">
        <f t="shared" ref="P25" si="10">M25-O25</f>
        <v>-100</v>
      </c>
    </row>
    <row r="26" spans="1:16" x14ac:dyDescent="0.25">
      <c r="D26" s="1"/>
      <c r="E26" s="1"/>
      <c r="I26" s="49"/>
      <c r="J26" s="49"/>
      <c r="K26" s="48"/>
      <c r="L26" s="48"/>
      <c r="M26" s="49"/>
      <c r="N26" s="50"/>
      <c r="O26" s="49"/>
      <c r="P26" s="67"/>
    </row>
    <row r="27" spans="1:16" ht="16.149999999999999" customHeight="1" x14ac:dyDescent="0.25">
      <c r="B27" s="98" t="s">
        <v>2</v>
      </c>
      <c r="C27" s="1" t="s">
        <v>684</v>
      </c>
      <c r="D27" s="1" t="s">
        <v>685</v>
      </c>
      <c r="E27" s="101"/>
      <c r="P27"/>
    </row>
    <row r="28" spans="1:16" ht="16.149999999999999" customHeight="1" x14ac:dyDescent="0.25">
      <c r="B28" s="2" t="s">
        <v>426</v>
      </c>
      <c r="C28" s="1">
        <v>23</v>
      </c>
      <c r="D28" s="48">
        <v>109316.89999999997</v>
      </c>
      <c r="E28" s="101"/>
      <c r="P28"/>
    </row>
    <row r="29" spans="1:16" ht="16.149999999999999" customHeight="1" x14ac:dyDescent="0.25">
      <c r="B29" s="99" t="s">
        <v>5</v>
      </c>
      <c r="C29" s="1">
        <v>8</v>
      </c>
      <c r="D29" s="48">
        <v>35351.929999999993</v>
      </c>
      <c r="E29" s="101"/>
      <c r="P29"/>
    </row>
    <row r="30" spans="1:16" ht="16.149999999999999" customHeight="1" x14ac:dyDescent="0.25">
      <c r="B30" s="99" t="s">
        <v>8</v>
      </c>
      <c r="C30" s="1">
        <v>7</v>
      </c>
      <c r="D30" s="48">
        <v>63305.62000000001</v>
      </c>
      <c r="E30" s="101"/>
      <c r="P30"/>
    </row>
    <row r="31" spans="1:16" ht="16.149999999999999" customHeight="1" x14ac:dyDescent="0.25">
      <c r="B31" s="99" t="s">
        <v>6</v>
      </c>
      <c r="C31" s="1">
        <v>8</v>
      </c>
      <c r="D31" s="48">
        <v>10659.349999999999</v>
      </c>
      <c r="E31" s="101"/>
      <c r="P31"/>
    </row>
    <row r="32" spans="1:16" ht="16.149999999999999" customHeight="1" x14ac:dyDescent="0.25">
      <c r="B32" s="1" t="s">
        <v>686</v>
      </c>
      <c r="C32" s="1">
        <v>23</v>
      </c>
      <c r="D32" s="48">
        <v>109316.89999999997</v>
      </c>
      <c r="E32" s="101"/>
      <c r="P32"/>
    </row>
    <row r="33" spans="2:14" x14ac:dyDescent="0.25">
      <c r="D33" s="48"/>
    </row>
    <row r="34" spans="2:14" ht="16.149999999999999" customHeight="1" x14ac:dyDescent="0.25">
      <c r="B34" s="102" t="s">
        <v>12</v>
      </c>
      <c r="C34" s="98" t="s">
        <v>13</v>
      </c>
      <c r="D34" s="1" t="s">
        <v>684</v>
      </c>
      <c r="E34" s="1" t="s">
        <v>685</v>
      </c>
      <c r="F34"/>
    </row>
    <row r="35" spans="2:14" x14ac:dyDescent="0.25">
      <c r="B35" s="103" t="s">
        <v>467</v>
      </c>
      <c r="C35" s="1" t="s">
        <v>424</v>
      </c>
      <c r="D35" s="1">
        <v>1</v>
      </c>
      <c r="E35" s="48">
        <v>7021.87</v>
      </c>
      <c r="F35"/>
    </row>
    <row r="36" spans="2:14" x14ac:dyDescent="0.25">
      <c r="B36" s="103" t="s">
        <v>199</v>
      </c>
      <c r="C36" s="1" t="s">
        <v>200</v>
      </c>
      <c r="D36" s="1">
        <v>16</v>
      </c>
      <c r="E36" s="48">
        <v>46011.280000000006</v>
      </c>
      <c r="F36"/>
    </row>
    <row r="37" spans="2:14" x14ac:dyDescent="0.25">
      <c r="B37" s="103"/>
      <c r="C37" s="1" t="s">
        <v>424</v>
      </c>
      <c r="D37" s="1">
        <v>6</v>
      </c>
      <c r="E37" s="48">
        <v>56283.750000000007</v>
      </c>
      <c r="F37"/>
    </row>
    <row r="38" spans="2:14" x14ac:dyDescent="0.25">
      <c r="B38" s="1" t="s">
        <v>686</v>
      </c>
      <c r="D38" s="1">
        <v>23</v>
      </c>
      <c r="E38" s="48">
        <v>109316.90000000001</v>
      </c>
      <c r="F38"/>
      <c r="G38"/>
      <c r="H38"/>
      <c r="K38"/>
      <c r="L38" s="12"/>
      <c r="M38"/>
      <c r="N38"/>
    </row>
    <row r="39" spans="2:14" x14ac:dyDescent="0.25">
      <c r="B39"/>
      <c r="C39" s="5"/>
      <c r="D39"/>
      <c r="E39"/>
      <c r="G39"/>
      <c r="H39"/>
      <c r="K39"/>
      <c r="L39" s="12"/>
      <c r="M39"/>
      <c r="N39"/>
    </row>
    <row r="40" spans="2:14" x14ac:dyDescent="0.25">
      <c r="B40"/>
      <c r="C40" s="5"/>
      <c r="D40"/>
      <c r="E40"/>
      <c r="G40"/>
      <c r="H40"/>
      <c r="K40"/>
      <c r="L40" s="12"/>
      <c r="M40"/>
      <c r="N40"/>
    </row>
    <row r="41" spans="2:14" x14ac:dyDescent="0.25">
      <c r="B41"/>
      <c r="C41" s="5"/>
      <c r="D41"/>
      <c r="E41"/>
      <c r="G41"/>
      <c r="H41"/>
      <c r="K41"/>
      <c r="L41" s="12"/>
      <c r="M41"/>
      <c r="N41"/>
    </row>
    <row r="42" spans="2:14" x14ac:dyDescent="0.25">
      <c r="B42"/>
      <c r="C42" s="5"/>
      <c r="D42"/>
      <c r="E42"/>
      <c r="G42"/>
      <c r="H42"/>
      <c r="K42"/>
      <c r="L42" s="12"/>
      <c r="M42"/>
      <c r="N42"/>
    </row>
    <row r="43" spans="2:14" x14ac:dyDescent="0.25">
      <c r="B43"/>
      <c r="C43" s="5"/>
      <c r="D43"/>
      <c r="E43"/>
      <c r="G43"/>
      <c r="H43"/>
      <c r="K43"/>
      <c r="L43" s="12"/>
      <c r="M43"/>
      <c r="N43"/>
    </row>
    <row r="44" spans="2:14" x14ac:dyDescent="0.25">
      <c r="B44"/>
      <c r="C44" s="5"/>
      <c r="D44"/>
      <c r="E44"/>
      <c r="G44"/>
      <c r="H44"/>
      <c r="K44"/>
      <c r="L44" s="12"/>
      <c r="M44"/>
      <c r="N44"/>
    </row>
    <row r="45" spans="2:14" x14ac:dyDescent="0.25">
      <c r="B45"/>
      <c r="C45" s="5"/>
      <c r="D45"/>
      <c r="E45"/>
      <c r="G45"/>
      <c r="H45"/>
      <c r="K45"/>
      <c r="L45" s="12"/>
      <c r="M45"/>
      <c r="N45"/>
    </row>
    <row r="46" spans="2:14" x14ac:dyDescent="0.25">
      <c r="B46"/>
      <c r="C46" s="5"/>
      <c r="D46"/>
      <c r="E46"/>
      <c r="G46"/>
      <c r="H46"/>
      <c r="K46"/>
      <c r="L46" s="12"/>
      <c r="M46"/>
      <c r="N46"/>
    </row>
    <row r="47" spans="2:14" x14ac:dyDescent="0.25">
      <c r="B47"/>
      <c r="C47" s="5"/>
      <c r="D47"/>
      <c r="E47"/>
      <c r="G47"/>
      <c r="H47"/>
      <c r="K47"/>
      <c r="L47" s="12"/>
      <c r="M47"/>
      <c r="N47"/>
    </row>
    <row r="48" spans="2:14" x14ac:dyDescent="0.25">
      <c r="B48"/>
      <c r="C48" s="5"/>
      <c r="D48"/>
      <c r="E48"/>
      <c r="G48"/>
      <c r="H48"/>
      <c r="K48"/>
      <c r="L48" s="12"/>
      <c r="M48"/>
      <c r="N48"/>
    </row>
    <row r="49" spans="2:14" x14ac:dyDescent="0.25">
      <c r="B49"/>
      <c r="C49" s="5"/>
      <c r="D49"/>
      <c r="E49"/>
      <c r="G49"/>
      <c r="H49"/>
      <c r="K49"/>
      <c r="L49" s="12"/>
      <c r="M49"/>
      <c r="N49"/>
    </row>
    <row r="50" spans="2:14" x14ac:dyDescent="0.25">
      <c r="B50"/>
      <c r="C50" s="5"/>
      <c r="D50"/>
      <c r="E50"/>
      <c r="G50"/>
      <c r="H50"/>
      <c r="K50"/>
      <c r="L50" s="12"/>
      <c r="M50"/>
      <c r="N50"/>
    </row>
    <row r="51" spans="2:14" x14ac:dyDescent="0.25">
      <c r="B51"/>
      <c r="C51" s="5"/>
      <c r="D51"/>
      <c r="E51"/>
      <c r="G51"/>
      <c r="H51"/>
      <c r="K51"/>
      <c r="L51" s="12"/>
      <c r="M51"/>
      <c r="N51"/>
    </row>
    <row r="52" spans="2:14" x14ac:dyDescent="0.25">
      <c r="B52"/>
      <c r="C52" s="5"/>
      <c r="D52"/>
      <c r="E52"/>
      <c r="G52"/>
      <c r="H52"/>
      <c r="K52"/>
      <c r="L52" s="12"/>
      <c r="M52"/>
      <c r="N52"/>
    </row>
    <row r="53" spans="2:14" x14ac:dyDescent="0.25">
      <c r="B53"/>
      <c r="C53" s="5"/>
      <c r="D53"/>
      <c r="E53"/>
    </row>
    <row r="54" spans="2:14" x14ac:dyDescent="0.25">
      <c r="B54"/>
      <c r="C54" s="5"/>
      <c r="D54"/>
      <c r="E54"/>
    </row>
    <row r="55" spans="2:14" x14ac:dyDescent="0.25">
      <c r="B55"/>
      <c r="C55" s="5"/>
      <c r="D55"/>
      <c r="E55"/>
    </row>
    <row r="56" spans="2:14" x14ac:dyDescent="0.25">
      <c r="B56"/>
      <c r="C56" s="5"/>
      <c r="D56"/>
      <c r="E56"/>
    </row>
    <row r="57" spans="2:14" x14ac:dyDescent="0.25">
      <c r="B57" s="5"/>
      <c r="C57" s="5"/>
      <c r="D57" s="3"/>
    </row>
    <row r="58" spans="2:14" x14ac:dyDescent="0.25">
      <c r="B58" s="5"/>
      <c r="C58" s="5"/>
      <c r="D58" s="3"/>
    </row>
    <row r="59" spans="2:14" x14ac:dyDescent="0.25">
      <c r="B59" s="5"/>
      <c r="C59" s="5"/>
      <c r="D59" s="3"/>
    </row>
    <row r="60" spans="2:14" x14ac:dyDescent="0.25">
      <c r="B60" s="5"/>
      <c r="C60" s="5"/>
    </row>
    <row r="61" spans="2:14" x14ac:dyDescent="0.25">
      <c r="B61" s="5"/>
      <c r="C61" s="5"/>
    </row>
  </sheetData>
  <autoFilter ref="A2:O20" xr:uid="{1D22B912-287E-4D07-8EBE-1950393D2DC7}">
    <sortState xmlns:xlrd2="http://schemas.microsoft.com/office/spreadsheetml/2017/richdata2" ref="A3:O20">
      <sortCondition descending="1" ref="N2:N20"/>
    </sortState>
  </autoFilter>
  <mergeCells count="2">
    <mergeCell ref="K1:L1"/>
    <mergeCell ref="B1:E1"/>
  </mergeCells>
  <conditionalFormatting sqref="B26">
    <cfRule type="duplicateValues" dxfId="683" priority="191"/>
  </conditionalFormatting>
  <conditionalFormatting sqref="B47:B1048576 B33 B2 B27:B30">
    <cfRule type="duplicateValues" dxfId="682" priority="5"/>
  </conditionalFormatting>
  <printOptions horizontalCentered="1"/>
  <pageMargins left="0" right="0" top="0.11811023622047245" bottom="0.11811023622047245" header="0" footer="0"/>
  <pageSetup paperSize="9" scale="63" fitToHeight="0" orientation="landscape"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82" id="{972FFCF5-0517-450E-96D9-A7ADBFD3B80B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P3:P25</xm:sqref>
        </x14:conditionalFormatting>
        <x14:conditionalFormatting xmlns:xm="http://schemas.microsoft.com/office/excel/2006/main">
          <x14:cfRule type="iconSet" priority="373" id="{8EC225C1-0F36-4C7D-85A5-7BF158F5ACFC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P26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6A38B-6E36-4919-A7C8-ED06E7292191}">
  <sheetPr>
    <tabColor rgb="FF0070C0"/>
    <pageSetUpPr fitToPage="1"/>
  </sheetPr>
  <dimension ref="A1:R61"/>
  <sheetViews>
    <sheetView showGridLines="0" zoomScale="90" zoomScaleNormal="90" workbookViewId="0">
      <pane ySplit="2" topLeftCell="A3" activePane="bottomLeft" state="frozen"/>
      <selection activeCell="X49" sqref="X49"/>
      <selection pane="bottomLeft" activeCell="E21" sqref="E21"/>
    </sheetView>
  </sheetViews>
  <sheetFormatPr defaultColWidth="9.140625" defaultRowHeight="15.75" x14ac:dyDescent="0.25"/>
  <cols>
    <col min="1" max="1" width="11.42578125" style="1" bestFit="1" customWidth="1"/>
    <col min="2" max="2" width="40" style="1" bestFit="1" customWidth="1"/>
    <col min="3" max="3" width="19.28515625" style="1" bestFit="1" customWidth="1"/>
    <col min="4" max="4" width="25.5703125" style="2" bestFit="1" customWidth="1"/>
    <col min="5" max="5" width="39.7109375" style="2" bestFit="1" customWidth="1"/>
    <col min="6" max="6" width="11.85546875" style="1" hidden="1" customWidth="1"/>
    <col min="7" max="7" width="22.42578125" style="2" hidden="1" customWidth="1"/>
    <col min="8" max="8" width="19.7109375" style="2" hidden="1" customWidth="1"/>
    <col min="9" max="9" width="20" style="1" bestFit="1" customWidth="1"/>
    <col min="10" max="10" width="17" style="1" bestFit="1" customWidth="1"/>
    <col min="11" max="11" width="13.28515625" style="2" hidden="1" customWidth="1"/>
    <col min="12" max="12" width="11.7109375" style="40" hidden="1" customWidth="1"/>
    <col min="13" max="13" width="14.7109375" style="6" bestFit="1" customWidth="1"/>
    <col min="14" max="14" width="7.85546875" style="4" bestFit="1" customWidth="1"/>
    <col min="15" max="15" width="16.28515625" style="1" bestFit="1" customWidth="1"/>
    <col min="16" max="16" width="4.42578125" style="1" customWidth="1"/>
    <col min="17" max="18" width="9.140625" style="1" bestFit="1"/>
    <col min="19" max="16384" width="9.140625" style="1"/>
  </cols>
  <sheetData>
    <row r="1" spans="1:18" x14ac:dyDescent="0.25">
      <c r="A1" s="90" t="s">
        <v>633</v>
      </c>
      <c r="B1" s="164" t="str">
        <f>GERAL!B1</f>
        <v>FOLHA DE PAGAMENTO MARÇO/2026</v>
      </c>
      <c r="C1" s="164"/>
      <c r="D1" s="164"/>
      <c r="E1" s="164"/>
      <c r="G1" s="1"/>
      <c r="H1" s="1"/>
      <c r="I1" s="80">
        <f>SUBTOTAL(9,I3:I23)</f>
        <v>10627.284722222224</v>
      </c>
      <c r="J1" s="80">
        <f>SUBTOTAL(9,J3:J23)</f>
        <v>18284.32</v>
      </c>
      <c r="K1" s="163" t="s">
        <v>669</v>
      </c>
      <c r="L1" s="163"/>
      <c r="M1" s="80">
        <f>SUM(M3:M23)</f>
        <v>90123.81</v>
      </c>
      <c r="N1" s="1"/>
      <c r="O1" s="80">
        <f>[1]BRACOFER!$M$1</f>
        <v>84341.410000000018</v>
      </c>
      <c r="P1"/>
      <c r="Q1"/>
    </row>
    <row r="2" spans="1:18" s="7" customFormat="1" ht="30" customHeight="1" x14ac:dyDescent="0.25">
      <c r="A2" s="8" t="s">
        <v>670</v>
      </c>
      <c r="B2" s="8" t="s">
        <v>362</v>
      </c>
      <c r="C2" s="8" t="s">
        <v>671</v>
      </c>
      <c r="D2" s="8" t="s">
        <v>672</v>
      </c>
      <c r="E2" s="8" t="s">
        <v>673</v>
      </c>
      <c r="F2" s="8" t="s">
        <v>674</v>
      </c>
      <c r="G2" s="8" t="s">
        <v>675</v>
      </c>
      <c r="H2" s="8" t="s">
        <v>13</v>
      </c>
      <c r="I2" s="9" t="s">
        <v>676</v>
      </c>
      <c r="J2" s="9" t="s">
        <v>677</v>
      </c>
      <c r="K2" s="8" t="s">
        <v>678</v>
      </c>
      <c r="L2" s="41" t="s">
        <v>679</v>
      </c>
      <c r="M2" s="9" t="str">
        <f>GERAL!M2</f>
        <v>TT BRUTO
MARÇO</v>
      </c>
      <c r="N2" s="9" t="s">
        <v>681</v>
      </c>
      <c r="O2" s="9" t="str">
        <f>GERAL!O2</f>
        <v>TT BRUTO
FEVEREIRO</v>
      </c>
    </row>
    <row r="3" spans="1:18" x14ac:dyDescent="0.25">
      <c r="A3" s="43">
        <v>1</v>
      </c>
      <c r="B3" s="71" t="s">
        <v>427</v>
      </c>
      <c r="C3" s="43" t="str">
        <f>IFERROR(VLOOKUP($B3,'BASE+TOMADOR'!$A:$BS,3,FALSE),0)</f>
        <v>PJ</v>
      </c>
      <c r="D3" s="71" t="str">
        <f>VLOOKUP($B3,'BASE+TOMADOR'!$A:$BS,8,FALSE)</f>
        <v>BRACOFER</v>
      </c>
      <c r="E3" s="71" t="str">
        <f>VLOOKUP($B3,'BASE+TOMADOR'!$A:$BS,15,FALSE)</f>
        <v>GERENTE COMERCIAL</v>
      </c>
      <c r="F3" s="43" t="str">
        <f>VLOOKUP($B3,'BASE+TOMADOR'!$A:$BS,71,FALSE)</f>
        <v>Ativo</v>
      </c>
      <c r="G3" s="71" t="str">
        <f>VLOOKUP($B3,'BASE+TOMADOR'!$A:$BS,4,FALSE)</f>
        <v>G3S FL 05 - PRES PRUD</v>
      </c>
      <c r="H3" s="71" t="str">
        <f>VLOOKUP($B3,'BASE+TOMADOR'!$A:$BS,7,FALSE)</f>
        <v>CONTRATO PJ</v>
      </c>
      <c r="I3" s="72">
        <f>IFERROR(VLOOKUP($B3,'BASE+TOMADOR'!$A:$BS,62,FALSE),0)</f>
        <v>1000</v>
      </c>
      <c r="J3" s="72">
        <f>IFERROR(VLOOKUP($B3,'BASE+TOMADOR'!$A:$BS,67,FALSE),0)</f>
        <v>0</v>
      </c>
      <c r="K3" s="73">
        <f>VLOOKUP($B3,'BASE+TOMADOR'!$A:$BS,55,FALSE)</f>
        <v>12.87</v>
      </c>
      <c r="L3" s="73">
        <f>IFERROR(VLOOKUP($B3,'BASE+TOMADOR'!$A:$BS,56,FALSE),0)</f>
        <v>12012.87</v>
      </c>
      <c r="M3" s="72">
        <f>IFERROR(VLOOKUP($B3,'BASE+TOMADOR'!$A:$BS,58,FALSE),0)</f>
        <v>12012.87</v>
      </c>
      <c r="N3" s="74">
        <f t="shared" ref="N3:N21" si="0">M3/$M$1</f>
        <v>0.13329296664222254</v>
      </c>
      <c r="O3" s="72">
        <f>IFERROR(VLOOKUP(B3,'[1]BASE+TOMADOR'!$A:$BF,58,0),0)</f>
        <v>12000</v>
      </c>
      <c r="P3" s="67">
        <f t="shared" ref="P3" si="1">M3-O3</f>
        <v>12.8700000000008</v>
      </c>
      <c r="Q3"/>
    </row>
    <row r="4" spans="1:18" x14ac:dyDescent="0.25">
      <c r="A4" s="43">
        <f t="shared" ref="A4:A21" si="2">A3+1</f>
        <v>2</v>
      </c>
      <c r="B4" s="71" t="s">
        <v>316</v>
      </c>
      <c r="C4" s="43" t="str">
        <f>IFERROR(VLOOKUP($B4,'BASE+TOMADOR'!$A:$BS,3,FALSE),0)</f>
        <v>CLT</v>
      </c>
      <c r="D4" s="71" t="str">
        <f>VLOOKUP($B4,'BASE+TOMADOR'!$A:$BS,8,FALSE)</f>
        <v>COMERCIAL</v>
      </c>
      <c r="E4" s="71" t="str">
        <f>VLOOKUP($B4,'BASE+TOMADOR'!$A:$BS,15,FALSE)</f>
        <v>VENDEDOR(A)</v>
      </c>
      <c r="F4" s="43" t="str">
        <f>VLOOKUP($B4,'BASE+TOMADOR'!$A:$BS,71,FALSE)</f>
        <v>Ativo</v>
      </c>
      <c r="G4" s="71" t="str">
        <f>VLOOKUP($B4,'BASE+TOMADOR'!$A:$BS,4,FALSE)</f>
        <v>G3S FL 05 - PRES PRUD</v>
      </c>
      <c r="H4" s="71" t="str">
        <f>VLOOKUP($B4,'BASE+TOMADOR'!$A:$BS,7,FALSE)</f>
        <v>20.947.332/0005-19</v>
      </c>
      <c r="I4" s="72">
        <f>IFERROR(VLOOKUP($B4,'BASE+TOMADOR'!$A:$BS,62,FALSE),0)</f>
        <v>1314.3530555555556</v>
      </c>
      <c r="J4" s="72">
        <f>IFERROR(VLOOKUP($B4,'BASE+TOMADOR'!$A:$BS,67,FALSE),0)</f>
        <v>2386.11</v>
      </c>
      <c r="K4" s="73">
        <f>VLOOKUP($B4,'BASE+TOMADOR'!$A:$BS,55,FALSE)</f>
        <v>512.87</v>
      </c>
      <c r="L4" s="73">
        <f>IFERROR(VLOOKUP($B4,'BASE+TOMADOR'!$A:$BS,56,FALSE),0)</f>
        <v>7272.4</v>
      </c>
      <c r="M4" s="72">
        <f>IFERROR(VLOOKUP($B4,'BASE+TOMADOR'!$A:$BS,58,FALSE),0)</f>
        <v>7272.4</v>
      </c>
      <c r="N4" s="74">
        <f t="shared" si="0"/>
        <v>8.0693437172707189E-2</v>
      </c>
      <c r="O4" s="72">
        <f>IFERROR(VLOOKUP(B4,'[1]BASE+TOMADOR'!$A:$BF,58,0),0)</f>
        <v>6794.07</v>
      </c>
      <c r="P4" s="67">
        <f t="shared" ref="P4:P19" si="3">M4-O4</f>
        <v>478.32999999999993</v>
      </c>
      <c r="Q4"/>
    </row>
    <row r="5" spans="1:18" x14ac:dyDescent="0.25">
      <c r="A5" s="43">
        <f t="shared" si="2"/>
        <v>3</v>
      </c>
      <c r="B5" s="71" t="s">
        <v>320</v>
      </c>
      <c r="C5" s="43" t="str">
        <f>IFERROR(VLOOKUP($B5,'BASE+TOMADOR'!$A:$BS,3,FALSE),0)</f>
        <v>CLT</v>
      </c>
      <c r="D5" s="71" t="str">
        <f>VLOOKUP($B5,'BASE+TOMADOR'!$A:$BS,8,FALSE)</f>
        <v>LOGISTICA</v>
      </c>
      <c r="E5" s="71" t="str">
        <f>VLOOKUP($B5,'BASE+TOMADOR'!$A:$BS,15,FALSE)</f>
        <v>MOTORISTA TRUCK MANTENEDOR SENIOR</v>
      </c>
      <c r="F5" s="43" t="str">
        <f>VLOOKUP($B5,'BASE+TOMADOR'!$A:$BS,71,FALSE)</f>
        <v>Ativo</v>
      </c>
      <c r="G5" s="71" t="str">
        <f>VLOOKUP($B5,'BASE+TOMADOR'!$A:$BS,4,FALSE)</f>
        <v>G3S FL 05 - PRES PRUD</v>
      </c>
      <c r="H5" s="71" t="str">
        <f>VLOOKUP($B5,'BASE+TOMADOR'!$A:$BS,7,FALSE)</f>
        <v>20.947.332/0005-19</v>
      </c>
      <c r="I5" s="72">
        <f>IFERROR(VLOOKUP($B5,'BASE+TOMADOR'!$A:$BS,62,FALSE),0)</f>
        <v>671.2786111111111</v>
      </c>
      <c r="J5" s="72">
        <f>IFERROR(VLOOKUP($B5,'BASE+TOMADOR'!$A:$BS,67,FALSE),0)</f>
        <v>1218.6500000000001</v>
      </c>
      <c r="K5" s="73">
        <f>VLOOKUP($B5,'BASE+TOMADOR'!$A:$BS,55,FALSE)</f>
        <v>2447.87</v>
      </c>
      <c r="L5" s="73">
        <f>IFERROR(VLOOKUP($B5,'BASE+TOMADOR'!$A:$BS,56,FALSE),0)</f>
        <v>5900.16</v>
      </c>
      <c r="M5" s="72">
        <f>IFERROR(VLOOKUP($B5,'BASE+TOMADOR'!$A:$BS,58,FALSE),0)</f>
        <v>5900.16</v>
      </c>
      <c r="N5" s="74">
        <f t="shared" si="0"/>
        <v>6.5467272189225018E-2</v>
      </c>
      <c r="O5" s="72">
        <f>IFERROR(VLOOKUP(B5,'[1]BASE+TOMADOR'!$A:$BF,58,0),0)</f>
        <v>4228.62</v>
      </c>
      <c r="P5" s="67">
        <f t="shared" si="3"/>
        <v>1671.54</v>
      </c>
      <c r="Q5"/>
    </row>
    <row r="6" spans="1:18" x14ac:dyDescent="0.25">
      <c r="A6" s="43">
        <f t="shared" si="2"/>
        <v>4</v>
      </c>
      <c r="B6" s="71" t="s">
        <v>335</v>
      </c>
      <c r="C6" s="43" t="str">
        <f>IFERROR(VLOOKUP($B6,'BASE+TOMADOR'!$A:$BS,3,FALSE),0)</f>
        <v>CLT</v>
      </c>
      <c r="D6" s="71" t="str">
        <f>VLOOKUP($B6,'BASE+TOMADOR'!$A:$BS,8,FALSE)</f>
        <v>COMERCIAL</v>
      </c>
      <c r="E6" s="71" t="str">
        <f>VLOOKUP($B6,'BASE+TOMADOR'!$A:$BS,15,FALSE)</f>
        <v>VENDEDOR(A)</v>
      </c>
      <c r="F6" s="43" t="str">
        <f>VLOOKUP($B6,'BASE+TOMADOR'!$A:$BS,71,FALSE)</f>
        <v>Ativo</v>
      </c>
      <c r="G6" s="71" t="str">
        <f>VLOOKUP($B6,'BASE+TOMADOR'!$A:$BS,4,FALSE)</f>
        <v>G3S FL 05 - PRES PRUD</v>
      </c>
      <c r="H6" s="71" t="str">
        <f>VLOOKUP($B6,'BASE+TOMADOR'!$A:$BS,7,FALSE)</f>
        <v>20.947.332/0005-19</v>
      </c>
      <c r="I6" s="72">
        <f>IFERROR(VLOOKUP($B6,'BASE+TOMADOR'!$A:$BS,62,FALSE),0)</f>
        <v>899.01583333333338</v>
      </c>
      <c r="J6" s="72">
        <f>IFERROR(VLOOKUP($B6,'BASE+TOMADOR'!$A:$BS,67,FALSE),0)</f>
        <v>1632.0900000000001</v>
      </c>
      <c r="K6" s="73">
        <f>VLOOKUP($B6,'BASE+TOMADOR'!$A:$BS,55,FALSE)</f>
        <v>521.87</v>
      </c>
      <c r="L6" s="73">
        <f>IFERROR(VLOOKUP($B6,'BASE+TOMADOR'!$A:$BS,56,FALSE),0)</f>
        <v>5145.38</v>
      </c>
      <c r="M6" s="72">
        <f>IFERROR(VLOOKUP($B6,'BASE+TOMADOR'!$A:$BS,58,FALSE),0)</f>
        <v>5145.38</v>
      </c>
      <c r="N6" s="74">
        <f t="shared" si="0"/>
        <v>5.7092348847657466E-2</v>
      </c>
      <c r="O6" s="72">
        <f>IFERROR(VLOOKUP(B6,'[1]BASE+TOMADOR'!$A:$BF,58,0),0)</f>
        <v>4929.17</v>
      </c>
      <c r="P6" s="67">
        <f t="shared" si="3"/>
        <v>216.21000000000004</v>
      </c>
      <c r="Q6"/>
    </row>
    <row r="7" spans="1:18" s="66" customFormat="1" x14ac:dyDescent="0.25">
      <c r="A7" s="43">
        <f t="shared" si="2"/>
        <v>5</v>
      </c>
      <c r="B7" s="71" t="s">
        <v>326</v>
      </c>
      <c r="C7" s="43" t="str">
        <f>IFERROR(VLOOKUP($B7,'BASE+TOMADOR'!$A:$BS,3,FALSE),0)</f>
        <v>CLT</v>
      </c>
      <c r="D7" s="71" t="str">
        <f>VLOOKUP($B7,'BASE+TOMADOR'!$A:$BS,8,FALSE)</f>
        <v>OPERACIONAL</v>
      </c>
      <c r="E7" s="71" t="str">
        <f>VLOOKUP($B7,'BASE+TOMADOR'!$A:$BS,15,FALSE)</f>
        <v>AUXILIAR DE PATIO SENIOR</v>
      </c>
      <c r="F7" s="43" t="str">
        <f>VLOOKUP($B7,'BASE+TOMADOR'!$A:$BS,71,FALSE)</f>
        <v>Ativo</v>
      </c>
      <c r="G7" s="71" t="str">
        <f>VLOOKUP($B7,'BASE+TOMADOR'!$A:$BS,4,FALSE)</f>
        <v>G3S FL 05 - PRES PRUD</v>
      </c>
      <c r="H7" s="71" t="str">
        <f>VLOOKUP($B7,'BASE+TOMADOR'!$A:$BS,7,FALSE)</f>
        <v>20.947.332/0005-19</v>
      </c>
      <c r="I7" s="72">
        <f>IFERROR(VLOOKUP($B7,'BASE+TOMADOR'!$A:$BS,62,FALSE),0)</f>
        <v>522.06777777777768</v>
      </c>
      <c r="J7" s="72">
        <f>IFERROR(VLOOKUP($B7,'BASE+TOMADOR'!$A:$BS,67,FALSE),0)</f>
        <v>947.76</v>
      </c>
      <c r="K7" s="73">
        <f>VLOOKUP($B7,'BASE+TOMADOR'!$A:$BS,55,FALSE)</f>
        <v>2231.87</v>
      </c>
      <c r="L7" s="73">
        <f>IFERROR(VLOOKUP($B7,'BASE+TOMADOR'!$A:$BS,56,FALSE),0)</f>
        <v>4916.7899999999991</v>
      </c>
      <c r="M7" s="72">
        <f>IFERROR(VLOOKUP($B7,'BASE+TOMADOR'!$A:$BS,58,FALSE),0)</f>
        <v>4916.7899999999991</v>
      </c>
      <c r="N7" s="74">
        <f t="shared" si="0"/>
        <v>5.4555949199218266E-2</v>
      </c>
      <c r="O7" s="72">
        <f>IFERROR(VLOOKUP(B7,'[1]BASE+TOMADOR'!$A:$BF,58,0),0)</f>
        <v>4660.83</v>
      </c>
      <c r="P7" s="67">
        <f t="shared" si="3"/>
        <v>255.95999999999913</v>
      </c>
    </row>
    <row r="8" spans="1:18" x14ac:dyDescent="0.25">
      <c r="A8" s="43">
        <f t="shared" si="2"/>
        <v>6</v>
      </c>
      <c r="B8" s="71" t="s">
        <v>310</v>
      </c>
      <c r="C8" s="43" t="str">
        <f>IFERROR(VLOOKUP($B8,'BASE+TOMADOR'!$A:$BS,3,FALSE),0)</f>
        <v>CLT</v>
      </c>
      <c r="D8" s="71" t="str">
        <f>VLOOKUP($B8,'BASE+TOMADOR'!$A:$BS,8,FALSE)</f>
        <v>LOGISTICA</v>
      </c>
      <c r="E8" s="71" t="str">
        <f>VLOOKUP($B8,'BASE+TOMADOR'!$A:$BS,15,FALSE)</f>
        <v>MOTORISTA TRUCK MANTENEDOR SENIOR</v>
      </c>
      <c r="F8" s="43" t="str">
        <f>VLOOKUP($B8,'BASE+TOMADOR'!$A:$BS,71,FALSE)</f>
        <v>Ativo</v>
      </c>
      <c r="G8" s="71" t="str">
        <f>VLOOKUP($B8,'BASE+TOMADOR'!$A:$BS,4,FALSE)</f>
        <v>G3S FL 05 - PRES PRUD</v>
      </c>
      <c r="H8" s="71" t="str">
        <f>VLOOKUP($B8,'BASE+TOMADOR'!$A:$BS,7,FALSE)</f>
        <v>20.947.332/0005-19</v>
      </c>
      <c r="I8" s="72">
        <f>IFERROR(VLOOKUP($B8,'BASE+TOMADOR'!$A:$BS,62,FALSE),0)</f>
        <v>850.70611111111123</v>
      </c>
      <c r="J8" s="72">
        <f>IFERROR(VLOOKUP($B8,'BASE+TOMADOR'!$A:$BS,67,FALSE),0)</f>
        <v>1544.38</v>
      </c>
      <c r="K8" s="73">
        <f>VLOOKUP($B8,'BASE+TOMADOR'!$A:$BS,55,FALSE)</f>
        <v>512.87</v>
      </c>
      <c r="L8" s="73">
        <f>IFERROR(VLOOKUP($B8,'BASE+TOMADOR'!$A:$BS,56,FALSE),0)</f>
        <v>4887.93</v>
      </c>
      <c r="M8" s="72">
        <f>IFERROR(VLOOKUP($B8,'BASE+TOMADOR'!$A:$BS,58,FALSE),0)</f>
        <v>4887.93</v>
      </c>
      <c r="N8" s="74">
        <f t="shared" si="0"/>
        <v>5.4235723056981287E-2</v>
      </c>
      <c r="O8" s="72">
        <f>IFERROR(VLOOKUP(B8,'[1]BASE+TOMADOR'!$A:$BF,58,0),0)</f>
        <v>4946.2800000000007</v>
      </c>
      <c r="P8" s="67">
        <f t="shared" si="3"/>
        <v>-58.350000000000364</v>
      </c>
      <c r="Q8"/>
      <c r="R8" s="68" t="s">
        <v>683</v>
      </c>
    </row>
    <row r="9" spans="1:18" x14ac:dyDescent="0.25">
      <c r="A9" s="43">
        <f t="shared" si="2"/>
        <v>7</v>
      </c>
      <c r="B9" s="71" t="s">
        <v>328</v>
      </c>
      <c r="C9" s="43" t="str">
        <f>IFERROR(VLOOKUP($B9,'BASE+TOMADOR'!$A:$BS,3,FALSE),0)</f>
        <v>CLT</v>
      </c>
      <c r="D9" s="71" t="str">
        <f>VLOOKUP($B9,'BASE+TOMADOR'!$A:$BS,8,FALSE)</f>
        <v>OPERACIONAL</v>
      </c>
      <c r="E9" s="71" t="str">
        <f>VLOOKUP($B9,'BASE+TOMADOR'!$A:$BS,15,FALSE)</f>
        <v>GERENTE DE PATIO JUNIOR</v>
      </c>
      <c r="F9" s="43" t="str">
        <f>VLOOKUP($B9,'BASE+TOMADOR'!$A:$BS,71,FALSE)</f>
        <v>Ativo</v>
      </c>
      <c r="G9" s="71" t="str">
        <f>VLOOKUP($B9,'BASE+TOMADOR'!$A:$BS,4,FALSE)</f>
        <v>G3S FL 05 - PRES PRUD</v>
      </c>
      <c r="H9" s="71" t="str">
        <f>VLOOKUP($B9,'BASE+TOMADOR'!$A:$BS,7,FALSE)</f>
        <v>20.947.332/0005-19</v>
      </c>
      <c r="I9" s="72">
        <f>IFERROR(VLOOKUP($B9,'BASE+TOMADOR'!$A:$BS,62,FALSE),0)</f>
        <v>837.26222222222214</v>
      </c>
      <c r="J9" s="72">
        <f>IFERROR(VLOOKUP($B9,'BASE+TOMADOR'!$A:$BS,67,FALSE),0)</f>
        <v>1519.97</v>
      </c>
      <c r="K9" s="73">
        <f>VLOOKUP($B9,'BASE+TOMADOR'!$A:$BS,55,FALSE)</f>
        <v>521.87</v>
      </c>
      <c r="L9" s="73">
        <f>IFERROR(VLOOKUP($B9,'BASE+TOMADOR'!$A:$BS,56,FALSE),0)</f>
        <v>4827.79</v>
      </c>
      <c r="M9" s="72">
        <f>IFERROR(VLOOKUP($B9,'BASE+TOMADOR'!$A:$BS,58,FALSE),0)</f>
        <v>4827.79</v>
      </c>
      <c r="N9" s="74">
        <f t="shared" si="0"/>
        <v>5.3568418822950339E-2</v>
      </c>
      <c r="O9" s="72">
        <f>IFERROR(VLOOKUP(B9,'[1]BASE+TOMADOR'!$A:$BF,58,0),0)</f>
        <v>3734.7799999999997</v>
      </c>
      <c r="P9" s="67">
        <f t="shared" si="3"/>
        <v>1093.0100000000002</v>
      </c>
      <c r="Q9"/>
    </row>
    <row r="10" spans="1:18" x14ac:dyDescent="0.25">
      <c r="A10" s="43">
        <f t="shared" si="2"/>
        <v>8</v>
      </c>
      <c r="B10" s="71" t="s">
        <v>321</v>
      </c>
      <c r="C10" s="43" t="str">
        <f>IFERROR(VLOOKUP($B10,'BASE+TOMADOR'!$A:$BS,3,FALSE),0)</f>
        <v>CLT</v>
      </c>
      <c r="D10" s="71" t="str">
        <f>VLOOKUP($B10,'BASE+TOMADOR'!$A:$BS,8,FALSE)</f>
        <v>ADMINISTRATIVO</v>
      </c>
      <c r="E10" s="71" t="str">
        <f>VLOOKUP($B10,'BASE+TOMADOR'!$A:$BS,15,FALSE)</f>
        <v>ANALISTA FINANCEIRO PLENO</v>
      </c>
      <c r="F10" s="43" t="str">
        <f>VLOOKUP($B10,'BASE+TOMADOR'!$A:$BS,71,FALSE)</f>
        <v>Ativo</v>
      </c>
      <c r="G10" s="71" t="str">
        <f>VLOOKUP($B10,'BASE+TOMADOR'!$A:$BS,4,FALSE)</f>
        <v>G3S FL 05 - PRES PRUD</v>
      </c>
      <c r="H10" s="71" t="str">
        <f>VLOOKUP($B10,'BASE+TOMADOR'!$A:$BS,7,FALSE)</f>
        <v>20.947.332/0005-19</v>
      </c>
      <c r="I10" s="72">
        <f>IFERROR(VLOOKUP($B10,'BASE+TOMADOR'!$A:$BS,62,FALSE),0)</f>
        <v>666.48555555555549</v>
      </c>
      <c r="J10" s="72">
        <f>IFERROR(VLOOKUP($B10,'BASE+TOMADOR'!$A:$BS,67,FALSE),0)</f>
        <v>1209.95</v>
      </c>
      <c r="K10" s="73">
        <f>VLOOKUP($B10,'BASE+TOMADOR'!$A:$BS,55,FALSE)</f>
        <v>521.87</v>
      </c>
      <c r="L10" s="73">
        <f>IFERROR(VLOOKUP($B10,'BASE+TOMADOR'!$A:$BS,56,FALSE),0)</f>
        <v>3949.5099999999998</v>
      </c>
      <c r="M10" s="72">
        <f>IFERROR(VLOOKUP($B10,'BASE+TOMADOR'!$A:$BS,58,FALSE),0)</f>
        <v>3949.5099999999998</v>
      </c>
      <c r="N10" s="74">
        <f t="shared" si="0"/>
        <v>4.3823158386224463E-2</v>
      </c>
      <c r="O10" s="72">
        <f>IFERROR(VLOOKUP(B10,'[1]BASE+TOMADOR'!$A:$BF,58,0),0)</f>
        <v>3380.46</v>
      </c>
      <c r="P10" s="67">
        <f t="shared" si="3"/>
        <v>569.04999999999973</v>
      </c>
      <c r="Q10"/>
    </row>
    <row r="11" spans="1:18" x14ac:dyDescent="0.25">
      <c r="A11" s="43">
        <f t="shared" si="2"/>
        <v>9</v>
      </c>
      <c r="B11" s="71" t="s">
        <v>334</v>
      </c>
      <c r="C11" s="43" t="str">
        <f>IFERROR(VLOOKUP($B11,'BASE+TOMADOR'!$A:$BS,3,FALSE),0)</f>
        <v>CLT</v>
      </c>
      <c r="D11" s="71" t="str">
        <f>VLOOKUP($B11,'BASE+TOMADOR'!$A:$BS,8,FALSE)</f>
        <v>OPERACIONAL</v>
      </c>
      <c r="E11" s="71" t="str">
        <f>VLOOKUP($B11,'BASE+TOMADOR'!$A:$BS,15,FALSE)</f>
        <v>AUXILIAR DE PATIO PLENO</v>
      </c>
      <c r="F11" s="43" t="str">
        <f>VLOOKUP($B11,'BASE+TOMADOR'!$A:$BS,71,FALSE)</f>
        <v>Ativo</v>
      </c>
      <c r="G11" s="71" t="str">
        <f>VLOOKUP($B11,'BASE+TOMADOR'!$A:$BS,4,FALSE)</f>
        <v>G3S FL 05 - PRES PRUD</v>
      </c>
      <c r="H11" s="71" t="str">
        <f>VLOOKUP($B11,'BASE+TOMADOR'!$A:$BS,7,FALSE)</f>
        <v>20.947.332/0005-19</v>
      </c>
      <c r="I11" s="72">
        <f>IFERROR(VLOOKUP($B11,'BASE+TOMADOR'!$A:$BS,62,FALSE),0)</f>
        <v>546.36166666666668</v>
      </c>
      <c r="J11" s="72">
        <f>IFERROR(VLOOKUP($B11,'BASE+TOMADOR'!$A:$BS,67,FALSE),0)</f>
        <v>991.86</v>
      </c>
      <c r="K11" s="73">
        <f>VLOOKUP($B11,'BASE+TOMADOR'!$A:$BS,55,FALSE)</f>
        <v>871.87</v>
      </c>
      <c r="L11" s="73">
        <f>IFERROR(VLOOKUP($B11,'BASE+TOMADOR'!$A:$BS,56,FALSE),0)</f>
        <v>3681.73</v>
      </c>
      <c r="M11" s="72">
        <f>IFERROR(VLOOKUP($B11,'BASE+TOMADOR'!$A:$BS,58,FALSE),0)</f>
        <v>3681.73</v>
      </c>
      <c r="N11" s="74">
        <f t="shared" si="0"/>
        <v>4.0851912496819652E-2</v>
      </c>
      <c r="O11" s="72">
        <f>IFERROR(VLOOKUP(B11,'[1]BASE+TOMADOR'!$A:$BF,58,0),0)</f>
        <v>3125.3199999999997</v>
      </c>
      <c r="P11" s="67">
        <f t="shared" si="3"/>
        <v>556.41000000000031</v>
      </c>
      <c r="Q11"/>
    </row>
    <row r="12" spans="1:18" x14ac:dyDescent="0.25">
      <c r="A12" s="43">
        <f t="shared" si="2"/>
        <v>10</v>
      </c>
      <c r="B12" s="71" t="s">
        <v>344</v>
      </c>
      <c r="C12" s="43" t="str">
        <f>IFERROR(VLOOKUP($B12,'BASE+TOMADOR'!$A:$BS,3,FALSE),0)</f>
        <v>CLT</v>
      </c>
      <c r="D12" s="71" t="str">
        <f>VLOOKUP($B12,'BASE+TOMADOR'!$A:$BS,8,FALSE)</f>
        <v>OPERACIONAL</v>
      </c>
      <c r="E12" s="71" t="str">
        <f>VLOOKUP($B12,'BASE+TOMADOR'!$A:$BS,15,FALSE)</f>
        <v>AUXILIAR DE PATIO JUNIOR</v>
      </c>
      <c r="F12" s="43" t="str">
        <f>VLOOKUP($B12,'BASE+TOMADOR'!$A:$BS,71,FALSE)</f>
        <v>Ativo</v>
      </c>
      <c r="G12" s="71" t="str">
        <f>VLOOKUP($B12,'BASE+TOMADOR'!$A:$BS,4,FALSE)</f>
        <v>G3S FL 05 - PRES PRUD</v>
      </c>
      <c r="H12" s="71" t="str">
        <f>VLOOKUP($B12,'BASE+TOMADOR'!$A:$BS,7,FALSE)</f>
        <v>20.947.332/0005-19</v>
      </c>
      <c r="I12" s="72">
        <f>IFERROR(VLOOKUP($B12,'BASE+TOMADOR'!$A:$BS,62,FALSE),0)</f>
        <v>497.75444444444452</v>
      </c>
      <c r="J12" s="72">
        <f>IFERROR(VLOOKUP($B12,'BASE+TOMADOR'!$A:$BS,67,FALSE),0)</f>
        <v>903.63</v>
      </c>
      <c r="K12" s="73">
        <f>VLOOKUP($B12,'BASE+TOMADOR'!$A:$BS,55,FALSE)</f>
        <v>871.87</v>
      </c>
      <c r="L12" s="73">
        <f>IFERROR(VLOOKUP($B12,'BASE+TOMADOR'!$A:$BS,56,FALSE),0)</f>
        <v>3431.75</v>
      </c>
      <c r="M12" s="72">
        <f>IFERROR(VLOOKUP($B12,'BASE+TOMADOR'!$A:$BS,58,FALSE),0)</f>
        <v>3431.75</v>
      </c>
      <c r="N12" s="74">
        <f t="shared" si="0"/>
        <v>3.8078172682668429E-2</v>
      </c>
      <c r="O12" s="72">
        <f>IFERROR(VLOOKUP(B12,'[1]BASE+TOMADOR'!$A:$BF,58,0),0)</f>
        <v>2735.48</v>
      </c>
      <c r="P12" s="67">
        <f t="shared" si="3"/>
        <v>696.27</v>
      </c>
      <c r="Q12"/>
    </row>
    <row r="13" spans="1:18" x14ac:dyDescent="0.25">
      <c r="A13" s="43">
        <f t="shared" si="2"/>
        <v>11</v>
      </c>
      <c r="B13" s="71" t="s">
        <v>332</v>
      </c>
      <c r="C13" s="43" t="str">
        <f>IFERROR(VLOOKUP($B13,'BASE+TOMADOR'!$A:$BS,3,FALSE),0)</f>
        <v>CLT</v>
      </c>
      <c r="D13" s="71" t="str">
        <f>VLOOKUP($B13,'BASE+TOMADOR'!$A:$BS,8,FALSE)</f>
        <v>OPERACIONAL</v>
      </c>
      <c r="E13" s="71" t="str">
        <f>VLOOKUP($B13,'BASE+TOMADOR'!$A:$BS,15,FALSE)</f>
        <v>AUXILIAR DE PATIO PLENO</v>
      </c>
      <c r="F13" s="43" t="str">
        <f>VLOOKUP($B13,'BASE+TOMADOR'!$A:$BS,71,FALSE)</f>
        <v>Ativo</v>
      </c>
      <c r="G13" s="71" t="str">
        <f>VLOOKUP($B13,'BASE+TOMADOR'!$A:$BS,4,FALSE)</f>
        <v>G3S FL 05 - PRES PRUD</v>
      </c>
      <c r="H13" s="71" t="str">
        <f>VLOOKUP($B13,'BASE+TOMADOR'!$A:$BS,7,FALSE)</f>
        <v>20.947.332/0005-19</v>
      </c>
      <c r="I13" s="72">
        <f>IFERROR(VLOOKUP($B13,'BASE+TOMADOR'!$A:$BS,62,FALSE),0)</f>
        <v>472.99194444444441</v>
      </c>
      <c r="J13" s="72">
        <f>IFERROR(VLOOKUP($B13,'BASE+TOMADOR'!$A:$BS,67,FALSE),0)</f>
        <v>858.67000000000007</v>
      </c>
      <c r="K13" s="73">
        <f>VLOOKUP($B13,'BASE+TOMADOR'!$A:$BS,55,FALSE)</f>
        <v>862.87</v>
      </c>
      <c r="L13" s="73">
        <f>IFERROR(VLOOKUP($B13,'BASE+TOMADOR'!$A:$BS,56,FALSE),0)</f>
        <v>3295.3999999999996</v>
      </c>
      <c r="M13" s="72">
        <f>IFERROR(VLOOKUP($B13,'BASE+TOMADOR'!$A:$BS,58,FALSE),0)</f>
        <v>3295.3999999999996</v>
      </c>
      <c r="N13" s="74">
        <f t="shared" si="0"/>
        <v>3.6565253954532098E-2</v>
      </c>
      <c r="O13" s="72">
        <f>IFERROR(VLOOKUP(B13,'[1]BASE+TOMADOR'!$A:$BF,58,0),0)</f>
        <v>2786.88</v>
      </c>
      <c r="P13" s="67">
        <f t="shared" si="3"/>
        <v>508.51999999999953</v>
      </c>
      <c r="Q13"/>
    </row>
    <row r="14" spans="1:18" x14ac:dyDescent="0.25">
      <c r="A14" s="43">
        <f t="shared" si="2"/>
        <v>12</v>
      </c>
      <c r="B14" s="71" t="s">
        <v>338</v>
      </c>
      <c r="C14" s="43" t="str">
        <f>IFERROR(VLOOKUP($B14,'BASE+TOMADOR'!$A:$BS,3,FALSE),0)</f>
        <v>CLT</v>
      </c>
      <c r="D14" s="71" t="str">
        <f>VLOOKUP($B14,'BASE+TOMADOR'!$A:$BS,8,FALSE)</f>
        <v>OPERACIONAL</v>
      </c>
      <c r="E14" s="71" t="str">
        <f>VLOOKUP($B14,'BASE+TOMADOR'!$A:$BS,15,FALSE)</f>
        <v>AUXILIAR DE PATIO JUNIOR</v>
      </c>
      <c r="F14" s="43" t="str">
        <f>VLOOKUP($B14,'BASE+TOMADOR'!$A:$BS,71,FALSE)</f>
        <v>Ativo</v>
      </c>
      <c r="G14" s="71" t="str">
        <f>VLOOKUP($B14,'BASE+TOMADOR'!$A:$BS,4,FALSE)</f>
        <v>G3S FL 05 - PRES PRUD</v>
      </c>
      <c r="H14" s="71" t="str">
        <f>VLOOKUP($B14,'BASE+TOMADOR'!$A:$BS,7,FALSE)</f>
        <v>20.947.332/0005-19</v>
      </c>
      <c r="I14" s="72">
        <f>IFERROR(VLOOKUP($B14,'BASE+TOMADOR'!$A:$BS,62,FALSE),0)</f>
        <v>470.74416666666673</v>
      </c>
      <c r="J14" s="72">
        <f>IFERROR(VLOOKUP($B14,'BASE+TOMADOR'!$A:$BS,67,FALSE),0)</f>
        <v>854.57999999999993</v>
      </c>
      <c r="K14" s="73">
        <f>VLOOKUP($B14,'BASE+TOMADOR'!$A:$BS,55,FALSE)</f>
        <v>862.87</v>
      </c>
      <c r="L14" s="73">
        <f>IFERROR(VLOOKUP($B14,'BASE+TOMADOR'!$A:$BS,56,FALSE),0)</f>
        <v>3283.84</v>
      </c>
      <c r="M14" s="72">
        <f>IFERROR(VLOOKUP($B14,'BASE+TOMADOR'!$A:$BS,58,FALSE),0)</f>
        <v>3283.84</v>
      </c>
      <c r="N14" s="74">
        <f t="shared" si="0"/>
        <v>3.6436985964086517E-2</v>
      </c>
      <c r="O14" s="72">
        <f>IFERROR(VLOOKUP(B14,'[1]BASE+TOMADOR'!$A:$BF,58,0),0)</f>
        <v>2815.19</v>
      </c>
      <c r="P14" s="67">
        <f t="shared" si="3"/>
        <v>468.65000000000009</v>
      </c>
      <c r="Q14"/>
    </row>
    <row r="15" spans="1:18" x14ac:dyDescent="0.25">
      <c r="A15" s="43">
        <f t="shared" si="2"/>
        <v>13</v>
      </c>
      <c r="B15" s="71" t="s">
        <v>343</v>
      </c>
      <c r="C15" s="43" t="str">
        <f>IFERROR(VLOOKUP($B15,'BASE+TOMADOR'!$A:$BS,3,FALSE),0)</f>
        <v>CLT</v>
      </c>
      <c r="D15" s="71" t="str">
        <f>VLOOKUP($B15,'BASE+TOMADOR'!$A:$BS,8,FALSE)</f>
        <v>OPERACIONAL</v>
      </c>
      <c r="E15" s="71" t="str">
        <f>VLOOKUP($B15,'BASE+TOMADOR'!$A:$BS,15,FALSE)</f>
        <v>AUXILIAR DE PATIO JUNIOR</v>
      </c>
      <c r="F15" s="43" t="str">
        <f>VLOOKUP($B15,'BASE+TOMADOR'!$A:$BS,71,FALSE)</f>
        <v>Ativo</v>
      </c>
      <c r="G15" s="71" t="str">
        <f>VLOOKUP($B15,'BASE+TOMADOR'!$A:$BS,4,FALSE)</f>
        <v>G3S FL 05 - PRES PRUD</v>
      </c>
      <c r="H15" s="71" t="str">
        <f>VLOOKUP($B15,'BASE+TOMADOR'!$A:$BS,7,FALSE)</f>
        <v>20.947.332/0005-19</v>
      </c>
      <c r="I15" s="72">
        <f>IFERROR(VLOOKUP($B15,'BASE+TOMADOR'!$A:$BS,62,FALSE),0)</f>
        <v>459.30111111111114</v>
      </c>
      <c r="J15" s="72">
        <f>IFERROR(VLOOKUP($B15,'BASE+TOMADOR'!$A:$BS,67,FALSE),0)</f>
        <v>833.81000000000006</v>
      </c>
      <c r="K15" s="73">
        <f>VLOOKUP($B15,'BASE+TOMADOR'!$A:$BS,55,FALSE)</f>
        <v>871.87</v>
      </c>
      <c r="L15" s="73">
        <f>IFERROR(VLOOKUP($B15,'BASE+TOMADOR'!$A:$BS,56,FALSE),0)</f>
        <v>3233.99</v>
      </c>
      <c r="M15" s="72">
        <f>IFERROR(VLOOKUP($B15,'BASE+TOMADOR'!$A:$BS,58,FALSE),0)</f>
        <v>3233.99</v>
      </c>
      <c r="N15" s="74">
        <f t="shared" si="0"/>
        <v>3.5883857994907224E-2</v>
      </c>
      <c r="O15" s="72">
        <f>IFERROR(VLOOKUP(B15,'[1]BASE+TOMADOR'!$A:$BF,58,0),0)</f>
        <v>2568.25</v>
      </c>
      <c r="P15" s="67">
        <f t="shared" si="3"/>
        <v>665.73999999999978</v>
      </c>
      <c r="Q15"/>
    </row>
    <row r="16" spans="1:18" x14ac:dyDescent="0.25">
      <c r="A16" s="43">
        <f t="shared" si="2"/>
        <v>14</v>
      </c>
      <c r="B16" s="71" t="s">
        <v>349</v>
      </c>
      <c r="C16" s="43" t="str">
        <f>IFERROR(VLOOKUP($B16,'BASE+TOMADOR'!$A:$BS,3,FALSE),0)</f>
        <v>CLT</v>
      </c>
      <c r="D16" s="71" t="str">
        <f>VLOOKUP($B16,'BASE+TOMADOR'!$A:$BS,8,FALSE)</f>
        <v>OPERACIONAL</v>
      </c>
      <c r="E16" s="71" t="str">
        <f>VLOOKUP($B16,'BASE+TOMADOR'!$A:$BS,15,FALSE)</f>
        <v>AUXILIAR DE PATIO JUNIOR</v>
      </c>
      <c r="F16" s="43" t="str">
        <f>VLOOKUP($B16,'BASE+TOMADOR'!$A:$BS,71,FALSE)</f>
        <v>Ativo</v>
      </c>
      <c r="G16" s="71" t="str">
        <f>VLOOKUP($B16,'BASE+TOMADOR'!$A:$BS,4,FALSE)</f>
        <v>G3S FL 05 - PRES PRUD</v>
      </c>
      <c r="H16" s="71" t="str">
        <f>VLOOKUP($B16,'BASE+TOMADOR'!$A:$BS,7,FALSE)</f>
        <v>20.947.332/0005-19</v>
      </c>
      <c r="I16" s="72">
        <f>IFERROR(VLOOKUP($B16,'BASE+TOMADOR'!$A:$BS,62,FALSE),0)</f>
        <v>442.4038888888889</v>
      </c>
      <c r="J16" s="72">
        <f>IFERROR(VLOOKUP($B16,'BASE+TOMADOR'!$A:$BS,67,FALSE),0)</f>
        <v>803.13</v>
      </c>
      <c r="K16" s="73">
        <f>VLOOKUP($B16,'BASE+TOMADOR'!$A:$BS,55,FALSE)</f>
        <v>862.87</v>
      </c>
      <c r="L16" s="73">
        <f>IFERROR(VLOOKUP($B16,'BASE+TOMADOR'!$A:$BS,56,FALSE),0)</f>
        <v>3138.0899999999997</v>
      </c>
      <c r="M16" s="72">
        <f>IFERROR(VLOOKUP($B16,'BASE+TOMADOR'!$A:$BS,58,FALSE),0)</f>
        <v>3138.0899999999997</v>
      </c>
      <c r="N16" s="74">
        <f t="shared" si="0"/>
        <v>3.4819766274861212E-2</v>
      </c>
      <c r="O16" s="72">
        <f>IFERROR(VLOOKUP(B16,'[1]BASE+TOMADOR'!$A:$BF,58,0),0)</f>
        <v>2433.17</v>
      </c>
      <c r="P16" s="67">
        <f t="shared" si="3"/>
        <v>704.91999999999962</v>
      </c>
    </row>
    <row r="17" spans="1:16" x14ac:dyDescent="0.25">
      <c r="A17" s="43">
        <f t="shared" si="2"/>
        <v>15</v>
      </c>
      <c r="B17" s="71" t="s">
        <v>347</v>
      </c>
      <c r="C17" s="43" t="str">
        <f>IFERROR(VLOOKUP($B17,'BASE+TOMADOR'!$A:$BS,3,FALSE),0)</f>
        <v>CLT</v>
      </c>
      <c r="D17" s="71" t="str">
        <f>VLOOKUP($B17,'BASE+TOMADOR'!$A:$BS,8,FALSE)</f>
        <v>COMERCIAL</v>
      </c>
      <c r="E17" s="71" t="str">
        <f>VLOOKUP($B17,'BASE+TOMADOR'!$A:$BS,15,FALSE)</f>
        <v>VENDEDOR INTERNO PLENO</v>
      </c>
      <c r="F17" s="43" t="str">
        <f>VLOOKUP($B17,'BASE+TOMADOR'!$A:$BS,71,FALSE)</f>
        <v>Ativo</v>
      </c>
      <c r="G17" s="71" t="str">
        <f>VLOOKUP($B17,'BASE+TOMADOR'!$A:$BS,4,FALSE)</f>
        <v>G3S FL 05 - PRES PRUD</v>
      </c>
      <c r="H17" s="71" t="str">
        <f>VLOOKUP($B17,'BASE+TOMADOR'!$A:$BS,7,FALSE)</f>
        <v>20.947.332/0005-19</v>
      </c>
      <c r="I17" s="72">
        <f>IFERROR(VLOOKUP($B17,'BASE+TOMADOR'!$A:$BS,62,FALSE),0)</f>
        <v>486.11111111111114</v>
      </c>
      <c r="J17" s="72">
        <f>IFERROR(VLOOKUP($B17,'BASE+TOMADOR'!$A:$BS,67,FALSE),0)</f>
        <v>882.5</v>
      </c>
      <c r="K17" s="73">
        <f>VLOOKUP($B17,'BASE+TOMADOR'!$A:$BS,55,FALSE)</f>
        <v>512.87</v>
      </c>
      <c r="L17" s="73">
        <f>IFERROR(VLOOKUP($B17,'BASE+TOMADOR'!$A:$BS,56,FALSE),0)</f>
        <v>3012.87</v>
      </c>
      <c r="M17" s="72">
        <f>IFERROR(VLOOKUP($B17,'BASE+TOMADOR'!$A:$BS,58,FALSE),0)</f>
        <v>3012.87</v>
      </c>
      <c r="N17" s="74">
        <f t="shared" si="0"/>
        <v>3.3430344322993001E-2</v>
      </c>
      <c r="O17" s="72">
        <f>IFERROR(VLOOKUP(B17,'[1]BASE+TOMADOR'!$A:$BF,58,0),0)</f>
        <v>2500</v>
      </c>
      <c r="P17" s="67">
        <f t="shared" si="3"/>
        <v>512.86999999999989</v>
      </c>
    </row>
    <row r="18" spans="1:16" x14ac:dyDescent="0.25">
      <c r="A18" s="43">
        <f t="shared" si="2"/>
        <v>16</v>
      </c>
      <c r="B18" s="71" t="s">
        <v>341</v>
      </c>
      <c r="C18" s="43" t="str">
        <f>IFERROR(VLOOKUP($B18,'BASE+TOMADOR'!$A:$BS,3,FALSE),0)</f>
        <v>CLT</v>
      </c>
      <c r="D18" s="71" t="str">
        <f>VLOOKUP($B18,'BASE+TOMADOR'!$A:$BS,8,FALSE)</f>
        <v>ADMINISTRATIVO</v>
      </c>
      <c r="E18" s="71" t="str">
        <f>VLOOKUP($B18,'BASE+TOMADOR'!$A:$BS,15,FALSE)</f>
        <v>AUXILIAR FINANCEIRO</v>
      </c>
      <c r="F18" s="43" t="str">
        <f>VLOOKUP($B18,'BASE+TOMADOR'!$A:$BS,71,FALSE)</f>
        <v>Ativo</v>
      </c>
      <c r="G18" s="71" t="str">
        <f>VLOOKUP($B18,'BASE+TOMADOR'!$A:$BS,4,FALSE)</f>
        <v>G3S FL 05 - PRES PRUD</v>
      </c>
      <c r="H18" s="71" t="str">
        <f>VLOOKUP($B18,'BASE+TOMADOR'!$A:$BS,7,FALSE)</f>
        <v>20.947.332/0005-19</v>
      </c>
      <c r="I18" s="72">
        <f>IFERROR(VLOOKUP($B18,'BASE+TOMADOR'!$A:$BS,62,FALSE),0)</f>
        <v>438.42555555555555</v>
      </c>
      <c r="J18" s="72">
        <f>IFERROR(VLOOKUP($B18,'BASE+TOMADOR'!$A:$BS,67,FALSE),0)</f>
        <v>795.6099999999999</v>
      </c>
      <c r="K18" s="73">
        <f>VLOOKUP($B18,'BASE+TOMADOR'!$A:$BS,55,FALSE)</f>
        <v>521.87</v>
      </c>
      <c r="L18" s="73">
        <f>IFERROR(VLOOKUP($B18,'BASE+TOMADOR'!$A:$BS,56,FALSE),0)</f>
        <v>2776.63</v>
      </c>
      <c r="M18" s="72">
        <f>IFERROR(VLOOKUP($B18,'BASE+TOMADOR'!$A:$BS,58,FALSE),0)</f>
        <v>2776.63</v>
      </c>
      <c r="N18" s="74">
        <f t="shared" si="0"/>
        <v>3.0809061445582472E-2</v>
      </c>
      <c r="O18" s="72">
        <f>IFERROR(VLOOKUP(B18,'[1]BASE+TOMADOR'!$A:$BF,58,0),0)</f>
        <v>2355.8199999999997</v>
      </c>
      <c r="P18" s="67">
        <f t="shared" si="3"/>
        <v>420.8100000000004</v>
      </c>
    </row>
    <row r="19" spans="1:16" x14ac:dyDescent="0.25">
      <c r="A19" s="43">
        <f t="shared" si="2"/>
        <v>17</v>
      </c>
      <c r="B19" s="71" t="s">
        <v>350</v>
      </c>
      <c r="C19" s="43" t="str">
        <f>IFERROR(VLOOKUP($B19,'BASE+TOMADOR'!$A:$BS,3,FALSE),0)</f>
        <v>CLT</v>
      </c>
      <c r="D19" s="71" t="str">
        <f>VLOOKUP($B19,'BASE+TOMADOR'!$A:$BS,8,FALSE)</f>
        <v>ADMINISTRATIVO</v>
      </c>
      <c r="E19" s="71" t="str">
        <f>VLOOKUP($B19,'BASE+TOMADOR'!$A:$BS,15,FALSE)</f>
        <v>AUXILIAR CONTABIL</v>
      </c>
      <c r="F19" s="43" t="str">
        <f>VLOOKUP($B19,'BASE+TOMADOR'!$A:$BS,71,FALSE)</f>
        <v>Ativo</v>
      </c>
      <c r="G19" s="71" t="str">
        <f>VLOOKUP($B19,'BASE+TOMADOR'!$A:$BS,4,FALSE)</f>
        <v>G3S FL 05 - PRES PRUD</v>
      </c>
      <c r="H19" s="71" t="str">
        <f>VLOOKUP($B19,'BASE+TOMADOR'!$A:$BS,7,FALSE)</f>
        <v>20.947.332/0005-19</v>
      </c>
      <c r="I19" s="72">
        <f>IFERROR(VLOOKUP($B19,'BASE+TOMADOR'!$A:$BS,62,FALSE),0)</f>
        <v>0</v>
      </c>
      <c r="J19" s="72">
        <f>IFERROR(VLOOKUP($B19,'BASE+TOMADOR'!$A:$BS,67,FALSE),0)</f>
        <v>740.59</v>
      </c>
      <c r="K19" s="73">
        <f>VLOOKUP($B19,'BASE+TOMADOR'!$A:$BS,55,FALSE)</f>
        <v>528.87</v>
      </c>
      <c r="L19" s="73">
        <f>IFERROR(VLOOKUP($B19,'BASE+TOMADOR'!$A:$BS,56,FALSE),0)</f>
        <v>2626.87</v>
      </c>
      <c r="M19" s="72">
        <f>IFERROR(VLOOKUP($B19,'BASE+TOMADOR'!$A:$BS,58,FALSE),0)</f>
        <v>2626.87</v>
      </c>
      <c r="N19" s="74">
        <f t="shared" si="0"/>
        <v>2.9147347410190493E-2</v>
      </c>
      <c r="O19" s="72">
        <f>IFERROR(VLOOKUP(B19,'[1]BASE+TOMADOR'!$A:$BF,58,0),0)</f>
        <v>1597</v>
      </c>
      <c r="P19" s="67">
        <f t="shared" si="3"/>
        <v>1029.8699999999999</v>
      </c>
    </row>
    <row r="20" spans="1:16" x14ac:dyDescent="0.25">
      <c r="A20" s="43">
        <f t="shared" si="2"/>
        <v>18</v>
      </c>
      <c r="B20" s="71" t="s">
        <v>352</v>
      </c>
      <c r="C20" s="43" t="str">
        <f>IFERROR(VLOOKUP($B20,'BASE+TOMADOR'!$A:$BS,3,FALSE),0)</f>
        <v>ESTÁGIO</v>
      </c>
      <c r="D20" s="71" t="str">
        <f>VLOOKUP($B20,'BASE+TOMADOR'!$A:$BS,8,FALSE)</f>
        <v>COMERCIAL</v>
      </c>
      <c r="E20" s="71" t="str">
        <f>VLOOKUP($B20,'BASE+TOMADOR'!$A:$BS,15,FALSE)</f>
        <v>AUXILIAR COMERCIAL - ESTAGIARIO</v>
      </c>
      <c r="F20" s="43" t="str">
        <f>VLOOKUP($B20,'BASE+TOMADOR'!$A:$BS,71,FALSE)</f>
        <v>Ativo</v>
      </c>
      <c r="G20" s="71" t="str">
        <f>VLOOKUP($B20,'BASE+TOMADOR'!$A:$BS,4,FALSE)</f>
        <v>G3S FL 05 - PRES PRUD</v>
      </c>
      <c r="H20" s="71" t="str">
        <f>VLOOKUP($B20,'BASE+TOMADOR'!$A:$BS,7,FALSE)</f>
        <v>20.947.332/0005-19</v>
      </c>
      <c r="I20" s="72">
        <f>IFERROR(VLOOKUP($B20,'BASE+TOMADOR'!$A:$BS,62,FALSE),0)</f>
        <v>0</v>
      </c>
      <c r="J20" s="72">
        <f>IFERROR(VLOOKUP($B20,'BASE+TOMADOR'!$A:$BS,67,FALSE),0)</f>
        <v>0</v>
      </c>
      <c r="K20" s="73">
        <f>VLOOKUP($B20,'BASE+TOMADOR'!$A:$BS,55,FALSE)</f>
        <v>1521.87</v>
      </c>
      <c r="L20" s="73">
        <f>IFERROR(VLOOKUP($B20,'BASE+TOMADOR'!$A:$BS,56,FALSE),0)</f>
        <v>1521.87</v>
      </c>
      <c r="M20" s="72">
        <f>IFERROR(VLOOKUP($B20,'BASE+TOMADOR'!$A:$BS,58,FALSE),0)</f>
        <v>1521.87</v>
      </c>
      <c r="N20" s="74">
        <f t="shared" si="0"/>
        <v>1.688643655877398E-2</v>
      </c>
      <c r="O20" s="72">
        <f>IFERROR(VLOOKUP(B20,'[1]BASE+TOMADOR'!$A:$BF,58,0),0)</f>
        <v>1550</v>
      </c>
      <c r="P20" s="67">
        <f>M20-O20</f>
        <v>-28.130000000000109</v>
      </c>
    </row>
    <row r="21" spans="1:16" x14ac:dyDescent="0.25">
      <c r="A21" s="43">
        <f t="shared" si="2"/>
        <v>19</v>
      </c>
      <c r="B21" s="71" t="s">
        <v>353</v>
      </c>
      <c r="C21" s="43" t="str">
        <f>IFERROR(VLOOKUP($B21,'BASE+TOMADOR'!$A:$BS,3,FALSE),0)</f>
        <v>ESTÁGIO</v>
      </c>
      <c r="D21" s="71" t="str">
        <f>VLOOKUP($B21,'BASE+TOMADOR'!$A:$BS,8,FALSE)</f>
        <v>ADMINISTRATIVO</v>
      </c>
      <c r="E21" s="71" t="str">
        <f>VLOOKUP($B21,'BASE+TOMADOR'!$A:$BS,15,FALSE)</f>
        <v>AUXILIAR FINANCEIRO - ESTAGIARIO</v>
      </c>
      <c r="F21" s="43" t="str">
        <f>VLOOKUP($B21,'BASE+TOMADOR'!$A:$BS,71,FALSE)</f>
        <v>Ativo</v>
      </c>
      <c r="G21" s="71" t="str">
        <f>VLOOKUP($B21,'BASE+TOMADOR'!$A:$BS,4,FALSE)</f>
        <v>G3S FL 05 - PRES PRUD</v>
      </c>
      <c r="H21" s="71" t="str">
        <f>VLOOKUP($B21,'BASE+TOMADOR'!$A:$BS,7,FALSE)</f>
        <v>20.947.332/0005-19</v>
      </c>
      <c r="I21" s="72">
        <f>IFERROR(VLOOKUP($B21,'BASE+TOMADOR'!$A:$BS,62,FALSE),0)</f>
        <v>0</v>
      </c>
      <c r="J21" s="72">
        <f>IFERROR(VLOOKUP($B21,'BASE+TOMADOR'!$A:$BS,67,FALSE),0)</f>
        <v>0</v>
      </c>
      <c r="K21" s="73">
        <f>VLOOKUP($B21,'BASE+TOMADOR'!$A:$BS,55,FALSE)</f>
        <v>1521.87</v>
      </c>
      <c r="L21" s="73">
        <f>IFERROR(VLOOKUP($B21,'BASE+TOMADOR'!$A:$BS,56,FALSE),0)</f>
        <v>1521.87</v>
      </c>
      <c r="M21" s="72">
        <f>IFERROR(VLOOKUP($B21,'BASE+TOMADOR'!$A:$BS,58,FALSE),0)</f>
        <v>1521.87</v>
      </c>
      <c r="N21" s="74">
        <f t="shared" si="0"/>
        <v>1.688643655877398E-2</v>
      </c>
      <c r="O21" s="72">
        <f>IFERROR(VLOOKUP(B21,'[1]BASE+TOMADOR'!$A:$BF,58,0),0)</f>
        <v>650</v>
      </c>
      <c r="P21" s="67">
        <f>M21-O21</f>
        <v>871.86999999999989</v>
      </c>
    </row>
    <row r="22" spans="1:16" x14ac:dyDescent="0.25">
      <c r="A22" s="43">
        <v>2</v>
      </c>
      <c r="B22" s="71" t="s">
        <v>336</v>
      </c>
      <c r="C22" s="43" t="str">
        <f>IFERROR(VLOOKUP($B22,'BASE+TOMADOR'!$A:$BS,3,FALSE),0)</f>
        <v>CLT</v>
      </c>
      <c r="D22" s="71" t="str">
        <f>VLOOKUP($B22,'BASE+TOMADOR'!$A:$BS,8,FALSE)</f>
        <v>LOGISTICA</v>
      </c>
      <c r="E22" s="71" t="str">
        <f>VLOOKUP($B22,'BASE+TOMADOR'!$A:$BS,15,FALSE)</f>
        <v>MOTORISTA TRUCK MANTENEDOR JUNIOR</v>
      </c>
      <c r="F22" s="43" t="str">
        <f>VLOOKUP($B22,'BASE+TOMADOR'!$A:$BS,71,FALSE)</f>
        <v>Desligado</v>
      </c>
      <c r="G22" s="71" t="str">
        <f>VLOOKUP($B22,'BASE+TOMADOR'!$A:$BS,4,FALSE)</f>
        <v>G3S FL 05 - PRES PRUD</v>
      </c>
      <c r="H22" s="71" t="str">
        <f>VLOOKUP($B22,'BASE+TOMADOR'!$A:$BS,7,FALSE)</f>
        <v>20.947.332/0005-19</v>
      </c>
      <c r="I22" s="72">
        <f>IFERROR(VLOOKUP($B22,'BASE+TOMADOR'!$A:$BS,62,FALSE),0)</f>
        <v>52.021666666666668</v>
      </c>
      <c r="J22" s="72">
        <f>IFERROR(VLOOKUP($B22,'BASE+TOMADOR'!$A:$BS,67,FALSE),0)</f>
        <v>73.03</v>
      </c>
      <c r="K22" s="73">
        <f>VLOOKUP($B22,'BASE+TOMADOR'!$A:$BS,55,FALSE)</f>
        <v>554.03</v>
      </c>
      <c r="L22" s="73">
        <f>IFERROR(VLOOKUP($B22,'BASE+TOMADOR'!$A:$BS,56,FALSE),0)</f>
        <v>821.56999999999994</v>
      </c>
      <c r="M22" s="72">
        <f>IFERROR(VLOOKUP($B22,'BASE+TOMADOR'!$A:$BS,70,FALSE),0)</f>
        <v>7959.66</v>
      </c>
      <c r="N22" s="74"/>
      <c r="O22" s="72"/>
      <c r="P22" s="67"/>
    </row>
    <row r="23" spans="1:16" x14ac:dyDescent="0.25">
      <c r="A23" s="43">
        <v>1</v>
      </c>
      <c r="B23" s="71" t="s">
        <v>345</v>
      </c>
      <c r="C23" s="43" t="str">
        <f>IFERROR(VLOOKUP($B23,'BASE+TOMADOR'!$A:$BS,3,FALSE),0)</f>
        <v>CLT</v>
      </c>
      <c r="D23" s="71" t="str">
        <f>VLOOKUP($B23,'BASE+TOMADOR'!$A:$BS,8,FALSE)</f>
        <v>COMERCIAL</v>
      </c>
      <c r="E23" s="71" t="str">
        <f>VLOOKUP($B23,'BASE+TOMADOR'!$A:$BS,15,FALSE)</f>
        <v>VENDEDOR INTERNO SENIOR</v>
      </c>
      <c r="F23" s="43" t="str">
        <f>VLOOKUP($B23,'BASE+TOMADOR'!$A:$BS,71,FALSE)</f>
        <v>Desligado</v>
      </c>
      <c r="G23" s="71" t="str">
        <f>VLOOKUP($B23,'BASE+TOMADOR'!$A:$BS,4,FALSE)</f>
        <v>G3S FL 05 - PRES PRUD</v>
      </c>
      <c r="H23" s="71" t="str">
        <f>VLOOKUP($B23,'BASE+TOMADOR'!$A:$BS,7,FALSE)</f>
        <v>20.947.332/0005-19</v>
      </c>
      <c r="I23" s="72">
        <f>IFERROR(VLOOKUP($B23,'BASE+TOMADOR'!$A:$BS,62,FALSE),0)</f>
        <v>0</v>
      </c>
      <c r="J23" s="72">
        <f>IFERROR(VLOOKUP($B23,'BASE+TOMADOR'!$A:$BS,67,FALSE),0)</f>
        <v>88</v>
      </c>
      <c r="K23" s="73">
        <f>VLOOKUP($B23,'BASE+TOMADOR'!$A:$BS,55,FALSE)</f>
        <v>183.33</v>
      </c>
      <c r="L23" s="73">
        <f>IFERROR(VLOOKUP($B23,'BASE+TOMADOR'!$A:$BS,56,FALSE),0)</f>
        <v>183.33</v>
      </c>
      <c r="M23" s="72">
        <f>IFERROR(VLOOKUP($B23,'BASE+TOMADOR'!$A:$BS,70,FALSE),0)</f>
        <v>1726.41</v>
      </c>
      <c r="N23" s="74"/>
      <c r="O23" s="72"/>
      <c r="P23" s="67"/>
    </row>
    <row r="24" spans="1:16" ht="16.149999999999999" customHeight="1" x14ac:dyDescent="0.25">
      <c r="B24" s="2"/>
      <c r="K24" s="48"/>
      <c r="L24" s="48"/>
      <c r="M24" s="49"/>
      <c r="N24" s="69"/>
      <c r="P24"/>
    </row>
    <row r="25" spans="1:16" ht="16.149999999999999" customHeight="1" x14ac:dyDescent="0.25">
      <c r="B25" s="98" t="s">
        <v>2</v>
      </c>
      <c r="C25" s="1" t="s">
        <v>684</v>
      </c>
      <c r="D25" s="1" t="s">
        <v>687</v>
      </c>
      <c r="E25"/>
      <c r="P25"/>
    </row>
    <row r="26" spans="1:16" ht="16.149999999999999" customHeight="1" x14ac:dyDescent="0.25">
      <c r="B26" s="2" t="s">
        <v>426</v>
      </c>
      <c r="C26" s="1">
        <v>19</v>
      </c>
      <c r="D26" s="48">
        <v>80437.739999999991</v>
      </c>
      <c r="E26"/>
      <c r="P26"/>
    </row>
    <row r="27" spans="1:16" ht="16.149999999999999" customHeight="1" x14ac:dyDescent="0.25">
      <c r="B27" s="99" t="s">
        <v>5</v>
      </c>
      <c r="C27" s="1">
        <v>16</v>
      </c>
      <c r="D27" s="48">
        <v>65381.130000000005</v>
      </c>
      <c r="E27"/>
      <c r="P27"/>
    </row>
    <row r="28" spans="1:16" ht="16.149999999999999" customHeight="1" x14ac:dyDescent="0.25">
      <c r="B28" s="99" t="s">
        <v>8</v>
      </c>
      <c r="C28" s="1">
        <v>1</v>
      </c>
      <c r="D28" s="48">
        <v>12012.87</v>
      </c>
      <c r="E28"/>
      <c r="P28"/>
    </row>
    <row r="29" spans="1:16" ht="16.149999999999999" customHeight="1" x14ac:dyDescent="0.25">
      <c r="B29" s="99" t="s">
        <v>6</v>
      </c>
      <c r="C29" s="1">
        <v>2</v>
      </c>
      <c r="D29" s="48">
        <v>3043.74</v>
      </c>
      <c r="E29"/>
      <c r="P29"/>
    </row>
    <row r="30" spans="1:16" ht="16.149999999999999" customHeight="1" x14ac:dyDescent="0.25">
      <c r="B30" s="2" t="s">
        <v>455</v>
      </c>
      <c r="C30" s="1">
        <v>2</v>
      </c>
      <c r="D30" s="48">
        <v>9686.07</v>
      </c>
      <c r="E30"/>
      <c r="P30"/>
    </row>
    <row r="31" spans="1:16" ht="16.149999999999999" customHeight="1" x14ac:dyDescent="0.25">
      <c r="B31" s="100" t="s">
        <v>5</v>
      </c>
      <c r="C31" s="1">
        <v>2</v>
      </c>
      <c r="D31" s="48">
        <v>9686.07</v>
      </c>
      <c r="E31" s="101"/>
      <c r="P31"/>
    </row>
    <row r="32" spans="1:16" ht="16.149999999999999" customHeight="1" x14ac:dyDescent="0.25">
      <c r="B32" s="1" t="s">
        <v>686</v>
      </c>
      <c r="C32" s="1">
        <v>21</v>
      </c>
      <c r="D32" s="48">
        <v>90123.81</v>
      </c>
      <c r="E32" s="101"/>
      <c r="P32"/>
    </row>
    <row r="33" spans="2:14" ht="17.45" customHeight="1" x14ac:dyDescent="0.25">
      <c r="B33"/>
      <c r="C33"/>
      <c r="D33"/>
    </row>
    <row r="34" spans="2:14" ht="16.149999999999999" customHeight="1" x14ac:dyDescent="0.25">
      <c r="B34" s="102" t="s">
        <v>12</v>
      </c>
      <c r="C34" s="98" t="s">
        <v>13</v>
      </c>
      <c r="D34" s="1" t="s">
        <v>684</v>
      </c>
      <c r="E34" s="1" t="s">
        <v>687</v>
      </c>
    </row>
    <row r="35" spans="2:14" x14ac:dyDescent="0.25">
      <c r="B35" s="103" t="s">
        <v>311</v>
      </c>
      <c r="C35" s="1" t="s">
        <v>312</v>
      </c>
      <c r="D35" s="1">
        <v>20</v>
      </c>
      <c r="E35" s="48">
        <v>78110.94</v>
      </c>
    </row>
    <row r="36" spans="2:14" x14ac:dyDescent="0.25">
      <c r="B36" s="103"/>
      <c r="C36" s="1" t="s">
        <v>424</v>
      </c>
      <c r="D36" s="1">
        <v>1</v>
      </c>
      <c r="E36" s="48">
        <v>12012.87</v>
      </c>
    </row>
    <row r="37" spans="2:14" x14ac:dyDescent="0.25">
      <c r="B37" s="1" t="s">
        <v>686</v>
      </c>
      <c r="D37" s="1">
        <v>21</v>
      </c>
      <c r="E37" s="48">
        <v>90123.81</v>
      </c>
    </row>
    <row r="38" spans="2:14" x14ac:dyDescent="0.25">
      <c r="B38"/>
      <c r="C38"/>
      <c r="D38"/>
      <c r="E38"/>
      <c r="G38"/>
      <c r="H38"/>
      <c r="K38"/>
      <c r="L38" s="12"/>
      <c r="M38"/>
      <c r="N38"/>
    </row>
    <row r="39" spans="2:14" x14ac:dyDescent="0.25">
      <c r="B39"/>
      <c r="C39"/>
      <c r="D39"/>
      <c r="E39"/>
      <c r="G39"/>
      <c r="H39"/>
      <c r="K39"/>
      <c r="L39" s="12"/>
      <c r="M39"/>
      <c r="N39"/>
    </row>
    <row r="40" spans="2:14" x14ac:dyDescent="0.25">
      <c r="B40"/>
      <c r="C40"/>
      <c r="D40"/>
      <c r="E40"/>
      <c r="G40"/>
      <c r="H40"/>
      <c r="K40"/>
      <c r="L40" s="12"/>
      <c r="M40"/>
      <c r="N40"/>
    </row>
    <row r="41" spans="2:14" x14ac:dyDescent="0.25">
      <c r="B41"/>
      <c r="C41"/>
      <c r="D41"/>
      <c r="E41"/>
      <c r="G41"/>
      <c r="H41"/>
      <c r="K41"/>
      <c r="L41" s="12"/>
      <c r="M41"/>
      <c r="N41"/>
    </row>
    <row r="42" spans="2:14" x14ac:dyDescent="0.25">
      <c r="B42"/>
      <c r="C42"/>
      <c r="D42"/>
      <c r="E42"/>
      <c r="G42"/>
      <c r="H42"/>
      <c r="K42"/>
      <c r="L42" s="12"/>
      <c r="M42"/>
      <c r="N42"/>
    </row>
    <row r="43" spans="2:14" x14ac:dyDescent="0.25">
      <c r="B43"/>
      <c r="C43"/>
      <c r="D43"/>
      <c r="E43"/>
      <c r="G43"/>
      <c r="H43"/>
      <c r="K43"/>
      <c r="L43" s="12"/>
      <c r="M43"/>
      <c r="N43"/>
    </row>
    <row r="44" spans="2:14" x14ac:dyDescent="0.25">
      <c r="B44"/>
      <c r="C44"/>
      <c r="D44"/>
      <c r="E44"/>
      <c r="G44"/>
      <c r="H44"/>
      <c r="K44"/>
      <c r="L44" s="12"/>
      <c r="M44"/>
      <c r="N44"/>
    </row>
    <row r="45" spans="2:14" x14ac:dyDescent="0.25">
      <c r="B45"/>
      <c r="C45"/>
      <c r="D45"/>
      <c r="E45"/>
      <c r="G45"/>
      <c r="H45"/>
      <c r="K45"/>
      <c r="L45" s="12"/>
      <c r="M45"/>
      <c r="N45"/>
    </row>
    <row r="46" spans="2:14" x14ac:dyDescent="0.25">
      <c r="B46"/>
      <c r="C46"/>
      <c r="D46"/>
      <c r="E46"/>
      <c r="G46"/>
      <c r="H46"/>
      <c r="K46"/>
      <c r="L46" s="12"/>
      <c r="M46"/>
      <c r="N46"/>
    </row>
    <row r="47" spans="2:14" x14ac:dyDescent="0.25">
      <c r="B47"/>
      <c r="C47"/>
      <c r="D47"/>
      <c r="E47"/>
      <c r="G47"/>
      <c r="H47"/>
      <c r="K47"/>
      <c r="L47" s="12"/>
      <c r="M47"/>
      <c r="N47"/>
    </row>
    <row r="48" spans="2:14" x14ac:dyDescent="0.25">
      <c r="B48"/>
      <c r="C48"/>
      <c r="D48"/>
      <c r="E48"/>
      <c r="G48"/>
      <c r="H48"/>
      <c r="K48"/>
      <c r="L48" s="12"/>
      <c r="M48"/>
      <c r="N48"/>
    </row>
    <row r="49" spans="2:14" x14ac:dyDescent="0.25">
      <c r="B49"/>
      <c r="C49"/>
      <c r="D49"/>
      <c r="E49"/>
      <c r="G49"/>
      <c r="H49"/>
      <c r="K49"/>
      <c r="L49" s="12"/>
      <c r="M49"/>
      <c r="N49"/>
    </row>
    <row r="50" spans="2:14" x14ac:dyDescent="0.25">
      <c r="B50"/>
      <c r="C50"/>
      <c r="D50"/>
      <c r="E50"/>
      <c r="G50"/>
      <c r="H50"/>
      <c r="K50"/>
      <c r="L50" s="12"/>
      <c r="M50"/>
      <c r="N50"/>
    </row>
    <row r="51" spans="2:14" x14ac:dyDescent="0.25">
      <c r="B51"/>
      <c r="C51"/>
      <c r="D51"/>
      <c r="E51"/>
      <c r="G51"/>
      <c r="H51"/>
      <c r="K51"/>
      <c r="L51" s="12"/>
      <c r="M51"/>
      <c r="N51"/>
    </row>
    <row r="52" spans="2:14" x14ac:dyDescent="0.25">
      <c r="B52"/>
      <c r="C52"/>
      <c r="D52"/>
      <c r="E52"/>
      <c r="G52"/>
      <c r="H52"/>
      <c r="K52"/>
      <c r="L52" s="12"/>
      <c r="M52"/>
      <c r="N52"/>
    </row>
    <row r="53" spans="2:14" x14ac:dyDescent="0.25">
      <c r="B53"/>
      <c r="C53"/>
      <c r="D53"/>
      <c r="E53"/>
    </row>
    <row r="54" spans="2:14" x14ac:dyDescent="0.25">
      <c r="B54"/>
      <c r="C54"/>
      <c r="D54"/>
      <c r="E54"/>
    </row>
    <row r="55" spans="2:14" x14ac:dyDescent="0.25">
      <c r="B55"/>
      <c r="C55"/>
      <c r="D55"/>
      <c r="E55"/>
    </row>
    <row r="56" spans="2:14" x14ac:dyDescent="0.25">
      <c r="B56"/>
      <c r="C56"/>
      <c r="D56"/>
      <c r="E56"/>
    </row>
    <row r="57" spans="2:14" x14ac:dyDescent="0.25">
      <c r="B57" s="5"/>
      <c r="C57" s="5"/>
      <c r="D57" s="3"/>
    </row>
    <row r="58" spans="2:14" x14ac:dyDescent="0.25">
      <c r="B58" s="5"/>
      <c r="C58" s="5"/>
      <c r="D58" s="3"/>
    </row>
    <row r="59" spans="2:14" x14ac:dyDescent="0.25">
      <c r="B59" s="5"/>
      <c r="C59" s="5"/>
      <c r="D59" s="3"/>
    </row>
    <row r="60" spans="2:14" x14ac:dyDescent="0.25">
      <c r="B60" s="5"/>
      <c r="C60" s="5"/>
    </row>
    <row r="61" spans="2:14" x14ac:dyDescent="0.25">
      <c r="B61" s="5"/>
      <c r="C61" s="5"/>
    </row>
  </sheetData>
  <autoFilter ref="A2:O20" xr:uid="{D12CA574-7460-41EF-8B5D-188A312AA43A}">
    <sortState xmlns:xlrd2="http://schemas.microsoft.com/office/spreadsheetml/2017/richdata2" ref="A3:O23">
      <sortCondition descending="1" ref="N2:N20"/>
    </sortState>
  </autoFilter>
  <mergeCells count="2">
    <mergeCell ref="K1:L1"/>
    <mergeCell ref="B1:E1"/>
  </mergeCells>
  <conditionalFormatting sqref="B47:B1048576 B33 B2 B24:B28">
    <cfRule type="duplicateValues" dxfId="612" priority="5"/>
  </conditionalFormatting>
  <printOptions horizontalCentered="1"/>
  <pageMargins left="0" right="0" top="0.11811023622047245" bottom="0.11811023622047245" header="0" footer="0"/>
  <pageSetup paperSize="9" scale="68" fitToHeight="0" orientation="landscape" r:id="rId3"/>
  <rowBreaks count="1" manualBreakCount="1">
    <brk id="39" max="15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86" id="{6FE73D1B-8C88-47F7-9560-D5D8FB3C8701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P3:P23</xm:sqref>
        </x14:conditionalFormatting>
        <x14:conditionalFormatting xmlns:xm="http://schemas.microsoft.com/office/excel/2006/main">
          <x14:cfRule type="iconSet" priority="3" id="{60B599FE-AFD4-4DB5-88C5-197153EA3810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Q3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35485-F4FF-49FA-B8CA-3530312E1ACA}">
  <sheetPr>
    <tabColor rgb="FF0070C0"/>
    <pageSetUpPr fitToPage="1"/>
  </sheetPr>
  <dimension ref="A1:Q54"/>
  <sheetViews>
    <sheetView showGridLines="0" zoomScale="90" zoomScaleNormal="90" workbookViewId="0">
      <pane ySplit="2" topLeftCell="A3" activePane="bottomLeft" state="frozen"/>
      <selection activeCell="X49" sqref="X49"/>
      <selection pane="bottomLeft" activeCell="E23" sqref="E23"/>
    </sheetView>
  </sheetViews>
  <sheetFormatPr defaultColWidth="9.140625" defaultRowHeight="15.75" x14ac:dyDescent="0.25"/>
  <cols>
    <col min="1" max="1" width="10.42578125" style="1" bestFit="1" customWidth="1"/>
    <col min="2" max="2" width="36.28515625" style="1" bestFit="1" customWidth="1"/>
    <col min="3" max="3" width="15.5703125" style="1" bestFit="1" customWidth="1"/>
    <col min="4" max="4" width="17" style="2" bestFit="1" customWidth="1"/>
    <col min="5" max="5" width="47.7109375" style="2" bestFit="1" customWidth="1"/>
    <col min="6" max="6" width="11.5703125" style="1" hidden="1" customWidth="1"/>
    <col min="7" max="7" width="31.28515625" style="2" hidden="1" customWidth="1"/>
    <col min="8" max="8" width="19.7109375" style="2" hidden="1" customWidth="1"/>
    <col min="9" max="9" width="19.7109375" style="1" bestFit="1" customWidth="1"/>
    <col min="10" max="10" width="17.140625" style="1" bestFit="1" customWidth="1"/>
    <col min="11" max="11" width="13.140625" style="2" hidden="1" customWidth="1"/>
    <col min="12" max="12" width="12" style="40" hidden="1" customWidth="1"/>
    <col min="13" max="13" width="14.7109375" style="6" bestFit="1" customWidth="1"/>
    <col min="14" max="14" width="7.85546875" style="4" bestFit="1" customWidth="1"/>
    <col min="15" max="15" width="16.28515625" style="1" bestFit="1" customWidth="1"/>
    <col min="16" max="16" width="4.42578125" style="1" customWidth="1"/>
    <col min="17" max="18" width="9.140625" style="1" bestFit="1"/>
    <col min="19" max="16384" width="9.140625" style="1"/>
  </cols>
  <sheetData>
    <row r="1" spans="1:17" x14ac:dyDescent="0.25">
      <c r="A1" s="90" t="s">
        <v>688</v>
      </c>
      <c r="B1" s="164" t="str">
        <f>GERAL!B1</f>
        <v>FOLHA DE PAGAMENTO MARÇO/2026</v>
      </c>
      <c r="C1" s="164"/>
      <c r="D1" s="164"/>
      <c r="E1" s="164"/>
      <c r="G1" s="1"/>
      <c r="H1" s="1"/>
      <c r="I1" s="80">
        <f>SUBTOTAL(9,I3:I14)</f>
        <v>8939.5880555555559</v>
      </c>
      <c r="J1" s="80">
        <f>SUBTOTAL(9,J3:J18)</f>
        <v>15429.81</v>
      </c>
      <c r="K1" s="165" t="s">
        <v>669</v>
      </c>
      <c r="L1" s="165"/>
      <c r="M1" s="80">
        <f>SUBTOTAL(9,M3:M18)</f>
        <v>77638.25</v>
      </c>
      <c r="N1" s="48"/>
      <c r="O1" s="80">
        <f>[1]EKIPA!$M$1</f>
        <v>87374.089999999982</v>
      </c>
      <c r="P1"/>
      <c r="Q1"/>
    </row>
    <row r="2" spans="1:17" s="7" customFormat="1" ht="30" customHeight="1" x14ac:dyDescent="0.25">
      <c r="A2" s="8" t="s">
        <v>670</v>
      </c>
      <c r="B2" s="8" t="s">
        <v>362</v>
      </c>
      <c r="C2" s="8" t="s">
        <v>671</v>
      </c>
      <c r="D2" s="8" t="s">
        <v>672</v>
      </c>
      <c r="E2" s="8" t="s">
        <v>673</v>
      </c>
      <c r="F2" s="8" t="s">
        <v>674</v>
      </c>
      <c r="G2" s="8" t="s">
        <v>675</v>
      </c>
      <c r="H2" s="8" t="s">
        <v>13</v>
      </c>
      <c r="I2" s="9" t="s">
        <v>676</v>
      </c>
      <c r="J2" s="9" t="s">
        <v>677</v>
      </c>
      <c r="K2" s="8" t="s">
        <v>678</v>
      </c>
      <c r="L2" s="41" t="s">
        <v>679</v>
      </c>
      <c r="M2" s="9" t="str">
        <f>GERAL!M2</f>
        <v>TT BRUTO
MARÇO</v>
      </c>
      <c r="N2" s="9" t="s">
        <v>681</v>
      </c>
      <c r="O2" s="9" t="str">
        <f>GERAL!O2</f>
        <v>TT BRUTO
FEVEREIRO</v>
      </c>
    </row>
    <row r="3" spans="1:17" x14ac:dyDescent="0.25">
      <c r="A3" s="43">
        <v>1</v>
      </c>
      <c r="B3" s="71" t="s">
        <v>469</v>
      </c>
      <c r="C3" s="43" t="str">
        <f>IFERROR(VLOOKUP($B3,'BASE+TOMADOR'!$A:$BS,3,FALSE),0)</f>
        <v>PJ</v>
      </c>
      <c r="D3" s="43" t="str">
        <f>VLOOKUP($B3,'BASE+TOMADOR'!$A:$BS,8,FALSE)</f>
        <v>OPERACIONAL</v>
      </c>
      <c r="E3" s="71" t="str">
        <f>VLOOKUP($B3,'BASE+TOMADOR'!$A:$BS,15,FALSE)</f>
        <v>ENCARREGADO MANUT MAQ E EQUIPAMENTOS</v>
      </c>
      <c r="F3" s="43" t="str">
        <f>VLOOKUP($B3,'BASE+TOMADOR'!$A:$BS,71,FALSE)</f>
        <v>Ativo</v>
      </c>
      <c r="G3" s="71" t="str">
        <f>VLOOKUP($B3,'BASE+TOMADOR'!$A:$BS,4,FALSE)</f>
        <v>G S FL 05 - BARUERI</v>
      </c>
      <c r="H3" s="71" t="str">
        <f>VLOOKUP($B3,'BASE+TOMADOR'!$A:$BS,7,FALSE)</f>
        <v>CONTRATO PJ</v>
      </c>
      <c r="I3" s="72">
        <f>IFERROR(VLOOKUP($B3,'BASE+TOMADOR'!$A:$BS,62,FALSE),0)</f>
        <v>833.33333333333337</v>
      </c>
      <c r="J3" s="72">
        <f>IFERROR(VLOOKUP($B3,'BASE+TOMADOR'!$A:$BS,67,FALSE),0)</f>
        <v>0</v>
      </c>
      <c r="K3" s="73">
        <f>VLOOKUP($B3,'BASE+TOMADOR'!$A:$BS,55,FALSE)</f>
        <v>12.87</v>
      </c>
      <c r="L3" s="73">
        <f>IFERROR(VLOOKUP($B3,'BASE+TOMADOR'!$A:$BS,56,FALSE),0)</f>
        <v>10012.870000000001</v>
      </c>
      <c r="M3" s="72">
        <f>IFERROR(VLOOKUP($B3,'BASE+TOMADOR'!$A:$BS,58,FALSE),0)</f>
        <v>10012.870000000001</v>
      </c>
      <c r="N3" s="74">
        <f t="shared" ref="N3:N17" si="0">M3/$M$1</f>
        <v>0.12896825984614543</v>
      </c>
      <c r="O3" s="72">
        <f>IFERROR(VLOOKUP(B3,'[1]BASE+TOMADOR'!$A:$BF,58,0),0)</f>
        <v>10000</v>
      </c>
      <c r="P3" s="67">
        <f t="shared" ref="P3:P17" si="1">M3-O3</f>
        <v>12.8700000000008</v>
      </c>
      <c r="Q3"/>
    </row>
    <row r="4" spans="1:17" x14ac:dyDescent="0.25">
      <c r="A4" s="43">
        <f t="shared" ref="A4:A18" si="2">A3+1</f>
        <v>2</v>
      </c>
      <c r="B4" s="71" t="s">
        <v>158</v>
      </c>
      <c r="C4" s="43" t="str">
        <f>IFERROR(VLOOKUP($B4,'BASE+TOMADOR'!$A:$BS,3,FALSE),0)</f>
        <v>CLT</v>
      </c>
      <c r="D4" s="43" t="str">
        <f>VLOOKUP($B4,'BASE+TOMADOR'!$A:$BS,8,FALSE)</f>
        <v>OPERACIONAL</v>
      </c>
      <c r="E4" s="71" t="str">
        <f>VLOOKUP($B4,'BASE+TOMADOR'!$A:$BS,15,FALSE)</f>
        <v>OPERADOR MANTENEDOR PLENO</v>
      </c>
      <c r="F4" s="43" t="str">
        <f>VLOOKUP($B4,'BASE+TOMADOR'!$A:$BS,71,FALSE)</f>
        <v>Ativo</v>
      </c>
      <c r="G4" s="71" t="str">
        <f>VLOOKUP($B4,'BASE+TOMADOR'!$A:$BS,4,FALSE)</f>
        <v>G S FL 05 - BARUERI</v>
      </c>
      <c r="H4" s="71" t="str">
        <f>VLOOKUP($B4,'BASE+TOMADOR'!$A:$BS,7,FALSE)</f>
        <v>20.504.237/0005-40</v>
      </c>
      <c r="I4" s="72">
        <f>IFERROR(VLOOKUP($B4,'BASE+TOMADOR'!$A:$BS,62,FALSE),0)</f>
        <v>1014.813333333333</v>
      </c>
      <c r="J4" s="72">
        <f>IFERROR(VLOOKUP($B4,'BASE+TOMADOR'!$A:$BS,67,FALSE),0)</f>
        <v>1842.31</v>
      </c>
      <c r="K4" s="73">
        <f>VLOOKUP($B4,'BASE+TOMADOR'!$A:$BS,55,FALSE)</f>
        <v>4432.37</v>
      </c>
      <c r="L4" s="73">
        <f>IFERROR(VLOOKUP($B4,'BASE+TOMADOR'!$A:$BS,56,FALSE),0)</f>
        <v>9651.41</v>
      </c>
      <c r="M4" s="72">
        <f>IFERROR(VLOOKUP($B4,'BASE+TOMADOR'!$A:$BS,58,FALSE),0)</f>
        <v>9651.41</v>
      </c>
      <c r="N4" s="74">
        <f t="shared" si="0"/>
        <v>0.12431256500500719</v>
      </c>
      <c r="O4" s="72">
        <f>IFERROR(VLOOKUP(B4,'[1]BASE+TOMADOR'!$A:$BF,58,0),0)</f>
        <v>10472.290000000001</v>
      </c>
      <c r="P4" s="67">
        <f t="shared" si="1"/>
        <v>-820.88000000000102</v>
      </c>
      <c r="Q4"/>
    </row>
    <row r="5" spans="1:17" x14ac:dyDescent="0.25">
      <c r="A5" s="43">
        <f t="shared" si="2"/>
        <v>3</v>
      </c>
      <c r="B5" s="71" t="s">
        <v>148</v>
      </c>
      <c r="C5" s="43" t="str">
        <f>IFERROR(VLOOKUP($B5,'BASE+TOMADOR'!$A:$BS,3,FALSE),0)</f>
        <v>CLT</v>
      </c>
      <c r="D5" s="43" t="str">
        <f>VLOOKUP($B5,'BASE+TOMADOR'!$A:$BS,8,FALSE)</f>
        <v>OPERACIONAL</v>
      </c>
      <c r="E5" s="71" t="str">
        <f>VLOOKUP($B5,'BASE+TOMADOR'!$A:$BS,15,FALSE)</f>
        <v>MOTORISTA CARRETEIRO MANTENEDOR SENIOR III</v>
      </c>
      <c r="F5" s="43" t="str">
        <f>VLOOKUP($B5,'BASE+TOMADOR'!$A:$BS,71,FALSE)</f>
        <v>Ativo</v>
      </c>
      <c r="G5" s="71" t="str">
        <f>VLOOKUP($B5,'BASE+TOMADOR'!$A:$BS,4,FALSE)</f>
        <v>G S FL 05 - BARUERI</v>
      </c>
      <c r="H5" s="71" t="str">
        <f>VLOOKUP($B5,'BASE+TOMADOR'!$A:$BS,7,FALSE)</f>
        <v>20.504.237/0005-40</v>
      </c>
      <c r="I5" s="72">
        <f>IFERROR(VLOOKUP($B5,'BASE+TOMADOR'!$A:$BS,62,FALSE),0)</f>
        <v>844.76583333333338</v>
      </c>
      <c r="J5" s="72">
        <f>IFERROR(VLOOKUP($B5,'BASE+TOMADOR'!$A:$BS,67,FALSE),0)</f>
        <v>1533.6</v>
      </c>
      <c r="K5" s="73">
        <f>VLOOKUP($B5,'BASE+TOMADOR'!$A:$BS,55,FALSE)</f>
        <v>3935.51</v>
      </c>
      <c r="L5" s="73">
        <f>IFERROR(VLOOKUP($B5,'BASE+TOMADOR'!$A:$BS,56,FALSE),0)</f>
        <v>8280.02</v>
      </c>
      <c r="M5" s="72">
        <f>IFERROR(VLOOKUP($B5,'BASE+TOMADOR'!$A:$BS,58,FALSE),0)</f>
        <v>8280.02</v>
      </c>
      <c r="N5" s="74">
        <f t="shared" si="0"/>
        <v>0.10664872018624841</v>
      </c>
      <c r="O5" s="72">
        <f>IFERROR(VLOOKUP(B5,'[1]BASE+TOMADOR'!$A:$BF,58,0),0)</f>
        <v>12827.5</v>
      </c>
      <c r="P5" s="67">
        <f t="shared" si="1"/>
        <v>-4547.4799999999996</v>
      </c>
      <c r="Q5"/>
    </row>
    <row r="6" spans="1:17" s="66" customFormat="1" x14ac:dyDescent="0.25">
      <c r="A6" s="43">
        <f t="shared" si="2"/>
        <v>4</v>
      </c>
      <c r="B6" s="71" t="s">
        <v>166</v>
      </c>
      <c r="C6" s="43" t="str">
        <f>IFERROR(VLOOKUP($B6,'BASE+TOMADOR'!$A:$BS,3,FALSE),0)</f>
        <v>CLT</v>
      </c>
      <c r="D6" s="43" t="str">
        <f>VLOOKUP($B6,'BASE+TOMADOR'!$A:$BS,8,FALSE)</f>
        <v>LOGISTICA</v>
      </c>
      <c r="E6" s="71" t="str">
        <f>VLOOKUP($B6,'BASE+TOMADOR'!$A:$BS,15,FALSE)</f>
        <v>MOTORISTA CARRETEIRO MANTENEDOR SENIOR III</v>
      </c>
      <c r="F6" s="43" t="str">
        <f>VLOOKUP($B6,'BASE+TOMADOR'!$A:$BS,71,FALSE)</f>
        <v>Ativo</v>
      </c>
      <c r="G6" s="71" t="str">
        <f>VLOOKUP($B6,'BASE+TOMADOR'!$A:$BS,4,FALSE)</f>
        <v>G S FL 05 - BARUERI</v>
      </c>
      <c r="H6" s="71" t="str">
        <f>VLOOKUP($B6,'BASE+TOMADOR'!$A:$BS,7,FALSE)</f>
        <v>20.504.237/0005-40</v>
      </c>
      <c r="I6" s="72">
        <f>IFERROR(VLOOKUP($B6,'BASE+TOMADOR'!$A:$BS,62,FALSE),0)</f>
        <v>839.79194444444454</v>
      </c>
      <c r="J6" s="72">
        <f>IFERROR(VLOOKUP($B6,'BASE+TOMADOR'!$A:$BS,67,FALSE),0)</f>
        <v>1524.57</v>
      </c>
      <c r="K6" s="73">
        <f>VLOOKUP($B6,'BASE+TOMADOR'!$A:$BS,55,FALSE)</f>
        <v>3134.87</v>
      </c>
      <c r="L6" s="73">
        <f>IFERROR(VLOOKUP($B6,'BASE+TOMADOR'!$A:$BS,56,FALSE),0)</f>
        <v>7453.8</v>
      </c>
      <c r="M6" s="72">
        <f>IFERROR(VLOOKUP($B6,'BASE+TOMADOR'!$A:$BS,58,FALSE),0)</f>
        <v>7453.8</v>
      </c>
      <c r="N6" s="74">
        <f t="shared" si="0"/>
        <v>9.6006800771526929E-2</v>
      </c>
      <c r="O6" s="72">
        <f>IFERROR(VLOOKUP(B6,'[1]BASE+TOMADOR'!$A:$BF,58,0),0)</f>
        <v>12049.43</v>
      </c>
      <c r="P6" s="67">
        <f t="shared" si="1"/>
        <v>-4595.63</v>
      </c>
    </row>
    <row r="7" spans="1:17" x14ac:dyDescent="0.25">
      <c r="A7" s="43">
        <f t="shared" si="2"/>
        <v>5</v>
      </c>
      <c r="B7" s="71" t="s">
        <v>161</v>
      </c>
      <c r="C7" s="43" t="str">
        <f>IFERROR(VLOOKUP($B7,'BASE+TOMADOR'!$A:$BS,3,FALSE),0)</f>
        <v>CLT</v>
      </c>
      <c r="D7" s="43" t="str">
        <f>VLOOKUP($B7,'BASE+TOMADOR'!$A:$BS,8,FALSE)</f>
        <v>OPERACIONAL</v>
      </c>
      <c r="E7" s="71" t="str">
        <f>VLOOKUP($B7,'BASE+TOMADOR'!$A:$BS,15,FALSE)</f>
        <v>OPERADOR MANTENEDOR SENIOR</v>
      </c>
      <c r="F7" s="43" t="str">
        <f>VLOOKUP($B7,'BASE+TOMADOR'!$A:$BS,71,FALSE)</f>
        <v>Ativo</v>
      </c>
      <c r="G7" s="71" t="str">
        <f>VLOOKUP($B7,'BASE+TOMADOR'!$A:$BS,4,FALSE)</f>
        <v>G S FL 05 - BARUERI</v>
      </c>
      <c r="H7" s="71" t="str">
        <f>VLOOKUP($B7,'BASE+TOMADOR'!$A:$BS,7,FALSE)</f>
        <v>20.504.237/0005-40</v>
      </c>
      <c r="I7" s="72">
        <f>IFERROR(VLOOKUP($B7,'BASE+TOMADOR'!$A:$BS,62,FALSE),0)</f>
        <v>801.72944444444454</v>
      </c>
      <c r="J7" s="72">
        <f>IFERROR(VLOOKUP($B7,'BASE+TOMADOR'!$A:$BS,67,FALSE),0)</f>
        <v>1455.4699999999998</v>
      </c>
      <c r="K7" s="73">
        <f>VLOOKUP($B7,'BASE+TOMADOR'!$A:$BS,55,FALSE)</f>
        <v>1445</v>
      </c>
      <c r="L7" s="73">
        <f>IFERROR(VLOOKUP($B7,'BASE+TOMADOR'!$A:$BS,56,FALSE),0)</f>
        <v>5568.18</v>
      </c>
      <c r="M7" s="72">
        <f>IFERROR(VLOOKUP($B7,'BASE+TOMADOR'!$A:$BS,58,FALSE),0)</f>
        <v>5568.18</v>
      </c>
      <c r="N7" s="74">
        <f t="shared" si="0"/>
        <v>7.1719545456009129E-2</v>
      </c>
      <c r="O7" s="72">
        <f>IFERROR(VLOOKUP(B7,'[1]BASE+TOMADOR'!$A:$BF,58,0),0)</f>
        <v>5581.39</v>
      </c>
      <c r="P7" s="67">
        <f t="shared" si="1"/>
        <v>-13.210000000000036</v>
      </c>
      <c r="Q7"/>
    </row>
    <row r="8" spans="1:17" x14ac:dyDescent="0.25">
      <c r="A8" s="43">
        <f t="shared" si="2"/>
        <v>6</v>
      </c>
      <c r="B8" s="71" t="s">
        <v>153</v>
      </c>
      <c r="C8" s="43" t="str">
        <f>IFERROR(VLOOKUP($B8,'BASE+TOMADOR'!$A:$BS,3,FALSE),0)</f>
        <v>CLT</v>
      </c>
      <c r="D8" s="43" t="str">
        <f>VLOOKUP($B8,'BASE+TOMADOR'!$A:$BS,8,FALSE)</f>
        <v>OPERACIONAL</v>
      </c>
      <c r="E8" s="71" t="str">
        <f>VLOOKUP($B8,'BASE+TOMADOR'!$A:$BS,15,FALSE)</f>
        <v>OPERADOR MANTENEDOR PLENO</v>
      </c>
      <c r="F8" s="43" t="str">
        <f>VLOOKUP($B8,'BASE+TOMADOR'!$A:$BS,71,FALSE)</f>
        <v>Ativo</v>
      </c>
      <c r="G8" s="71" t="str">
        <f>VLOOKUP($B8,'BASE+TOMADOR'!$A:$BS,4,FALSE)</f>
        <v>G S FL 05 - BARUERI</v>
      </c>
      <c r="H8" s="71" t="str">
        <f>VLOOKUP($B8,'BASE+TOMADOR'!$A:$BS,7,FALSE)</f>
        <v>20.504.237/0005-40</v>
      </c>
      <c r="I8" s="72">
        <f>IFERROR(VLOOKUP($B8,'BASE+TOMADOR'!$A:$BS,62,FALSE),0)</f>
        <v>751.87777777777774</v>
      </c>
      <c r="J8" s="72">
        <f>IFERROR(VLOOKUP($B8,'BASE+TOMADOR'!$A:$BS,67,FALSE),0)</f>
        <v>1364.97</v>
      </c>
      <c r="K8" s="73">
        <f>VLOOKUP($B8,'BASE+TOMADOR'!$A:$BS,55,FALSE)</f>
        <v>1487.87</v>
      </c>
      <c r="L8" s="73">
        <f>IFERROR(VLOOKUP($B8,'BASE+TOMADOR'!$A:$BS,56,FALSE),0)</f>
        <v>5354.67</v>
      </c>
      <c r="M8" s="72">
        <f>IFERROR(VLOOKUP($B8,'BASE+TOMADOR'!$A:$BS,58,FALSE),0)</f>
        <v>5354.67</v>
      </c>
      <c r="N8" s="74">
        <f t="shared" si="0"/>
        <v>6.8969483469810314E-2</v>
      </c>
      <c r="O8" s="72">
        <f>IFERROR(VLOOKUP(B8,'[1]BASE+TOMADOR'!$A:$BF,58,0),0)</f>
        <v>4708.8599999999997</v>
      </c>
      <c r="P8" s="67">
        <f t="shared" si="1"/>
        <v>645.8100000000004</v>
      </c>
      <c r="Q8"/>
    </row>
    <row r="9" spans="1:17" x14ac:dyDescent="0.25">
      <c r="A9" s="43">
        <f t="shared" si="2"/>
        <v>7</v>
      </c>
      <c r="B9" s="71" t="s">
        <v>172</v>
      </c>
      <c r="C9" s="43" t="str">
        <f>IFERROR(VLOOKUP($B9,'BASE+TOMADOR'!$A:$BS,3,FALSE),0)</f>
        <v>CLT</v>
      </c>
      <c r="D9" s="43" t="str">
        <f>VLOOKUP($B9,'BASE+TOMADOR'!$A:$BS,8,FALSE)</f>
        <v>OPERACIONAL</v>
      </c>
      <c r="E9" s="71" t="str">
        <f>VLOOKUP($B9,'BASE+TOMADOR'!$A:$BS,15,FALSE)</f>
        <v>OPERADOR MANTENEDOR SENIOR</v>
      </c>
      <c r="F9" s="43" t="str">
        <f>VLOOKUP($B9,'BASE+TOMADOR'!$A:$BS,71,FALSE)</f>
        <v>Ativo</v>
      </c>
      <c r="G9" s="71" t="str">
        <f>VLOOKUP($B9,'BASE+TOMADOR'!$A:$BS,4,FALSE)</f>
        <v>G S FL 05 - BARUERI</v>
      </c>
      <c r="H9" s="71" t="str">
        <f>VLOOKUP($B9,'BASE+TOMADOR'!$A:$BS,7,FALSE)</f>
        <v>20.504.237/0005-40</v>
      </c>
      <c r="I9" s="72">
        <f>IFERROR(VLOOKUP($B9,'BASE+TOMADOR'!$A:$BS,62,FALSE),0)</f>
        <v>749.47055555555551</v>
      </c>
      <c r="J9" s="72">
        <f>IFERROR(VLOOKUP($B9,'BASE+TOMADOR'!$A:$BS,67,FALSE),0)</f>
        <v>1360.5900000000001</v>
      </c>
      <c r="K9" s="73">
        <f>VLOOKUP($B9,'BASE+TOMADOR'!$A:$BS,55,FALSE)</f>
        <v>1325.8400000000001</v>
      </c>
      <c r="L9" s="73">
        <f>IFERROR(VLOOKUP($B9,'BASE+TOMADOR'!$A:$BS,56,FALSE),0)</f>
        <v>5180.26</v>
      </c>
      <c r="M9" s="72">
        <f>IFERROR(VLOOKUP($B9,'BASE+TOMADOR'!$A:$BS,58,FALSE),0)</f>
        <v>5180.26</v>
      </c>
      <c r="N9" s="74">
        <f t="shared" si="0"/>
        <v>6.6723039223578584E-2</v>
      </c>
      <c r="O9" s="72">
        <f>IFERROR(VLOOKUP(B9,'[1]BASE+TOMADOR'!$A:$BF,58,0),0)</f>
        <v>5288.16</v>
      </c>
      <c r="P9" s="67">
        <f t="shared" si="1"/>
        <v>-107.89999999999964</v>
      </c>
      <c r="Q9"/>
    </row>
    <row r="10" spans="1:17" x14ac:dyDescent="0.25">
      <c r="A10" s="43">
        <f t="shared" si="2"/>
        <v>8</v>
      </c>
      <c r="B10" s="71" t="s">
        <v>168</v>
      </c>
      <c r="C10" s="43" t="str">
        <f>IFERROR(VLOOKUP($B10,'BASE+TOMADOR'!$A:$BS,3,FALSE),0)</f>
        <v>CLT</v>
      </c>
      <c r="D10" s="43" t="str">
        <f>VLOOKUP($B10,'BASE+TOMADOR'!$A:$BS,8,FALSE)</f>
        <v>OPERACIONAL</v>
      </c>
      <c r="E10" s="71" t="str">
        <f>VLOOKUP($B10,'BASE+TOMADOR'!$A:$BS,15,FALSE)</f>
        <v>OPERADOR MANTENEDOR SENIOR</v>
      </c>
      <c r="F10" s="43" t="str">
        <f>VLOOKUP($B10,'BASE+TOMADOR'!$A:$BS,71,FALSE)</f>
        <v>Ativo</v>
      </c>
      <c r="G10" s="71" t="str">
        <f>VLOOKUP($B10,'BASE+TOMADOR'!$A:$BS,4,FALSE)</f>
        <v>G S FL 05 - BARUERI</v>
      </c>
      <c r="H10" s="71" t="str">
        <f>VLOOKUP($B10,'BASE+TOMADOR'!$A:$BS,7,FALSE)</f>
        <v>20.504.237/0005-40</v>
      </c>
      <c r="I10" s="72">
        <f>IFERROR(VLOOKUP($B10,'BASE+TOMADOR'!$A:$BS,62,FALSE),0)</f>
        <v>745.5</v>
      </c>
      <c r="J10" s="72">
        <f>IFERROR(VLOOKUP($B10,'BASE+TOMADOR'!$A:$BS,67,FALSE),0)</f>
        <v>1353.3999999999999</v>
      </c>
      <c r="K10" s="73">
        <f>VLOOKUP($B10,'BASE+TOMADOR'!$A:$BS,55,FALSE)</f>
        <v>992.5</v>
      </c>
      <c r="L10" s="73">
        <f>IFERROR(VLOOKUP($B10,'BASE+TOMADOR'!$A:$BS,56,FALSE),0)</f>
        <v>4826.5</v>
      </c>
      <c r="M10" s="72">
        <f>IFERROR(VLOOKUP($B10,'BASE+TOMADOR'!$A:$BS,58,FALSE),0)</f>
        <v>4826.5</v>
      </c>
      <c r="N10" s="74">
        <f t="shared" si="0"/>
        <v>6.2166522300541295E-2</v>
      </c>
      <c r="O10" s="72">
        <f>IFERROR(VLOOKUP(B10,'[1]BASE+TOMADOR'!$A:$BF,58,0),0)</f>
        <v>5286.9599999999991</v>
      </c>
      <c r="P10" s="67">
        <f t="shared" si="1"/>
        <v>-460.45999999999913</v>
      </c>
      <c r="Q10"/>
    </row>
    <row r="11" spans="1:17" x14ac:dyDescent="0.25">
      <c r="A11" s="43">
        <f t="shared" si="2"/>
        <v>9</v>
      </c>
      <c r="B11" s="71" t="s">
        <v>165</v>
      </c>
      <c r="C11" s="43" t="str">
        <f>IFERROR(VLOOKUP($B11,'BASE+TOMADOR'!$A:$BS,3,FALSE),0)</f>
        <v>CLT</v>
      </c>
      <c r="D11" s="43" t="str">
        <f>VLOOKUP($B11,'BASE+TOMADOR'!$A:$BS,8,FALSE)</f>
        <v>OPERACIONAL</v>
      </c>
      <c r="E11" s="71" t="str">
        <f>VLOOKUP($B11,'BASE+TOMADOR'!$A:$BS,15,FALSE)</f>
        <v>OPERADOR MANTENEDOR PLENO</v>
      </c>
      <c r="F11" s="43" t="str">
        <f>VLOOKUP($B11,'BASE+TOMADOR'!$A:$BS,71,FALSE)</f>
        <v>Ativo</v>
      </c>
      <c r="G11" s="71" t="str">
        <f>VLOOKUP($B11,'BASE+TOMADOR'!$A:$BS,4,FALSE)</f>
        <v>G S FL 05 - BARUERI</v>
      </c>
      <c r="H11" s="71" t="str">
        <f>VLOOKUP($B11,'BASE+TOMADOR'!$A:$BS,7,FALSE)</f>
        <v>20.504.237/0005-40</v>
      </c>
      <c r="I11" s="72">
        <f>IFERROR(VLOOKUP($B11,'BASE+TOMADOR'!$A:$BS,62,FALSE),0)</f>
        <v>719.09249999999986</v>
      </c>
      <c r="J11" s="72">
        <f>IFERROR(VLOOKUP($B11,'BASE+TOMADOR'!$A:$BS,67,FALSE),0)</f>
        <v>1305.45</v>
      </c>
      <c r="K11" s="73">
        <f>VLOOKUP($B11,'BASE+TOMADOR'!$A:$BS,55,FALSE)</f>
        <v>1000.6</v>
      </c>
      <c r="L11" s="73">
        <f>IFERROR(VLOOKUP($B11,'BASE+TOMADOR'!$A:$BS,56,FALSE),0)</f>
        <v>4698.79</v>
      </c>
      <c r="M11" s="72">
        <f>IFERROR(VLOOKUP($B11,'BASE+TOMADOR'!$A:$BS,58,FALSE),0)</f>
        <v>4698.79</v>
      </c>
      <c r="N11" s="74">
        <f t="shared" si="0"/>
        <v>6.0521585687467197E-2</v>
      </c>
      <c r="O11" s="72">
        <f>IFERROR(VLOOKUP(B11,'[1]BASE+TOMADOR'!$A:$BF,58,0),0)</f>
        <v>4467.09</v>
      </c>
      <c r="P11" s="67">
        <f t="shared" si="1"/>
        <v>231.69999999999982</v>
      </c>
      <c r="Q11"/>
    </row>
    <row r="12" spans="1:17" x14ac:dyDescent="0.25">
      <c r="A12" s="43">
        <f t="shared" si="2"/>
        <v>10</v>
      </c>
      <c r="B12" s="71" t="s">
        <v>162</v>
      </c>
      <c r="C12" s="43" t="str">
        <f>IFERROR(VLOOKUP($B12,'BASE+TOMADOR'!$A:$BS,3,FALSE),0)</f>
        <v>CLT</v>
      </c>
      <c r="D12" s="43" t="str">
        <f>VLOOKUP($B12,'BASE+TOMADOR'!$A:$BS,8,FALSE)</f>
        <v>OPERACIONAL</v>
      </c>
      <c r="E12" s="71" t="str">
        <f>VLOOKUP($B12,'BASE+TOMADOR'!$A:$BS,15,FALSE)</f>
        <v>OPERADOR MANTENEDOR PLENO</v>
      </c>
      <c r="F12" s="43" t="str">
        <f>VLOOKUP($B12,'BASE+TOMADOR'!$A:$BS,71,FALSE)</f>
        <v>Ativo</v>
      </c>
      <c r="G12" s="71" t="str">
        <f>VLOOKUP($B12,'BASE+TOMADOR'!$A:$BS,4,FALSE)</f>
        <v>G S FL 05 - BARUERI</v>
      </c>
      <c r="H12" s="71" t="str">
        <f>VLOOKUP($B12,'BASE+TOMADOR'!$A:$BS,7,FALSE)</f>
        <v>20.504.237/0005-40</v>
      </c>
      <c r="I12" s="72">
        <f>IFERROR(VLOOKUP($B12,'BASE+TOMADOR'!$A:$BS,62,FALSE),0)</f>
        <v>666.99111111111097</v>
      </c>
      <c r="J12" s="72">
        <f>IFERROR(VLOOKUP($B12,'BASE+TOMADOR'!$A:$BS,67,FALSE),0)</f>
        <v>1210.8600000000001</v>
      </c>
      <c r="K12" s="73">
        <f>VLOOKUP($B12,'BASE+TOMADOR'!$A:$BS,55,FALSE)</f>
        <v>1143.2</v>
      </c>
      <c r="L12" s="73">
        <f>IFERROR(VLOOKUP($B12,'BASE+TOMADOR'!$A:$BS,56,FALSE),0)</f>
        <v>4573.4399999999996</v>
      </c>
      <c r="M12" s="72">
        <f>IFERROR(VLOOKUP($B12,'BASE+TOMADOR'!$A:$BS,58,FALSE),0)</f>
        <v>4573.4399999999996</v>
      </c>
      <c r="N12" s="74">
        <f t="shared" si="0"/>
        <v>5.8907046462278574E-2</v>
      </c>
      <c r="O12" s="72">
        <f>IFERROR(VLOOKUP(B12,'[1]BASE+TOMADOR'!$A:$BF,58,0),0)</f>
        <v>4869.8999999999996</v>
      </c>
      <c r="P12" s="67">
        <f t="shared" si="1"/>
        <v>-296.46000000000004</v>
      </c>
      <c r="Q12"/>
    </row>
    <row r="13" spans="1:17" x14ac:dyDescent="0.25">
      <c r="A13" s="43">
        <f t="shared" si="2"/>
        <v>11</v>
      </c>
      <c r="B13" s="71" t="s">
        <v>192</v>
      </c>
      <c r="C13" s="43" t="str">
        <f>IFERROR(VLOOKUP($B13,'BASE+TOMADOR'!$A:$BS,3,FALSE),0)</f>
        <v>CLT</v>
      </c>
      <c r="D13" s="43" t="str">
        <f>VLOOKUP($B13,'BASE+TOMADOR'!$A:$BS,8,FALSE)</f>
        <v>COMERCIAL</v>
      </c>
      <c r="E13" s="71" t="str">
        <f>VLOOKUP($B13,'BASE+TOMADOR'!$A:$BS,15,FALSE)</f>
        <v>VENDEDOR (A)</v>
      </c>
      <c r="F13" s="43" t="str">
        <f>VLOOKUP($B13,'BASE+TOMADOR'!$A:$BS,71,FALSE)</f>
        <v>Ativo</v>
      </c>
      <c r="G13" s="71" t="str">
        <f>VLOOKUP($B13,'BASE+TOMADOR'!$A:$BS,4,FALSE)</f>
        <v>RSE COM DE FERRO,ACO E LOCA</v>
      </c>
      <c r="H13" s="71" t="str">
        <f>VLOOKUP($B13,'BASE+TOMADOR'!$A:$BS,7,FALSE)</f>
        <v>6.916.551/0001-86</v>
      </c>
      <c r="I13" s="72">
        <f>IFERROR(VLOOKUP($B13,'BASE+TOMADOR'!$A:$BS,62,FALSE),0)</f>
        <v>486.11111111111114</v>
      </c>
      <c r="J13" s="72">
        <f>IFERROR(VLOOKUP($B13,'BASE+TOMADOR'!$A:$BS,67,FALSE),0)</f>
        <v>882.5</v>
      </c>
      <c r="K13" s="73">
        <f>VLOOKUP($B13,'BASE+TOMADOR'!$A:$BS,55,FALSE)</f>
        <v>921.87</v>
      </c>
      <c r="L13" s="73">
        <f>IFERROR(VLOOKUP($B13,'BASE+TOMADOR'!$A:$BS,56,FALSE),0)</f>
        <v>3421.87</v>
      </c>
      <c r="M13" s="72">
        <f>IFERROR(VLOOKUP($B13,'BASE+TOMADOR'!$A:$BS,58,FALSE),0)</f>
        <v>3421.87</v>
      </c>
      <c r="N13" s="74">
        <f t="shared" si="0"/>
        <v>4.4074538001564946E-2</v>
      </c>
      <c r="O13" s="72">
        <f>IFERROR(VLOOKUP(B13,'[1]BASE+TOMADOR'!$A:$BF,58,0),0)</f>
        <v>4216.67</v>
      </c>
      <c r="P13" s="67">
        <f t="shared" si="1"/>
        <v>-794.80000000000018</v>
      </c>
      <c r="Q13"/>
    </row>
    <row r="14" spans="1:17" x14ac:dyDescent="0.25">
      <c r="A14" s="43">
        <f t="shared" si="2"/>
        <v>12</v>
      </c>
      <c r="B14" s="71" t="s">
        <v>113</v>
      </c>
      <c r="C14" s="43" t="str">
        <f>IFERROR(VLOOKUP($B14,'BASE+TOMADOR'!$A:$BS,3,FALSE),0)</f>
        <v>CLT</v>
      </c>
      <c r="D14" s="43" t="str">
        <f>VLOOKUP($B14,'BASE+TOMADOR'!$A:$BS,8,FALSE)</f>
        <v>INTRA-LOGISTICA</v>
      </c>
      <c r="E14" s="71" t="str">
        <f>VLOOKUP($B14,'BASE+TOMADOR'!$A:$BS,15,FALSE)</f>
        <v>ANALISTA ADMINISTRATIVO OPERACIONAL JUNIOR</v>
      </c>
      <c r="F14" s="43" t="str">
        <f>VLOOKUP($B14,'BASE+TOMADOR'!$A:$BS,71,FALSE)</f>
        <v>Ativo</v>
      </c>
      <c r="G14" s="71" t="str">
        <f>VLOOKUP($B14,'BASE+TOMADOR'!$A:$BS,4,FALSE)</f>
        <v>G S MATRIZ - PRES PRUD</v>
      </c>
      <c r="H14" s="71" t="str">
        <f>VLOOKUP($B14,'BASE+TOMADOR'!$A:$BS,7,FALSE)</f>
        <v>20.504.237/0001-17</v>
      </c>
      <c r="I14" s="72">
        <f>IFERROR(VLOOKUP($B14,'BASE+TOMADOR'!$A:$BS,62,FALSE),0)</f>
        <v>486.11111111111114</v>
      </c>
      <c r="J14" s="72">
        <f>IFERROR(VLOOKUP($B14,'BASE+TOMADOR'!$A:$BS,67,FALSE),0)</f>
        <v>882.5</v>
      </c>
      <c r="K14" s="73">
        <f>VLOOKUP($B14,'BASE+TOMADOR'!$A:$BS,55,FALSE)</f>
        <v>521.87</v>
      </c>
      <c r="L14" s="73">
        <f>IFERROR(VLOOKUP($B14,'BASE+TOMADOR'!$A:$BS,56,FALSE),0)</f>
        <v>3021.87</v>
      </c>
      <c r="M14" s="72">
        <f>IFERROR(VLOOKUP($B14,'BASE+TOMADOR'!$A:$BS,58,FALSE),0)</f>
        <v>3021.87</v>
      </c>
      <c r="N14" s="74">
        <f t="shared" si="0"/>
        <v>3.892243835995788E-2</v>
      </c>
      <c r="O14" s="72">
        <f>IFERROR(VLOOKUP(B14,'[1]BASE+TOMADOR'!$A:$BF,58,0),0)</f>
        <v>2500</v>
      </c>
      <c r="P14" s="67">
        <f t="shared" si="1"/>
        <v>521.86999999999989</v>
      </c>
      <c r="Q14"/>
    </row>
    <row r="15" spans="1:17" x14ac:dyDescent="0.25">
      <c r="A15" s="43">
        <f t="shared" si="2"/>
        <v>13</v>
      </c>
      <c r="B15" s="71" t="s">
        <v>173</v>
      </c>
      <c r="C15" s="43" t="str">
        <f>IFERROR(VLOOKUP($B15,'BASE+TOMADOR'!$A:$BS,3,FALSE),0)</f>
        <v>CLT</v>
      </c>
      <c r="D15" s="43" t="str">
        <f>VLOOKUP($B15,'BASE+TOMADOR'!$A:$BS,8,FALSE)</f>
        <v>OPERACIONAL</v>
      </c>
      <c r="E15" s="71" t="str">
        <f>VLOOKUP($B15,'BASE+TOMADOR'!$A:$BS,15,FALSE)</f>
        <v>OPERADOR MANTENEDOR SENIOR</v>
      </c>
      <c r="F15" s="43" t="str">
        <f>VLOOKUP($B15,'BASE+TOMADOR'!$A:$BS,71,FALSE)</f>
        <v>Ativo</v>
      </c>
      <c r="G15" s="71" t="str">
        <f>VLOOKUP($B15,'BASE+TOMADOR'!$A:$BS,4,FALSE)</f>
        <v>G S FL 05 - BARUERI</v>
      </c>
      <c r="H15" s="71" t="str">
        <f>VLOOKUP($B15,'BASE+TOMADOR'!$A:$BS,7,FALSE)</f>
        <v>20.504.237/0005-40</v>
      </c>
      <c r="I15" s="72">
        <f>IFERROR(VLOOKUP($B15,'BASE+TOMADOR'!$A:$BS,62,FALSE),0)</f>
        <v>0</v>
      </c>
      <c r="J15" s="72">
        <f>IFERROR(VLOOKUP($B15,'BASE+TOMADOR'!$A:$BS,67,FALSE),0)</f>
        <v>713.59</v>
      </c>
      <c r="K15" s="73"/>
      <c r="L15" s="73"/>
      <c r="M15" s="72">
        <f>IFERROR(VLOOKUP($B15,'BASE+TOMADOR'!$A:$BS,58,FALSE),0)</f>
        <v>2594.5699999999997</v>
      </c>
      <c r="N15" s="74">
        <f t="shared" si="0"/>
        <v>3.3418707917811125E-2</v>
      </c>
      <c r="O15" s="72">
        <f>IFERROR(VLOOKUP(B15,'[1]BASE+TOMADOR'!$A:$BF,58,0),0)</f>
        <v>0</v>
      </c>
      <c r="P15" s="67">
        <f t="shared" si="1"/>
        <v>2594.5699999999997</v>
      </c>
      <c r="Q15"/>
    </row>
    <row r="16" spans="1:17" x14ac:dyDescent="0.25">
      <c r="A16" s="43">
        <f t="shared" si="2"/>
        <v>14</v>
      </c>
      <c r="B16" s="71" t="s">
        <v>122</v>
      </c>
      <c r="C16" s="43" t="str">
        <f>IFERROR(VLOOKUP($B16,'BASE+TOMADOR'!$A:$BS,3,FALSE),0)</f>
        <v>ESTÁGIO</v>
      </c>
      <c r="D16" s="43" t="str">
        <f>VLOOKUP($B16,'BASE+TOMADOR'!$A:$BS,8,FALSE)</f>
        <v>INTRA-LOGISTICA</v>
      </c>
      <c r="E16" s="71" t="str">
        <f>VLOOKUP($B16,'BASE+TOMADOR'!$A:$BS,15,FALSE)</f>
        <v>AUXILIAR DE MARKETING - ESTAGIARIO</v>
      </c>
      <c r="F16" s="43" t="str">
        <f>VLOOKUP($B16,'BASE+TOMADOR'!$A:$BS,71,FALSE)</f>
        <v>Ativo</v>
      </c>
      <c r="G16" s="71" t="str">
        <f>VLOOKUP($B16,'BASE+TOMADOR'!$A:$BS,4,FALSE)</f>
        <v>G S MATRIZ - PRES PRUD</v>
      </c>
      <c r="H16" s="71" t="str">
        <f>VLOOKUP($B16,'BASE+TOMADOR'!$A:$BS,7,FALSE)</f>
        <v>20.504.237/0001-17</v>
      </c>
      <c r="I16" s="72">
        <f>IFERROR(VLOOKUP($B16,'BASE+TOMADOR'!$A:$BS,62,FALSE),0)</f>
        <v>0</v>
      </c>
      <c r="J16" s="72">
        <f>IFERROR(VLOOKUP($B16,'BASE+TOMADOR'!$A:$BS,67,FALSE),0)</f>
        <v>0</v>
      </c>
      <c r="K16" s="73"/>
      <c r="L16" s="73"/>
      <c r="M16" s="72">
        <f>IFERROR(VLOOKUP($B16,'BASE+TOMADOR'!$A:$BS,58,FALSE),0)</f>
        <v>1500</v>
      </c>
      <c r="N16" s="74">
        <f t="shared" si="0"/>
        <v>1.9320373656026509E-2</v>
      </c>
      <c r="O16" s="72">
        <f>IFERROR(VLOOKUP(B16,'[1]BASE+TOMADOR'!$A:$BF,58,0),0)</f>
        <v>0</v>
      </c>
      <c r="P16" s="67">
        <f t="shared" si="1"/>
        <v>1500</v>
      </c>
      <c r="Q16"/>
    </row>
    <row r="17" spans="1:17" x14ac:dyDescent="0.25">
      <c r="A17" s="43">
        <f t="shared" si="2"/>
        <v>15</v>
      </c>
      <c r="B17" s="71" t="s">
        <v>126</v>
      </c>
      <c r="C17" s="43" t="str">
        <f>IFERROR(VLOOKUP($B17,'BASE+TOMADOR'!$A:$BS,3,FALSE),0)</f>
        <v>ESTÁGIO</v>
      </c>
      <c r="D17" s="43" t="str">
        <f>VLOOKUP($B17,'BASE+TOMADOR'!$A:$BS,8,FALSE)</f>
        <v>INTRA-LOGISTICA</v>
      </c>
      <c r="E17" s="71" t="str">
        <f>VLOOKUP($B17,'BASE+TOMADOR'!$A:$BS,15,FALSE)</f>
        <v>AUXILIAR DE ENGENHARIA - ESTAGIARIO</v>
      </c>
      <c r="F17" s="43" t="str">
        <f>VLOOKUP($B17,'BASE+TOMADOR'!$A:$BS,71,FALSE)</f>
        <v>Ativo</v>
      </c>
      <c r="G17" s="71" t="str">
        <f>VLOOKUP($B17,'BASE+TOMADOR'!$A:$BS,4,FALSE)</f>
        <v>G S MATRIZ - PRES PRUD</v>
      </c>
      <c r="H17" s="71" t="str">
        <f>VLOOKUP($B17,'BASE+TOMADOR'!$A:$BS,7,FALSE)</f>
        <v>20.504.237/0001-17</v>
      </c>
      <c r="I17" s="72">
        <f>IFERROR(VLOOKUP($B17,'BASE+TOMADOR'!$A:$BS,62,FALSE),0)</f>
        <v>0</v>
      </c>
      <c r="J17" s="72">
        <f>IFERROR(VLOOKUP($B17,'BASE+TOMADOR'!$A:$BS,67,FALSE),0)</f>
        <v>0</v>
      </c>
      <c r="K17" s="73"/>
      <c r="L17" s="73"/>
      <c r="M17" s="72">
        <f>IFERROR(VLOOKUP($B17,'BASE+TOMADOR'!$A:$BS,58,FALSE),0)</f>
        <v>1500</v>
      </c>
      <c r="N17" s="74">
        <f t="shared" si="0"/>
        <v>1.9320373656026509E-2</v>
      </c>
      <c r="O17" s="72">
        <f>IFERROR(VLOOKUP(B17,'[1]BASE+TOMADOR'!$A:$BF,58,0),0)</f>
        <v>0</v>
      </c>
      <c r="P17" s="67">
        <f t="shared" si="1"/>
        <v>1500</v>
      </c>
      <c r="Q17"/>
    </row>
    <row r="18" spans="1:17" x14ac:dyDescent="0.25">
      <c r="A18" s="43">
        <f t="shared" si="2"/>
        <v>16</v>
      </c>
      <c r="B18" s="71" t="s">
        <v>440</v>
      </c>
      <c r="C18" s="43" t="str">
        <f>IFERROR(VLOOKUP($B18,'BASE+TOMADOR'!$A:$BS,3,FALSE),0)</f>
        <v>PJ</v>
      </c>
      <c r="D18" s="43" t="str">
        <f>VLOOKUP($B18,'BASE+TOMADOR'!$A:$BS,8,FALSE)</f>
        <v>COMERCIAL</v>
      </c>
      <c r="E18" s="71" t="str">
        <f>VLOOKUP($B18,'BASE+TOMADOR'!$A:$BS,15,FALSE)</f>
        <v>GERENTE</v>
      </c>
      <c r="F18" s="43" t="str">
        <f>VLOOKUP($B18,'BASE+TOMADOR'!$A:$BS,71,FALSE)</f>
        <v>Ativo</v>
      </c>
      <c r="G18" s="71" t="str">
        <f>VLOOKUP($B18,'BASE+TOMADOR'!$A:$BS,4,FALSE)</f>
        <v>G S FL 05 - BARUERI</v>
      </c>
      <c r="H18" s="71" t="str">
        <f>VLOOKUP($B18,'BASE+TOMADOR'!$A:$BS,7,FALSE)</f>
        <v>CONTRATO PJ</v>
      </c>
      <c r="I18" s="72">
        <f>IFERROR(VLOOKUP($B18,'BASE+TOMADOR'!$A:$BS,62,FALSE),0)</f>
        <v>0</v>
      </c>
      <c r="J18" s="72">
        <f>IFERROR(VLOOKUP($B18,'BASE+TOMADOR'!$A:$BS,67,FALSE),0)</f>
        <v>0</v>
      </c>
      <c r="K18" s="73">
        <f>VLOOKUP($B18,'BASE+TOMADOR'!$A:$BS,55,FALSE)</f>
        <v>0</v>
      </c>
      <c r="L18" s="73">
        <f>IFERROR(VLOOKUP($B18,'BASE+TOMADOR'!$A:$BS,56,FALSE),0)</f>
        <v>0</v>
      </c>
      <c r="M18" s="72">
        <f>IFERROR(VLOOKUP($B18,'BASE+TOMADOR'!$A:$BS,58,FALSE),0)</f>
        <v>0</v>
      </c>
      <c r="N18" s="74">
        <v>0</v>
      </c>
      <c r="O18" s="72">
        <f>IFERROR(VLOOKUP(B18,'[1]BASE+TOMADOR'!$A:$BF,58,0),0)</f>
        <v>0</v>
      </c>
      <c r="P18" s="67">
        <f t="shared" ref="P18" si="3">M18-O18</f>
        <v>0</v>
      </c>
      <c r="Q18"/>
    </row>
    <row r="19" spans="1:17" x14ac:dyDescent="0.25">
      <c r="B19" s="2"/>
      <c r="K19" s="48"/>
      <c r="L19" s="48"/>
      <c r="M19" s="49"/>
      <c r="N19" s="69"/>
      <c r="P19"/>
    </row>
    <row r="20" spans="1:17" x14ac:dyDescent="0.25">
      <c r="B20" s="98" t="s">
        <v>2</v>
      </c>
      <c r="C20" s="1" t="s">
        <v>684</v>
      </c>
      <c r="D20" s="1" t="s">
        <v>685</v>
      </c>
      <c r="P20"/>
    </row>
    <row r="21" spans="1:17" x14ac:dyDescent="0.25">
      <c r="B21" s="2" t="s">
        <v>426</v>
      </c>
      <c r="C21" s="1">
        <v>16</v>
      </c>
      <c r="D21" s="48">
        <v>77638.250000000015</v>
      </c>
      <c r="P21"/>
    </row>
    <row r="22" spans="1:17" x14ac:dyDescent="0.25">
      <c r="B22" s="105" t="s">
        <v>5</v>
      </c>
      <c r="C22" s="1">
        <v>12</v>
      </c>
      <c r="D22" s="48">
        <v>64625.380000000012</v>
      </c>
      <c r="P22"/>
    </row>
    <row r="23" spans="1:17" x14ac:dyDescent="0.25">
      <c r="B23" s="105" t="s">
        <v>8</v>
      </c>
      <c r="C23" s="1">
        <v>2</v>
      </c>
      <c r="D23" s="48">
        <v>10012.870000000001</v>
      </c>
      <c r="P23"/>
    </row>
    <row r="24" spans="1:17" x14ac:dyDescent="0.25">
      <c r="B24" s="105" t="s">
        <v>6</v>
      </c>
      <c r="C24" s="1">
        <v>2</v>
      </c>
      <c r="D24" s="48">
        <v>3000</v>
      </c>
      <c r="P24"/>
    </row>
    <row r="25" spans="1:17" x14ac:dyDescent="0.25">
      <c r="B25" s="1" t="s">
        <v>686</v>
      </c>
      <c r="C25" s="1">
        <v>16</v>
      </c>
      <c r="D25" s="48">
        <v>77638.250000000015</v>
      </c>
    </row>
    <row r="26" spans="1:17" x14ac:dyDescent="0.25">
      <c r="D26" s="48"/>
    </row>
    <row r="27" spans="1:17" x14ac:dyDescent="0.25">
      <c r="B27" s="102" t="s">
        <v>12</v>
      </c>
      <c r="C27" s="98" t="s">
        <v>13</v>
      </c>
      <c r="D27" s="1" t="s">
        <v>684</v>
      </c>
      <c r="E27" s="1" t="s">
        <v>685</v>
      </c>
    </row>
    <row r="28" spans="1:17" x14ac:dyDescent="0.25">
      <c r="B28" s="103" t="s">
        <v>193</v>
      </c>
      <c r="C28" s="2" t="s">
        <v>194</v>
      </c>
      <c r="D28" s="1">
        <v>1</v>
      </c>
      <c r="E28" s="48">
        <v>3421.87</v>
      </c>
    </row>
    <row r="29" spans="1:17" x14ac:dyDescent="0.25">
      <c r="B29" s="103" t="s">
        <v>149</v>
      </c>
      <c r="C29" s="2" t="s">
        <v>150</v>
      </c>
      <c r="D29" s="1">
        <v>10</v>
      </c>
      <c r="E29" s="48">
        <v>58181.640000000007</v>
      </c>
    </row>
    <row r="30" spans="1:17" x14ac:dyDescent="0.25">
      <c r="B30" s="103"/>
      <c r="C30" s="2" t="s">
        <v>424</v>
      </c>
      <c r="D30" s="1">
        <v>2</v>
      </c>
      <c r="E30" s="48">
        <v>10012.870000000001</v>
      </c>
    </row>
    <row r="31" spans="1:17" x14ac:dyDescent="0.25">
      <c r="B31" s="2" t="s">
        <v>94</v>
      </c>
      <c r="C31" s="2" t="s">
        <v>95</v>
      </c>
      <c r="D31" s="1">
        <v>3</v>
      </c>
      <c r="E31" s="48">
        <v>6021.87</v>
      </c>
      <c r="G31"/>
      <c r="H31"/>
      <c r="K31"/>
      <c r="L31" s="12"/>
      <c r="M31"/>
      <c r="N31"/>
    </row>
    <row r="32" spans="1:17" x14ac:dyDescent="0.25">
      <c r="B32" s="1" t="s">
        <v>686</v>
      </c>
      <c r="D32" s="1">
        <v>16</v>
      </c>
      <c r="E32" s="48">
        <v>77638.25</v>
      </c>
      <c r="G32"/>
      <c r="H32"/>
      <c r="K32"/>
      <c r="L32" s="12"/>
      <c r="M32"/>
      <c r="N32"/>
    </row>
    <row r="33" spans="2:14" x14ac:dyDescent="0.25">
      <c r="B33"/>
      <c r="C33"/>
      <c r="D33"/>
      <c r="E33"/>
      <c r="G33"/>
      <c r="H33"/>
      <c r="K33"/>
      <c r="L33" s="12"/>
      <c r="M33"/>
      <c r="N33"/>
    </row>
    <row r="34" spans="2:14" x14ac:dyDescent="0.25">
      <c r="B34"/>
      <c r="C34"/>
      <c r="D34"/>
      <c r="E34"/>
      <c r="G34"/>
      <c r="H34"/>
      <c r="K34"/>
      <c r="L34" s="12"/>
      <c r="M34"/>
      <c r="N34"/>
    </row>
    <row r="35" spans="2:14" x14ac:dyDescent="0.25">
      <c r="B35"/>
      <c r="C35"/>
      <c r="D35"/>
      <c r="E35"/>
      <c r="G35"/>
      <c r="H35"/>
      <c r="K35"/>
      <c r="L35" s="12"/>
      <c r="M35"/>
      <c r="N35"/>
    </row>
    <row r="36" spans="2:14" x14ac:dyDescent="0.25">
      <c r="B36"/>
      <c r="C36"/>
      <c r="D36"/>
      <c r="E36"/>
      <c r="G36"/>
      <c r="H36"/>
      <c r="K36"/>
      <c r="L36" s="12"/>
      <c r="M36"/>
      <c r="N36"/>
    </row>
    <row r="37" spans="2:14" x14ac:dyDescent="0.25">
      <c r="B37"/>
      <c r="C37"/>
      <c r="D37"/>
      <c r="E37"/>
      <c r="G37"/>
      <c r="H37"/>
      <c r="K37"/>
      <c r="L37" s="12"/>
      <c r="M37"/>
      <c r="N37"/>
    </row>
    <row r="38" spans="2:14" x14ac:dyDescent="0.25">
      <c r="B38"/>
      <c r="C38"/>
      <c r="D38"/>
      <c r="E38"/>
      <c r="G38"/>
      <c r="H38"/>
      <c r="K38"/>
      <c r="L38" s="12"/>
      <c r="M38"/>
      <c r="N38"/>
    </row>
    <row r="39" spans="2:14" x14ac:dyDescent="0.25">
      <c r="B39"/>
      <c r="C39"/>
      <c r="D39"/>
      <c r="E39"/>
      <c r="G39"/>
      <c r="H39"/>
      <c r="K39"/>
      <c r="L39" s="12"/>
      <c r="M39"/>
      <c r="N39"/>
    </row>
    <row r="40" spans="2:14" x14ac:dyDescent="0.25">
      <c r="B40"/>
      <c r="C40"/>
      <c r="D40"/>
      <c r="E40"/>
      <c r="G40"/>
      <c r="H40"/>
      <c r="K40"/>
      <c r="L40" s="12"/>
      <c r="M40"/>
      <c r="N40"/>
    </row>
    <row r="41" spans="2:14" x14ac:dyDescent="0.25">
      <c r="B41"/>
      <c r="C41"/>
      <c r="D41"/>
      <c r="E41"/>
      <c r="G41"/>
      <c r="H41"/>
      <c r="K41"/>
      <c r="L41" s="12"/>
      <c r="M41"/>
      <c r="N41"/>
    </row>
    <row r="42" spans="2:14" x14ac:dyDescent="0.25">
      <c r="B42"/>
      <c r="C42"/>
      <c r="D42"/>
      <c r="E42"/>
      <c r="G42"/>
      <c r="H42"/>
      <c r="K42"/>
      <c r="L42" s="12"/>
      <c r="M42"/>
      <c r="N42"/>
    </row>
    <row r="43" spans="2:14" x14ac:dyDescent="0.25">
      <c r="B43"/>
      <c r="C43"/>
      <c r="D43"/>
      <c r="E43"/>
      <c r="G43"/>
      <c r="H43"/>
      <c r="K43"/>
      <c r="L43" s="12"/>
      <c r="M43"/>
      <c r="N43"/>
    </row>
    <row r="44" spans="2:14" x14ac:dyDescent="0.25">
      <c r="B44"/>
      <c r="C44"/>
      <c r="D44"/>
      <c r="E44"/>
      <c r="G44"/>
      <c r="H44"/>
      <c r="K44"/>
      <c r="L44" s="12"/>
      <c r="M44"/>
      <c r="N44"/>
    </row>
    <row r="45" spans="2:14" x14ac:dyDescent="0.25">
      <c r="B45"/>
      <c r="C45"/>
      <c r="D45"/>
      <c r="E45"/>
      <c r="G45"/>
      <c r="H45"/>
      <c r="K45"/>
      <c r="L45" s="12"/>
      <c r="M45"/>
      <c r="N45"/>
    </row>
    <row r="46" spans="2:14" x14ac:dyDescent="0.25">
      <c r="B46"/>
      <c r="C46"/>
      <c r="D46"/>
      <c r="E46"/>
    </row>
    <row r="47" spans="2:14" x14ac:dyDescent="0.25">
      <c r="B47"/>
      <c r="C47"/>
      <c r="D47"/>
      <c r="E47"/>
    </row>
    <row r="48" spans="2:14" x14ac:dyDescent="0.25">
      <c r="B48"/>
      <c r="C48"/>
      <c r="D48"/>
      <c r="E48"/>
    </row>
    <row r="49" spans="2:5" x14ac:dyDescent="0.25">
      <c r="B49"/>
      <c r="C49"/>
      <c r="D49"/>
      <c r="E49"/>
    </row>
    <row r="50" spans="2:5" x14ac:dyDescent="0.25">
      <c r="B50" s="5"/>
      <c r="C50" s="5"/>
      <c r="D50" s="3"/>
    </row>
    <row r="51" spans="2:5" x14ac:dyDescent="0.25">
      <c r="B51" s="5"/>
      <c r="C51" s="5"/>
      <c r="D51" s="3"/>
    </row>
    <row r="52" spans="2:5" x14ac:dyDescent="0.25">
      <c r="B52" s="5"/>
      <c r="C52" s="5"/>
      <c r="D52" s="3"/>
    </row>
    <row r="53" spans="2:5" x14ac:dyDescent="0.25">
      <c r="B53" s="5"/>
      <c r="C53" s="5"/>
    </row>
    <row r="54" spans="2:5" x14ac:dyDescent="0.25">
      <c r="B54" s="5"/>
      <c r="C54" s="5"/>
    </row>
  </sheetData>
  <autoFilter ref="A2:O18" xr:uid="{D12CA574-7460-41EF-8B5D-188A312AA43A}">
    <sortState xmlns:xlrd2="http://schemas.microsoft.com/office/spreadsheetml/2017/richdata2" ref="A3:O18">
      <sortCondition descending="1" ref="N2:N18"/>
    </sortState>
  </autoFilter>
  <mergeCells count="2">
    <mergeCell ref="K1:L1"/>
    <mergeCell ref="B1:E1"/>
  </mergeCells>
  <conditionalFormatting sqref="B40:B1048576 B26 B2 B19:B21">
    <cfRule type="duplicateValues" dxfId="558" priority="5"/>
  </conditionalFormatting>
  <printOptions horizontalCentered="1"/>
  <pageMargins left="0" right="0" top="0.11811023622047245" bottom="0.11811023622047245" header="0" footer="0"/>
  <pageSetup paperSize="9" scale="71" fitToHeight="0" orientation="landscape"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90" id="{7CB6F9BA-AB03-40D6-941A-05AABF5E8510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P3:P18</xm:sqref>
        </x14:conditionalFormatting>
        <x14:conditionalFormatting xmlns:xm="http://schemas.microsoft.com/office/excel/2006/main">
          <x14:cfRule type="iconSet" priority="3" id="{D95D3927-62A4-4B02-9112-156DB66B86F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Q3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56CB-518B-4F4E-8448-E3A123734BF5}">
  <sheetPr>
    <tabColor rgb="FF0070C0"/>
    <pageSetUpPr fitToPage="1"/>
  </sheetPr>
  <dimension ref="A1:R38"/>
  <sheetViews>
    <sheetView showGridLines="0" zoomScale="90" zoomScaleNormal="90" workbookViewId="0">
      <pane ySplit="2" topLeftCell="A3" activePane="bottomLeft" state="frozen"/>
      <selection activeCell="X49" sqref="X49"/>
      <selection pane="bottomLeft" activeCell="J9" sqref="J9"/>
    </sheetView>
  </sheetViews>
  <sheetFormatPr defaultColWidth="9.140625" defaultRowHeight="15.75" x14ac:dyDescent="0.25"/>
  <cols>
    <col min="1" max="1" width="13" style="1" bestFit="1" customWidth="1"/>
    <col min="2" max="2" width="36" style="1" bestFit="1" customWidth="1"/>
    <col min="3" max="3" width="15.5703125" style="1" bestFit="1" customWidth="1"/>
    <col min="4" max="4" width="15.5703125" style="2" bestFit="1" customWidth="1"/>
    <col min="5" max="5" width="33.7109375" style="2" bestFit="1" customWidth="1"/>
    <col min="6" max="6" width="12" style="1" hidden="1" customWidth="1"/>
    <col min="7" max="7" width="23.28515625" style="2" hidden="1" customWidth="1"/>
    <col min="8" max="8" width="19.7109375" style="2" hidden="1" customWidth="1"/>
    <col min="9" max="9" width="19.7109375" style="1" bestFit="1" customWidth="1"/>
    <col min="10" max="10" width="17" style="1" bestFit="1" customWidth="1"/>
    <col min="11" max="11" width="13.28515625" style="2" hidden="1" customWidth="1"/>
    <col min="12" max="12" width="11.7109375" style="40" hidden="1" customWidth="1"/>
    <col min="13" max="13" width="14.7109375" style="6" bestFit="1" customWidth="1"/>
    <col min="14" max="14" width="7.85546875" style="4" bestFit="1" customWidth="1"/>
    <col min="15" max="15" width="16.28515625" style="1" bestFit="1" customWidth="1"/>
    <col min="16" max="16" width="4.42578125" customWidth="1"/>
    <col min="18" max="16384" width="9.140625" style="1"/>
  </cols>
  <sheetData>
    <row r="1" spans="1:18" x14ac:dyDescent="0.25">
      <c r="A1" s="91" t="s">
        <v>109</v>
      </c>
      <c r="B1" s="164" t="str">
        <f>GERAL!B1</f>
        <v>FOLHA DE PAGAMENTO MARÇO/2026</v>
      </c>
      <c r="C1" s="164"/>
      <c r="D1" s="164"/>
      <c r="E1" s="164"/>
      <c r="G1" s="1"/>
      <c r="H1" s="1"/>
      <c r="I1" s="80">
        <f>SUBTOTAL(9,I3:I4)</f>
        <v>1688.9813888888889</v>
      </c>
      <c r="J1" s="80">
        <f>SUBTOTAL(9,J3:J4)</f>
        <v>3065.46</v>
      </c>
      <c r="K1" s="163" t="s">
        <v>669</v>
      </c>
      <c r="L1" s="163"/>
      <c r="M1" s="80">
        <f>SUBTOTAL(9,M3:M4)</f>
        <v>14504.39</v>
      </c>
      <c r="N1" s="1"/>
      <c r="O1" s="80">
        <f>[1]TRANSMOVE!$M$1</f>
        <v>9203.2099999999991</v>
      </c>
    </row>
    <row r="2" spans="1:18" s="7" customFormat="1" ht="30" customHeight="1" x14ac:dyDescent="0.25">
      <c r="A2" s="8" t="s">
        <v>670</v>
      </c>
      <c r="B2" s="8" t="s">
        <v>362</v>
      </c>
      <c r="C2" s="8" t="s">
        <v>671</v>
      </c>
      <c r="D2" s="8" t="s">
        <v>672</v>
      </c>
      <c r="E2" s="8" t="s">
        <v>673</v>
      </c>
      <c r="F2" s="8" t="s">
        <v>674</v>
      </c>
      <c r="G2" s="8" t="s">
        <v>675</v>
      </c>
      <c r="H2" s="8" t="s">
        <v>13</v>
      </c>
      <c r="I2" s="9" t="s">
        <v>676</v>
      </c>
      <c r="J2" s="9" t="s">
        <v>677</v>
      </c>
      <c r="K2" s="8" t="s">
        <v>678</v>
      </c>
      <c r="L2" s="41" t="s">
        <v>679</v>
      </c>
      <c r="M2" s="9" t="str">
        <f>GERAL!M2</f>
        <v>TT BRUTO
MARÇO</v>
      </c>
      <c r="N2" s="9" t="s">
        <v>681</v>
      </c>
      <c r="O2" s="9" t="str">
        <f>GERAL!O2</f>
        <v>TT BRUTO
FEVEREIRO</v>
      </c>
    </row>
    <row r="3" spans="1:18" x14ac:dyDescent="0.25">
      <c r="A3" s="43">
        <v>1</v>
      </c>
      <c r="B3" s="71" t="s">
        <v>339</v>
      </c>
      <c r="C3" s="43" t="str">
        <f>IFERROR(VLOOKUP($B3,'BASE+TOMADOR'!$A:$BS,3,FALSE),0)</f>
        <v>CLT</v>
      </c>
      <c r="D3" s="43" t="str">
        <f>VLOOKUP($B3,'BASE+TOMADOR'!$A:$BS,8,FALSE)</f>
        <v>TRANSMOVE</v>
      </c>
      <c r="E3" s="71" t="str">
        <f>VLOOKUP($B3,'BASE+TOMADOR'!$A:$BS,15,FALSE)</f>
        <v>SUPERVISOR(A) DE LOGISTICA</v>
      </c>
      <c r="F3" s="43" t="str">
        <f>VLOOKUP($B3,'BASE+TOMADOR'!$A:$BS,71,FALSE)</f>
        <v>Ativo</v>
      </c>
      <c r="G3" s="71" t="str">
        <f>VLOOKUP($B3,'BASE+TOMADOR'!$A:$BS,4,FALSE)</f>
        <v>G3S FL 05 - PRES PRUD</v>
      </c>
      <c r="H3" s="71" t="str">
        <f>VLOOKUP($B3,'BASE+TOMADOR'!$A:$BS,7,FALSE)</f>
        <v>20.947.332/0005-19</v>
      </c>
      <c r="I3" s="72">
        <f>IFERROR(VLOOKUP($B3,'BASE+TOMADOR'!$A:$BS,62,FALSE),0)</f>
        <v>952.77777777777771</v>
      </c>
      <c r="J3" s="72">
        <f>IFERROR(VLOOKUP($B3,'BASE+TOMADOR'!$A:$BS,67,FALSE),0)</f>
        <v>1729.7</v>
      </c>
      <c r="K3" s="73">
        <f>VLOOKUP($B3,'BASE+TOMADOR'!$A:$BS,55,FALSE)</f>
        <v>100</v>
      </c>
      <c r="L3" s="73">
        <f>IFERROR(VLOOKUP($B3,'BASE+TOMADOR'!$A:$BS,56,FALSE),0)</f>
        <v>5000</v>
      </c>
      <c r="M3" s="72">
        <f>IFERROR(VLOOKUP($B3,'BASE+TOMADOR'!$A:$BS,58,FALSE),0)</f>
        <v>9238.33</v>
      </c>
      <c r="N3" s="74">
        <f t="shared" ref="N3" si="0">M3/$M$1</f>
        <v>0.63693336982803139</v>
      </c>
      <c r="O3" s="72">
        <f>IFERROR(VLOOKUP(B3,'[1]BASE+TOMADOR'!$A:$BF,58,0),0)</f>
        <v>5000</v>
      </c>
      <c r="P3" s="67">
        <f t="shared" ref="P3" si="1">M3-O3</f>
        <v>4238.33</v>
      </c>
    </row>
    <row r="4" spans="1:18" x14ac:dyDescent="0.25">
      <c r="A4" s="43">
        <f>A3+1</f>
        <v>2</v>
      </c>
      <c r="B4" s="71" t="s">
        <v>108</v>
      </c>
      <c r="C4" s="43" t="str">
        <f>IFERROR(VLOOKUP($B4,'BASE+TOMADOR'!$A:$BS,3,FALSE),0)</f>
        <v>CLT</v>
      </c>
      <c r="D4" s="43" t="str">
        <f>VLOOKUP($B4,'BASE+TOMADOR'!$A:$BS,8,FALSE)</f>
        <v>TRANSMOVE</v>
      </c>
      <c r="E4" s="71" t="str">
        <f>VLOOKUP($B4,'BASE+TOMADOR'!$A:$BS,15,FALSE)</f>
        <v>ANALISTA ADMINISTRATIVO SENIOR</v>
      </c>
      <c r="F4" s="43" t="str">
        <f>VLOOKUP($B4,'BASE+TOMADOR'!$A:$BS,71,FALSE)</f>
        <v>Ativo</v>
      </c>
      <c r="G4" s="71" t="str">
        <f>VLOOKUP($B4,'BASE+TOMADOR'!$A:$BS,4,FALSE)</f>
        <v>G S MATRIZ - PRES PRUD</v>
      </c>
      <c r="H4" s="71" t="str">
        <f>VLOOKUP($B4,'BASE+TOMADOR'!$A:$BS,7,FALSE)</f>
        <v>20.504.237/0001-17</v>
      </c>
      <c r="I4" s="72">
        <f>IFERROR(VLOOKUP($B4,'BASE+TOMADOR'!$A:$BS,62,FALSE),0)</f>
        <v>736.20361111111106</v>
      </c>
      <c r="J4" s="72">
        <f>IFERROR(VLOOKUP($B4,'BASE+TOMADOR'!$A:$BS,67,FALSE),0)</f>
        <v>1335.7599999999998</v>
      </c>
      <c r="K4" s="73">
        <f>VLOOKUP($B4,'BASE+TOMADOR'!$A:$BS,55,FALSE)</f>
        <v>1479.87</v>
      </c>
      <c r="L4" s="73">
        <f>IFERROR(VLOOKUP($B4,'BASE+TOMADOR'!$A:$BS,56,FALSE),0)</f>
        <v>5266.0599999999995</v>
      </c>
      <c r="M4" s="72">
        <f>IFERROR(VLOOKUP($B4,'BASE+TOMADOR'!$A:$BS,58,FALSE),0)</f>
        <v>5266.0599999999995</v>
      </c>
      <c r="N4" s="74">
        <f t="shared" ref="N4" si="2">M4/$M$1</f>
        <v>0.36306663017196861</v>
      </c>
      <c r="O4" s="72">
        <f>IFERROR(VLOOKUP(B4,'[1]BASE+TOMADOR'!$A:$BF,58,0),0)</f>
        <v>4203.21</v>
      </c>
      <c r="P4" s="67">
        <f>M4-O4</f>
        <v>1062.8499999999995</v>
      </c>
    </row>
    <row r="5" spans="1:18" customFormat="1" ht="16.149999999999999" customHeight="1" x14ac:dyDescent="0.25">
      <c r="A5" s="1"/>
      <c r="B5" s="2"/>
      <c r="C5" s="1"/>
      <c r="D5" s="2"/>
      <c r="E5" s="2"/>
      <c r="F5" s="1"/>
      <c r="G5" s="2"/>
      <c r="H5" s="2"/>
      <c r="I5" s="1"/>
      <c r="J5" s="1"/>
      <c r="K5" s="48"/>
      <c r="L5" s="48"/>
      <c r="M5" s="49"/>
      <c r="N5" s="50"/>
      <c r="O5" s="1"/>
      <c r="R5" s="1"/>
    </row>
    <row r="6" spans="1:18" customFormat="1" ht="16.149999999999999" customHeight="1" x14ac:dyDescent="0.25">
      <c r="A6" s="1"/>
      <c r="B6" s="98" t="s">
        <v>2</v>
      </c>
      <c r="C6" s="1" t="s">
        <v>684</v>
      </c>
      <c r="D6" s="1" t="s">
        <v>685</v>
      </c>
      <c r="E6" s="2"/>
      <c r="F6" s="1"/>
      <c r="G6" s="2"/>
      <c r="H6" s="2"/>
      <c r="I6" s="1"/>
      <c r="J6" s="1"/>
      <c r="K6" s="2"/>
      <c r="L6" s="40"/>
      <c r="M6" s="6"/>
      <c r="N6" s="4"/>
      <c r="O6" s="1"/>
      <c r="R6" s="1"/>
    </row>
    <row r="7" spans="1:18" customFormat="1" ht="16.149999999999999" customHeight="1" x14ac:dyDescent="0.25">
      <c r="A7" s="1"/>
      <c r="B7" s="2" t="s">
        <v>426</v>
      </c>
      <c r="C7" s="1">
        <v>2</v>
      </c>
      <c r="D7" s="48">
        <v>14504.39</v>
      </c>
      <c r="E7" s="2"/>
      <c r="F7" s="1"/>
      <c r="G7" s="2"/>
      <c r="H7" s="2"/>
      <c r="I7" s="1"/>
      <c r="J7" s="1"/>
      <c r="K7" s="2"/>
      <c r="L7" s="40"/>
      <c r="M7" s="6"/>
      <c r="N7" s="4"/>
      <c r="O7" s="1"/>
      <c r="R7" s="1"/>
    </row>
    <row r="8" spans="1:18" customFormat="1" ht="16.149999999999999" customHeight="1" x14ac:dyDescent="0.25">
      <c r="A8" s="1"/>
      <c r="B8" s="99" t="s">
        <v>5</v>
      </c>
      <c r="C8" s="1">
        <v>2</v>
      </c>
      <c r="D8" s="48">
        <v>14504.39</v>
      </c>
      <c r="E8" s="2"/>
      <c r="F8" s="1"/>
      <c r="G8" s="2"/>
      <c r="H8" s="2"/>
      <c r="I8" s="1"/>
      <c r="J8" s="1"/>
      <c r="K8" s="2"/>
      <c r="L8" s="40"/>
      <c r="M8" s="6"/>
      <c r="N8" s="4"/>
      <c r="O8" s="1"/>
      <c r="R8" s="1"/>
    </row>
    <row r="9" spans="1:18" customFormat="1" ht="16.149999999999999" customHeight="1" x14ac:dyDescent="0.25">
      <c r="A9" s="1"/>
      <c r="B9" s="1" t="s">
        <v>686</v>
      </c>
      <c r="C9" s="1">
        <v>2</v>
      </c>
      <c r="D9" s="48">
        <v>14504.39</v>
      </c>
      <c r="E9" s="2"/>
      <c r="F9" s="1"/>
      <c r="G9" s="2"/>
      <c r="H9" s="2"/>
      <c r="I9" s="1"/>
      <c r="J9" s="1"/>
      <c r="K9" s="2"/>
      <c r="L9" s="40"/>
      <c r="M9" s="6"/>
      <c r="N9" s="4"/>
      <c r="O9" s="1"/>
      <c r="R9" s="1"/>
    </row>
    <row r="10" spans="1:18" ht="16.149999999999999" customHeight="1" x14ac:dyDescent="0.25">
      <c r="B10" s="101"/>
      <c r="C10" s="101"/>
      <c r="D10" s="101"/>
    </row>
    <row r="11" spans="1:18" ht="16.149999999999999" customHeight="1" x14ac:dyDescent="0.25">
      <c r="B11" s="102" t="s">
        <v>12</v>
      </c>
      <c r="C11" s="98" t="s">
        <v>13</v>
      </c>
      <c r="D11" s="1" t="s">
        <v>684</v>
      </c>
      <c r="E11" s="1" t="s">
        <v>685</v>
      </c>
    </row>
    <row r="12" spans="1:18" x14ac:dyDescent="0.25">
      <c r="B12" s="103" t="s">
        <v>94</v>
      </c>
      <c r="C12" s="1" t="s">
        <v>95</v>
      </c>
      <c r="D12" s="1">
        <v>1</v>
      </c>
      <c r="E12" s="48">
        <v>5266.0599999999995</v>
      </c>
    </row>
    <row r="13" spans="1:18" x14ac:dyDescent="0.25">
      <c r="B13" s="2" t="s">
        <v>311</v>
      </c>
      <c r="C13" s="1" t="s">
        <v>312</v>
      </c>
      <c r="D13" s="1">
        <v>1</v>
      </c>
      <c r="E13" s="48">
        <v>9238.33</v>
      </c>
    </row>
    <row r="14" spans="1:18" x14ac:dyDescent="0.25">
      <c r="B14" s="1" t="s">
        <v>686</v>
      </c>
      <c r="D14" s="1">
        <v>2</v>
      </c>
      <c r="E14" s="48">
        <v>14504.39</v>
      </c>
    </row>
    <row r="15" spans="1:18" x14ac:dyDescent="0.25">
      <c r="B15" s="101"/>
      <c r="C15" s="101"/>
      <c r="D15" s="101"/>
      <c r="E15" s="101"/>
      <c r="G15" s="101"/>
      <c r="H15" s="101"/>
      <c r="K15"/>
      <c r="L15" s="12"/>
      <c r="M15"/>
      <c r="N15"/>
    </row>
    <row r="16" spans="1:18" x14ac:dyDescent="0.25">
      <c r="B16" s="101"/>
      <c r="C16" s="101"/>
      <c r="D16" s="101"/>
      <c r="E16" s="101"/>
      <c r="G16" s="101"/>
      <c r="H16" s="101"/>
      <c r="K16"/>
      <c r="L16" s="12"/>
      <c r="M16"/>
      <c r="N16"/>
    </row>
    <row r="17" spans="2:14" x14ac:dyDescent="0.25">
      <c r="B17" s="101"/>
      <c r="C17" s="101"/>
      <c r="D17" s="101"/>
      <c r="E17" s="101"/>
      <c r="G17" s="101"/>
      <c r="H17" s="101"/>
      <c r="K17"/>
      <c r="L17" s="12"/>
      <c r="M17"/>
      <c r="N17"/>
    </row>
    <row r="18" spans="2:14" x14ac:dyDescent="0.25">
      <c r="B18" s="101"/>
      <c r="C18" s="101"/>
      <c r="D18" s="101"/>
      <c r="E18" s="101"/>
      <c r="G18" s="101"/>
      <c r="H18" s="101"/>
      <c r="K18"/>
      <c r="L18" s="12"/>
      <c r="M18"/>
      <c r="N18"/>
    </row>
    <row r="19" spans="2:14" x14ac:dyDescent="0.25">
      <c r="B19"/>
      <c r="C19"/>
      <c r="D19"/>
      <c r="E19"/>
      <c r="G19"/>
      <c r="H19"/>
      <c r="K19"/>
      <c r="L19" s="12"/>
      <c r="M19"/>
      <c r="N19"/>
    </row>
    <row r="20" spans="2:14" x14ac:dyDescent="0.25">
      <c r="B20"/>
      <c r="C20"/>
      <c r="D20"/>
      <c r="E20"/>
      <c r="G20"/>
      <c r="H20"/>
      <c r="K20"/>
      <c r="L20" s="12"/>
      <c r="M20"/>
      <c r="N20"/>
    </row>
    <row r="21" spans="2:14" x14ac:dyDescent="0.25">
      <c r="B21"/>
      <c r="C21"/>
      <c r="D21"/>
      <c r="E21"/>
      <c r="G21"/>
      <c r="H21"/>
      <c r="K21"/>
      <c r="L21" s="12"/>
      <c r="M21"/>
      <c r="N21"/>
    </row>
    <row r="22" spans="2:14" x14ac:dyDescent="0.25">
      <c r="B22"/>
      <c r="C22"/>
      <c r="D22"/>
      <c r="E22"/>
      <c r="G22"/>
      <c r="H22"/>
      <c r="K22"/>
      <c r="L22" s="12"/>
      <c r="M22"/>
      <c r="N22"/>
    </row>
    <row r="23" spans="2:14" x14ac:dyDescent="0.25">
      <c r="B23"/>
      <c r="C23"/>
      <c r="D23"/>
      <c r="E23"/>
      <c r="G23"/>
      <c r="H23"/>
      <c r="K23"/>
      <c r="L23" s="12"/>
      <c r="M23"/>
      <c r="N23"/>
    </row>
    <row r="24" spans="2:14" x14ac:dyDescent="0.25">
      <c r="B24"/>
      <c r="C24"/>
      <c r="D24"/>
      <c r="E24"/>
      <c r="G24"/>
      <c r="H24"/>
      <c r="K24"/>
      <c r="L24" s="12"/>
      <c r="M24"/>
      <c r="N24"/>
    </row>
    <row r="25" spans="2:14" x14ac:dyDescent="0.25">
      <c r="B25"/>
      <c r="C25"/>
      <c r="D25"/>
      <c r="E25"/>
      <c r="G25"/>
      <c r="H25"/>
      <c r="K25"/>
      <c r="L25" s="12"/>
      <c r="M25"/>
      <c r="N25"/>
    </row>
    <row r="26" spans="2:14" x14ac:dyDescent="0.25">
      <c r="B26"/>
      <c r="C26"/>
      <c r="D26"/>
      <c r="E26"/>
      <c r="G26"/>
      <c r="H26"/>
      <c r="K26"/>
      <c r="L26" s="12"/>
      <c r="M26"/>
      <c r="N26"/>
    </row>
    <row r="27" spans="2:14" x14ac:dyDescent="0.25">
      <c r="B27"/>
      <c r="C27"/>
      <c r="D27"/>
      <c r="E27"/>
      <c r="G27"/>
      <c r="H27"/>
      <c r="K27"/>
      <c r="L27" s="12"/>
      <c r="M27"/>
      <c r="N27"/>
    </row>
    <row r="28" spans="2:14" x14ac:dyDescent="0.25">
      <c r="B28"/>
      <c r="C28"/>
      <c r="D28"/>
      <c r="E28"/>
      <c r="G28"/>
      <c r="H28"/>
      <c r="K28"/>
      <c r="L28" s="12"/>
      <c r="M28"/>
      <c r="N28"/>
    </row>
    <row r="29" spans="2:14" x14ac:dyDescent="0.25">
      <c r="B29"/>
      <c r="C29"/>
      <c r="D29"/>
      <c r="E29"/>
      <c r="G29"/>
      <c r="H29"/>
      <c r="K29"/>
      <c r="L29" s="12"/>
      <c r="M29"/>
      <c r="N29"/>
    </row>
    <row r="30" spans="2:14" x14ac:dyDescent="0.25">
      <c r="B30"/>
      <c r="C30"/>
      <c r="D30"/>
      <c r="E30"/>
    </row>
    <row r="31" spans="2:14" x14ac:dyDescent="0.25">
      <c r="B31"/>
      <c r="C31"/>
      <c r="D31"/>
      <c r="E31"/>
    </row>
    <row r="32" spans="2:14" x14ac:dyDescent="0.25">
      <c r="B32"/>
      <c r="C32"/>
      <c r="D32"/>
      <c r="E32"/>
    </row>
    <row r="33" spans="2:5" x14ac:dyDescent="0.25">
      <c r="B33"/>
      <c r="C33"/>
      <c r="D33"/>
      <c r="E33"/>
    </row>
    <row r="34" spans="2:5" x14ac:dyDescent="0.25">
      <c r="B34" s="5"/>
      <c r="C34" s="5"/>
      <c r="D34" s="3"/>
    </row>
    <row r="35" spans="2:5" x14ac:dyDescent="0.25">
      <c r="B35" s="5"/>
      <c r="C35" s="5"/>
      <c r="D35" s="3"/>
    </row>
    <row r="36" spans="2:5" x14ac:dyDescent="0.25">
      <c r="B36" s="5"/>
      <c r="C36" s="5"/>
      <c r="D36" s="3"/>
    </row>
    <row r="37" spans="2:5" x14ac:dyDescent="0.25">
      <c r="B37" s="5"/>
      <c r="C37" s="5"/>
    </row>
    <row r="38" spans="2:5" x14ac:dyDescent="0.25">
      <c r="B38" s="5"/>
      <c r="C38" s="5"/>
    </row>
  </sheetData>
  <autoFilter ref="A2:O4" xr:uid="{D12CA574-7460-41EF-8B5D-188A312AA43A}">
    <sortState xmlns:xlrd2="http://schemas.microsoft.com/office/spreadsheetml/2017/richdata2" ref="A3:O4">
      <sortCondition descending="1" ref="N2:N4"/>
    </sortState>
  </autoFilter>
  <mergeCells count="2">
    <mergeCell ref="K1:L1"/>
    <mergeCell ref="B1:E1"/>
  </mergeCells>
  <conditionalFormatting sqref="B10">
    <cfRule type="duplicateValues" dxfId="493" priority="4"/>
  </conditionalFormatting>
  <conditionalFormatting sqref="B24:B1048576 B2 B5:B9">
    <cfRule type="duplicateValues" dxfId="492" priority="5"/>
  </conditionalFormatting>
  <printOptions horizontalCentered="1"/>
  <pageMargins left="0" right="0" top="0.11811023622047245" bottom="0.11811023622047245" header="0" footer="0"/>
  <pageSetup paperSize="9" scale="76" fitToHeight="0" orientation="landscape"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84" id="{76C3CFFD-CB87-48B0-B9AD-92EB53522F55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P3:P4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7486-192F-40BB-8872-BCB2C2386896}">
  <sheetPr>
    <tabColor rgb="FF0070C0"/>
    <pageSetUpPr fitToPage="1"/>
  </sheetPr>
  <dimension ref="A1:S55"/>
  <sheetViews>
    <sheetView showGridLines="0" zoomScale="90" zoomScaleNormal="90" zoomScaleSheetLayoutView="70" workbookViewId="0">
      <pane ySplit="2" topLeftCell="A3" activePane="bottomLeft" state="frozen"/>
      <selection activeCell="X49" sqref="X49"/>
      <selection pane="bottomLeft"/>
    </sheetView>
  </sheetViews>
  <sheetFormatPr defaultColWidth="9.140625" defaultRowHeight="15.75" x14ac:dyDescent="0.25"/>
  <cols>
    <col min="1" max="1" width="15.140625" style="1" customWidth="1"/>
    <col min="2" max="2" width="41.7109375" style="1" bestFit="1" customWidth="1"/>
    <col min="3" max="3" width="15.5703125" style="1" bestFit="1" customWidth="1"/>
    <col min="4" max="4" width="16.7109375" style="2" bestFit="1" customWidth="1"/>
    <col min="5" max="5" width="47.42578125" style="2" bestFit="1" customWidth="1"/>
    <col min="6" max="6" width="11.85546875" style="1" hidden="1" customWidth="1"/>
    <col min="7" max="7" width="22.5703125" style="2" hidden="1" customWidth="1"/>
    <col min="8" max="8" width="19.7109375" style="2" hidden="1" customWidth="1"/>
    <col min="9" max="9" width="19.7109375" style="1" bestFit="1" customWidth="1"/>
    <col min="10" max="10" width="17" style="1" bestFit="1" customWidth="1"/>
    <col min="11" max="11" width="13.28515625" style="2" hidden="1" customWidth="1"/>
    <col min="12" max="12" width="11.7109375" style="40" hidden="1" customWidth="1"/>
    <col min="13" max="13" width="14.7109375" style="6" bestFit="1" customWidth="1"/>
    <col min="14" max="14" width="7.85546875" style="4" bestFit="1" customWidth="1"/>
    <col min="15" max="15" width="16.28515625" style="1" bestFit="1" customWidth="1"/>
    <col min="16" max="16" width="4.42578125" customWidth="1"/>
    <col min="18" max="16384" width="9.140625" style="1"/>
  </cols>
  <sheetData>
    <row r="1" spans="1:19" x14ac:dyDescent="0.25">
      <c r="A1" s="91" t="s">
        <v>444</v>
      </c>
      <c r="B1" s="164" t="str">
        <f>GERAL!B1</f>
        <v>FOLHA DE PAGAMENTO MARÇO/2026</v>
      </c>
      <c r="C1" s="164"/>
      <c r="D1" s="164"/>
      <c r="E1" s="164"/>
      <c r="G1" s="1"/>
      <c r="H1" s="1"/>
      <c r="I1" s="80">
        <f>SUBTOTAL(9,I3:I21)</f>
        <v>10832.789722222225</v>
      </c>
      <c r="J1" s="80">
        <f>SUBTOTAL(9,J3:J21)</f>
        <v>9167.3100000000013</v>
      </c>
      <c r="K1" s="163" t="s">
        <v>669</v>
      </c>
      <c r="L1" s="163"/>
      <c r="M1" s="80">
        <f>SUBTOTAL(9,M3:M21)</f>
        <v>134202.34999999998</v>
      </c>
      <c r="N1" s="1"/>
      <c r="O1" s="80">
        <f>'[1]SELETIVA APOIO'!$M$1</f>
        <v>129969.96000000002</v>
      </c>
    </row>
    <row r="2" spans="1:19" s="7" customFormat="1" ht="30" customHeight="1" x14ac:dyDescent="0.25">
      <c r="A2" s="8" t="s">
        <v>670</v>
      </c>
      <c r="B2" s="8" t="s">
        <v>362</v>
      </c>
      <c r="C2" s="8" t="s">
        <v>671</v>
      </c>
      <c r="D2" s="8" t="s">
        <v>672</v>
      </c>
      <c r="E2" s="8" t="s">
        <v>673</v>
      </c>
      <c r="F2" s="8" t="s">
        <v>674</v>
      </c>
      <c r="G2" s="8" t="s">
        <v>675</v>
      </c>
      <c r="H2" s="8" t="s">
        <v>13</v>
      </c>
      <c r="I2" s="9" t="s">
        <v>676</v>
      </c>
      <c r="J2" s="9" t="s">
        <v>677</v>
      </c>
      <c r="K2" s="8" t="s">
        <v>678</v>
      </c>
      <c r="L2" s="41" t="s">
        <v>679</v>
      </c>
      <c r="M2" s="9" t="str">
        <f>GERAL!M2</f>
        <v>TT BRUTO
MARÇO</v>
      </c>
      <c r="N2" s="9" t="s">
        <v>681</v>
      </c>
      <c r="O2" s="9" t="str">
        <f>GERAL!O2</f>
        <v>TT BRUTO
FEVEREIRO</v>
      </c>
    </row>
    <row r="3" spans="1:19" x14ac:dyDescent="0.25">
      <c r="A3" s="43">
        <v>1</v>
      </c>
      <c r="B3" s="71" t="s">
        <v>443</v>
      </c>
      <c r="C3" s="43" t="str">
        <f>IFERROR(VLOOKUP($B3,'BASE+TOMADOR'!$A:$BS,3,FALSE),0)</f>
        <v>PJ</v>
      </c>
      <c r="D3" s="43" t="str">
        <f>VLOOKUP($B3,'BASE+TOMADOR'!$A:$BS,8,FALSE)</f>
        <v>SELETIVA APOIO</v>
      </c>
      <c r="E3" s="71" t="str">
        <f>VLOOKUP($B3,'BASE+TOMADOR'!$A:$BS,15,FALSE)</f>
        <v>GERENTE</v>
      </c>
      <c r="F3" s="43" t="str">
        <f>VLOOKUP($B3,'BASE+TOMADOR'!$A:$BS,71,FALSE)</f>
        <v>Ativo</v>
      </c>
      <c r="G3" s="71" t="str">
        <f>VLOOKUP($B3,'BASE+TOMADOR'!$A:$BS,4,FALSE)</f>
        <v>G3S  FL 04 - PRES PRUD</v>
      </c>
      <c r="H3" s="71" t="str">
        <f>VLOOKUP($B3,'BASE+TOMADOR'!$A:$BS,7,FALSE)</f>
        <v>CONTRATO PJ</v>
      </c>
      <c r="I3" s="72">
        <f>IFERROR(VLOOKUP($B3,'BASE+TOMADOR'!$A:$BS,62,FALSE),0)</f>
        <v>1853.5466666666669</v>
      </c>
      <c r="J3" s="72">
        <f>IFERROR(VLOOKUP($B3,'BASE+TOMADOR'!$A:$BS,67,FALSE),0)</f>
        <v>0</v>
      </c>
      <c r="K3" s="73">
        <f>VLOOKUP($B3,'BASE+TOMADOR'!$A:$BS,55,FALSE)</f>
        <v>512.87</v>
      </c>
      <c r="L3" s="73">
        <f>IFERROR(VLOOKUP($B3,'BASE+TOMADOR'!$A:$BS,56,FALSE),0)</f>
        <v>22755.43</v>
      </c>
      <c r="M3" s="72">
        <f>IFERROR(VLOOKUP($B3,'BASE+TOMADOR'!$A:$BS,58,FALSE),0)</f>
        <v>22755.43</v>
      </c>
      <c r="N3" s="74">
        <f t="shared" ref="N3:N20" si="0">M3/$M$1</f>
        <v>0.16956059264237924</v>
      </c>
      <c r="O3" s="72">
        <f>IFERROR(VLOOKUP(B3,'[1]BASE+TOMADOR'!$A:$BF,58,0),0)</f>
        <v>20647.240000000002</v>
      </c>
      <c r="P3" s="67">
        <f>M3-O3</f>
        <v>2108.1899999999987</v>
      </c>
    </row>
    <row r="4" spans="1:19" x14ac:dyDescent="0.25">
      <c r="A4" s="43">
        <f t="shared" ref="A4:A13" si="1">A3+1</f>
        <v>2</v>
      </c>
      <c r="B4" s="71" t="s">
        <v>458</v>
      </c>
      <c r="C4" s="43" t="str">
        <f>IFERROR(VLOOKUP($B4,'BASE+TOMADOR'!$A:$BS,3,FALSE),0)</f>
        <v>PJ</v>
      </c>
      <c r="D4" s="43" t="str">
        <f>VLOOKUP($B4,'BASE+TOMADOR'!$A:$BS,8,FALSE)</f>
        <v>SELETIVA APOIO</v>
      </c>
      <c r="E4" s="71" t="str">
        <f>VLOOKUP($B4,'BASE+TOMADOR'!$A:$BS,15,FALSE)</f>
        <v>DIRETOR COMERCIAL COMPRA SUCATA</v>
      </c>
      <c r="F4" s="43" t="str">
        <f>VLOOKUP($B4,'BASE+TOMADOR'!$A:$BS,71,FALSE)</f>
        <v>Ativo</v>
      </c>
      <c r="G4" s="71" t="str">
        <f>VLOOKUP($B4,'BASE+TOMADOR'!$A:$BS,4,FALSE)</f>
        <v>G3S  FL 04 - PRES PRUD</v>
      </c>
      <c r="H4" s="71" t="str">
        <f>VLOOKUP($B4,'BASE+TOMADOR'!$A:$BS,7,FALSE)</f>
        <v>CONTRATO PJ</v>
      </c>
      <c r="I4" s="72">
        <f>IFERROR(VLOOKUP($B4,'BASE+TOMADOR'!$A:$BS,62,FALSE),0)</f>
        <v>1250</v>
      </c>
      <c r="J4" s="72">
        <f>IFERROR(VLOOKUP($B4,'BASE+TOMADOR'!$A:$BS,67,FALSE),0)</f>
        <v>0</v>
      </c>
      <c r="K4" s="73">
        <f>VLOOKUP($B4,'BASE+TOMADOR'!$A:$BS,55,FALSE)</f>
        <v>0</v>
      </c>
      <c r="L4" s="73">
        <f>IFERROR(VLOOKUP($B4,'BASE+TOMADOR'!$A:$BS,56,FALSE),0)</f>
        <v>15000</v>
      </c>
      <c r="M4" s="72">
        <f>IFERROR(VLOOKUP($B4,'BASE+TOMADOR'!$A:$BS,58,FALSE),0)</f>
        <v>15000</v>
      </c>
      <c r="N4" s="74">
        <f t="shared" si="0"/>
        <v>0.11177151517838549</v>
      </c>
      <c r="O4" s="72">
        <f>IFERROR(VLOOKUP(B4,'[1]BASE+TOMADOR'!$A:$BF,58,0),0)</f>
        <v>15000</v>
      </c>
      <c r="P4" s="67">
        <f t="shared" ref="P4:P14" si="2">M4-O4</f>
        <v>0</v>
      </c>
    </row>
    <row r="5" spans="1:19" x14ac:dyDescent="0.25">
      <c r="A5" s="43">
        <f t="shared" si="1"/>
        <v>3</v>
      </c>
      <c r="B5" s="71" t="s">
        <v>462</v>
      </c>
      <c r="C5" s="43" t="str">
        <f>IFERROR(VLOOKUP($B5,'BASE+TOMADOR'!$A:$BS,3,FALSE),0)</f>
        <v>PJ</v>
      </c>
      <c r="D5" s="43" t="str">
        <f>VLOOKUP($B5,'BASE+TOMADOR'!$A:$BS,8,FALSE)</f>
        <v>SELETIVA APOIO</v>
      </c>
      <c r="E5" s="71" t="str">
        <f>VLOOKUP($B5,'BASE+TOMADOR'!$A:$BS,15,FALSE)</f>
        <v>GERENTE</v>
      </c>
      <c r="F5" s="43" t="str">
        <f>VLOOKUP($B5,'BASE+TOMADOR'!$A:$BS,71,FALSE)</f>
        <v>Ativo</v>
      </c>
      <c r="G5" s="71" t="str">
        <f>VLOOKUP($B5,'BASE+TOMADOR'!$A:$BS,4,FALSE)</f>
        <v>G3S  FL 04 - PRES PRUD</v>
      </c>
      <c r="H5" s="71" t="str">
        <f>VLOOKUP($B5,'BASE+TOMADOR'!$A:$BS,7,FALSE)</f>
        <v>CONTRATO PJ</v>
      </c>
      <c r="I5" s="72">
        <f>IFERROR(VLOOKUP($B5,'BASE+TOMADOR'!$A:$BS,62,FALSE),0)</f>
        <v>1125</v>
      </c>
      <c r="J5" s="72">
        <f>IFERROR(VLOOKUP($B5,'BASE+TOMADOR'!$A:$BS,67,FALSE),0)</f>
        <v>0</v>
      </c>
      <c r="K5" s="73">
        <f>VLOOKUP($B5,'BASE+TOMADOR'!$A:$BS,55,FALSE)</f>
        <v>21.87</v>
      </c>
      <c r="L5" s="73">
        <f>IFERROR(VLOOKUP($B5,'BASE+TOMADOR'!$A:$BS,56,FALSE),0)</f>
        <v>13521.87</v>
      </c>
      <c r="M5" s="72">
        <f>IFERROR(VLOOKUP($B5,'BASE+TOMADOR'!$A:$BS,58,FALSE),0)</f>
        <v>13521.87</v>
      </c>
      <c r="N5" s="74">
        <f t="shared" si="0"/>
        <v>0.10075732652967703</v>
      </c>
      <c r="O5" s="72">
        <f>IFERROR(VLOOKUP(B5,'[1]BASE+TOMADOR'!$A:$BF,58,0),0)</f>
        <v>13500</v>
      </c>
      <c r="P5" s="67">
        <f t="shared" si="2"/>
        <v>21.8700000000008</v>
      </c>
    </row>
    <row r="6" spans="1:19" x14ac:dyDescent="0.25">
      <c r="A6" s="43">
        <f t="shared" si="1"/>
        <v>4</v>
      </c>
      <c r="B6" s="71" t="s">
        <v>169</v>
      </c>
      <c r="C6" s="43" t="str">
        <f>IFERROR(VLOOKUP($B6,'BASE+TOMADOR'!$A:$BS,3,FALSE),0)</f>
        <v>CLT</v>
      </c>
      <c r="D6" s="43" t="str">
        <f>VLOOKUP($B6,'BASE+TOMADOR'!$A:$BS,8,FALSE)</f>
        <v>LOGISTICA</v>
      </c>
      <c r="E6" s="71" t="str">
        <f>VLOOKUP($B6,'BASE+TOMADOR'!$A:$BS,15,FALSE)</f>
        <v>MOTORISTA CARRETEIRO MANTENEDOR SENIOR II</v>
      </c>
      <c r="F6" s="43" t="str">
        <f>VLOOKUP($B6,'BASE+TOMADOR'!$A:$BS,71,FALSE)</f>
        <v>Ativo</v>
      </c>
      <c r="G6" s="71" t="str">
        <f>VLOOKUP($B6,'BASE+TOMADOR'!$A:$BS,4,FALSE)</f>
        <v>G S FL 05 - BARUERI</v>
      </c>
      <c r="H6" s="71" t="str">
        <f>VLOOKUP($B6,'BASE+TOMADOR'!$A:$BS,7,FALSE)</f>
        <v>20.504.237/0005-40</v>
      </c>
      <c r="I6" s="72">
        <f>IFERROR(VLOOKUP($B6,'BASE+TOMADOR'!$A:$BS,62,FALSE),0)</f>
        <v>871.30944444444447</v>
      </c>
      <c r="J6" s="72">
        <f>IFERROR(VLOOKUP($B6,'BASE+TOMADOR'!$A:$BS,67,FALSE),0)</f>
        <v>1581.7800000000002</v>
      </c>
      <c r="K6" s="73">
        <f>VLOOKUP($B6,'BASE+TOMADOR'!$A:$BS,55,FALSE)</f>
        <v>5697.87</v>
      </c>
      <c r="L6" s="73">
        <f>IFERROR(VLOOKUP($B6,'BASE+TOMADOR'!$A:$BS,56,FALSE),0)</f>
        <v>10178.89</v>
      </c>
      <c r="M6" s="72">
        <f>IFERROR(VLOOKUP($B6,'BASE+TOMADOR'!$A:$BS,58,FALSE),0)</f>
        <v>10178.89</v>
      </c>
      <c r="N6" s="74">
        <f t="shared" si="0"/>
        <v>7.5847330542274424E-2</v>
      </c>
      <c r="O6" s="72">
        <f>IFERROR(VLOOKUP(B6,'[1]BASE+TOMADOR'!$A:$BF,58,0),0)</f>
        <v>9681.58</v>
      </c>
      <c r="P6" s="67">
        <f t="shared" si="2"/>
        <v>497.30999999999949</v>
      </c>
    </row>
    <row r="7" spans="1:19" s="66" customFormat="1" x14ac:dyDescent="0.25">
      <c r="A7" s="43">
        <f t="shared" si="1"/>
        <v>5</v>
      </c>
      <c r="B7" s="71" t="s">
        <v>420</v>
      </c>
      <c r="C7" s="43" t="str">
        <f>IFERROR(VLOOKUP($B7,'BASE+TOMADOR'!$A:$BS,3,FALSE),0)</f>
        <v>PF</v>
      </c>
      <c r="D7" s="43" t="str">
        <f>VLOOKUP($B7,'BASE+TOMADOR'!$A:$BS,8,FALSE)</f>
        <v>OPERACIONAL</v>
      </c>
      <c r="E7" s="71" t="str">
        <f>VLOOKUP($B7,'BASE+TOMADOR'!$A:$BS,15,FALSE)</f>
        <v>MOTORISTA CARRETEIRO MANTENEDOR SENIOR III</v>
      </c>
      <c r="F7" s="43" t="str">
        <f>VLOOKUP($B7,'BASE+TOMADOR'!$A:$BS,71,FALSE)</f>
        <v>Ativo</v>
      </c>
      <c r="G7" s="71" t="str">
        <f>VLOOKUP($B7,'BASE+TOMADOR'!$A:$BS,4,FALSE)</f>
        <v>G S FL 05 - BARUERI</v>
      </c>
      <c r="H7" s="71" t="str">
        <f>VLOOKUP($B7,'BASE+TOMADOR'!$A:$BS,7,FALSE)</f>
        <v>20.504.237/0005-40</v>
      </c>
      <c r="I7" s="72">
        <f>IFERROR(VLOOKUP($B7,'BASE+TOMADOR'!$A:$BS,62,FALSE),0)</f>
        <v>0</v>
      </c>
      <c r="J7" s="72">
        <f>IFERROR(VLOOKUP($B7,'BASE+TOMADOR'!$A:$BS,67,FALSE),0)</f>
        <v>0</v>
      </c>
      <c r="K7" s="73">
        <f>VLOOKUP($B7,'BASE+TOMADOR'!$A:$BS,55,FALSE)</f>
        <v>5935.07</v>
      </c>
      <c r="L7" s="73">
        <f>IFERROR(VLOOKUP($B7,'BASE+TOMADOR'!$A:$BS,56,FALSE),0)</f>
        <v>9879.83</v>
      </c>
      <c r="M7" s="72">
        <f>IFERROR(VLOOKUP($B7,'BASE+TOMADOR'!$A:$BS,58,FALSE),0)</f>
        <v>9879.83</v>
      </c>
      <c r="N7" s="74">
        <f t="shared" si="0"/>
        <v>7.3618904586991218E-2</v>
      </c>
      <c r="O7" s="72">
        <f>IFERROR(VLOOKUP(B7,'[1]BASE+TOMADOR'!$A:$BF,58,0),0)</f>
        <v>5105.84</v>
      </c>
      <c r="P7" s="67">
        <f t="shared" si="2"/>
        <v>4773.99</v>
      </c>
      <c r="S7" s="1"/>
    </row>
    <row r="8" spans="1:19" x14ac:dyDescent="0.25">
      <c r="A8" s="43">
        <f t="shared" si="1"/>
        <v>6</v>
      </c>
      <c r="B8" s="71" t="s">
        <v>450</v>
      </c>
      <c r="C8" s="43" t="str">
        <f>IFERROR(VLOOKUP($B8,'BASE+TOMADOR'!$A:$BS,3,FALSE),0)</f>
        <v>PJ</v>
      </c>
      <c r="D8" s="43" t="str">
        <f>VLOOKUP($B8,'BASE+TOMADOR'!$A:$BS,8,FALSE)</f>
        <v>SELETIVA APOIO</v>
      </c>
      <c r="E8" s="71" t="str">
        <f>VLOOKUP($B8,'BASE+TOMADOR'!$A:$BS,15,FALSE)</f>
        <v>GERENTE ADMINISTRATIVO</v>
      </c>
      <c r="F8" s="43" t="str">
        <f>VLOOKUP($B8,'BASE+TOMADOR'!$A:$BS,71,FALSE)</f>
        <v>Ativo</v>
      </c>
      <c r="G8" s="71" t="str">
        <f>VLOOKUP($B8,'BASE+TOMADOR'!$A:$BS,4,FALSE)</f>
        <v>G3S  FL 04 - PRES PRUD</v>
      </c>
      <c r="H8" s="71" t="str">
        <f>VLOOKUP($B8,'BASE+TOMADOR'!$A:$BS,7,FALSE)</f>
        <v>CONTRATO PJ</v>
      </c>
      <c r="I8" s="72">
        <f>IFERROR(VLOOKUP($B8,'BASE+TOMADOR'!$A:$BS,62,FALSE),0)</f>
        <v>927.41666666666663</v>
      </c>
      <c r="J8" s="72">
        <f>IFERROR(VLOOKUP($B8,'BASE+TOMADOR'!$A:$BS,67,FALSE),0)</f>
        <v>0</v>
      </c>
      <c r="K8" s="73">
        <f>VLOOKUP($B8,'BASE+TOMADOR'!$A:$BS,55,FALSE)</f>
        <v>21.87</v>
      </c>
      <c r="L8" s="73">
        <f>IFERROR(VLOOKUP($B8,'BASE+TOMADOR'!$A:$BS,56,FALSE),0)</f>
        <v>11150.87</v>
      </c>
      <c r="M8" s="72">
        <f>IFERROR(VLOOKUP($B8,'BASE+TOMADOR'!$A:$BS,58,FALSE),0)</f>
        <v>11150.87</v>
      </c>
      <c r="N8" s="74">
        <f t="shared" si="0"/>
        <v>8.3089975697146906E-2</v>
      </c>
      <c r="O8" s="72">
        <f>IFERROR(VLOOKUP(B8,'[1]BASE+TOMADOR'!$A:$BF,58,0),0)</f>
        <v>9175</v>
      </c>
      <c r="P8" s="67">
        <f t="shared" si="2"/>
        <v>1975.8700000000008</v>
      </c>
    </row>
    <row r="9" spans="1:19" x14ac:dyDescent="0.25">
      <c r="A9" s="43">
        <f t="shared" si="1"/>
        <v>7</v>
      </c>
      <c r="B9" s="71" t="s">
        <v>437</v>
      </c>
      <c r="C9" s="43" t="str">
        <f>IFERROR(VLOOKUP($B9,'BASE+TOMADOR'!$A:$BS,3,FALSE),0)</f>
        <v>PJ</v>
      </c>
      <c r="D9" s="43" t="str">
        <f>VLOOKUP($B9,'BASE+TOMADOR'!$A:$BS,8,FALSE)</f>
        <v>OPERACIONAL</v>
      </c>
      <c r="E9" s="71" t="str">
        <f>VLOOKUP($B9,'BASE+TOMADOR'!$A:$BS,15,FALSE)</f>
        <v>ENCARREGADO MANUT MAQ E EQUIPAMENTOS</v>
      </c>
      <c r="F9" s="43" t="str">
        <f>VLOOKUP($B9,'BASE+TOMADOR'!$A:$BS,71,FALSE)</f>
        <v>Ativo</v>
      </c>
      <c r="G9" s="71" t="str">
        <f>VLOOKUP($B9,'BASE+TOMADOR'!$A:$BS,4,FALSE)</f>
        <v>G S FL 01 - PRUDENTE</v>
      </c>
      <c r="H9" s="71" t="str">
        <f>VLOOKUP($B9,'BASE+TOMADOR'!$A:$BS,7,FALSE)</f>
        <v>CONTRATO PJ</v>
      </c>
      <c r="I9" s="72">
        <f>IFERROR(VLOOKUP($B9,'BASE+TOMADOR'!$A:$BS,62,FALSE),0)</f>
        <v>708.33333333333337</v>
      </c>
      <c r="J9" s="72">
        <f>IFERROR(VLOOKUP($B9,'BASE+TOMADOR'!$A:$BS,67,FALSE),0)</f>
        <v>0</v>
      </c>
      <c r="K9" s="73">
        <f>VLOOKUP($B9,'BASE+TOMADOR'!$A:$BS,55,FALSE)</f>
        <v>0</v>
      </c>
      <c r="L9" s="73">
        <f>IFERROR(VLOOKUP($B9,'BASE+TOMADOR'!$A:$BS,56,FALSE),0)</f>
        <v>8500</v>
      </c>
      <c r="M9" s="72">
        <f>IFERROR(VLOOKUP($B9,'BASE+TOMADOR'!$A:$BS,58,FALSE),0)</f>
        <v>8500</v>
      </c>
      <c r="N9" s="74">
        <f t="shared" si="0"/>
        <v>6.3337191934418446E-2</v>
      </c>
      <c r="O9" s="72">
        <f>IFERROR(VLOOKUP(B9,'[1]BASE+TOMADOR'!$A:$BF,58,0),0)</f>
        <v>8500</v>
      </c>
      <c r="P9" s="67">
        <f t="shared" si="2"/>
        <v>0</v>
      </c>
    </row>
    <row r="10" spans="1:19" x14ac:dyDescent="0.25">
      <c r="A10" s="43">
        <f t="shared" si="1"/>
        <v>8</v>
      </c>
      <c r="B10" s="71" t="s">
        <v>304</v>
      </c>
      <c r="C10" s="43" t="str">
        <f>IFERROR(VLOOKUP($B10,'BASE+TOMADOR'!$A:$BS,3,FALSE),0)</f>
        <v>CLT</v>
      </c>
      <c r="D10" s="43" t="str">
        <f>VLOOKUP($B10,'BASE+TOMADOR'!$A:$BS,8,FALSE)</f>
        <v>ADMINISTRATIVO</v>
      </c>
      <c r="E10" s="71" t="str">
        <f>VLOOKUP($B10,'BASE+TOMADOR'!$A:$BS,15,FALSE)</f>
        <v>SUPERVISOR(A) ADMINISTRATIVO(A)</v>
      </c>
      <c r="F10" s="43" t="str">
        <f>VLOOKUP($B10,'BASE+TOMADOR'!$A:$BS,71,FALSE)</f>
        <v>Ativo</v>
      </c>
      <c r="G10" s="71" t="str">
        <f>VLOOKUP($B10,'BASE+TOMADOR'!$A:$BS,4,FALSE)</f>
        <v>G3S  FL 04 - PRES PRUD</v>
      </c>
      <c r="H10" s="71" t="str">
        <f>VLOOKUP($B10,'BASE+TOMADOR'!$A:$BS,7,FALSE)</f>
        <v>20.947.332/0004-38</v>
      </c>
      <c r="I10" s="72">
        <f>IFERROR(VLOOKUP($B10,'BASE+TOMADOR'!$A:$BS,62,FALSE),0)</f>
        <v>923.37777777777785</v>
      </c>
      <c r="J10" s="72">
        <f>IFERROR(VLOOKUP($B10,'BASE+TOMADOR'!$A:$BS,67,FALSE),0)</f>
        <v>1676.3200000000002</v>
      </c>
      <c r="K10" s="73">
        <f>VLOOKUP($B10,'BASE+TOMADOR'!$A:$BS,55,FALSE)</f>
        <v>1426.21</v>
      </c>
      <c r="L10" s="73">
        <f>IFERROR(VLOOKUP($B10,'BASE+TOMADOR'!$A:$BS,56,FALSE),0)</f>
        <v>6175.01</v>
      </c>
      <c r="M10" s="72">
        <f>IFERROR(VLOOKUP($B10,'BASE+TOMADOR'!$A:$BS,58,FALSE),0)</f>
        <v>6175.01</v>
      </c>
      <c r="N10" s="74">
        <f t="shared" si="0"/>
        <v>4.6012681596112152E-2</v>
      </c>
      <c r="O10" s="72">
        <f>IFERROR(VLOOKUP(B10,'[1]BASE+TOMADOR'!$A:$BF,58,0),0)</f>
        <v>5230.7300000000005</v>
      </c>
      <c r="P10" s="67">
        <f t="shared" si="2"/>
        <v>944.27999999999975</v>
      </c>
    </row>
    <row r="11" spans="1:19" x14ac:dyDescent="0.25">
      <c r="A11" s="43">
        <f t="shared" si="1"/>
        <v>9</v>
      </c>
      <c r="B11" s="71" t="s">
        <v>215</v>
      </c>
      <c r="C11" s="43" t="str">
        <f>IFERROR(VLOOKUP($B11,'BASE+TOMADOR'!$A:$BS,3,FALSE),0)</f>
        <v>CLT</v>
      </c>
      <c r="D11" s="43" t="str">
        <f>VLOOKUP($B11,'BASE+TOMADOR'!$A:$BS,8,FALSE)</f>
        <v>COMERCIAL</v>
      </c>
      <c r="E11" s="71" t="str">
        <f>VLOOKUP($B11,'BASE+TOMADOR'!$A:$BS,15,FALSE)</f>
        <v>ANALISTA COMERCIAL SENIOR</v>
      </c>
      <c r="F11" s="43" t="str">
        <f>VLOOKUP($B11,'BASE+TOMADOR'!$A:$BS,71,FALSE)</f>
        <v>Ativo</v>
      </c>
      <c r="G11" s="71" t="str">
        <f>VLOOKUP($B11,'BASE+TOMADOR'!$A:$BS,4,FALSE)</f>
        <v>G3S FL 10 - PRES PRUD</v>
      </c>
      <c r="H11" s="71" t="str">
        <f>VLOOKUP($B11,'BASE+TOMADOR'!$A:$BS,7,FALSE)</f>
        <v>20.947.332/0010-86</v>
      </c>
      <c r="I11" s="72">
        <f>IFERROR(VLOOKUP($B11,'BASE+TOMADOR'!$A:$BS,62,FALSE),0)</f>
        <v>694.16666666666663</v>
      </c>
      <c r="J11" s="72">
        <f>IFERROR(VLOOKUP($B11,'BASE+TOMADOR'!$A:$BS,67,FALSE),0)</f>
        <v>1313.7600000000002</v>
      </c>
      <c r="K11" s="73">
        <f>VLOOKUP($B11,'BASE+TOMADOR'!$A:$BS,55,FALSE)</f>
        <v>1442.3400000000001</v>
      </c>
      <c r="L11" s="73">
        <f>IFERROR(VLOOKUP($B11,'BASE+TOMADOR'!$A:$BS,56,FALSE),0)</f>
        <v>5012.34</v>
      </c>
      <c r="M11" s="72">
        <f>IFERROR(VLOOKUP($B11,'BASE+TOMADOR'!$A:$BS,58,FALSE),0)</f>
        <v>5012.34</v>
      </c>
      <c r="N11" s="74">
        <f t="shared" si="0"/>
        <v>3.7349122425948587E-2</v>
      </c>
      <c r="O11" s="72">
        <f>IFERROR(VLOOKUP(B11,'[1]BASE+TOMADOR'!$A:$BF,58,0),0)</f>
        <v>3948.49</v>
      </c>
      <c r="P11" s="67">
        <f t="shared" si="2"/>
        <v>1063.8500000000004</v>
      </c>
    </row>
    <row r="12" spans="1:19" x14ac:dyDescent="0.25">
      <c r="A12" s="43">
        <f t="shared" si="1"/>
        <v>10</v>
      </c>
      <c r="B12" s="71" t="s">
        <v>303</v>
      </c>
      <c r="C12" s="43" t="str">
        <f>IFERROR(VLOOKUP($B12,'BASE+TOMADOR'!$A:$BS,3,FALSE),0)</f>
        <v>CLT</v>
      </c>
      <c r="D12" s="43" t="str">
        <f>VLOOKUP($B12,'BASE+TOMADOR'!$A:$BS,8,FALSE)</f>
        <v>ADMINISTRATIVO</v>
      </c>
      <c r="E12" s="71" t="str">
        <f>VLOOKUP($B12,'BASE+TOMADOR'!$A:$BS,15,FALSE)</f>
        <v>AUX ADMINISTRATIVO SENIOR</v>
      </c>
      <c r="F12" s="43" t="str">
        <f>VLOOKUP($B12,'BASE+TOMADOR'!$A:$BS,71,FALSE)</f>
        <v>Ativo</v>
      </c>
      <c r="G12" s="71" t="str">
        <f>VLOOKUP($B12,'BASE+TOMADOR'!$A:$BS,4,FALSE)</f>
        <v>G3S  FL 04 - PRES PRUD</v>
      </c>
      <c r="H12" s="71" t="str">
        <f>VLOOKUP($B12,'BASE+TOMADOR'!$A:$BS,7,FALSE)</f>
        <v>20.947.332/0004-38</v>
      </c>
      <c r="I12" s="72">
        <f>IFERROR(VLOOKUP($B12,'BASE+TOMADOR'!$A:$BS,62,FALSE),0)</f>
        <v>573.61111111111109</v>
      </c>
      <c r="J12" s="72">
        <f>IFERROR(VLOOKUP($B12,'BASE+TOMADOR'!$A:$BS,67,FALSE),0)</f>
        <v>1041.3499999999999</v>
      </c>
      <c r="K12" s="73">
        <f>VLOOKUP($B12,'BASE+TOMADOR'!$A:$BS,55,FALSE)</f>
        <v>1417.21</v>
      </c>
      <c r="L12" s="73">
        <f>IFERROR(VLOOKUP($B12,'BASE+TOMADOR'!$A:$BS,56,FALSE),0)</f>
        <v>4367.21</v>
      </c>
      <c r="M12" s="72">
        <f>IFERROR(VLOOKUP($B12,'BASE+TOMADOR'!$A:$BS,58,FALSE),0)</f>
        <v>4367.21</v>
      </c>
      <c r="N12" s="74">
        <f t="shared" si="0"/>
        <v>3.2541978586813125E-2</v>
      </c>
      <c r="O12" s="72">
        <f>IFERROR(VLOOKUP(B12,'[1]BASE+TOMADOR'!$A:$BF,58,0),0)</f>
        <v>3889.57</v>
      </c>
      <c r="P12" s="67">
        <f t="shared" si="2"/>
        <v>477.63999999999987</v>
      </c>
    </row>
    <row r="13" spans="1:19" customFormat="1" x14ac:dyDescent="0.25">
      <c r="A13" s="43">
        <f t="shared" si="1"/>
        <v>11</v>
      </c>
      <c r="B13" s="71" t="s">
        <v>324</v>
      </c>
      <c r="C13" s="43" t="str">
        <f>IFERROR(VLOOKUP($B13,'BASE+TOMADOR'!$A:$BS,3,FALSE),0)</f>
        <v>CLT</v>
      </c>
      <c r="D13" s="43" t="str">
        <f>VLOOKUP($B13,'BASE+TOMADOR'!$A:$BS,8,FALSE)</f>
        <v>ADMINISTRATIVO</v>
      </c>
      <c r="E13" s="71" t="str">
        <f>VLOOKUP($B13,'BASE+TOMADOR'!$A:$BS,15,FALSE)</f>
        <v>ANALISTA FINANCEIRO SENIOR I</v>
      </c>
      <c r="F13" s="43" t="str">
        <f>VLOOKUP($B13,'BASE+TOMADOR'!$A:$BS,71,FALSE)</f>
        <v>Ativo</v>
      </c>
      <c r="G13" s="71" t="str">
        <f>VLOOKUP($B13,'BASE+TOMADOR'!$A:$BS,4,FALSE)</f>
        <v>G3S FL 05 - PRES PRUD</v>
      </c>
      <c r="H13" s="71" t="str">
        <f>VLOOKUP($B13,'BASE+TOMADOR'!$A:$BS,7,FALSE)</f>
        <v>20.947.332/0005-19</v>
      </c>
      <c r="I13" s="72">
        <f>IFERROR(VLOOKUP($B13,'BASE+TOMADOR'!$A:$BS,62,FALSE),0)</f>
        <v>680.55555555555566</v>
      </c>
      <c r="J13" s="72">
        <f>IFERROR(VLOOKUP($B13,'BASE+TOMADOR'!$A:$BS,67,FALSE),0)</f>
        <v>1235.5</v>
      </c>
      <c r="K13" s="73">
        <f>VLOOKUP($B13,'BASE+TOMADOR'!$A:$BS,55,FALSE)</f>
        <v>521.87</v>
      </c>
      <c r="L13" s="73">
        <f>IFERROR(VLOOKUP($B13,'BASE+TOMADOR'!$A:$BS,56,FALSE),0)</f>
        <v>4021.87</v>
      </c>
      <c r="M13" s="72">
        <f>IFERROR(VLOOKUP($B13,'BASE+TOMADOR'!$A:$BS,58,FALSE),0)</f>
        <v>4021.87</v>
      </c>
      <c r="N13" s="74">
        <f t="shared" si="0"/>
        <v>2.9968700250032884E-2</v>
      </c>
      <c r="O13" s="72">
        <f>IFERROR(VLOOKUP(B13,'[1]BASE+TOMADOR'!$A:$BF,58,0),0)</f>
        <v>3557.91</v>
      </c>
      <c r="P13" s="67">
        <f t="shared" si="2"/>
        <v>463.96000000000004</v>
      </c>
      <c r="R13" s="1"/>
      <c r="S13" s="1"/>
    </row>
    <row r="14" spans="1:19" customFormat="1" x14ac:dyDescent="0.25">
      <c r="A14" s="43">
        <f t="shared" ref="A14:A19" si="3">A13+1</f>
        <v>12</v>
      </c>
      <c r="B14" s="71" t="s">
        <v>210</v>
      </c>
      <c r="C14" s="43" t="str">
        <f>IFERROR(VLOOKUP($B14,'BASE+TOMADOR'!$A:$BS,3,FALSE),0)</f>
        <v>CLT</v>
      </c>
      <c r="D14" s="43" t="str">
        <f>VLOOKUP($B14,'BASE+TOMADOR'!$A:$BS,8,FALSE)</f>
        <v>COMERCIAL</v>
      </c>
      <c r="E14" s="71" t="str">
        <f>VLOOKUP($B14,'BASE+TOMADOR'!$A:$BS,15,FALSE)</f>
        <v>ASSISTENTE COMERCIAL</v>
      </c>
      <c r="F14" s="43" t="str">
        <f>VLOOKUP($B14,'BASE+TOMADOR'!$A:$BS,71,FALSE)</f>
        <v>Ativo</v>
      </c>
      <c r="G14" s="71" t="str">
        <f>VLOOKUP($B14,'BASE+TOMADOR'!$A:$BS,4,FALSE)</f>
        <v>G3S FL 10 - PRES PRUD</v>
      </c>
      <c r="H14" s="71" t="str">
        <f>VLOOKUP($B14,'BASE+TOMADOR'!$A:$BS,7,FALSE)</f>
        <v>20.947.332/0010-86</v>
      </c>
      <c r="I14" s="72">
        <f>IFERROR(VLOOKUP($B14,'BASE+TOMADOR'!$A:$BS,62,FALSE),0)</f>
        <v>407.94444444444446</v>
      </c>
      <c r="J14" s="72">
        <f>IFERROR(VLOOKUP($B14,'BASE+TOMADOR'!$A:$BS,67,FALSE),0)</f>
        <v>772.06000000000006</v>
      </c>
      <c r="K14" s="73">
        <f>VLOOKUP($B14,'BASE+TOMADOR'!$A:$BS,55,FALSE)</f>
        <v>1451.3400000000001</v>
      </c>
      <c r="L14" s="73">
        <f>IFERROR(VLOOKUP($B14,'BASE+TOMADOR'!$A:$BS,56,FALSE),0)</f>
        <v>3549.34</v>
      </c>
      <c r="M14" s="72">
        <f>IFERROR(VLOOKUP($B14,'BASE+TOMADOR'!$A:$BS,58,FALSE),0)</f>
        <v>3549.34</v>
      </c>
      <c r="N14" s="74">
        <f t="shared" si="0"/>
        <v>2.6447673978883385E-2</v>
      </c>
      <c r="O14" s="72">
        <f>IFERROR(VLOOKUP(B14,'[1]BASE+TOMADOR'!$A:$BF,58,0),0)</f>
        <v>2977.95</v>
      </c>
      <c r="P14" s="67">
        <f t="shared" si="2"/>
        <v>571.39000000000033</v>
      </c>
      <c r="R14" s="1"/>
      <c r="S14" s="1"/>
    </row>
    <row r="15" spans="1:19" customFormat="1" x14ac:dyDescent="0.25">
      <c r="A15" s="43">
        <f t="shared" si="3"/>
        <v>13</v>
      </c>
      <c r="B15" s="71" t="s">
        <v>236</v>
      </c>
      <c r="C15" s="43" t="str">
        <f>IFERROR(VLOOKUP($B15,'BASE+TOMADOR'!$A:$BS,3,FALSE),0)</f>
        <v>CLT</v>
      </c>
      <c r="D15" s="43" t="str">
        <f>VLOOKUP($B15,'BASE+TOMADOR'!$A:$BS,8,FALSE)</f>
        <v>COMERCIAL</v>
      </c>
      <c r="E15" s="71" t="str">
        <f>VLOOKUP($B15,'BASE+TOMADOR'!$A:$BS,15,FALSE)</f>
        <v>ASSISTENTE COMERCIAL</v>
      </c>
      <c r="F15" s="43" t="str">
        <f>VLOOKUP($B15,'BASE+TOMADOR'!$A:$BS,71,FALSE)</f>
        <v>Ativo</v>
      </c>
      <c r="G15" s="71" t="str">
        <f>VLOOKUP($B15,'BASE+TOMADOR'!$A:$BS,4,FALSE)</f>
        <v>G3S FL 10 - PRES PRUD</v>
      </c>
      <c r="H15" s="71" t="str">
        <f>VLOOKUP($B15,'BASE+TOMADOR'!$A:$BS,7,FALSE)</f>
        <v>20.947.332/0010-86</v>
      </c>
      <c r="I15" s="72">
        <f>IFERROR(VLOOKUP($B15,'BASE+TOMADOR'!$A:$BS,62,FALSE),0)</f>
        <v>407.94444444444446</v>
      </c>
      <c r="J15" s="72">
        <f>IFERROR(VLOOKUP($B15,'BASE+TOMADOR'!$A:$BS,67,FALSE),0)</f>
        <v>772.06000000000006</v>
      </c>
      <c r="K15" s="73">
        <f>VLOOKUP($B15,'BASE+TOMADOR'!$A:$BS,55,FALSE)</f>
        <v>1451.3400000000001</v>
      </c>
      <c r="L15" s="73">
        <f>IFERROR(VLOOKUP($B15,'BASE+TOMADOR'!$A:$BS,56,FALSE),0)</f>
        <v>3549.34</v>
      </c>
      <c r="M15" s="72">
        <f>IFERROR(VLOOKUP($B15,'BASE+TOMADOR'!$A:$BS,58,FALSE),0)</f>
        <v>3549.34</v>
      </c>
      <c r="N15" s="74">
        <f t="shared" si="0"/>
        <v>2.6447673978883385E-2</v>
      </c>
      <c r="O15" s="72">
        <f>IFERROR(VLOOKUP(B15,'[1]BASE+TOMADOR'!$A:$BF,58,0),0)</f>
        <v>2959.2599999999998</v>
      </c>
      <c r="P15" s="67">
        <f t="shared" ref="P15" si="4">M15-O15</f>
        <v>590.08000000000038</v>
      </c>
      <c r="R15" s="1"/>
      <c r="S15" s="1"/>
    </row>
    <row r="16" spans="1:19" customFormat="1" x14ac:dyDescent="0.25">
      <c r="A16" s="43">
        <f t="shared" si="3"/>
        <v>14</v>
      </c>
      <c r="B16" s="71" t="s">
        <v>238</v>
      </c>
      <c r="C16" s="43" t="str">
        <f>IFERROR(VLOOKUP($B16,'BASE+TOMADOR'!$A:$BS,3,FALSE),0)</f>
        <v>CLT</v>
      </c>
      <c r="D16" s="43" t="str">
        <f>VLOOKUP($B16,'BASE+TOMADOR'!$A:$BS,8,FALSE)</f>
        <v>COMERCIAL</v>
      </c>
      <c r="E16" s="71" t="str">
        <f>VLOOKUP($B16,'BASE+TOMADOR'!$A:$BS,15,FALSE)</f>
        <v>ASSISTENTE COMERCIAL</v>
      </c>
      <c r="F16" s="43" t="str">
        <f>VLOOKUP($B16,'BASE+TOMADOR'!$A:$BS,71,FALSE)</f>
        <v>Ativo</v>
      </c>
      <c r="G16" s="71" t="str">
        <f>VLOOKUP($B16,'BASE+TOMADOR'!$A:$BS,4,FALSE)</f>
        <v>G3S FL 10 - PRES PRUD</v>
      </c>
      <c r="H16" s="71" t="str">
        <f>VLOOKUP($B16,'BASE+TOMADOR'!$A:$BS,7,FALSE)</f>
        <v>20.947.332/0010-86</v>
      </c>
      <c r="I16" s="72">
        <f>IFERROR(VLOOKUP($B16,'BASE+TOMADOR'!$A:$BS,62,FALSE),0)</f>
        <v>407.94444444444446</v>
      </c>
      <c r="J16" s="72">
        <f>IFERROR(VLOOKUP($B16,'BASE+TOMADOR'!$A:$BS,67,FALSE),0)</f>
        <v>772.06000000000006</v>
      </c>
      <c r="K16" s="73">
        <f>VLOOKUP($B16,'BASE+TOMADOR'!$A:$BS,55,FALSE)</f>
        <v>1451.3400000000001</v>
      </c>
      <c r="L16" s="73">
        <f>IFERROR(VLOOKUP($B16,'BASE+TOMADOR'!$A:$BS,56,FALSE),0)</f>
        <v>3549.34</v>
      </c>
      <c r="M16" s="72">
        <f>IFERROR(VLOOKUP($B16,'BASE+TOMADOR'!$A:$BS,58,FALSE),0)</f>
        <v>3549.34</v>
      </c>
      <c r="N16" s="74">
        <f t="shared" si="0"/>
        <v>2.6447673978883385E-2</v>
      </c>
      <c r="O16" s="72">
        <f>IFERROR(VLOOKUP(B16,'[1]BASE+TOMADOR'!$A:$BF,58,0),0)</f>
        <v>2737.72</v>
      </c>
      <c r="P16" s="67">
        <f t="shared" ref="P16" si="5">M16-O16</f>
        <v>811.62000000000035</v>
      </c>
      <c r="R16" s="1"/>
      <c r="S16" s="1"/>
    </row>
    <row r="17" spans="1:19" customFormat="1" x14ac:dyDescent="0.25">
      <c r="A17" s="43">
        <f t="shared" si="3"/>
        <v>15</v>
      </c>
      <c r="B17" s="71" t="s">
        <v>255</v>
      </c>
      <c r="C17" s="43" t="str">
        <f>IFERROR(VLOOKUP($B17,'BASE+TOMADOR'!$A:$BS,3,FALSE),0)</f>
        <v>ESTÁGIO</v>
      </c>
      <c r="D17" s="43" t="str">
        <f>VLOOKUP($B17,'BASE+TOMADOR'!$A:$BS,8,FALSE)</f>
        <v>COMERCIAL</v>
      </c>
      <c r="E17" s="71" t="str">
        <f>VLOOKUP($B17,'BASE+TOMADOR'!$A:$BS,15,FALSE)</f>
        <v>AUXILIAR COMERCIAL - ESTAGIARIO</v>
      </c>
      <c r="F17" s="43" t="str">
        <f>VLOOKUP($B17,'BASE+TOMADOR'!$A:$BS,71,FALSE)</f>
        <v>Ativo</v>
      </c>
      <c r="G17" s="71" t="str">
        <f>VLOOKUP($B17,'BASE+TOMADOR'!$A:$BS,4,FALSE)</f>
        <v>G3S FL 10 - PRES PRUD</v>
      </c>
      <c r="H17" s="71" t="str">
        <f>VLOOKUP($B17,'BASE+TOMADOR'!$A:$BS,7,FALSE)</f>
        <v>20.947.332/0010-86</v>
      </c>
      <c r="I17" s="72">
        <f>IFERROR(VLOOKUP($B17,'BASE+TOMADOR'!$A:$BS,62,FALSE),0)</f>
        <v>0</v>
      </c>
      <c r="J17" s="72">
        <f>IFERROR(VLOOKUP($B17,'BASE+TOMADOR'!$A:$BS,67,FALSE),0)</f>
        <v>0</v>
      </c>
      <c r="K17" s="73">
        <f>VLOOKUP($B17,'BASE+TOMADOR'!$A:$BS,55,FALSE)</f>
        <v>1521.88</v>
      </c>
      <c r="L17" s="73">
        <f>IFERROR(VLOOKUP($B17,'BASE+TOMADOR'!$A:$BS,56,FALSE),0)</f>
        <v>1521.88</v>
      </c>
      <c r="M17" s="72">
        <f>IFERROR(VLOOKUP($B17,'BASE+TOMADOR'!$A:$BS,58,FALSE),0)</f>
        <v>1521.88</v>
      </c>
      <c r="N17" s="74">
        <f t="shared" si="0"/>
        <v>1.1340188901312089E-2</v>
      </c>
      <c r="O17" s="72">
        <f>IFERROR(VLOOKUP(B17,'[1]BASE+TOMADOR'!$A:$BF,58,0),0)</f>
        <v>1466.67</v>
      </c>
      <c r="P17" s="67">
        <f t="shared" ref="P17:P20" si="6">M17-O17</f>
        <v>55.210000000000036</v>
      </c>
      <c r="R17" s="1"/>
      <c r="S17" s="1"/>
    </row>
    <row r="18" spans="1:19" customFormat="1" x14ac:dyDescent="0.25">
      <c r="A18" s="43">
        <f t="shared" si="3"/>
        <v>16</v>
      </c>
      <c r="B18" s="71" t="s">
        <v>246</v>
      </c>
      <c r="C18" s="43" t="str">
        <f>IFERROR(VLOOKUP($B18,'BASE+TOMADOR'!$A:$BS,3,FALSE),0)</f>
        <v>ESTÁGIO</v>
      </c>
      <c r="D18" s="43" t="str">
        <f>VLOOKUP($B18,'BASE+TOMADOR'!$A:$BS,8,FALSE)</f>
        <v>COMERCIAL</v>
      </c>
      <c r="E18" s="71" t="str">
        <f>VLOOKUP($B18,'BASE+TOMADOR'!$A:$BS,15,FALSE)</f>
        <v>AUXILIAR COMERCIAL - ESTAGIARIO</v>
      </c>
      <c r="F18" s="43" t="str">
        <f>VLOOKUP($B18,'BASE+TOMADOR'!$A:$BS,71,FALSE)</f>
        <v>Ativo</v>
      </c>
      <c r="G18" s="71" t="str">
        <f>VLOOKUP($B18,'BASE+TOMADOR'!$A:$BS,4,FALSE)</f>
        <v>G3S FL 10 - PRES PRUD</v>
      </c>
      <c r="H18" s="71" t="str">
        <f>VLOOKUP($B18,'BASE+TOMADOR'!$A:$BS,7,FALSE)</f>
        <v>20.947.332/0010-86</v>
      </c>
      <c r="I18" s="72">
        <f>IFERROR(VLOOKUP($B18,'BASE+TOMADOR'!$A:$BS,62,FALSE),0)</f>
        <v>0</v>
      </c>
      <c r="J18" s="72">
        <f>IFERROR(VLOOKUP($B18,'BASE+TOMADOR'!$A:$BS,67,FALSE),0)</f>
        <v>0</v>
      </c>
      <c r="K18" s="73">
        <f>VLOOKUP($B18,'BASE+TOMADOR'!$A:$BS,55,FALSE)</f>
        <v>1521.87</v>
      </c>
      <c r="L18" s="73">
        <f>IFERROR(VLOOKUP($B18,'BASE+TOMADOR'!$A:$BS,56,FALSE),0)</f>
        <v>1521.87</v>
      </c>
      <c r="M18" s="72">
        <f>IFERROR(VLOOKUP($B18,'BASE+TOMADOR'!$A:$BS,58,FALSE),0)</f>
        <v>1521.87</v>
      </c>
      <c r="N18" s="74">
        <f t="shared" si="0"/>
        <v>1.1340114386968634E-2</v>
      </c>
      <c r="O18" s="72">
        <f>IFERROR(VLOOKUP(B18,'[1]BASE+TOMADOR'!$A:$BF,58,0),0)</f>
        <v>1000</v>
      </c>
      <c r="P18" s="67">
        <f t="shared" si="6"/>
        <v>521.86999999999989</v>
      </c>
      <c r="R18" s="1"/>
      <c r="S18" s="1"/>
    </row>
    <row r="19" spans="1:19" customFormat="1" x14ac:dyDescent="0.25">
      <c r="A19" s="43">
        <f t="shared" si="3"/>
        <v>17</v>
      </c>
      <c r="B19" s="71" t="s">
        <v>254</v>
      </c>
      <c r="C19" s="43" t="str">
        <f>IFERROR(VLOOKUP($B19,'BASE+TOMADOR'!$A:$BS,3,FALSE),0)</f>
        <v>ESTÁGIO</v>
      </c>
      <c r="D19" s="43" t="str">
        <f>VLOOKUP($B19,'BASE+TOMADOR'!$A:$BS,8,FALSE)</f>
        <v>COMERCIAL</v>
      </c>
      <c r="E19" s="71" t="str">
        <f>VLOOKUP($B19,'BASE+TOMADOR'!$A:$BS,15,FALSE)</f>
        <v>AUXILIAR COMERCIAL - ESTAGIARIO</v>
      </c>
      <c r="F19" s="43" t="str">
        <f>VLOOKUP($B19,'BASE+TOMADOR'!$A:$BS,71,FALSE)</f>
        <v>Ativo</v>
      </c>
      <c r="G19" s="71" t="str">
        <f>VLOOKUP($B19,'BASE+TOMADOR'!$A:$BS,4,FALSE)</f>
        <v>G3S FL 10 - PRES PRUD</v>
      </c>
      <c r="H19" s="71" t="str">
        <f>VLOOKUP($B19,'BASE+TOMADOR'!$A:$BS,7,FALSE)</f>
        <v>20.947.332/0010-86</v>
      </c>
      <c r="I19" s="72">
        <f>IFERROR(VLOOKUP($B19,'BASE+TOMADOR'!$A:$BS,62,FALSE),0)</f>
        <v>0</v>
      </c>
      <c r="J19" s="72">
        <f>IFERROR(VLOOKUP($B19,'BASE+TOMADOR'!$A:$BS,67,FALSE),0)</f>
        <v>0</v>
      </c>
      <c r="K19" s="73">
        <f>VLOOKUP($B19,'BASE+TOMADOR'!$A:$BS,55,FALSE)</f>
        <v>1512.87</v>
      </c>
      <c r="L19" s="73">
        <f>IFERROR(VLOOKUP($B19,'BASE+TOMADOR'!$A:$BS,56,FALSE),0)</f>
        <v>1512.87</v>
      </c>
      <c r="M19" s="72">
        <f>IFERROR(VLOOKUP($B19,'BASE+TOMADOR'!$A:$BS,58,FALSE),0)</f>
        <v>1512.87</v>
      </c>
      <c r="N19" s="74">
        <f t="shared" si="0"/>
        <v>1.1273051477861604E-2</v>
      </c>
      <c r="O19" s="72">
        <f>IFERROR(VLOOKUP(B19,'[1]BASE+TOMADOR'!$A:$BF,58,0),0)</f>
        <v>1000</v>
      </c>
      <c r="P19" s="67">
        <f t="shared" si="6"/>
        <v>512.86999999999989</v>
      </c>
      <c r="R19" s="1"/>
      <c r="S19" s="1"/>
    </row>
    <row r="20" spans="1:19" customFormat="1" x14ac:dyDescent="0.25">
      <c r="A20" s="43">
        <f>A19+1</f>
        <v>18</v>
      </c>
      <c r="B20" s="71" t="s">
        <v>257</v>
      </c>
      <c r="C20" s="43" t="str">
        <f>IFERROR(VLOOKUP($B20,'BASE+TOMADOR'!$A:$BS,3,FALSE),0)</f>
        <v>ESTÁGIO</v>
      </c>
      <c r="D20" s="43" t="str">
        <f>VLOOKUP($B20,'BASE+TOMADOR'!$A:$BS,8,FALSE)</f>
        <v>COMERCIAL</v>
      </c>
      <c r="E20" s="71" t="str">
        <f>VLOOKUP($B20,'BASE+TOMADOR'!$A:$BS,15,FALSE)</f>
        <v>AUXILIAR COMERCIAL - ESTAGIARIO</v>
      </c>
      <c r="F20" s="43" t="str">
        <f>VLOOKUP($B20,'BASE+TOMADOR'!$A:$BS,71,FALSE)</f>
        <v>Ativo</v>
      </c>
      <c r="G20" s="71" t="str">
        <f>VLOOKUP($B20,'BASE+TOMADOR'!$A:$BS,4,FALSE)</f>
        <v>G3S FL 10 - PRES PRUD</v>
      </c>
      <c r="H20" s="71" t="str">
        <f>VLOOKUP($B20,'BASE+TOMADOR'!$A:$BS,7,FALSE)</f>
        <v>20.947.332/0010-86</v>
      </c>
      <c r="I20" s="72">
        <f>IFERROR(VLOOKUP($B20,'BASE+TOMADOR'!$A:$BS,62,FALSE),0)</f>
        <v>0</v>
      </c>
      <c r="J20" s="72">
        <f>IFERROR(VLOOKUP($B20,'BASE+TOMADOR'!$A:$BS,67,FALSE),0)</f>
        <v>0</v>
      </c>
      <c r="K20" s="73">
        <f>VLOOKUP($B20,'BASE+TOMADOR'!$A:$BS,55,FALSE)</f>
        <v>1500</v>
      </c>
      <c r="L20" s="73">
        <f>IFERROR(VLOOKUP($B20,'BASE+TOMADOR'!$A:$BS,56,FALSE),0)</f>
        <v>1500</v>
      </c>
      <c r="M20" s="72">
        <f>IFERROR(VLOOKUP($B20,'BASE+TOMADOR'!$A:$BS,58,FALSE),0)</f>
        <v>1500</v>
      </c>
      <c r="N20" s="74">
        <f t="shared" si="0"/>
        <v>1.117715151783855E-2</v>
      </c>
      <c r="O20" s="72">
        <f>IFERROR(VLOOKUP(B20,'[1]BASE+TOMADOR'!$A:$BF,58,0),0)</f>
        <v>0</v>
      </c>
      <c r="P20" s="67">
        <f t="shared" si="6"/>
        <v>1500</v>
      </c>
      <c r="R20" s="1"/>
      <c r="S20" s="1"/>
    </row>
    <row r="21" spans="1:19" customFormat="1" x14ac:dyDescent="0.25">
      <c r="A21" s="43">
        <v>1</v>
      </c>
      <c r="B21" s="71" t="s">
        <v>237</v>
      </c>
      <c r="C21" s="43" t="str">
        <f>IFERROR(VLOOKUP($B21,'BASE+TOMADOR'!$A:$BS,3,FALSE),0)</f>
        <v>CLT</v>
      </c>
      <c r="D21" s="43" t="str">
        <f>VLOOKUP($B21,'BASE+TOMADOR'!$A:$BS,8,FALSE)</f>
        <v>COMERCIAL</v>
      </c>
      <c r="E21" s="71" t="str">
        <f>VLOOKUP($B21,'BASE+TOMADOR'!$A:$BS,15,FALSE)</f>
        <v>ASSISTENTE COMERCIAL</v>
      </c>
      <c r="F21" s="43" t="str">
        <f>VLOOKUP($B21,'BASE+TOMADOR'!$A:$BS,71,FALSE)</f>
        <v>Desligado</v>
      </c>
      <c r="G21" s="71" t="str">
        <f>VLOOKUP($B21,'BASE+TOMADOR'!$A:$BS,4,FALSE)</f>
        <v>G3S FL 10 - PRES PRUD</v>
      </c>
      <c r="H21" s="71" t="str">
        <f>VLOOKUP($B21,'BASE+TOMADOR'!$A:$BS,7,FALSE)</f>
        <v>20.947.332/0010-86</v>
      </c>
      <c r="I21" s="72">
        <f>IFERROR(VLOOKUP($B21,'BASE+TOMADOR'!$A:$BS,62,FALSE),0)</f>
        <v>1.6391666666666667</v>
      </c>
      <c r="J21" s="72">
        <f>IFERROR(VLOOKUP($B21,'BASE+TOMADOR'!$A:$BS,67,FALSE),0)</f>
        <v>2.42</v>
      </c>
      <c r="K21" s="73">
        <f>VLOOKUP($B21,'BASE+TOMADOR'!$A:$BS,55,FALSE)</f>
        <v>1346.14</v>
      </c>
      <c r="L21" s="73">
        <f>IFERROR(VLOOKUP($B21,'BASE+TOMADOR'!$A:$BS,56,FALSE),0)</f>
        <v>1354.5700000000002</v>
      </c>
      <c r="M21" s="72">
        <f>IFERROR(VLOOKUP($B21,'BASE+TOMADOR'!$A:$BS,70,FALSE),0)</f>
        <v>6934.39</v>
      </c>
      <c r="N21" s="74"/>
      <c r="O21" s="72"/>
      <c r="P21" s="67"/>
      <c r="R21" s="1"/>
      <c r="S21" s="1"/>
    </row>
    <row r="22" spans="1:19" ht="16.149999999999999" customHeight="1" x14ac:dyDescent="0.25">
      <c r="B22" s="2"/>
      <c r="K22" s="48"/>
      <c r="L22" s="48"/>
      <c r="M22" s="49"/>
      <c r="N22" s="50"/>
    </row>
    <row r="23" spans="1:19" ht="16.149999999999999" customHeight="1" x14ac:dyDescent="0.25">
      <c r="B23" s="98" t="s">
        <v>2</v>
      </c>
      <c r="C23" s="1" t="s">
        <v>684</v>
      </c>
      <c r="D23" s="1" t="s">
        <v>685</v>
      </c>
    </row>
    <row r="24" spans="1:19" ht="16.149999999999999" customHeight="1" x14ac:dyDescent="0.25">
      <c r="B24" s="2" t="s">
        <v>426</v>
      </c>
      <c r="C24" s="1">
        <v>18</v>
      </c>
      <c r="D24" s="48">
        <v>127267.95999999998</v>
      </c>
    </row>
    <row r="25" spans="1:19" ht="16.149999999999999" customHeight="1" x14ac:dyDescent="0.25">
      <c r="B25" s="99" t="s">
        <v>5</v>
      </c>
      <c r="C25" s="1">
        <v>8</v>
      </c>
      <c r="D25" s="48">
        <v>40403.339999999997</v>
      </c>
    </row>
    <row r="26" spans="1:19" ht="16.149999999999999" customHeight="1" x14ac:dyDescent="0.25">
      <c r="B26" s="99" t="s">
        <v>8</v>
      </c>
      <c r="C26" s="1">
        <v>5</v>
      </c>
      <c r="D26" s="48">
        <v>70928.170000000013</v>
      </c>
    </row>
    <row r="27" spans="1:19" ht="16.149999999999999" customHeight="1" x14ac:dyDescent="0.25">
      <c r="B27" s="99" t="s">
        <v>6</v>
      </c>
      <c r="C27" s="1">
        <v>4</v>
      </c>
      <c r="D27" s="48">
        <v>6056.62</v>
      </c>
    </row>
    <row r="28" spans="1:19" ht="16.149999999999999" customHeight="1" x14ac:dyDescent="0.25">
      <c r="B28" s="99" t="s">
        <v>7</v>
      </c>
      <c r="C28" s="1">
        <v>1</v>
      </c>
      <c r="D28" s="48">
        <v>9879.83</v>
      </c>
    </row>
    <row r="29" spans="1:19" ht="16.149999999999999" customHeight="1" x14ac:dyDescent="0.25">
      <c r="B29" s="2" t="s">
        <v>455</v>
      </c>
      <c r="C29" s="1">
        <v>1</v>
      </c>
      <c r="D29" s="48">
        <v>6934.39</v>
      </c>
    </row>
    <row r="30" spans="1:19" x14ac:dyDescent="0.25">
      <c r="B30" s="99" t="s">
        <v>5</v>
      </c>
      <c r="C30" s="1">
        <v>1</v>
      </c>
      <c r="D30" s="48">
        <v>6934.39</v>
      </c>
    </row>
    <row r="31" spans="1:19" x14ac:dyDescent="0.25">
      <c r="B31" s="1" t="s">
        <v>686</v>
      </c>
      <c r="C31" s="1">
        <v>19</v>
      </c>
      <c r="D31" s="48">
        <v>134202.34999999998</v>
      </c>
    </row>
    <row r="32" spans="1:19" x14ac:dyDescent="0.25">
      <c r="D32" s="48"/>
    </row>
    <row r="33" spans="2:14" ht="16.149999999999999" customHeight="1" x14ac:dyDescent="0.25">
      <c r="B33" s="102" t="s">
        <v>12</v>
      </c>
      <c r="C33" s="98" t="s">
        <v>13</v>
      </c>
      <c r="D33" s="1" t="s">
        <v>684</v>
      </c>
      <c r="E33" s="1" t="s">
        <v>685</v>
      </c>
    </row>
    <row r="34" spans="2:14" x14ac:dyDescent="0.25">
      <c r="B34" s="103" t="s">
        <v>291</v>
      </c>
      <c r="C34" s="2" t="s">
        <v>292</v>
      </c>
      <c r="D34" s="1">
        <v>2</v>
      </c>
      <c r="E34" s="48">
        <v>10542.220000000001</v>
      </c>
    </row>
    <row r="35" spans="2:14" x14ac:dyDescent="0.25">
      <c r="B35" s="103"/>
      <c r="C35" s="2" t="s">
        <v>424</v>
      </c>
      <c r="D35" s="1">
        <v>4</v>
      </c>
      <c r="E35" s="48">
        <v>62428.170000000006</v>
      </c>
    </row>
    <row r="36" spans="2:14" x14ac:dyDescent="0.25">
      <c r="B36" s="103" t="s">
        <v>149</v>
      </c>
      <c r="C36" s="2" t="s">
        <v>150</v>
      </c>
      <c r="D36" s="1">
        <v>2</v>
      </c>
      <c r="E36" s="48">
        <v>20058.72</v>
      </c>
    </row>
    <row r="37" spans="2:14" x14ac:dyDescent="0.25">
      <c r="B37" s="103" t="s">
        <v>311</v>
      </c>
      <c r="C37" s="2" t="s">
        <v>312</v>
      </c>
      <c r="D37" s="1">
        <v>1</v>
      </c>
      <c r="E37" s="48">
        <v>4021.87</v>
      </c>
      <c r="G37"/>
      <c r="H37"/>
      <c r="K37"/>
      <c r="L37" s="12"/>
      <c r="M37"/>
      <c r="N37"/>
    </row>
    <row r="38" spans="2:14" x14ac:dyDescent="0.25">
      <c r="B38" s="103" t="s">
        <v>199</v>
      </c>
      <c r="C38" s="2" t="s">
        <v>200</v>
      </c>
      <c r="D38" s="1">
        <v>9</v>
      </c>
      <c r="E38" s="48">
        <v>28651.37</v>
      </c>
      <c r="G38"/>
      <c r="H38"/>
      <c r="K38"/>
      <c r="L38" s="12"/>
      <c r="M38"/>
      <c r="N38"/>
    </row>
    <row r="39" spans="2:14" x14ac:dyDescent="0.25">
      <c r="B39" s="2" t="s">
        <v>438</v>
      </c>
      <c r="C39" s="2" t="s">
        <v>424</v>
      </c>
      <c r="D39" s="1">
        <v>1</v>
      </c>
      <c r="E39" s="48">
        <v>8500</v>
      </c>
      <c r="G39"/>
      <c r="H39"/>
      <c r="K39"/>
      <c r="L39" s="12"/>
      <c r="M39"/>
      <c r="N39"/>
    </row>
    <row r="40" spans="2:14" x14ac:dyDescent="0.25">
      <c r="B40" s="1" t="s">
        <v>686</v>
      </c>
      <c r="D40" s="1">
        <v>19</v>
      </c>
      <c r="E40" s="48">
        <v>134202.34999999998</v>
      </c>
      <c r="G40"/>
      <c r="H40"/>
      <c r="K40"/>
      <c r="L40" s="12"/>
      <c r="M40"/>
      <c r="N40"/>
    </row>
    <row r="41" spans="2:14" x14ac:dyDescent="0.25">
      <c r="B41"/>
      <c r="C41"/>
      <c r="D41"/>
      <c r="E41"/>
      <c r="G41"/>
      <c r="H41"/>
      <c r="K41"/>
      <c r="L41" s="12"/>
      <c r="M41"/>
      <c r="N41"/>
    </row>
    <row r="42" spans="2:14" x14ac:dyDescent="0.25">
      <c r="B42" s="101"/>
      <c r="C42" s="101"/>
      <c r="D42" s="101"/>
      <c r="E42" s="101"/>
      <c r="G42"/>
      <c r="H42"/>
      <c r="K42"/>
      <c r="L42" s="12"/>
      <c r="M42"/>
      <c r="N42"/>
    </row>
    <row r="43" spans="2:14" x14ac:dyDescent="0.25">
      <c r="B43" s="101"/>
      <c r="C43" s="101"/>
      <c r="D43" s="101"/>
      <c r="E43" s="101"/>
      <c r="G43"/>
      <c r="H43"/>
      <c r="K43"/>
      <c r="L43" s="12"/>
      <c r="M43"/>
      <c r="N43"/>
    </row>
    <row r="44" spans="2:14" x14ac:dyDescent="0.25">
      <c r="B44" s="101"/>
      <c r="C44" s="101"/>
      <c r="D44" s="101"/>
      <c r="E44" s="101"/>
      <c r="G44"/>
      <c r="H44"/>
      <c r="K44"/>
      <c r="L44" s="12"/>
      <c r="M44"/>
      <c r="N44"/>
    </row>
    <row r="45" spans="2:14" x14ac:dyDescent="0.25">
      <c r="B45" s="101"/>
      <c r="C45" s="101"/>
      <c r="D45" s="101"/>
      <c r="E45" s="101"/>
      <c r="G45"/>
      <c r="H45"/>
      <c r="K45"/>
      <c r="L45" s="12"/>
      <c r="M45"/>
      <c r="N45"/>
    </row>
    <row r="46" spans="2:14" x14ac:dyDescent="0.25">
      <c r="B46" s="101"/>
      <c r="C46" s="101"/>
      <c r="D46" s="101"/>
      <c r="E46" s="101"/>
      <c r="G46"/>
      <c r="H46"/>
      <c r="K46"/>
      <c r="L46" s="12"/>
      <c r="M46"/>
      <c r="N46"/>
    </row>
    <row r="47" spans="2:14" x14ac:dyDescent="0.25">
      <c r="B47" s="101"/>
      <c r="C47" s="101"/>
      <c r="D47" s="101"/>
      <c r="E47" s="101"/>
      <c r="G47"/>
      <c r="H47"/>
      <c r="K47"/>
      <c r="L47" s="12"/>
      <c r="M47"/>
      <c r="N47"/>
    </row>
    <row r="48" spans="2:14" x14ac:dyDescent="0.25">
      <c r="B48" s="101"/>
      <c r="C48" s="101"/>
      <c r="D48" s="101"/>
      <c r="E48" s="101"/>
      <c r="G48"/>
      <c r="H48"/>
      <c r="K48"/>
      <c r="L48" s="12"/>
      <c r="M48"/>
      <c r="N48"/>
    </row>
    <row r="49" spans="2:14" x14ac:dyDescent="0.25">
      <c r="B49" s="101"/>
      <c r="C49" s="101"/>
      <c r="D49" s="101"/>
      <c r="E49" s="101"/>
      <c r="G49"/>
      <c r="H49"/>
      <c r="K49"/>
      <c r="L49" s="12"/>
      <c r="M49"/>
      <c r="N49"/>
    </row>
    <row r="50" spans="2:14" x14ac:dyDescent="0.25">
      <c r="B50" s="101"/>
      <c r="C50" s="101"/>
      <c r="D50" s="101"/>
      <c r="E50" s="101"/>
      <c r="G50"/>
      <c r="H50"/>
      <c r="K50"/>
      <c r="L50" s="12"/>
      <c r="M50"/>
      <c r="N50"/>
    </row>
    <row r="51" spans="2:14" x14ac:dyDescent="0.25">
      <c r="B51" s="101"/>
      <c r="C51" s="101"/>
      <c r="D51" s="101"/>
      <c r="E51" s="101"/>
      <c r="G51"/>
      <c r="H51"/>
      <c r="K51"/>
      <c r="L51" s="12"/>
      <c r="M51"/>
      <c r="N51"/>
    </row>
    <row r="52" spans="2:14" x14ac:dyDescent="0.25">
      <c r="B52" s="101"/>
      <c r="C52" s="101"/>
      <c r="D52" s="101"/>
      <c r="E52" s="101"/>
    </row>
    <row r="53" spans="2:14" x14ac:dyDescent="0.25">
      <c r="B53" s="101"/>
      <c r="C53" s="101"/>
      <c r="D53" s="101"/>
      <c r="E53" s="101"/>
    </row>
    <row r="54" spans="2:14" x14ac:dyDescent="0.25">
      <c r="B54" s="101"/>
      <c r="C54" s="101"/>
      <c r="D54" s="101"/>
      <c r="E54" s="101"/>
    </row>
    <row r="55" spans="2:14" x14ac:dyDescent="0.25">
      <c r="B55" s="101"/>
      <c r="C55" s="101"/>
      <c r="D55" s="101"/>
      <c r="E55" s="101"/>
    </row>
  </sheetData>
  <autoFilter ref="A2:O16" xr:uid="{D12CA574-7460-41EF-8B5D-188A312AA43A}"/>
  <sortState xmlns:xlrd2="http://schemas.microsoft.com/office/spreadsheetml/2017/richdata2" ref="A3:O16">
    <sortCondition ref="F3:F16" customList="Ativo,Desligado"/>
  </sortState>
  <mergeCells count="2">
    <mergeCell ref="K1:L1"/>
    <mergeCell ref="B1:E1"/>
  </mergeCells>
  <conditionalFormatting sqref="B46:B1048576 B2 B22:B26">
    <cfRule type="duplicateValues" dxfId="432" priority="4"/>
  </conditionalFormatting>
  <printOptions horizontalCentered="1"/>
  <pageMargins left="0" right="0" top="0.11811023622047245" bottom="0.11811023622047245" header="0" footer="0"/>
  <pageSetup paperSize="9" scale="68" fitToHeight="0" orientation="landscape"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99" id="{1EDF80CF-9F50-4E64-BE8A-06BC26009540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P3:P21</xm:sqref>
        </x14:conditionalFormatting>
        <x14:conditionalFormatting xmlns:xm="http://schemas.microsoft.com/office/excel/2006/main">
          <x14:cfRule type="iconSet" priority="2" id="{1E10454B-8288-49C6-92F1-5D40EB6444FE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Q3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C39AA-CF1C-4154-87BC-32CFAEBAEE4B}">
  <sheetPr>
    <tabColor rgb="FF0070C0"/>
    <pageSetUpPr fitToPage="1"/>
  </sheetPr>
  <dimension ref="A1:R43"/>
  <sheetViews>
    <sheetView showGridLines="0" zoomScale="90" zoomScaleNormal="90" zoomScaleSheetLayoutView="70" workbookViewId="0">
      <pane ySplit="2" topLeftCell="A3" activePane="bottomLeft" state="frozen"/>
      <selection activeCell="X49" sqref="X49"/>
      <selection pane="bottomLeft" activeCell="E31" sqref="E31"/>
    </sheetView>
  </sheetViews>
  <sheetFormatPr defaultColWidth="9.140625" defaultRowHeight="15.75" x14ac:dyDescent="0.25"/>
  <cols>
    <col min="1" max="1" width="13.140625" style="1" bestFit="1" customWidth="1"/>
    <col min="2" max="2" width="35.7109375" style="1" bestFit="1" customWidth="1"/>
    <col min="3" max="3" width="19.28515625" style="1" bestFit="1" customWidth="1"/>
    <col min="4" max="4" width="16.7109375" style="2" bestFit="1" customWidth="1"/>
    <col min="5" max="5" width="46.28515625" style="2" bestFit="1" customWidth="1"/>
    <col min="6" max="6" width="12" style="1" hidden="1" customWidth="1"/>
    <col min="7" max="7" width="30.42578125" style="2" hidden="1" customWidth="1"/>
    <col min="8" max="8" width="19.7109375" style="2" hidden="1" customWidth="1"/>
    <col min="9" max="9" width="19.7109375" style="1" bestFit="1" customWidth="1"/>
    <col min="10" max="10" width="17" style="1" bestFit="1" customWidth="1"/>
    <col min="11" max="11" width="13.28515625" style="2" hidden="1" customWidth="1"/>
    <col min="12" max="12" width="11.7109375" style="40" hidden="1" customWidth="1"/>
    <col min="13" max="13" width="14.7109375" style="6" bestFit="1" customWidth="1"/>
    <col min="14" max="14" width="7.85546875" style="4" bestFit="1" customWidth="1"/>
    <col min="15" max="15" width="16.28515625" style="1" bestFit="1" customWidth="1"/>
    <col min="16" max="16" width="4.42578125" customWidth="1"/>
    <col min="18" max="16384" width="9.140625" style="1"/>
  </cols>
  <sheetData>
    <row r="1" spans="1:18" x14ac:dyDescent="0.25">
      <c r="A1" s="91" t="s">
        <v>689</v>
      </c>
      <c r="B1" s="164" t="str">
        <f>GERAL!B1</f>
        <v>FOLHA DE PAGAMENTO MARÇO/2026</v>
      </c>
      <c r="C1" s="164"/>
      <c r="D1" s="164"/>
      <c r="E1" s="164"/>
      <c r="G1" s="1"/>
      <c r="H1" s="1"/>
      <c r="I1" s="80">
        <f>SUBTOTAL(9,I3:I11)</f>
        <v>3959.9208333333331</v>
      </c>
      <c r="J1" s="80">
        <f>SUBTOTAL(9,J3:J11)</f>
        <v>8291.18</v>
      </c>
      <c r="K1" s="163" t="s">
        <v>669</v>
      </c>
      <c r="L1" s="163"/>
      <c r="M1" s="80">
        <f>SUBTOTAL(9,M3:M11)</f>
        <v>44026.499999999993</v>
      </c>
      <c r="N1" s="1"/>
      <c r="O1" s="80">
        <f>'[1]SELETIVA C GRANDE'!$M$1</f>
        <v>33583.4</v>
      </c>
    </row>
    <row r="2" spans="1:18" s="7" customFormat="1" ht="30" customHeight="1" x14ac:dyDescent="0.25">
      <c r="A2" s="8" t="s">
        <v>670</v>
      </c>
      <c r="B2" s="8" t="s">
        <v>362</v>
      </c>
      <c r="C2" s="8" t="s">
        <v>671</v>
      </c>
      <c r="D2" s="8" t="s">
        <v>672</v>
      </c>
      <c r="E2" s="8" t="s">
        <v>673</v>
      </c>
      <c r="F2" s="8" t="s">
        <v>674</v>
      </c>
      <c r="G2" s="8" t="s">
        <v>675</v>
      </c>
      <c r="H2" s="8" t="s">
        <v>13</v>
      </c>
      <c r="I2" s="9" t="s">
        <v>676</v>
      </c>
      <c r="J2" s="9" t="s">
        <v>677</v>
      </c>
      <c r="K2" s="8" t="s">
        <v>678</v>
      </c>
      <c r="L2" s="41" t="s">
        <v>679</v>
      </c>
      <c r="M2" s="9" t="str">
        <f>GERAL!M2</f>
        <v>TT BRUTO
MARÇO</v>
      </c>
      <c r="N2" s="9" t="s">
        <v>681</v>
      </c>
      <c r="O2" s="9" t="str">
        <f>GERAL!O2</f>
        <v>TT BRUTO
FEVEREIRO</v>
      </c>
    </row>
    <row r="3" spans="1:18" x14ac:dyDescent="0.25">
      <c r="A3" s="43">
        <v>1</v>
      </c>
      <c r="B3" s="77" t="s">
        <v>278</v>
      </c>
      <c r="C3" s="43" t="str">
        <f>IFERROR(VLOOKUP($B3,'BASE+TOMADOR'!$A:$BS,3,FALSE),0)</f>
        <v>CLT</v>
      </c>
      <c r="D3" s="43" t="str">
        <f>VLOOKUP($B3,'BASE+TOMADOR'!$A:$BS,8,FALSE)</f>
        <v>OPERACIONAL</v>
      </c>
      <c r="E3" s="71" t="str">
        <f>VLOOKUP($B3,'BASE+TOMADOR'!$A:$BS,15,FALSE)</f>
        <v>GERENTE DE PATIO SENIOR</v>
      </c>
      <c r="F3" s="43" t="str">
        <f>VLOOKUP($B3,'BASE+TOMADOR'!$A:$BS,71,FALSE)</f>
        <v>Ativo</v>
      </c>
      <c r="G3" s="71" t="str">
        <f>VLOOKUP($B3,'BASE+TOMADOR'!$A:$BS,4,FALSE)</f>
        <v>G3S CMATRIZ - CAMPO GRANDE</v>
      </c>
      <c r="H3" s="71" t="str">
        <f>VLOOKUP($B3,'BASE+TOMADOR'!$A:$BS,7,FALSE)</f>
        <v>20.947.332/0001-95</v>
      </c>
      <c r="I3" s="72">
        <f>IFERROR(VLOOKUP($B3,'BASE+TOMADOR'!$A:$BS,62,FALSE),0)</f>
        <v>1073.2847222222222</v>
      </c>
      <c r="J3" s="72">
        <f>IFERROR(VLOOKUP($B3,'BASE+TOMADOR'!$A:$BS,67,FALSE),0)</f>
        <v>2118.19</v>
      </c>
      <c r="K3" s="73">
        <f>VLOOKUP($B3,'BASE+TOMADOR'!$A:$BS,55,FALSE)</f>
        <v>1205.9099999999999</v>
      </c>
      <c r="L3" s="73">
        <f>IFERROR(VLOOKUP($B3,'BASE+TOMADOR'!$A:$BS,56,FALSE),0)</f>
        <v>6725.66</v>
      </c>
      <c r="M3" s="72">
        <f>IFERROR(VLOOKUP($B3,'BASE+TOMADOR'!$A:$BS,58,FALSE),0)</f>
        <v>6725.66</v>
      </c>
      <c r="N3" s="74">
        <f t="shared" ref="N3:N9" si="0">M3/$M$1</f>
        <v>0.15276390355808436</v>
      </c>
      <c r="O3" s="72">
        <f>IFERROR(VLOOKUP(B3,'[1]BASE+TOMADOR'!$A:$BF,58,0),0)</f>
        <v>6533.2300000000005</v>
      </c>
      <c r="P3" s="67">
        <f>M3-O3</f>
        <v>192.42999999999938</v>
      </c>
    </row>
    <row r="4" spans="1:18" x14ac:dyDescent="0.25">
      <c r="A4" s="43">
        <v>3</v>
      </c>
      <c r="B4" s="77" t="s">
        <v>181</v>
      </c>
      <c r="C4" s="43" t="str">
        <f>IFERROR(VLOOKUP($B4,'BASE+TOMADOR'!$A:$BS,3,FALSE),0)</f>
        <v>CLT</v>
      </c>
      <c r="D4" s="43" t="str">
        <f>VLOOKUP($B4,'BASE+TOMADOR'!$A:$BS,8,FALSE)</f>
        <v>LOGISTICA</v>
      </c>
      <c r="E4" s="71" t="str">
        <f>VLOOKUP($B4,'BASE+TOMADOR'!$A:$BS,15,FALSE)</f>
        <v>MOTORISTA CARRETEIRO MANTENEDOR PLENO II</v>
      </c>
      <c r="F4" s="43" t="str">
        <f>VLOOKUP($B4,'BASE+TOMADOR'!$A:$BS,71,FALSE)</f>
        <v>Ativo</v>
      </c>
      <c r="G4" s="71" t="str">
        <f>VLOOKUP($B4,'BASE+TOMADOR'!$A:$BS,4,FALSE)</f>
        <v>G S FL 06 - CAMPO GRANDE</v>
      </c>
      <c r="H4" s="71" t="str">
        <f>VLOOKUP($B4,'BASE+TOMADOR'!$A:$BS,7,FALSE)</f>
        <v>20.504.237/0006-21</v>
      </c>
      <c r="I4" s="72">
        <f>IFERROR(VLOOKUP($B4,'BASE+TOMADOR'!$A:$BS,62,FALSE),0)</f>
        <v>780.19861111111118</v>
      </c>
      <c r="J4" s="72">
        <f>IFERROR(VLOOKUP($B4,'BASE+TOMADOR'!$A:$BS,67,FALSE),0)</f>
        <v>1476.57</v>
      </c>
      <c r="K4" s="73">
        <f>VLOOKUP($B4,'BASE+TOMADOR'!$A:$BS,55,FALSE)</f>
        <v>2090.31</v>
      </c>
      <c r="L4" s="73">
        <f>IFERROR(VLOOKUP($B4,'BASE+TOMADOR'!$A:$BS,56,FALSE),0)</f>
        <v>6102.76</v>
      </c>
      <c r="M4" s="72">
        <f>IFERROR(VLOOKUP($B4,'BASE+TOMADOR'!$A:$BS,58,FALSE),0)</f>
        <v>6102.76</v>
      </c>
      <c r="N4" s="74">
        <f t="shared" si="0"/>
        <v>0.13861560650971577</v>
      </c>
      <c r="O4" s="72">
        <f>IFERROR(VLOOKUP(B4,'[1]BASE+TOMADOR'!$A:$BF,58,0),0)</f>
        <v>6616.17</v>
      </c>
      <c r="P4" s="67">
        <f t="shared" ref="P4:P10" si="1">M4-O4</f>
        <v>-513.40999999999985</v>
      </c>
    </row>
    <row r="5" spans="1:18" x14ac:dyDescent="0.25">
      <c r="A5" s="43">
        <v>4</v>
      </c>
      <c r="B5" s="77" t="s">
        <v>175</v>
      </c>
      <c r="C5" s="43" t="str">
        <f>IFERROR(VLOOKUP($B5,'BASE+TOMADOR'!$A:$BS,3,FALSE),0)</f>
        <v>CLT</v>
      </c>
      <c r="D5" s="43" t="str">
        <f>VLOOKUP($B5,'BASE+TOMADOR'!$A:$BS,8,FALSE)</f>
        <v>LOGISTICA</v>
      </c>
      <c r="E5" s="71" t="str">
        <f>VLOOKUP($B5,'BASE+TOMADOR'!$A:$BS,15,FALSE)</f>
        <v>MOTORISTA CARRETEIRO MANTENEDOR PLENO</v>
      </c>
      <c r="F5" s="43" t="str">
        <f>VLOOKUP($B5,'BASE+TOMADOR'!$A:$BS,71,FALSE)</f>
        <v>Ativo</v>
      </c>
      <c r="G5" s="71" t="str">
        <f>VLOOKUP($B5,'BASE+TOMADOR'!$A:$BS,4,FALSE)</f>
        <v>G S FL 06 - CAMPO GRANDE</v>
      </c>
      <c r="H5" s="71" t="str">
        <f>VLOOKUP($B5,'BASE+TOMADOR'!$A:$BS,7,FALSE)</f>
        <v>20.504.237/0006-21</v>
      </c>
      <c r="I5" s="72">
        <f>IFERROR(VLOOKUP($B5,'BASE+TOMADOR'!$A:$BS,62,FALSE),0)</f>
        <v>695.84472222222234</v>
      </c>
      <c r="J5" s="72">
        <f>IFERROR(VLOOKUP($B5,'BASE+TOMADOR'!$A:$BS,67,FALSE),0)</f>
        <v>1316.14</v>
      </c>
      <c r="K5" s="73">
        <f>VLOOKUP($B5,'BASE+TOMADOR'!$A:$BS,55,FALSE)</f>
        <v>2082.6299999999997</v>
      </c>
      <c r="L5" s="73">
        <f>IFERROR(VLOOKUP($B5,'BASE+TOMADOR'!$A:$BS,56,FALSE),0)</f>
        <v>5661.26</v>
      </c>
      <c r="M5" s="72">
        <f>IFERROR(VLOOKUP($B5,'BASE+TOMADOR'!$A:$BS,58,FALSE),0)</f>
        <v>5661.26</v>
      </c>
      <c r="N5" s="74">
        <f t="shared" si="0"/>
        <v>0.12858755522242288</v>
      </c>
      <c r="O5" s="72">
        <f>IFERROR(VLOOKUP(B5,'[1]BASE+TOMADOR'!$A:$BF,58,0),0)</f>
        <v>4717.76</v>
      </c>
      <c r="P5" s="67">
        <f t="shared" si="1"/>
        <v>943.5</v>
      </c>
    </row>
    <row r="6" spans="1:18" x14ac:dyDescent="0.25">
      <c r="A6" s="43">
        <v>2</v>
      </c>
      <c r="B6" s="77" t="s">
        <v>430</v>
      </c>
      <c r="C6" s="43" t="str">
        <f>IFERROR(VLOOKUP($B6,'BASE+TOMADOR'!$A:$BS,3,FALSE),0)</f>
        <v>PJ</v>
      </c>
      <c r="D6" s="43" t="str">
        <f>VLOOKUP($B6,'BASE+TOMADOR'!$A:$BS,8,FALSE)</f>
        <v>COMERCIAL</v>
      </c>
      <c r="E6" s="71" t="str">
        <f>VLOOKUP($B6,'BASE+TOMADOR'!$A:$BS,15,FALSE)</f>
        <v>COMPRADOR</v>
      </c>
      <c r="F6" s="43" t="str">
        <f>VLOOKUP($B6,'BASE+TOMADOR'!$A:$BS,71,FALSE)</f>
        <v>Ativo</v>
      </c>
      <c r="G6" s="71" t="str">
        <f>VLOOKUP($B6,'BASE+TOMADOR'!$A:$BS,4,FALSE)</f>
        <v>G S FL 06 - CAMPO GRANDE</v>
      </c>
      <c r="H6" s="71" t="str">
        <f>VLOOKUP($B6,'BASE+TOMADOR'!$A:$BS,7,FALSE)</f>
        <v>CONTRATO PJ</v>
      </c>
      <c r="I6" s="72">
        <f>IFERROR(VLOOKUP($B6,'BASE+TOMADOR'!$A:$BS,62,FALSE),0)</f>
        <v>416.66666666666669</v>
      </c>
      <c r="J6" s="72">
        <f>IFERROR(VLOOKUP($B6,'BASE+TOMADOR'!$A:$BS,67,FALSE),0)</f>
        <v>0</v>
      </c>
      <c r="K6" s="73">
        <f>VLOOKUP($B6,'BASE+TOMADOR'!$A:$BS,55,FALSE)</f>
        <v>12.87</v>
      </c>
      <c r="L6" s="73">
        <f>IFERROR(VLOOKUP($B6,'BASE+TOMADOR'!$A:$BS,56,FALSE),0)</f>
        <v>5012.87</v>
      </c>
      <c r="M6" s="72">
        <f>IFERROR(VLOOKUP($B6,'BASE+TOMADOR'!$A:$BS,58,FALSE),0)</f>
        <v>5012.87</v>
      </c>
      <c r="N6" s="74">
        <f t="shared" si="0"/>
        <v>0.1138602886897664</v>
      </c>
      <c r="O6" s="72">
        <f>IFERROR(VLOOKUP(B6,'[1]BASE+TOMADOR'!$A:$BF,58,0),0)</f>
        <v>5000</v>
      </c>
      <c r="P6" s="67">
        <f t="shared" si="1"/>
        <v>12.869999999999891</v>
      </c>
    </row>
    <row r="7" spans="1:18" s="66" customFormat="1" x14ac:dyDescent="0.25">
      <c r="A7" s="43">
        <v>5</v>
      </c>
      <c r="B7" s="77" t="s">
        <v>275</v>
      </c>
      <c r="C7" s="43" t="str">
        <f>IFERROR(VLOOKUP($B7,'BASE+TOMADOR'!$A:$BS,3,FALSE),0)</f>
        <v>CLT</v>
      </c>
      <c r="D7" s="43" t="str">
        <f>VLOOKUP($B7,'BASE+TOMADOR'!$A:$BS,8,FALSE)</f>
        <v>ADMINISTRATIVO</v>
      </c>
      <c r="E7" s="71" t="str">
        <f>VLOOKUP($B7,'BASE+TOMADOR'!$A:$BS,15,FALSE)</f>
        <v>AUX ADMINISTRATIVO PLENO</v>
      </c>
      <c r="F7" s="43" t="str">
        <f>VLOOKUP($B7,'BASE+TOMADOR'!$A:$BS,71,FALSE)</f>
        <v>Ativo</v>
      </c>
      <c r="G7" s="71" t="str">
        <f>VLOOKUP($B7,'BASE+TOMADOR'!$A:$BS,4,FALSE)</f>
        <v>G3S CMATRIZ - CAMPO GRANDE</v>
      </c>
      <c r="H7" s="71" t="str">
        <f>VLOOKUP($B7,'BASE+TOMADOR'!$A:$BS,7,FALSE)</f>
        <v>20.947.332/0001-95</v>
      </c>
      <c r="I7" s="72">
        <f>IFERROR(VLOOKUP($B7,'BASE+TOMADOR'!$A:$BS,62,FALSE),0)</f>
        <v>574.89833333333331</v>
      </c>
      <c r="J7" s="72">
        <f>IFERROR(VLOOKUP($B7,'BASE+TOMADOR'!$A:$BS,67,FALSE),0)</f>
        <v>1134.5800000000002</v>
      </c>
      <c r="K7" s="73">
        <f>VLOOKUP($B7,'BASE+TOMADOR'!$A:$BS,55,FALSE)</f>
        <v>1054.9099999999999</v>
      </c>
      <c r="L7" s="73">
        <f>IFERROR(VLOOKUP($B7,'BASE+TOMADOR'!$A:$BS,56,FALSE),0)</f>
        <v>4011.5299999999997</v>
      </c>
      <c r="M7" s="72">
        <f>IFERROR(VLOOKUP($B7,'BASE+TOMADOR'!$A:$BS,58,FALSE),0)</f>
        <v>4011.5299999999997</v>
      </c>
      <c r="N7" s="74">
        <f t="shared" si="0"/>
        <v>9.1116259525513055E-2</v>
      </c>
      <c r="O7" s="72">
        <f>IFERROR(VLOOKUP(B7,'[1]BASE+TOMADOR'!$A:$BF,58,0),0)</f>
        <v>3435.45</v>
      </c>
      <c r="P7" s="67">
        <f t="shared" si="1"/>
        <v>576.07999999999993</v>
      </c>
    </row>
    <row r="8" spans="1:18" x14ac:dyDescent="0.25">
      <c r="A8" s="43">
        <v>6</v>
      </c>
      <c r="B8" s="77" t="s">
        <v>280</v>
      </c>
      <c r="C8" s="43" t="str">
        <f>IFERROR(VLOOKUP($B8,'BASE+TOMADOR'!$A:$BS,3,FALSE),0)</f>
        <v>CLT</v>
      </c>
      <c r="D8" s="43" t="str">
        <f>VLOOKUP($B8,'BASE+TOMADOR'!$A:$BS,8,FALSE)</f>
        <v>OPERACIONAL</v>
      </c>
      <c r="E8" s="71" t="str">
        <f>VLOOKUP($B8,'BASE+TOMADOR'!$A:$BS,15,FALSE)</f>
        <v>AUXILIAR DE PATIO JUNIOR</v>
      </c>
      <c r="F8" s="43" t="str">
        <f>VLOOKUP($B8,'BASE+TOMADOR'!$A:$BS,71,FALSE)</f>
        <v>Ativo</v>
      </c>
      <c r="G8" s="71" t="str">
        <f>VLOOKUP($B8,'BASE+TOMADOR'!$A:$BS,4,FALSE)</f>
        <v>G3S CMATRIZ - CAMPO GRANDE</v>
      </c>
      <c r="H8" s="71" t="str">
        <f>VLOOKUP($B8,'BASE+TOMADOR'!$A:$BS,7,FALSE)</f>
        <v>20.947.332/0001-95</v>
      </c>
      <c r="I8" s="72">
        <f>IFERROR(VLOOKUP($B8,'BASE+TOMADOR'!$A:$BS,62,FALSE),0)</f>
        <v>419.02777777777783</v>
      </c>
      <c r="J8" s="72">
        <f>IFERROR(VLOOKUP($B8,'BASE+TOMADOR'!$A:$BS,67,FALSE),0)</f>
        <v>826.98</v>
      </c>
      <c r="K8" s="73">
        <f>VLOOKUP($B8,'BASE+TOMADOR'!$A:$BS,55,FALSE)</f>
        <v>1045.9099999999999</v>
      </c>
      <c r="L8" s="73">
        <f>IFERROR(VLOOKUP($B8,'BASE+TOMADOR'!$A:$BS,56,FALSE),0)</f>
        <v>3200.91</v>
      </c>
      <c r="M8" s="72">
        <f>IFERROR(VLOOKUP($B8,'BASE+TOMADOR'!$A:$BS,58,FALSE),0)</f>
        <v>3200.91</v>
      </c>
      <c r="N8" s="74">
        <f t="shared" si="0"/>
        <v>7.2704166808626625E-2</v>
      </c>
      <c r="O8" s="72">
        <f>IFERROR(VLOOKUP(B8,'[1]BASE+TOMADOR'!$A:$BF,58,0),0)</f>
        <v>1479.04</v>
      </c>
      <c r="P8" s="67">
        <f t="shared" si="1"/>
        <v>1721.87</v>
      </c>
      <c r="R8" s="68" t="s">
        <v>683</v>
      </c>
    </row>
    <row r="9" spans="1:18" x14ac:dyDescent="0.25">
      <c r="A9" s="43">
        <v>7</v>
      </c>
      <c r="B9" s="77" t="s">
        <v>185</v>
      </c>
      <c r="C9" s="43" t="str">
        <f>IFERROR(VLOOKUP($B9,'BASE+TOMADOR'!$A:$BS,3,FALSE),0)</f>
        <v>CLT</v>
      </c>
      <c r="D9" s="43" t="str">
        <f>VLOOKUP($B9,'BASE+TOMADOR'!$A:$BS,8,FALSE)</f>
        <v>OPERACIONAL</v>
      </c>
      <c r="E9" s="71" t="str">
        <f>VLOOKUP($B9,'BASE+TOMADOR'!$A:$BS,15,FALSE)</f>
        <v>OPERADOR MANTENEDOR SENIOR</v>
      </c>
      <c r="F9" s="43" t="str">
        <f>VLOOKUP($B9,'BASE+TOMADOR'!$A:$BS,71,FALSE)</f>
        <v>Ativo</v>
      </c>
      <c r="G9" s="71" t="str">
        <f>VLOOKUP($B9,'BASE+TOMADOR'!$A:$BS,4,FALSE)</f>
        <v>G S FL 06 - CAMPO GRANDE</v>
      </c>
      <c r="H9" s="71" t="str">
        <f>VLOOKUP($B9,'BASE+TOMADOR'!$A:$BS,7,FALSE)</f>
        <v>20.504.237/0006-21</v>
      </c>
      <c r="I9" s="72">
        <f>IFERROR(VLOOKUP($B9,'BASE+TOMADOR'!$A:$BS,62,FALSE),0)</f>
        <v>0</v>
      </c>
      <c r="J9" s="72">
        <f>IFERROR(VLOOKUP($B9,'BASE+TOMADOR'!$A:$BS,67,FALSE),0)</f>
        <v>1418.72</v>
      </c>
      <c r="K9" s="73">
        <f>VLOOKUP($B9,'BASE+TOMADOR'!$A:$BS,55,FALSE)</f>
        <v>1041.04</v>
      </c>
      <c r="L9" s="73">
        <f>IFERROR(VLOOKUP($B9,'BASE+TOMADOR'!$A:$BS,56,FALSE),0)</f>
        <v>4896.2999999999993</v>
      </c>
      <c r="M9" s="72">
        <f>IFERROR(VLOOKUP($B9,'BASE+TOMADOR'!$A:$BS,58,FALSE),0)</f>
        <v>4896.2999999999993</v>
      </c>
      <c r="N9" s="74">
        <f t="shared" si="0"/>
        <v>0.11121256515961978</v>
      </c>
      <c r="O9" s="72">
        <f>IFERROR(VLOOKUP(B9,'[1]BASE+TOMADOR'!$A:$BF,58,0),0)</f>
        <v>0</v>
      </c>
      <c r="P9" s="67">
        <f t="shared" si="1"/>
        <v>4896.2999999999993</v>
      </c>
      <c r="R9" s="68"/>
    </row>
    <row r="10" spans="1:18" customFormat="1" ht="16.149999999999999" customHeight="1" x14ac:dyDescent="0.25">
      <c r="A10" s="43">
        <v>1</v>
      </c>
      <c r="B10" s="77" t="s">
        <v>271</v>
      </c>
      <c r="C10" s="43" t="str">
        <f>IFERROR(VLOOKUP($B10,'BASE+TOMADOR'!$A:$BS,3,FALSE),0)</f>
        <v>CLT</v>
      </c>
      <c r="D10" s="43" t="str">
        <f>VLOOKUP($B10,'BASE+TOMADOR'!$A:$BS,8,FALSE)</f>
        <v>OPERACIONAL</v>
      </c>
      <c r="E10" s="71" t="str">
        <f>VLOOKUP($B10,'BASE+TOMADOR'!$A:$BS,15,FALSE)</f>
        <v>AUXILIAR DE PATIO JUNIOR</v>
      </c>
      <c r="F10" s="43" t="str">
        <f>VLOOKUP($B10,'BASE+TOMADOR'!$A:$BS,71,FALSE)</f>
        <v>Desligado</v>
      </c>
      <c r="G10" s="71" t="str">
        <f>VLOOKUP($B10,'BASE+TOMADOR'!$A:$BS,4,FALSE)</f>
        <v>G3S CMATRIZ - CAMPO GRANDE</v>
      </c>
      <c r="H10" s="71" t="str">
        <f>VLOOKUP($B10,'BASE+TOMADOR'!$A:$BS,7,FALSE)</f>
        <v>20.947.332/0001-95</v>
      </c>
      <c r="I10" s="72">
        <f>IFERROR(VLOOKUP($B10,'BASE+TOMADOR'!$A:$BS,62,FALSE),0)</f>
        <v>0</v>
      </c>
      <c r="J10" s="72">
        <f>IFERROR(VLOOKUP($B10,'BASE+TOMADOR'!$A:$BS,67,FALSE),0)</f>
        <v>0</v>
      </c>
      <c r="K10" s="73">
        <f>VLOOKUP($B10,'BASE+TOMADOR'!$A:$BS,55,FALSE)</f>
        <v>610.84</v>
      </c>
      <c r="L10" s="73">
        <f>IFERROR(VLOOKUP($B10,'BASE+TOMADOR'!$A:$BS,56,FALSE),0)</f>
        <v>610.84</v>
      </c>
      <c r="M10" s="72">
        <f>IFERROR(VLOOKUP($B10,'BASE+TOMADOR'!$A:$BS,70,FALSE),0)</f>
        <v>6569.72</v>
      </c>
      <c r="N10" s="74"/>
      <c r="O10" s="72"/>
      <c r="P10" s="67">
        <f t="shared" si="1"/>
        <v>6569.72</v>
      </c>
      <c r="R10" s="1"/>
    </row>
    <row r="11" spans="1:18" customFormat="1" ht="16.149999999999999" customHeight="1" x14ac:dyDescent="0.25">
      <c r="A11" s="43">
        <v>2</v>
      </c>
      <c r="B11" s="77" t="s">
        <v>279</v>
      </c>
      <c r="C11" s="43" t="str">
        <f>IFERROR(VLOOKUP($B11,'BASE+TOMADOR'!$A:$BS,3,FALSE),0)</f>
        <v>CLT</v>
      </c>
      <c r="D11" s="43" t="str">
        <f>VLOOKUP($B11,'BASE+TOMADOR'!$A:$BS,8,FALSE)</f>
        <v>OPERACIONAL</v>
      </c>
      <c r="E11" s="71" t="str">
        <f>VLOOKUP($B11,'BASE+TOMADOR'!$A:$BS,15,FALSE)</f>
        <v>AUXILIAR DE PATIO JUNIOR</v>
      </c>
      <c r="F11" s="43" t="str">
        <f>VLOOKUP($B11,'BASE+TOMADOR'!$A:$BS,71,FALSE)</f>
        <v>Desligado</v>
      </c>
      <c r="G11" s="71" t="str">
        <f>VLOOKUP($B11,'BASE+TOMADOR'!$A:$BS,4,FALSE)</f>
        <v>G3S CMATRIZ - CAMPO GRANDE</v>
      </c>
      <c r="H11" s="71" t="str">
        <f>VLOOKUP($B11,'BASE+TOMADOR'!$A:$BS,7,FALSE)</f>
        <v>20.947.332/0001-95</v>
      </c>
      <c r="I11" s="72">
        <f>IFERROR(VLOOKUP($B11,'BASE+TOMADOR'!$A:$BS,62,FALSE),0)</f>
        <v>0</v>
      </c>
      <c r="J11" s="72">
        <f>IFERROR(VLOOKUP($B11,'BASE+TOMADOR'!$A:$BS,67,FALSE),0)</f>
        <v>0</v>
      </c>
      <c r="K11" s="73">
        <f>VLOOKUP($B11,'BASE+TOMADOR'!$A:$BS,55,FALSE)</f>
        <v>260.84000000000003</v>
      </c>
      <c r="L11" s="73">
        <f>IFERROR(VLOOKUP($B11,'BASE+TOMADOR'!$A:$BS,56,FALSE),0)</f>
        <v>260.84000000000003</v>
      </c>
      <c r="M11" s="72">
        <f>IFERROR(VLOOKUP($B11,'BASE+TOMADOR'!$A:$BS,70,FALSE),0)</f>
        <v>1845.49</v>
      </c>
      <c r="N11" s="74"/>
      <c r="O11" s="72"/>
      <c r="P11" s="67">
        <f t="shared" ref="P11" si="2">M11-O11</f>
        <v>1845.49</v>
      </c>
      <c r="R11" s="1"/>
    </row>
    <row r="12" spans="1:18" customFormat="1" ht="16.149999999999999" customHeight="1" x14ac:dyDescent="0.25">
      <c r="A12" s="1"/>
      <c r="B12" s="2"/>
      <c r="C12" s="1"/>
      <c r="D12" s="2"/>
      <c r="E12" s="2"/>
      <c r="F12" s="1"/>
      <c r="G12" s="2"/>
      <c r="H12" s="2"/>
      <c r="I12" s="1"/>
      <c r="J12" s="1"/>
      <c r="K12" s="48"/>
      <c r="L12" s="48"/>
      <c r="M12" s="49"/>
      <c r="N12" s="50"/>
      <c r="O12" s="1"/>
      <c r="R12" s="1"/>
    </row>
    <row r="13" spans="1:18" customFormat="1" ht="16.149999999999999" customHeight="1" x14ac:dyDescent="0.25">
      <c r="A13" s="1"/>
      <c r="B13" s="98" t="s">
        <v>2</v>
      </c>
      <c r="C13" s="1" t="s">
        <v>684</v>
      </c>
      <c r="D13" s="1" t="s">
        <v>685</v>
      </c>
      <c r="E13" s="2"/>
      <c r="F13" s="1"/>
      <c r="G13" s="2"/>
      <c r="H13" s="2"/>
      <c r="I13" s="1"/>
      <c r="J13" s="1"/>
      <c r="K13" s="2"/>
      <c r="L13" s="40"/>
      <c r="M13" s="6"/>
      <c r="N13" s="4"/>
      <c r="O13" s="1"/>
      <c r="R13" s="1"/>
    </row>
    <row r="14" spans="1:18" customFormat="1" ht="16.149999999999999" customHeight="1" x14ac:dyDescent="0.25">
      <c r="A14" s="1"/>
      <c r="B14" s="2" t="s">
        <v>426</v>
      </c>
      <c r="C14" s="1">
        <v>7</v>
      </c>
      <c r="D14" s="48">
        <v>35611.29</v>
      </c>
      <c r="E14" s="2"/>
      <c r="F14" s="1"/>
      <c r="G14" s="2"/>
      <c r="H14" s="2"/>
      <c r="I14" s="1"/>
      <c r="J14" s="1"/>
      <c r="K14" s="2"/>
      <c r="L14" s="40"/>
      <c r="M14" s="6"/>
      <c r="N14" s="4"/>
      <c r="O14" s="1"/>
      <c r="R14" s="1"/>
    </row>
    <row r="15" spans="1:18" customFormat="1" ht="16.149999999999999" customHeight="1" x14ac:dyDescent="0.25">
      <c r="A15" s="1"/>
      <c r="B15" s="99" t="s">
        <v>5</v>
      </c>
      <c r="C15" s="1">
        <v>6</v>
      </c>
      <c r="D15" s="48">
        <v>30598.42</v>
      </c>
      <c r="E15" s="2"/>
      <c r="F15" s="1"/>
      <c r="G15" s="2"/>
      <c r="H15" s="2"/>
      <c r="I15" s="1"/>
      <c r="J15" s="1"/>
      <c r="K15" s="2"/>
      <c r="L15" s="40"/>
      <c r="M15" s="6"/>
      <c r="N15" s="4"/>
      <c r="O15" s="1"/>
      <c r="R15" s="1"/>
    </row>
    <row r="16" spans="1:18" customFormat="1" ht="16.149999999999999" customHeight="1" x14ac:dyDescent="0.25">
      <c r="A16" s="1"/>
      <c r="B16" s="99" t="s">
        <v>8</v>
      </c>
      <c r="C16" s="1">
        <v>1</v>
      </c>
      <c r="D16" s="48">
        <v>5012.87</v>
      </c>
      <c r="E16" s="2"/>
      <c r="F16" s="1"/>
      <c r="G16" s="2"/>
      <c r="H16" s="2"/>
      <c r="I16" s="1"/>
      <c r="J16" s="1"/>
      <c r="K16" s="2"/>
      <c r="L16" s="40"/>
      <c r="M16" s="6"/>
      <c r="N16" s="4"/>
      <c r="O16" s="1"/>
      <c r="R16" s="1"/>
    </row>
    <row r="17" spans="1:18" customFormat="1" ht="16.149999999999999" customHeight="1" x14ac:dyDescent="0.25">
      <c r="A17" s="1"/>
      <c r="B17" s="2" t="s">
        <v>455</v>
      </c>
      <c r="C17" s="1">
        <v>2</v>
      </c>
      <c r="D17" s="48">
        <v>8415.2100000000009</v>
      </c>
      <c r="E17" s="2"/>
      <c r="F17" s="1"/>
      <c r="G17" s="2"/>
      <c r="H17" s="2"/>
      <c r="I17" s="1"/>
      <c r="J17" s="1"/>
      <c r="K17" s="2"/>
      <c r="L17" s="40"/>
      <c r="M17" s="6"/>
      <c r="N17" s="4"/>
      <c r="O17" s="1"/>
      <c r="R17" s="1"/>
    </row>
    <row r="18" spans="1:18" customFormat="1" ht="15.6" customHeight="1" x14ac:dyDescent="0.25">
      <c r="A18" s="1"/>
      <c r="B18" s="99" t="s">
        <v>5</v>
      </c>
      <c r="C18" s="1">
        <v>2</v>
      </c>
      <c r="D18" s="48">
        <v>8415.2100000000009</v>
      </c>
      <c r="E18" s="2"/>
      <c r="F18" s="1"/>
      <c r="G18" s="2"/>
      <c r="H18" s="2"/>
      <c r="I18" s="1"/>
      <c r="J18" s="1"/>
      <c r="K18" s="2"/>
      <c r="L18" s="40"/>
      <c r="M18" s="6"/>
      <c r="N18" s="4"/>
      <c r="O18" s="1"/>
      <c r="R18" s="1"/>
    </row>
    <row r="19" spans="1:18" customFormat="1" ht="16.149999999999999" customHeight="1" x14ac:dyDescent="0.25">
      <c r="A19" s="1"/>
      <c r="B19" s="1" t="s">
        <v>686</v>
      </c>
      <c r="C19" s="1">
        <v>9</v>
      </c>
      <c r="D19" s="48">
        <v>44026.5</v>
      </c>
      <c r="E19" s="2"/>
      <c r="F19" s="1"/>
      <c r="G19" s="2"/>
      <c r="H19" s="2"/>
      <c r="I19" s="1"/>
      <c r="J19" s="1"/>
      <c r="K19" s="2"/>
      <c r="L19" s="40"/>
      <c r="M19" s="6"/>
      <c r="N19" s="4"/>
      <c r="O19" s="1"/>
      <c r="R19" s="1"/>
    </row>
    <row r="20" spans="1:18" customFormat="1" ht="16.149999999999999" customHeight="1" x14ac:dyDescent="0.25">
      <c r="A20" s="1"/>
      <c r="D20" s="48"/>
      <c r="E20" s="2"/>
      <c r="F20" s="1"/>
      <c r="G20" s="2"/>
      <c r="H20" s="2"/>
      <c r="I20" s="1"/>
      <c r="J20" s="1"/>
      <c r="K20" s="2"/>
      <c r="L20" s="40"/>
      <c r="M20" s="6"/>
      <c r="N20" s="4"/>
      <c r="O20" s="1"/>
      <c r="R20" s="1"/>
    </row>
    <row r="21" spans="1:18" ht="16.149999999999999" customHeight="1" x14ac:dyDescent="0.25">
      <c r="B21" s="102" t="s">
        <v>12</v>
      </c>
      <c r="C21" s="98" t="s">
        <v>13</v>
      </c>
      <c r="D21" s="1" t="s">
        <v>684</v>
      </c>
      <c r="E21" s="1" t="s">
        <v>685</v>
      </c>
    </row>
    <row r="22" spans="1:18" x14ac:dyDescent="0.25">
      <c r="B22" s="103" t="s">
        <v>176</v>
      </c>
      <c r="C22" s="1" t="s">
        <v>177</v>
      </c>
      <c r="D22" s="1">
        <v>3</v>
      </c>
      <c r="E22" s="48">
        <v>16660.32</v>
      </c>
    </row>
    <row r="23" spans="1:18" x14ac:dyDescent="0.25">
      <c r="B23" s="103"/>
      <c r="C23" s="1" t="s">
        <v>424</v>
      </c>
      <c r="D23" s="1">
        <v>1</v>
      </c>
      <c r="E23" s="48">
        <v>5012.87</v>
      </c>
    </row>
    <row r="24" spans="1:18" x14ac:dyDescent="0.25">
      <c r="B24" s="103" t="s">
        <v>272</v>
      </c>
      <c r="C24" s="1" t="s">
        <v>273</v>
      </c>
      <c r="D24" s="1">
        <v>5</v>
      </c>
      <c r="E24" s="48">
        <v>22353.31</v>
      </c>
    </row>
    <row r="25" spans="1:18" x14ac:dyDescent="0.25">
      <c r="B25" s="1" t="s">
        <v>686</v>
      </c>
      <c r="D25" s="1">
        <v>9</v>
      </c>
      <c r="E25" s="48">
        <v>44026.499999999993</v>
      </c>
      <c r="G25"/>
      <c r="H25"/>
      <c r="K25"/>
      <c r="L25" s="12"/>
      <c r="M25"/>
      <c r="N25"/>
    </row>
    <row r="26" spans="1:18" x14ac:dyDescent="0.25">
      <c r="B26"/>
      <c r="C26"/>
      <c r="D26"/>
      <c r="E26" s="101"/>
      <c r="G26"/>
      <c r="H26"/>
      <c r="K26"/>
      <c r="L26" s="12"/>
      <c r="M26"/>
      <c r="N26"/>
    </row>
    <row r="27" spans="1:18" x14ac:dyDescent="0.25">
      <c r="B27" s="101"/>
      <c r="C27" s="101"/>
      <c r="D27" s="101"/>
      <c r="E27" s="101"/>
      <c r="G27"/>
      <c r="H27"/>
      <c r="K27"/>
      <c r="L27" s="12"/>
      <c r="M27"/>
      <c r="N27"/>
    </row>
    <row r="28" spans="1:18" x14ac:dyDescent="0.25">
      <c r="B28" s="101"/>
      <c r="C28" s="101"/>
      <c r="D28" s="101"/>
      <c r="E28" s="101"/>
      <c r="G28"/>
      <c r="H28"/>
      <c r="K28"/>
      <c r="L28" s="12"/>
      <c r="M28"/>
      <c r="N28"/>
    </row>
    <row r="29" spans="1:18" x14ac:dyDescent="0.25">
      <c r="B29" s="101"/>
      <c r="C29" s="101"/>
      <c r="D29" s="101"/>
      <c r="E29" s="101"/>
      <c r="G29"/>
      <c r="H29"/>
      <c r="K29"/>
      <c r="L29" s="12"/>
      <c r="M29"/>
      <c r="N29"/>
    </row>
    <row r="30" spans="1:18" x14ac:dyDescent="0.25">
      <c r="B30" s="101"/>
      <c r="C30" s="101"/>
      <c r="D30" s="101"/>
      <c r="E30" s="101"/>
      <c r="G30"/>
      <c r="H30"/>
      <c r="K30"/>
      <c r="L30" s="12"/>
      <c r="M30"/>
      <c r="N30"/>
    </row>
    <row r="31" spans="1:18" x14ac:dyDescent="0.25">
      <c r="B31" s="101"/>
      <c r="C31" s="101"/>
      <c r="D31" s="101"/>
      <c r="E31" s="101"/>
      <c r="G31"/>
      <c r="H31"/>
      <c r="K31"/>
      <c r="L31" s="12"/>
      <c r="M31"/>
      <c r="N31"/>
    </row>
    <row r="32" spans="1:18" x14ac:dyDescent="0.25">
      <c r="B32" s="101"/>
      <c r="C32" s="101"/>
      <c r="D32" s="101"/>
      <c r="E32" s="101"/>
      <c r="G32"/>
      <c r="H32"/>
      <c r="K32"/>
      <c r="L32" s="12"/>
      <c r="M32"/>
      <c r="N32"/>
    </row>
    <row r="33" spans="2:14" x14ac:dyDescent="0.25">
      <c r="B33" s="101"/>
      <c r="C33" s="101"/>
      <c r="D33" s="101"/>
      <c r="E33" s="101"/>
      <c r="G33"/>
      <c r="H33"/>
      <c r="K33"/>
      <c r="L33" s="12"/>
      <c r="M33"/>
      <c r="N33"/>
    </row>
    <row r="34" spans="2:14" x14ac:dyDescent="0.25">
      <c r="B34" s="101"/>
      <c r="C34" s="101"/>
      <c r="D34" s="101"/>
      <c r="E34" s="101"/>
      <c r="G34"/>
      <c r="H34"/>
      <c r="K34"/>
      <c r="L34" s="12"/>
      <c r="M34"/>
      <c r="N34"/>
    </row>
    <row r="35" spans="2:14" x14ac:dyDescent="0.25">
      <c r="B35" s="101"/>
      <c r="C35" s="101"/>
      <c r="D35" s="101"/>
      <c r="E35" s="101"/>
      <c r="G35"/>
      <c r="H35"/>
      <c r="K35"/>
      <c r="L35" s="12"/>
      <c r="M35"/>
      <c r="N35"/>
    </row>
    <row r="36" spans="2:14" x14ac:dyDescent="0.25">
      <c r="B36" s="101"/>
      <c r="C36" s="101"/>
      <c r="D36" s="101"/>
      <c r="E36" s="101"/>
      <c r="G36"/>
      <c r="H36"/>
      <c r="K36"/>
      <c r="L36" s="12"/>
      <c r="M36"/>
      <c r="N36"/>
    </row>
    <row r="37" spans="2:14" x14ac:dyDescent="0.25">
      <c r="B37" s="101"/>
      <c r="C37" s="101"/>
      <c r="D37" s="101"/>
      <c r="E37" s="101"/>
      <c r="G37"/>
      <c r="H37"/>
      <c r="K37"/>
      <c r="L37" s="12"/>
      <c r="M37"/>
      <c r="N37"/>
    </row>
    <row r="38" spans="2:14" x14ac:dyDescent="0.25">
      <c r="B38" s="101"/>
      <c r="C38" s="101"/>
      <c r="D38" s="101"/>
      <c r="E38" s="101"/>
      <c r="G38"/>
      <c r="H38"/>
      <c r="K38"/>
      <c r="L38" s="12"/>
      <c r="M38"/>
      <c r="N38"/>
    </row>
    <row r="39" spans="2:14" x14ac:dyDescent="0.25">
      <c r="B39" s="101"/>
      <c r="C39" s="101"/>
      <c r="D39" s="101"/>
      <c r="E39" s="101"/>
      <c r="G39"/>
      <c r="H39"/>
      <c r="K39"/>
      <c r="L39" s="12"/>
      <c r="M39"/>
      <c r="N39"/>
    </row>
    <row r="40" spans="2:14" x14ac:dyDescent="0.25">
      <c r="B40" s="101"/>
      <c r="C40" s="101"/>
      <c r="D40" s="101"/>
      <c r="E40" s="101"/>
    </row>
    <row r="41" spans="2:14" x14ac:dyDescent="0.25">
      <c r="B41" s="101"/>
      <c r="C41" s="101"/>
      <c r="D41" s="101"/>
      <c r="E41" s="101"/>
    </row>
    <row r="42" spans="2:14" x14ac:dyDescent="0.25">
      <c r="B42" s="101"/>
      <c r="C42" s="101"/>
      <c r="D42" s="101"/>
      <c r="E42" s="101"/>
    </row>
    <row r="43" spans="2:14" x14ac:dyDescent="0.25">
      <c r="B43" s="101"/>
      <c r="C43" s="101"/>
      <c r="D43" s="101"/>
      <c r="E43" s="101"/>
    </row>
  </sheetData>
  <autoFilter ref="A2:O10" xr:uid="{D12CA574-7460-41EF-8B5D-188A312AA43A}">
    <sortState xmlns:xlrd2="http://schemas.microsoft.com/office/spreadsheetml/2017/richdata2" ref="A3:O11">
      <sortCondition descending="1" ref="N2:N10"/>
    </sortState>
  </autoFilter>
  <mergeCells count="2">
    <mergeCell ref="K1:L1"/>
    <mergeCell ref="B1:E1"/>
  </mergeCells>
  <conditionalFormatting sqref="B34:B1048576 B2 B12:B16">
    <cfRule type="duplicateValues" dxfId="362" priority="5"/>
  </conditionalFormatting>
  <printOptions horizontalCentered="1"/>
  <pageMargins left="0" right="0" top="0.11811023622047245" bottom="0.11811023622047245" header="0" footer="0"/>
  <pageSetup paperSize="9" scale="70" fitToHeight="0" orientation="landscape"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93" id="{E012AFB4-C8BB-4A2A-885B-3B40A102D875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P3:P11</xm:sqref>
        </x14:conditionalFormatting>
        <x14:conditionalFormatting xmlns:xm="http://schemas.microsoft.com/office/excel/2006/main">
          <x14:cfRule type="iconSet" priority="3" id="{C6C7ACB7-A1D6-4FB4-9842-0BBD52E44B9B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Q3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07B3C-EFE4-42E9-9222-A31685E36F68}">
  <sheetPr>
    <tabColor rgb="FF0070C0"/>
    <pageSetUpPr fitToPage="1"/>
  </sheetPr>
  <dimension ref="A1:R50"/>
  <sheetViews>
    <sheetView showGridLines="0" zoomScale="90" zoomScaleNormal="90" zoomScaleSheetLayoutView="70" workbookViewId="0">
      <pane ySplit="2" topLeftCell="A3" activePane="bottomLeft" state="frozen"/>
      <selection activeCell="X49" sqref="X49"/>
      <selection pane="bottomLeft" activeCell="D16" sqref="D16"/>
    </sheetView>
  </sheetViews>
  <sheetFormatPr defaultColWidth="9.140625" defaultRowHeight="15.75" x14ac:dyDescent="0.25"/>
  <cols>
    <col min="1" max="1" width="12.42578125" style="1" customWidth="1"/>
    <col min="2" max="2" width="43.5703125" style="1" bestFit="1" customWidth="1"/>
    <col min="3" max="3" width="19.28515625" style="1" bestFit="1" customWidth="1"/>
    <col min="4" max="4" width="20.7109375" style="2" bestFit="1" customWidth="1"/>
    <col min="5" max="5" width="46.28515625" style="2" bestFit="1" customWidth="1"/>
    <col min="6" max="6" width="12" style="1" hidden="1" customWidth="1"/>
    <col min="7" max="7" width="22.85546875" style="2" hidden="1" customWidth="1"/>
    <col min="8" max="8" width="19.7109375" style="2" hidden="1" customWidth="1"/>
    <col min="9" max="9" width="19.7109375" style="1" bestFit="1" customWidth="1"/>
    <col min="10" max="10" width="17" style="1" bestFit="1" customWidth="1"/>
    <col min="11" max="11" width="13.28515625" style="2" hidden="1" customWidth="1"/>
    <col min="12" max="12" width="11.7109375" style="40" hidden="1" customWidth="1"/>
    <col min="13" max="13" width="14.7109375" style="6" bestFit="1" customWidth="1"/>
    <col min="14" max="14" width="7.85546875" style="4" bestFit="1" customWidth="1"/>
    <col min="15" max="15" width="16.28515625" style="1" bestFit="1" customWidth="1"/>
    <col min="16" max="16" width="4.42578125" customWidth="1"/>
    <col min="18" max="16384" width="9.140625" style="1"/>
  </cols>
  <sheetData>
    <row r="1" spans="1:18" ht="31.5" x14ac:dyDescent="0.25">
      <c r="A1" s="7" t="s">
        <v>142</v>
      </c>
      <c r="B1" s="164" t="str">
        <f>GERAL!B1</f>
        <v>FOLHA DE PAGAMENTO MARÇO/2026</v>
      </c>
      <c r="C1" s="164"/>
      <c r="D1" s="164"/>
      <c r="E1" s="164"/>
      <c r="G1" s="1"/>
      <c r="H1" s="1"/>
      <c r="I1" s="80">
        <f>SUBTOTAL(9,I3:I12)</f>
        <v>7644.5861111111099</v>
      </c>
      <c r="J1" s="80">
        <f>SUBTOTAL(9,J3:J12)</f>
        <v>13328.930000000002</v>
      </c>
      <c r="K1" s="166" t="s">
        <v>669</v>
      </c>
      <c r="L1" s="166"/>
      <c r="M1" s="80">
        <f>SUBTOTAL(9,M3:M12)</f>
        <v>71432.479999999996</v>
      </c>
      <c r="N1" s="1"/>
      <c r="O1" s="80">
        <f>'[1]SELETIVA DOURADOS'!$M$1</f>
        <v>55090.170000000006</v>
      </c>
    </row>
    <row r="2" spans="1:18" s="7" customFormat="1" ht="30" customHeight="1" x14ac:dyDescent="0.25">
      <c r="A2" s="8" t="s">
        <v>670</v>
      </c>
      <c r="B2" s="8" t="s">
        <v>362</v>
      </c>
      <c r="C2" s="8" t="s">
        <v>671</v>
      </c>
      <c r="D2" s="8" t="s">
        <v>672</v>
      </c>
      <c r="E2" s="8" t="s">
        <v>673</v>
      </c>
      <c r="F2" s="8" t="s">
        <v>674</v>
      </c>
      <c r="G2" s="8" t="s">
        <v>675</v>
      </c>
      <c r="H2" s="8" t="s">
        <v>13</v>
      </c>
      <c r="I2" s="9" t="s">
        <v>676</v>
      </c>
      <c r="J2" s="9" t="s">
        <v>677</v>
      </c>
      <c r="K2" s="8" t="s">
        <v>678</v>
      </c>
      <c r="L2" s="41" t="s">
        <v>679</v>
      </c>
      <c r="M2" s="9" t="str">
        <f>GERAL!M2</f>
        <v>TT BRUTO
MARÇO</v>
      </c>
      <c r="N2" s="9" t="s">
        <v>681</v>
      </c>
      <c r="O2" s="9" t="str">
        <f>GERAL!O2</f>
        <v>TT BRUTO
FEVEREIRO</v>
      </c>
    </row>
    <row r="3" spans="1:18" x14ac:dyDescent="0.25">
      <c r="A3" s="86">
        <v>1</v>
      </c>
      <c r="B3" s="71" t="s">
        <v>281</v>
      </c>
      <c r="C3" s="43" t="str">
        <f>IFERROR(VLOOKUP($B3,'BASE+TOMADOR'!$A:$BS,3,FALSE),0)</f>
        <v>CLT</v>
      </c>
      <c r="D3" s="43" t="str">
        <f>VLOOKUP($B3,'BASE+TOMADOR'!$A:$BS,8,FALSE)</f>
        <v>OPERACIONAL</v>
      </c>
      <c r="E3" s="71" t="str">
        <f>VLOOKUP($B3,'BASE+TOMADOR'!$A:$BS,15,FALSE)</f>
        <v>GERENTE DE PATIO SENIOR</v>
      </c>
      <c r="F3" s="43" t="str">
        <f>VLOOKUP($B3,'BASE+TOMADOR'!$A:$BS,71,FALSE)</f>
        <v>Ativo</v>
      </c>
      <c r="G3" s="71" t="str">
        <f>VLOOKUP($B3,'BASE+TOMADOR'!$A:$BS,4,FALSE)</f>
        <v>G3S  FL 03 - DOURADOS</v>
      </c>
      <c r="H3" s="71" t="str">
        <f>VLOOKUP($B3,'BASE+TOMADOR'!$A:$BS,7,FALSE)</f>
        <v>20.947.332/0003-57</v>
      </c>
      <c r="I3" s="72">
        <f>IFERROR(VLOOKUP($B3,'BASE+TOMADOR'!$A:$BS,62,FALSE),0)</f>
        <v>1933.9444444444446</v>
      </c>
      <c r="J3" s="72">
        <f>IFERROR(VLOOKUP($B3,'BASE+TOMADOR'!$A:$BS,67,FALSE),0)</f>
        <v>4345.63</v>
      </c>
      <c r="K3" s="73">
        <f>VLOOKUP($B3,'BASE+TOMADOR'!$A:$BS,55,FALSE)</f>
        <v>7684.4</v>
      </c>
      <c r="L3" s="73">
        <f>IFERROR(VLOOKUP($B3,'BASE+TOMADOR'!$A:$BS,56,FALSE),0)</f>
        <v>17630.400000000001</v>
      </c>
      <c r="M3" s="72">
        <f>IFERROR(VLOOKUP($B3,'BASE+TOMADOR'!$A:$BS,58,FALSE),0)</f>
        <v>17630.400000000001</v>
      </c>
      <c r="N3" s="74">
        <f t="shared" ref="N3:N10" si="0">M3/$M$1</f>
        <v>0.24681209444219215</v>
      </c>
      <c r="O3" s="72">
        <f>IFERROR(VLOOKUP(B3,'[1]BASE+TOMADOR'!$A:$BF,58,0),0)</f>
        <v>7542.2000000000007</v>
      </c>
      <c r="P3" s="67">
        <f>M3-O3</f>
        <v>10088.200000000001</v>
      </c>
    </row>
    <row r="4" spans="1:18" s="66" customFormat="1" x14ac:dyDescent="0.25">
      <c r="A4" s="86">
        <v>3</v>
      </c>
      <c r="B4" s="71" t="s">
        <v>139</v>
      </c>
      <c r="C4" s="43" t="str">
        <f>IFERROR(VLOOKUP($B4,'BASE+TOMADOR'!$A:$BS,3,FALSE),0)</f>
        <v>CLT</v>
      </c>
      <c r="D4" s="43" t="str">
        <f>VLOOKUP($B4,'BASE+TOMADOR'!$A:$BS,8,FALSE)</f>
        <v>LOGISTICA</v>
      </c>
      <c r="E4" s="71" t="str">
        <f>VLOOKUP($B4,'BASE+TOMADOR'!$A:$BS,15,FALSE)</f>
        <v>MOTORISTA CARRETEIRO MANTENEDOR SENIOR I</v>
      </c>
      <c r="F4" s="43" t="str">
        <f>VLOOKUP($B4,'BASE+TOMADOR'!$A:$BS,71,FALSE)</f>
        <v>Ativo</v>
      </c>
      <c r="G4" s="71" t="str">
        <f>VLOOKUP($B4,'BASE+TOMADOR'!$A:$BS,4,FALSE)</f>
        <v>G S FL 03 - DOURADOS</v>
      </c>
      <c r="H4" s="71" t="str">
        <f>VLOOKUP($B4,'BASE+TOMADOR'!$A:$BS,7,FALSE)</f>
        <v>20.504.237/0003-89</v>
      </c>
      <c r="I4" s="72">
        <f>IFERROR(VLOOKUP($B4,'BASE+TOMADOR'!$A:$BS,62,FALSE),0)</f>
        <v>797.43416666666667</v>
      </c>
      <c r="J4" s="72">
        <f>IFERROR(VLOOKUP($B4,'BASE+TOMADOR'!$A:$BS,67,FALSE),0)</f>
        <v>1509.19</v>
      </c>
      <c r="K4" s="73">
        <f>VLOOKUP($B4,'BASE+TOMADOR'!$A:$BS,55,FALSE)</f>
        <v>3055.3599999999997</v>
      </c>
      <c r="L4" s="73">
        <f>IFERROR(VLOOKUP($B4,'BASE+TOMADOR'!$A:$BS,56,FALSE),0)</f>
        <v>7156.45</v>
      </c>
      <c r="M4" s="72">
        <f>IFERROR(VLOOKUP($B4,'BASE+TOMADOR'!$A:$BS,58,FALSE),0)</f>
        <v>7156.45</v>
      </c>
      <c r="N4" s="74">
        <f t="shared" si="0"/>
        <v>0.10018481788676524</v>
      </c>
      <c r="O4" s="72">
        <f>IFERROR(VLOOKUP(B4,'[1]BASE+TOMADOR'!$A:$BF,58,0),0)</f>
        <v>6936.91</v>
      </c>
      <c r="P4" s="158">
        <f t="shared" ref="P4:P12" si="1">M4-O4</f>
        <v>219.53999999999996</v>
      </c>
      <c r="Q4" s="65"/>
    </row>
    <row r="5" spans="1:18" x14ac:dyDescent="0.25">
      <c r="A5" s="86">
        <v>4</v>
      </c>
      <c r="B5" s="71" t="s">
        <v>144</v>
      </c>
      <c r="C5" s="43" t="str">
        <f>IFERROR(VLOOKUP($B5,'BASE+TOMADOR'!$A:$BS,3,FALSE),0)</f>
        <v>CLT</v>
      </c>
      <c r="D5" s="43" t="str">
        <f>VLOOKUP($B5,'BASE+TOMADOR'!$A:$BS,8,FALSE)</f>
        <v>LOGISTICA</v>
      </c>
      <c r="E5" s="71" t="str">
        <f>VLOOKUP($B5,'BASE+TOMADOR'!$A:$BS,15,FALSE)</f>
        <v>MOTORISTA CARRETEIRO MANTENEDOR SENIOR I</v>
      </c>
      <c r="F5" s="43" t="str">
        <f>VLOOKUP($B5,'BASE+TOMADOR'!$A:$BS,71,FALSE)</f>
        <v>Ativo</v>
      </c>
      <c r="G5" s="71" t="str">
        <f>VLOOKUP($B5,'BASE+TOMADOR'!$A:$BS,4,FALSE)</f>
        <v>G S FL 03 - DOURADOS</v>
      </c>
      <c r="H5" s="71" t="str">
        <f>VLOOKUP($B5,'BASE+TOMADOR'!$A:$BS,7,FALSE)</f>
        <v>20.504.237/0003-89</v>
      </c>
      <c r="I5" s="72">
        <f>IFERROR(VLOOKUP($B5,'BASE+TOMADOR'!$A:$BS,62,FALSE),0)</f>
        <v>848.98333333333323</v>
      </c>
      <c r="J5" s="72">
        <f>IFERROR(VLOOKUP($B5,'BASE+TOMADOR'!$A:$BS,67,FALSE),0)</f>
        <v>1606.74</v>
      </c>
      <c r="K5" s="73">
        <f>VLOOKUP($B5,'BASE+TOMADOR'!$A:$BS,55,FALSE)</f>
        <v>2289.4699999999998</v>
      </c>
      <c r="L5" s="73">
        <f>IFERROR(VLOOKUP($B5,'BASE+TOMADOR'!$A:$BS,56,FALSE),0)</f>
        <v>6655.67</v>
      </c>
      <c r="M5" s="72">
        <f>IFERROR(VLOOKUP($B5,'BASE+TOMADOR'!$A:$BS,58,FALSE),0)</f>
        <v>6655.67</v>
      </c>
      <c r="N5" s="74">
        <f t="shared" si="0"/>
        <v>9.317428150331615E-2</v>
      </c>
      <c r="O5" s="72">
        <f>IFERROR(VLOOKUP(B5,'[1]BASE+TOMADOR'!$A:$BF,58,0),0)</f>
        <v>5888.49</v>
      </c>
      <c r="P5" s="67">
        <f t="shared" si="1"/>
        <v>767.18000000000029</v>
      </c>
    </row>
    <row r="6" spans="1:18" x14ac:dyDescent="0.25">
      <c r="A6" s="86">
        <v>5</v>
      </c>
      <c r="B6" s="89" t="s">
        <v>146</v>
      </c>
      <c r="C6" s="43" t="str">
        <f>IFERROR(VLOOKUP($B6,'BASE+TOMADOR'!$A:$BS,3,FALSE),0)</f>
        <v>CLT</v>
      </c>
      <c r="D6" s="43" t="str">
        <f>VLOOKUP($B6,'BASE+TOMADOR'!$A:$BS,8,FALSE)</f>
        <v>OPERACIONAL</v>
      </c>
      <c r="E6" s="71" t="str">
        <f>VLOOKUP($B6,'BASE+TOMADOR'!$A:$BS,15,FALSE)</f>
        <v>OPERADOR MANTENEDOR JR</v>
      </c>
      <c r="F6" s="43" t="str">
        <f>VLOOKUP($B6,'BASE+TOMADOR'!$A:$BS,71,FALSE)</f>
        <v>Ativo</v>
      </c>
      <c r="G6" s="71" t="str">
        <f>VLOOKUP($B6,'BASE+TOMADOR'!$A:$BS,4,FALSE)</f>
        <v>G S FL 03 - DOURADOS</v>
      </c>
      <c r="H6" s="71" t="str">
        <f>VLOOKUP($B6,'BASE+TOMADOR'!$A:$BS,7,FALSE)</f>
        <v>20.504.237/0003-89</v>
      </c>
      <c r="I6" s="72">
        <f>IFERROR(VLOOKUP($B6,'BASE+TOMADOR'!$A:$BS,62,FALSE),0)</f>
        <v>951.9708333333333</v>
      </c>
      <c r="J6" s="72">
        <f>IFERROR(VLOOKUP($B6,'BASE+TOMADOR'!$A:$BS,67,FALSE),0)</f>
        <v>1799.12</v>
      </c>
      <c r="K6" s="73">
        <f>VLOOKUP($B6,'BASE+TOMADOR'!$A:$BS,55,FALSE)</f>
        <v>709.58</v>
      </c>
      <c r="L6" s="73">
        <f>IFERROR(VLOOKUP($B6,'BASE+TOMADOR'!$A:$BS,56,FALSE),0)</f>
        <v>5605.43</v>
      </c>
      <c r="M6" s="72">
        <f>IFERROR(VLOOKUP($B6,'BASE+TOMADOR'!$A:$BS,58,FALSE),0)</f>
        <v>5605.43</v>
      </c>
      <c r="N6" s="74">
        <f t="shared" si="0"/>
        <v>7.84717260271518E-2</v>
      </c>
      <c r="O6" s="72">
        <f>IFERROR(VLOOKUP(B6,'[1]BASE+TOMADOR'!$A:$BF,58,0),0)</f>
        <v>4525.88</v>
      </c>
      <c r="P6" s="67">
        <f t="shared" si="1"/>
        <v>1079.5500000000002</v>
      </c>
    </row>
    <row r="7" spans="1:18" s="66" customFormat="1" x14ac:dyDescent="0.25">
      <c r="A7" s="86">
        <v>6</v>
      </c>
      <c r="B7" s="87" t="s">
        <v>286</v>
      </c>
      <c r="C7" s="43" t="str">
        <f>IFERROR(VLOOKUP($B7,'BASE+TOMADOR'!$A:$BS,3,FALSE),0)</f>
        <v>CLT</v>
      </c>
      <c r="D7" s="43" t="str">
        <f>VLOOKUP($B7,'BASE+TOMADOR'!$A:$BS,8,FALSE)</f>
        <v>ADMINISTRATIVO</v>
      </c>
      <c r="E7" s="71" t="str">
        <f>VLOOKUP($B7,'BASE+TOMADOR'!$A:$BS,15,FALSE)</f>
        <v>AUX ADMINISTRATIVO JUNIOR</v>
      </c>
      <c r="F7" s="43" t="str">
        <f>VLOOKUP($B7,'BASE+TOMADOR'!$A:$BS,71,FALSE)</f>
        <v>Ativo</v>
      </c>
      <c r="G7" s="71" t="str">
        <f>VLOOKUP($B7,'BASE+TOMADOR'!$A:$BS,4,FALSE)</f>
        <v>G3S  FL 03 - DOURADOS</v>
      </c>
      <c r="H7" s="71" t="str">
        <f>VLOOKUP($B7,'BASE+TOMADOR'!$A:$BS,7,FALSE)</f>
        <v>20.947.332/0003-57</v>
      </c>
      <c r="I7" s="72">
        <f>IFERROR(VLOOKUP($B7,'BASE+TOMADOR'!$A:$BS,62,FALSE),0)</f>
        <v>618.80388888888888</v>
      </c>
      <c r="J7" s="72">
        <f>IFERROR(VLOOKUP($B7,'BASE+TOMADOR'!$A:$BS,67,FALSE),0)</f>
        <v>1123.3800000000001</v>
      </c>
      <c r="K7" s="73">
        <f>VLOOKUP($B7,'BASE+TOMADOR'!$A:$BS,55,FALSE)</f>
        <v>718.58</v>
      </c>
      <c r="L7" s="73">
        <f>IFERROR(VLOOKUP($B7,'BASE+TOMADOR'!$A:$BS,56,FALSE),0)</f>
        <v>3901</v>
      </c>
      <c r="M7" s="72">
        <f>IFERROR(VLOOKUP($B7,'BASE+TOMADOR'!$A:$BS,58,FALSE),0)</f>
        <v>3901</v>
      </c>
      <c r="N7" s="74">
        <f t="shared" si="0"/>
        <v>5.4611011685440573E-2</v>
      </c>
      <c r="O7" s="72">
        <f>IFERROR(VLOOKUP(B7,'[1]BASE+TOMADOR'!$A:$BF,58,0),0)</f>
        <v>3702.73</v>
      </c>
      <c r="P7" s="67">
        <f t="shared" si="1"/>
        <v>198.26999999999998</v>
      </c>
    </row>
    <row r="8" spans="1:18" x14ac:dyDescent="0.25">
      <c r="A8" s="86">
        <v>7</v>
      </c>
      <c r="B8" s="71" t="s">
        <v>284</v>
      </c>
      <c r="C8" s="43" t="str">
        <f>IFERROR(VLOOKUP($B8,'BASE+TOMADOR'!$A:$BS,3,FALSE),0)</f>
        <v>CLT</v>
      </c>
      <c r="D8" s="43" t="str">
        <f>VLOOKUP($B8,'BASE+TOMADOR'!$A:$BS,8,FALSE)</f>
        <v>ADMINISTRATIVO</v>
      </c>
      <c r="E8" s="71" t="str">
        <f>VLOOKUP($B8,'BASE+TOMADOR'!$A:$BS,15,FALSE)</f>
        <v>AUX ADMINISTRATIVO JUNIOR</v>
      </c>
      <c r="F8" s="43" t="str">
        <f>VLOOKUP($B8,'BASE+TOMADOR'!$A:$BS,71,FALSE)</f>
        <v>Ativo</v>
      </c>
      <c r="G8" s="71" t="str">
        <f>VLOOKUP($B8,'BASE+TOMADOR'!$A:$BS,4,FALSE)</f>
        <v>G3S  FL 03 - DOURADOS</v>
      </c>
      <c r="H8" s="71" t="str">
        <f>VLOOKUP($B8,'BASE+TOMADOR'!$A:$BS,7,FALSE)</f>
        <v>20.947.332/0003-57</v>
      </c>
      <c r="I8" s="72">
        <f>IFERROR(VLOOKUP($B8,'BASE+TOMADOR'!$A:$BS,62,FALSE),0)</f>
        <v>575.52250000000004</v>
      </c>
      <c r="J8" s="72">
        <f>IFERROR(VLOOKUP($B8,'BASE+TOMADOR'!$A:$BS,67,FALSE),0)</f>
        <v>1044.81</v>
      </c>
      <c r="K8" s="73">
        <f>VLOOKUP($B8,'BASE+TOMADOR'!$A:$BS,55,FALSE)</f>
        <v>718.58</v>
      </c>
      <c r="L8" s="73">
        <f>IFERROR(VLOOKUP($B8,'BASE+TOMADOR'!$A:$BS,56,FALSE),0)</f>
        <v>3678.41</v>
      </c>
      <c r="M8" s="72">
        <f>IFERROR(VLOOKUP($B8,'BASE+TOMADOR'!$A:$BS,58,FALSE),0)</f>
        <v>3678.41</v>
      </c>
      <c r="N8" s="74">
        <f t="shared" si="0"/>
        <v>5.1494922197857333E-2</v>
      </c>
      <c r="O8" s="72">
        <f>IFERROR(VLOOKUP(B8,'[1]BASE+TOMADOR'!$A:$BF,58,0),0)</f>
        <v>3389.65</v>
      </c>
      <c r="P8" s="67">
        <f t="shared" si="1"/>
        <v>288.75999999999976</v>
      </c>
      <c r="R8" s="68" t="s">
        <v>683</v>
      </c>
    </row>
    <row r="9" spans="1:18" s="85" customFormat="1" x14ac:dyDescent="0.25">
      <c r="A9" s="86">
        <v>8</v>
      </c>
      <c r="B9" s="71" t="s">
        <v>287</v>
      </c>
      <c r="C9" s="43" t="str">
        <f>IFERROR(VLOOKUP($B9,'BASE+TOMADOR'!$A:$BS,3,FALSE),0)</f>
        <v>CLT</v>
      </c>
      <c r="D9" s="43" t="str">
        <f>VLOOKUP($B9,'BASE+TOMADOR'!$A:$BS,8,FALSE)</f>
        <v>OPERACIONAL</v>
      </c>
      <c r="E9" s="71" t="str">
        <f>VLOOKUP($B9,'BASE+TOMADOR'!$A:$BS,15,FALSE)</f>
        <v>MACARIQUEIRO PLENO</v>
      </c>
      <c r="F9" s="43" t="str">
        <f>VLOOKUP($B9,'BASE+TOMADOR'!$A:$BS,71,FALSE)</f>
        <v>Ativo</v>
      </c>
      <c r="G9" s="71" t="str">
        <f>VLOOKUP($B9,'BASE+TOMADOR'!$A:$BS,4,FALSE)</f>
        <v>G3S  FL 03 - DOURADOS</v>
      </c>
      <c r="H9" s="71" t="str">
        <f>VLOOKUP($B9,'BASE+TOMADOR'!$A:$BS,7,FALSE)</f>
        <v>20.947.332/0003-57</v>
      </c>
      <c r="I9" s="72">
        <f>IFERROR(VLOOKUP($B9,'BASE+TOMADOR'!$A:$BS,62,FALSE),0)</f>
        <v>503.52361111111117</v>
      </c>
      <c r="J9" s="72">
        <f>IFERROR(VLOOKUP($B9,'BASE+TOMADOR'!$A:$BS,67,FALSE),0)</f>
        <v>914.1</v>
      </c>
      <c r="K9" s="73">
        <f>VLOOKUP($B9,'BASE+TOMADOR'!$A:$BS,55,FALSE)</f>
        <v>709.58</v>
      </c>
      <c r="L9" s="73">
        <f>IFERROR(VLOOKUP($B9,'BASE+TOMADOR'!$A:$BS,56,FALSE),0)</f>
        <v>3299.13</v>
      </c>
      <c r="M9" s="72">
        <f>IFERROR(VLOOKUP($B9,'BASE+TOMADOR'!$A:$BS,58,FALSE),0)</f>
        <v>3299.13</v>
      </c>
      <c r="N9" s="74">
        <f t="shared" si="0"/>
        <v>4.6185292740781231E-2</v>
      </c>
      <c r="O9" s="72">
        <f>IFERROR(VLOOKUP(B9,'[1]BASE+TOMADOR'!$A:$BF,58,0),0)</f>
        <v>3780.11</v>
      </c>
      <c r="P9" s="67">
        <f t="shared" si="1"/>
        <v>-480.98</v>
      </c>
      <c r="Q9" s="47"/>
    </row>
    <row r="10" spans="1:18" x14ac:dyDescent="0.25">
      <c r="A10" s="86">
        <v>9</v>
      </c>
      <c r="B10" s="71" t="s">
        <v>289</v>
      </c>
      <c r="C10" s="43" t="str">
        <f>IFERROR(VLOOKUP($B10,'BASE+TOMADOR'!$A:$BS,3,FALSE),0)</f>
        <v>CLT</v>
      </c>
      <c r="D10" s="43" t="str">
        <f>VLOOKUP($B10,'BASE+TOMADOR'!$A:$BS,8,FALSE)</f>
        <v>OPERACIONAL</v>
      </c>
      <c r="E10" s="71" t="str">
        <f>VLOOKUP($B10,'BASE+TOMADOR'!$A:$BS,15,FALSE)</f>
        <v>MACARIQUEIRO PLENO</v>
      </c>
      <c r="F10" s="43" t="str">
        <f>VLOOKUP($B10,'BASE+TOMADOR'!$A:$BS,71,FALSE)</f>
        <v>Ativo</v>
      </c>
      <c r="G10" s="71" t="str">
        <f>VLOOKUP($B10,'BASE+TOMADOR'!$A:$BS,4,FALSE)</f>
        <v>G3S  FL 03 - DOURADOS</v>
      </c>
      <c r="H10" s="71" t="str">
        <f>VLOOKUP($B10,'BASE+TOMADOR'!$A:$BS,7,FALSE)</f>
        <v>20.947.332/0003-57</v>
      </c>
      <c r="I10" s="72">
        <f>IFERROR(VLOOKUP($B10,'BASE+TOMADOR'!$A:$BS,62,FALSE),0)</f>
        <v>503.125</v>
      </c>
      <c r="J10" s="72">
        <f>IFERROR(VLOOKUP($B10,'BASE+TOMADOR'!$A:$BS,67,FALSE),0)</f>
        <v>870.52999999999986</v>
      </c>
      <c r="K10" s="73">
        <f>VLOOKUP($B10,'BASE+TOMADOR'!$A:$BS,55,FALSE)</f>
        <v>196.71</v>
      </c>
      <c r="L10" s="73">
        <f>IFERROR(VLOOKUP($B10,'BASE+TOMADOR'!$A:$BS,56,FALSE),0)</f>
        <v>2784.21</v>
      </c>
      <c r="M10" s="72">
        <f>IFERROR(VLOOKUP($B10,'BASE+TOMADOR'!$A:$BS,58,FALSE),0)</f>
        <v>2784.21</v>
      </c>
      <c r="N10" s="74">
        <f t="shared" si="0"/>
        <v>3.8976807189110611E-2</v>
      </c>
      <c r="O10" s="72">
        <f>IFERROR(VLOOKUP(B10,'[1]BASE+TOMADOR'!$A:$BF,58,0),0)</f>
        <v>3157.69</v>
      </c>
      <c r="P10" s="67">
        <f t="shared" si="1"/>
        <v>-373.48</v>
      </c>
    </row>
    <row r="11" spans="1:18" x14ac:dyDescent="0.25">
      <c r="A11" s="159">
        <v>1</v>
      </c>
      <c r="B11" s="155" t="s">
        <v>453</v>
      </c>
      <c r="C11" s="154" t="str">
        <f>IFERROR(VLOOKUP($B11,'BASE+TOMADOR'!$A:$BS,3,FALSE),0)</f>
        <v>PJ</v>
      </c>
      <c r="D11" s="154" t="str">
        <f>VLOOKUP($B11,'BASE+TOMADOR'!$A:$BS,8,FALSE)</f>
        <v>SELETIVA DOURADOS</v>
      </c>
      <c r="E11" s="155" t="str">
        <f>VLOOKUP($B11,'BASE+TOMADOR'!$A:$BS,15,FALSE)</f>
        <v>COMPRADOR</v>
      </c>
      <c r="F11" s="154" t="str">
        <f>VLOOKUP($B11,'BASE+TOMADOR'!$A:$BS,71,FALSE)</f>
        <v>Desligado</v>
      </c>
      <c r="G11" s="155" t="str">
        <f>VLOOKUP($B11,'BASE+TOMADOR'!$A:$BS,4,FALSE)</f>
        <v>G3S  FL 03 - DOURADOS</v>
      </c>
      <c r="H11" s="155" t="str">
        <f>VLOOKUP($B11,'BASE+TOMADOR'!$A:$BS,7,FALSE)</f>
        <v>CONTRATO PJ</v>
      </c>
      <c r="I11" s="156">
        <f>IFERROR(VLOOKUP($B11,'BASE+TOMADOR'!$A:$BS,62,FALSE),0)</f>
        <v>833.33333333333337</v>
      </c>
      <c r="J11" s="156">
        <f>IFERROR(VLOOKUP($B11,'BASE+TOMADOR'!$A:$BS,67,FALSE),0)</f>
        <v>0</v>
      </c>
      <c r="K11" s="157">
        <f>VLOOKUP($B11,'BASE+TOMADOR'!$A:$BS,55,FALSE)</f>
        <v>0</v>
      </c>
      <c r="L11" s="157">
        <f>IFERROR(VLOOKUP($B11,'BASE+TOMADOR'!$A:$BS,56,FALSE),0)</f>
        <v>10000</v>
      </c>
      <c r="M11" s="156">
        <f>IFERROR(VLOOKUP($B11,'BASE+TOMADOR'!$A:$BS,58,FALSE),0)</f>
        <v>10000</v>
      </c>
      <c r="N11" s="75"/>
      <c r="O11" s="156"/>
      <c r="P11" s="67">
        <f t="shared" si="1"/>
        <v>10000</v>
      </c>
    </row>
    <row r="12" spans="1:18" customFormat="1" ht="16.149999999999999" customHeight="1" x14ac:dyDescent="0.25">
      <c r="A12" s="86">
        <v>2</v>
      </c>
      <c r="B12" s="71" t="s">
        <v>145</v>
      </c>
      <c r="C12" s="43" t="str">
        <f>IFERROR(VLOOKUP($B12,'BASE+TOMADOR'!$A:$BS,3,FALSE),0)</f>
        <v>CLT</v>
      </c>
      <c r="D12" s="43" t="str">
        <f>VLOOKUP($B12,'BASE+TOMADOR'!$A:$BS,8,FALSE)</f>
        <v>LOGISTICA</v>
      </c>
      <c r="E12" s="71" t="str">
        <f>VLOOKUP($B12,'BASE+TOMADOR'!$A:$BS,15,FALSE)</f>
        <v>MOTORISTA CARRETEIRO MANTENEDOR SENIOR I</v>
      </c>
      <c r="F12" s="43" t="str">
        <f>VLOOKUP($B12,'BASE+TOMADOR'!$A:$BS,71,FALSE)</f>
        <v>Desligado</v>
      </c>
      <c r="G12" s="71" t="str">
        <f>VLOOKUP($B12,'BASE+TOMADOR'!$A:$BS,4,FALSE)</f>
        <v>G S FL 03 - DOURADOS</v>
      </c>
      <c r="H12" s="71" t="str">
        <f>VLOOKUP($B12,'BASE+TOMADOR'!$A:$BS,7,FALSE)</f>
        <v>20.504.237/0003-89</v>
      </c>
      <c r="I12" s="72">
        <f>IFERROR(VLOOKUP($B12,'BASE+TOMADOR'!$A:$BS,62,FALSE),0)</f>
        <v>77.945000000000007</v>
      </c>
      <c r="J12" s="72">
        <f>IFERROR(VLOOKUP($B12,'BASE+TOMADOR'!$A:$BS,67,FALSE),0)</f>
        <v>115.42999999999999</v>
      </c>
      <c r="K12" s="73">
        <f>VLOOKUP($B12,'BASE+TOMADOR'!$A:$BS,55,FALSE)</f>
        <v>774.40000000000009</v>
      </c>
      <c r="L12" s="73">
        <f>IFERROR(VLOOKUP($B12,'BASE+TOMADOR'!$A:$BS,56,FALSE),0)</f>
        <v>1175.2600000000002</v>
      </c>
      <c r="M12" s="72">
        <f>IFERROR(VLOOKUP($B12,'BASE+TOMADOR'!$A:$BS,70,FALSE),0)</f>
        <v>10721.78</v>
      </c>
      <c r="N12" s="74"/>
      <c r="O12" s="72"/>
      <c r="P12" s="67">
        <f t="shared" si="1"/>
        <v>10721.78</v>
      </c>
      <c r="R12" s="1"/>
    </row>
    <row r="13" spans="1:18" customFormat="1" ht="16.149999999999999" customHeight="1" x14ac:dyDescent="0.25">
      <c r="A13" s="1"/>
      <c r="B13" s="2"/>
      <c r="C13" s="1"/>
      <c r="D13" s="2"/>
      <c r="E13" s="2"/>
      <c r="F13" s="1"/>
      <c r="G13" s="2"/>
      <c r="H13" s="2"/>
      <c r="I13" s="1"/>
      <c r="J13" s="1"/>
      <c r="K13" s="48"/>
      <c r="L13" s="48"/>
      <c r="M13" s="49"/>
      <c r="N13" s="50"/>
      <c r="O13" s="1"/>
      <c r="R13" s="1"/>
    </row>
    <row r="14" spans="1:18" customFormat="1" ht="16.149999999999999" customHeight="1" x14ac:dyDescent="0.25">
      <c r="A14" s="1"/>
      <c r="B14" s="98" t="s">
        <v>2</v>
      </c>
      <c r="C14" s="1" t="s">
        <v>684</v>
      </c>
      <c r="D14" s="1" t="s">
        <v>685</v>
      </c>
      <c r="E14" s="2"/>
      <c r="F14" s="1"/>
      <c r="G14" s="2"/>
      <c r="H14" s="2"/>
      <c r="I14" s="1"/>
      <c r="J14" s="1"/>
      <c r="K14" s="2"/>
      <c r="L14" s="40"/>
      <c r="M14" s="6"/>
      <c r="N14" s="4"/>
      <c r="O14" s="1"/>
      <c r="R14" s="1"/>
    </row>
    <row r="15" spans="1:18" customFormat="1" ht="16.149999999999999" customHeight="1" x14ac:dyDescent="0.25">
      <c r="A15" s="1"/>
      <c r="B15" s="2" t="s">
        <v>426</v>
      </c>
      <c r="C15" s="1">
        <v>8</v>
      </c>
      <c r="D15" s="48">
        <v>50710.7</v>
      </c>
      <c r="E15" s="2"/>
      <c r="F15" s="1"/>
      <c r="G15" s="2"/>
      <c r="H15" s="2"/>
      <c r="I15" s="1"/>
      <c r="J15" s="1"/>
      <c r="K15" s="2"/>
      <c r="L15" s="40"/>
      <c r="M15" s="6"/>
      <c r="N15" s="4"/>
      <c r="O15" s="1"/>
      <c r="R15" s="1"/>
    </row>
    <row r="16" spans="1:18" customFormat="1" ht="16.149999999999999" customHeight="1" x14ac:dyDescent="0.25">
      <c r="A16" s="1"/>
      <c r="B16" s="99" t="s">
        <v>5</v>
      </c>
      <c r="C16" s="1">
        <v>8</v>
      </c>
      <c r="D16" s="48">
        <v>50710.7</v>
      </c>
      <c r="E16" s="2"/>
      <c r="F16" s="1"/>
      <c r="G16" s="2"/>
      <c r="H16" s="2"/>
      <c r="I16" s="1"/>
      <c r="J16" s="1"/>
      <c r="K16" s="2"/>
      <c r="L16" s="40"/>
      <c r="M16" s="6"/>
      <c r="N16" s="4"/>
      <c r="O16" s="1"/>
      <c r="R16" s="1"/>
    </row>
    <row r="17" spans="1:18" customFormat="1" ht="16.149999999999999" customHeight="1" x14ac:dyDescent="0.25">
      <c r="A17" s="1"/>
      <c r="B17" s="2" t="s">
        <v>455</v>
      </c>
      <c r="C17" s="1">
        <v>2</v>
      </c>
      <c r="D17" s="48">
        <v>20721.78</v>
      </c>
      <c r="E17" s="2"/>
      <c r="F17" s="1"/>
      <c r="G17" s="2"/>
      <c r="H17" s="2"/>
      <c r="I17" s="1"/>
      <c r="J17" s="1"/>
      <c r="K17" s="2"/>
      <c r="L17" s="40"/>
      <c r="M17" s="6"/>
      <c r="N17" s="4"/>
      <c r="O17" s="1"/>
      <c r="R17" s="1"/>
    </row>
    <row r="18" spans="1:18" customFormat="1" ht="16.149999999999999" customHeight="1" x14ac:dyDescent="0.25">
      <c r="A18" s="1"/>
      <c r="B18" s="105" t="s">
        <v>5</v>
      </c>
      <c r="C18" s="1">
        <v>1</v>
      </c>
      <c r="D18" s="48">
        <v>10721.78</v>
      </c>
      <c r="E18" s="2"/>
      <c r="F18" s="1"/>
      <c r="G18" s="2"/>
      <c r="H18" s="2"/>
      <c r="I18" s="1"/>
      <c r="J18" s="1"/>
      <c r="K18" s="2"/>
      <c r="L18" s="40"/>
      <c r="M18" s="6"/>
      <c r="N18" s="4"/>
      <c r="O18" s="1"/>
      <c r="R18" s="1"/>
    </row>
    <row r="19" spans="1:18" customFormat="1" ht="16.149999999999999" customHeight="1" x14ac:dyDescent="0.25">
      <c r="A19" s="1"/>
      <c r="B19" s="105" t="s">
        <v>8</v>
      </c>
      <c r="C19" s="1">
        <v>1</v>
      </c>
      <c r="D19" s="48">
        <v>10000</v>
      </c>
      <c r="E19" s="2"/>
      <c r="F19" s="1"/>
      <c r="G19" s="2"/>
      <c r="H19" s="2"/>
      <c r="I19" s="1"/>
      <c r="J19" s="1"/>
      <c r="K19" s="2"/>
      <c r="L19" s="40"/>
      <c r="M19" s="6"/>
      <c r="N19" s="4"/>
      <c r="O19" s="1"/>
      <c r="R19" s="1"/>
    </row>
    <row r="20" spans="1:18" customFormat="1" ht="16.149999999999999" customHeight="1" x14ac:dyDescent="0.25">
      <c r="A20" s="1"/>
      <c r="B20" s="1" t="s">
        <v>686</v>
      </c>
      <c r="C20" s="1">
        <v>10</v>
      </c>
      <c r="D20" s="48">
        <v>71432.479999999996</v>
      </c>
      <c r="E20" s="2"/>
      <c r="F20" s="1"/>
      <c r="G20" s="2"/>
      <c r="H20" s="2"/>
      <c r="I20" s="1"/>
      <c r="J20" s="1"/>
      <c r="K20" s="2"/>
      <c r="L20" s="40"/>
      <c r="M20" s="6"/>
      <c r="N20" s="4"/>
      <c r="O20" s="1"/>
      <c r="R20" s="1"/>
    </row>
    <row r="21" spans="1:18" customFormat="1" ht="16.149999999999999" customHeight="1" x14ac:dyDescent="0.25">
      <c r="A21" s="1"/>
      <c r="B21" s="1"/>
      <c r="C21" s="1"/>
      <c r="D21" s="48"/>
      <c r="E21" s="2"/>
      <c r="F21" s="1"/>
      <c r="G21" s="2"/>
      <c r="H21" s="2"/>
      <c r="I21" s="1"/>
      <c r="J21" s="1"/>
      <c r="K21" s="2"/>
      <c r="L21" s="40"/>
      <c r="M21" s="6"/>
      <c r="N21" s="4"/>
      <c r="O21" s="1"/>
      <c r="R21" s="1"/>
    </row>
    <row r="22" spans="1:18" customFormat="1" ht="16.149999999999999" customHeight="1" x14ac:dyDescent="0.25">
      <c r="A22" s="1"/>
      <c r="B22" s="1"/>
      <c r="C22" s="1"/>
      <c r="D22" s="48"/>
      <c r="E22" s="2"/>
      <c r="F22" s="1"/>
      <c r="G22" s="2"/>
      <c r="H22" s="2"/>
      <c r="I22" s="1"/>
      <c r="J22" s="1"/>
      <c r="K22" s="2"/>
      <c r="L22" s="40"/>
      <c r="M22" s="6"/>
      <c r="N22" s="4"/>
      <c r="O22" s="1"/>
      <c r="R22" s="1"/>
    </row>
    <row r="23" spans="1:18" ht="16.149999999999999" customHeight="1" x14ac:dyDescent="0.25">
      <c r="B23" s="102" t="s">
        <v>12</v>
      </c>
      <c r="C23" s="98" t="s">
        <v>13</v>
      </c>
      <c r="D23" s="1" t="s">
        <v>684</v>
      </c>
      <c r="E23" s="1" t="s">
        <v>685</v>
      </c>
    </row>
    <row r="24" spans="1:18" x14ac:dyDescent="0.25">
      <c r="B24" s="103" t="s">
        <v>282</v>
      </c>
      <c r="C24" s="2" t="s">
        <v>283</v>
      </c>
      <c r="D24" s="1">
        <v>5</v>
      </c>
      <c r="E24" s="48">
        <v>31293.15</v>
      </c>
    </row>
    <row r="25" spans="1:18" x14ac:dyDescent="0.25">
      <c r="B25" s="103"/>
      <c r="C25" s="2" t="s">
        <v>424</v>
      </c>
      <c r="D25" s="1">
        <v>1</v>
      </c>
      <c r="E25" s="48">
        <v>10000</v>
      </c>
    </row>
    <row r="26" spans="1:18" x14ac:dyDescent="0.25">
      <c r="B26" s="103" t="s">
        <v>140</v>
      </c>
      <c r="C26" s="2" t="s">
        <v>141</v>
      </c>
      <c r="D26" s="1">
        <v>4</v>
      </c>
      <c r="E26" s="48">
        <v>30139.33</v>
      </c>
    </row>
    <row r="27" spans="1:18" x14ac:dyDescent="0.25">
      <c r="B27" s="1" t="s">
        <v>686</v>
      </c>
      <c r="D27" s="1">
        <v>10</v>
      </c>
      <c r="E27" s="48">
        <v>71432.479999999996</v>
      </c>
      <c r="G27"/>
      <c r="H27"/>
      <c r="K27"/>
      <c r="L27" s="12"/>
      <c r="M27"/>
      <c r="N27"/>
    </row>
    <row r="28" spans="1:18" x14ac:dyDescent="0.25">
      <c r="B28" s="101"/>
      <c r="C28" s="101"/>
      <c r="D28" s="101"/>
      <c r="E28" s="101"/>
      <c r="G28"/>
      <c r="H28"/>
      <c r="K28"/>
      <c r="L28" s="12"/>
      <c r="M28"/>
      <c r="N28"/>
    </row>
    <row r="29" spans="1:18" x14ac:dyDescent="0.25">
      <c r="B29" s="101"/>
      <c r="C29" s="101"/>
      <c r="D29" s="101"/>
      <c r="E29" s="101"/>
      <c r="G29"/>
      <c r="H29"/>
      <c r="K29"/>
      <c r="L29" s="12"/>
      <c r="M29"/>
      <c r="N29"/>
    </row>
    <row r="30" spans="1:18" x14ac:dyDescent="0.25">
      <c r="B30" s="101"/>
      <c r="C30" s="101"/>
      <c r="D30" s="101"/>
      <c r="E30" s="101"/>
      <c r="G30"/>
      <c r="H30"/>
      <c r="K30"/>
      <c r="L30" s="12"/>
      <c r="M30"/>
      <c r="N30"/>
    </row>
    <row r="31" spans="1:18" x14ac:dyDescent="0.25">
      <c r="B31" s="101"/>
      <c r="C31" s="101"/>
      <c r="D31" s="101"/>
      <c r="E31" s="101"/>
      <c r="G31"/>
      <c r="H31"/>
      <c r="K31"/>
      <c r="L31" s="12"/>
      <c r="M31"/>
      <c r="N31"/>
    </row>
    <row r="32" spans="1:18" x14ac:dyDescent="0.25">
      <c r="B32" s="101"/>
      <c r="C32" s="101"/>
      <c r="D32" s="101"/>
      <c r="E32" s="101"/>
      <c r="G32"/>
      <c r="H32"/>
      <c r="K32"/>
      <c r="L32" s="12"/>
      <c r="M32"/>
      <c r="N32"/>
    </row>
    <row r="33" spans="2:14" x14ac:dyDescent="0.25">
      <c r="B33" s="101"/>
      <c r="C33" s="101"/>
      <c r="D33" s="101"/>
      <c r="E33" s="101"/>
      <c r="G33"/>
      <c r="H33"/>
      <c r="K33"/>
      <c r="L33" s="12"/>
      <c r="M33"/>
      <c r="N33"/>
    </row>
    <row r="34" spans="2:14" x14ac:dyDescent="0.25">
      <c r="B34" s="101"/>
      <c r="C34" s="101"/>
      <c r="D34" s="101"/>
      <c r="E34" s="101"/>
      <c r="G34"/>
      <c r="H34"/>
      <c r="K34"/>
      <c r="L34" s="12"/>
      <c r="M34"/>
      <c r="N34"/>
    </row>
    <row r="35" spans="2:14" x14ac:dyDescent="0.25">
      <c r="B35" s="101"/>
      <c r="C35" s="101"/>
      <c r="D35" s="101"/>
      <c r="E35" s="101"/>
      <c r="G35"/>
      <c r="H35"/>
      <c r="K35"/>
      <c r="L35" s="12"/>
      <c r="M35"/>
      <c r="N35"/>
    </row>
    <row r="36" spans="2:14" x14ac:dyDescent="0.25">
      <c r="B36" s="101"/>
      <c r="C36" s="101"/>
      <c r="D36" s="101"/>
      <c r="E36" s="101"/>
      <c r="G36"/>
      <c r="H36"/>
      <c r="K36"/>
      <c r="L36" s="12"/>
      <c r="M36"/>
      <c r="N36"/>
    </row>
    <row r="37" spans="2:14" x14ac:dyDescent="0.25">
      <c r="B37"/>
      <c r="C37"/>
      <c r="D37"/>
      <c r="E37"/>
      <c r="G37"/>
      <c r="H37"/>
      <c r="K37"/>
      <c r="L37" s="12"/>
      <c r="M37"/>
      <c r="N37"/>
    </row>
    <row r="38" spans="2:14" x14ac:dyDescent="0.25">
      <c r="B38"/>
      <c r="C38"/>
      <c r="D38"/>
      <c r="E38"/>
      <c r="G38"/>
      <c r="H38"/>
      <c r="K38"/>
      <c r="L38" s="12"/>
      <c r="M38"/>
      <c r="N38"/>
    </row>
    <row r="39" spans="2:14" x14ac:dyDescent="0.25">
      <c r="B39"/>
      <c r="C39"/>
      <c r="D39"/>
      <c r="E39"/>
      <c r="G39"/>
      <c r="H39"/>
      <c r="K39"/>
      <c r="L39" s="12"/>
      <c r="M39"/>
      <c r="N39"/>
    </row>
    <row r="40" spans="2:14" x14ac:dyDescent="0.25">
      <c r="B40"/>
      <c r="C40"/>
      <c r="D40"/>
      <c r="E40"/>
      <c r="G40"/>
      <c r="H40"/>
      <c r="K40"/>
      <c r="L40" s="12"/>
      <c r="M40"/>
      <c r="N40"/>
    </row>
    <row r="41" spans="2:14" x14ac:dyDescent="0.25">
      <c r="B41"/>
      <c r="C41"/>
      <c r="D41"/>
      <c r="E41"/>
      <c r="G41"/>
      <c r="H41"/>
      <c r="K41"/>
      <c r="L41" s="12"/>
      <c r="M41"/>
      <c r="N41"/>
    </row>
    <row r="42" spans="2:14" x14ac:dyDescent="0.25">
      <c r="B42"/>
      <c r="C42"/>
      <c r="D42"/>
      <c r="E42"/>
    </row>
    <row r="43" spans="2:14" x14ac:dyDescent="0.25">
      <c r="B43"/>
      <c r="C43"/>
      <c r="D43"/>
      <c r="E43"/>
    </row>
    <row r="44" spans="2:14" x14ac:dyDescent="0.25">
      <c r="B44"/>
      <c r="C44"/>
      <c r="D44"/>
      <c r="E44"/>
    </row>
    <row r="45" spans="2:14" x14ac:dyDescent="0.25">
      <c r="B45"/>
      <c r="C45"/>
      <c r="D45"/>
      <c r="E45"/>
    </row>
    <row r="46" spans="2:14" x14ac:dyDescent="0.25">
      <c r="B46" s="5"/>
      <c r="C46" s="5"/>
      <c r="D46" s="3"/>
    </row>
    <row r="47" spans="2:14" x14ac:dyDescent="0.25">
      <c r="B47" s="5"/>
      <c r="C47" s="5"/>
      <c r="D47" s="3"/>
    </row>
    <row r="48" spans="2:14" x14ac:dyDescent="0.25">
      <c r="B48" s="5"/>
      <c r="C48" s="5"/>
      <c r="D48" s="3"/>
    </row>
    <row r="49" spans="2:3" x14ac:dyDescent="0.25">
      <c r="B49" s="5"/>
      <c r="C49" s="5"/>
    </row>
    <row r="50" spans="2:3" x14ac:dyDescent="0.25">
      <c r="B50" s="5"/>
      <c r="C50" s="5"/>
    </row>
  </sheetData>
  <autoFilter ref="A2:O11" xr:uid="{D12CA574-7460-41EF-8B5D-188A312AA43A}">
    <sortState xmlns:xlrd2="http://schemas.microsoft.com/office/spreadsheetml/2017/richdata2" ref="A3:O12">
      <sortCondition descending="1" ref="N2:N11"/>
    </sortState>
  </autoFilter>
  <mergeCells count="2">
    <mergeCell ref="K1:L1"/>
    <mergeCell ref="B1:E1"/>
  </mergeCells>
  <conditionalFormatting sqref="B36:B1048576 B2 B13:B17">
    <cfRule type="duplicateValues" dxfId="301" priority="6"/>
  </conditionalFormatting>
  <printOptions horizontalCentered="1"/>
  <pageMargins left="0" right="0" top="0.11811023622047245" bottom="0.11811023622047245" header="0" footer="0"/>
  <pageSetup paperSize="9" scale="67" fitToHeight="0" orientation="landscape"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91A23E1-EA14-4875-8C04-823CF3576E34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P3:P12</xm:sqref>
        </x14:conditionalFormatting>
        <x14:conditionalFormatting xmlns:xm="http://schemas.microsoft.com/office/excel/2006/main">
          <x14:cfRule type="iconSet" priority="4" id="{F99D6DE4-3AD8-4710-8AB8-53A2492CD1A9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Q3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EABC8-F48F-4A86-B915-E99591302BA0}">
  <sheetPr>
    <tabColor rgb="FF0070C0"/>
    <pageSetUpPr fitToPage="1"/>
  </sheetPr>
  <dimension ref="A1:T52"/>
  <sheetViews>
    <sheetView showGridLines="0" zoomScaleNormal="100" workbookViewId="0">
      <pane ySplit="2" topLeftCell="A3" activePane="bottomLeft" state="frozen"/>
      <selection activeCell="X49" sqref="X49"/>
      <selection pane="bottomLeft" activeCell="E15" sqref="E15"/>
    </sheetView>
  </sheetViews>
  <sheetFormatPr defaultColWidth="9.140625" defaultRowHeight="15.75" x14ac:dyDescent="0.25"/>
  <cols>
    <col min="1" max="1" width="12.7109375" style="1" bestFit="1" customWidth="1"/>
    <col min="2" max="2" width="38.7109375" style="1" bestFit="1" customWidth="1"/>
    <col min="3" max="3" width="19.28515625" style="1" bestFit="1" customWidth="1"/>
    <col min="4" max="4" width="16.85546875" style="2" bestFit="1" customWidth="1"/>
    <col min="5" max="5" width="48" style="2" bestFit="1" customWidth="1"/>
    <col min="6" max="6" width="12" style="1" hidden="1" customWidth="1"/>
    <col min="7" max="7" width="23.28515625" style="2" hidden="1" customWidth="1"/>
    <col min="8" max="8" width="19.7109375" style="2" hidden="1" customWidth="1"/>
    <col min="9" max="9" width="19.28515625" style="1" bestFit="1" customWidth="1"/>
    <col min="10" max="10" width="16.7109375" style="1" bestFit="1" customWidth="1"/>
    <col min="11" max="11" width="13.28515625" style="2" hidden="1" customWidth="1"/>
    <col min="12" max="12" width="11.7109375" style="40" hidden="1" customWidth="1"/>
    <col min="13" max="13" width="14.140625" style="6" bestFit="1" customWidth="1"/>
    <col min="14" max="14" width="7.85546875" style="4" bestFit="1" customWidth="1"/>
    <col min="15" max="15" width="15.7109375" style="1" bestFit="1" customWidth="1"/>
    <col min="16" max="16" width="4.42578125" customWidth="1"/>
    <col min="18" max="16384" width="9.140625" style="1"/>
  </cols>
  <sheetData>
    <row r="1" spans="1:20" x14ac:dyDescent="0.25">
      <c r="A1" s="91" t="s">
        <v>690</v>
      </c>
      <c r="B1" s="164" t="str">
        <f>GERAL!B1</f>
        <v>FOLHA DE PAGAMENTO MARÇO/2026</v>
      </c>
      <c r="C1" s="164"/>
      <c r="D1" s="164"/>
      <c r="E1" s="164"/>
      <c r="G1" s="1"/>
      <c r="H1" s="1"/>
      <c r="I1" s="80">
        <f>SUBTOTAL(9,I3:I16)</f>
        <v>10931.451944444445</v>
      </c>
      <c r="J1" s="80">
        <f>SUBTOTAL(9,J3:J16)</f>
        <v>19077.209999999995</v>
      </c>
      <c r="K1" s="163" t="s">
        <v>669</v>
      </c>
      <c r="L1" s="163"/>
      <c r="M1" s="80">
        <f>SUBTOTAL(9,M3:M16)</f>
        <v>92715.450000000012</v>
      </c>
      <c r="N1" s="1"/>
      <c r="O1" s="80">
        <f>'[1]SELETIVA PRUDENTE'!$M$1</f>
        <v>79077.17</v>
      </c>
    </row>
    <row r="2" spans="1:20" s="7" customFormat="1" ht="30" customHeight="1" x14ac:dyDescent="0.25">
      <c r="A2" s="8" t="s">
        <v>670</v>
      </c>
      <c r="B2" s="8" t="s">
        <v>362</v>
      </c>
      <c r="C2" s="8" t="s">
        <v>671</v>
      </c>
      <c r="D2" s="8" t="s">
        <v>672</v>
      </c>
      <c r="E2" s="8" t="s">
        <v>673</v>
      </c>
      <c r="F2" s="8" t="s">
        <v>674</v>
      </c>
      <c r="G2" s="8" t="s">
        <v>675</v>
      </c>
      <c r="H2" s="8" t="s">
        <v>13</v>
      </c>
      <c r="I2" s="9" t="s">
        <v>676</v>
      </c>
      <c r="J2" s="9" t="s">
        <v>677</v>
      </c>
      <c r="K2" s="8" t="s">
        <v>678</v>
      </c>
      <c r="L2" s="41" t="s">
        <v>679</v>
      </c>
      <c r="M2" s="9" t="str">
        <f>GERAL!M2</f>
        <v>TT BRUTO
MARÇO</v>
      </c>
      <c r="N2" s="9" t="s">
        <v>681</v>
      </c>
      <c r="O2" s="9" t="str">
        <f>GERAL!O2</f>
        <v>TT BRUTO
FEVEREIRO</v>
      </c>
    </row>
    <row r="3" spans="1:20" x14ac:dyDescent="0.25">
      <c r="A3" s="43">
        <v>1</v>
      </c>
      <c r="B3" s="150" t="s">
        <v>100</v>
      </c>
      <c r="C3" s="43" t="str">
        <f>IFERROR(VLOOKUP($B3,'BASE+TOMADOR'!$A:$BS,3,FALSE),0)</f>
        <v>CLT</v>
      </c>
      <c r="D3" s="43" t="str">
        <f>VLOOKUP($B3,'BASE+TOMADOR'!$A:$BS,8,FALSE)</f>
        <v>OPERACIONAL</v>
      </c>
      <c r="E3" s="71" t="str">
        <f>VLOOKUP($B3,'BASE+TOMADOR'!$A:$BS,15,FALSE)</f>
        <v>OPERADOR MANTENEDOR JR</v>
      </c>
      <c r="F3" s="43" t="str">
        <f>VLOOKUP($B3,'BASE+TOMADOR'!$A:$BS,71,FALSE)</f>
        <v>Ativo</v>
      </c>
      <c r="G3" s="71" t="str">
        <f>VLOOKUP($B3,'BASE+TOMADOR'!$A:$BS,4,FALSE)</f>
        <v>G S MATRIZ - PRES PRUD</v>
      </c>
      <c r="H3" s="71" t="str">
        <f>VLOOKUP($B3,'BASE+TOMADOR'!$A:$BS,7,FALSE)</f>
        <v>20.504.237/0001-17</v>
      </c>
      <c r="I3" s="72">
        <f>IFERROR(VLOOKUP($B3,'BASE+TOMADOR'!$A:$BS,62,FALSE),0)</f>
        <v>968.5044444444444</v>
      </c>
      <c r="J3" s="72">
        <f>IFERROR(VLOOKUP($B3,'BASE+TOMADOR'!$A:$BS,67,FALSE),0)</f>
        <v>2274.84</v>
      </c>
      <c r="K3" s="73">
        <f>VLOOKUP($B3,'BASE+TOMADOR'!$A:$BS,55,FALSE)</f>
        <v>7679.53</v>
      </c>
      <c r="L3" s="73">
        <f>IFERROR(VLOOKUP($B3,'BASE+TOMADOR'!$A:$BS,56,FALSE),0)</f>
        <v>12660.41</v>
      </c>
      <c r="M3" s="72">
        <f>IFERROR(VLOOKUP($B3,'BASE+TOMADOR'!$A:$BS,58,FALSE),0)</f>
        <v>12660.41</v>
      </c>
      <c r="N3" s="74">
        <f t="shared" ref="N3:N16" si="0">M3/$M$1</f>
        <v>0.13655124361689447</v>
      </c>
      <c r="O3" s="72">
        <f>IFERROR(VLOOKUP(B3,'[1]BASE+TOMADOR'!$A:$BF,58,0),0)</f>
        <v>5568.63</v>
      </c>
      <c r="P3" s="67">
        <f>M3-O3</f>
        <v>7091.78</v>
      </c>
    </row>
    <row r="4" spans="1:20" x14ac:dyDescent="0.25">
      <c r="A4" s="43">
        <f>A3+1</f>
        <v>2</v>
      </c>
      <c r="B4" s="150" t="s">
        <v>118</v>
      </c>
      <c r="C4" s="43" t="str">
        <f>IFERROR(VLOOKUP($B4,'BASE+TOMADOR'!$A:$BS,3,FALSE),0)</f>
        <v>CLT</v>
      </c>
      <c r="D4" s="43" t="str">
        <f>VLOOKUP($B4,'BASE+TOMADOR'!$A:$BS,8,FALSE)</f>
        <v>OPERACIONAL</v>
      </c>
      <c r="E4" s="71" t="str">
        <f>VLOOKUP($B4,'BASE+TOMADOR'!$A:$BS,15,FALSE)</f>
        <v>OPERADOR MANTENEDOR SENIOR</v>
      </c>
      <c r="F4" s="43" t="str">
        <f>VLOOKUP($B4,'BASE+TOMADOR'!$A:$BS,71,FALSE)</f>
        <v>Ativo</v>
      </c>
      <c r="G4" s="71" t="str">
        <f>VLOOKUP($B4,'BASE+TOMADOR'!$A:$BS,4,FALSE)</f>
        <v>G S MATRIZ - PRES PRUD</v>
      </c>
      <c r="H4" s="71" t="str">
        <f>VLOOKUP($B4,'BASE+TOMADOR'!$A:$BS,7,FALSE)</f>
        <v>20.504.237/0001-17</v>
      </c>
      <c r="I4" s="72">
        <f>IFERROR(VLOOKUP($B4,'BASE+TOMADOR'!$A:$BS,62,FALSE),0)</f>
        <v>1233.7344444444445</v>
      </c>
      <c r="J4" s="72">
        <f>IFERROR(VLOOKUP($B4,'BASE+TOMADOR'!$A:$BS,67,FALSE),0)</f>
        <v>2239.7400000000002</v>
      </c>
      <c r="K4" s="73">
        <f>VLOOKUP($B4,'BASE+TOMADOR'!$A:$BS,55,FALSE)</f>
        <v>3532.42</v>
      </c>
      <c r="L4" s="73">
        <f>IFERROR(VLOOKUP($B4,'BASE+TOMADOR'!$A:$BS,56,FALSE),0)</f>
        <v>9877.34</v>
      </c>
      <c r="M4" s="72">
        <f>IFERROR(VLOOKUP($B4,'BASE+TOMADOR'!$A:$BS,58,FALSE),0)</f>
        <v>9877.34</v>
      </c>
      <c r="N4" s="74">
        <f t="shared" si="0"/>
        <v>0.1065339164076753</v>
      </c>
      <c r="O4" s="72">
        <f>IFERROR(VLOOKUP(B4,'[1]BASE+TOMADOR'!$A:$BF,58,0),0)</f>
        <v>7575.32</v>
      </c>
      <c r="P4" s="67">
        <f t="shared" ref="P4:P16" si="1">M4-O4</f>
        <v>2302.0200000000004</v>
      </c>
    </row>
    <row r="5" spans="1:20" x14ac:dyDescent="0.25">
      <c r="A5" s="43">
        <f>A4+1</f>
        <v>3</v>
      </c>
      <c r="B5" s="150" t="s">
        <v>296</v>
      </c>
      <c r="C5" s="43" t="str">
        <f>IFERROR(VLOOKUP($B5,'BASE+TOMADOR'!$A:$BS,3,FALSE),0)</f>
        <v>CLT</v>
      </c>
      <c r="D5" s="43" t="str">
        <f>VLOOKUP($B5,'BASE+TOMADOR'!$A:$BS,8,FALSE)</f>
        <v>OPERACIONAL</v>
      </c>
      <c r="E5" s="71" t="str">
        <f>VLOOKUP($B5,'BASE+TOMADOR'!$A:$BS,15,FALSE)</f>
        <v>GERENTE DE PATIO SENIOR PP</v>
      </c>
      <c r="F5" s="43" t="str">
        <f>VLOOKUP($B5,'BASE+TOMADOR'!$A:$BS,71,FALSE)</f>
        <v>Ativo</v>
      </c>
      <c r="G5" s="71" t="str">
        <f>VLOOKUP($B5,'BASE+TOMADOR'!$A:$BS,4,FALSE)</f>
        <v>G3S  FL 04 - PRES PRUD</v>
      </c>
      <c r="H5" s="71" t="str">
        <f>VLOOKUP($B5,'BASE+TOMADOR'!$A:$BS,7,FALSE)</f>
        <v>20.947.332/0004-38</v>
      </c>
      <c r="I5" s="72">
        <f>IFERROR(VLOOKUP($B5,'BASE+TOMADOR'!$A:$BS,62,FALSE),0)</f>
        <v>1114.2347222222222</v>
      </c>
      <c r="J5" s="72">
        <f>IFERROR(VLOOKUP($B5,'BASE+TOMADOR'!$A:$BS,67,FALSE),0)</f>
        <v>2022.8000000000002</v>
      </c>
      <c r="K5" s="73">
        <f>VLOOKUP($B5,'BASE+TOMADOR'!$A:$BS,55,FALSE)</f>
        <v>3558.21</v>
      </c>
      <c r="L5" s="73">
        <f>IFERROR(VLOOKUP($B5,'BASE+TOMADOR'!$A:$BS,56,FALSE),0)</f>
        <v>9288.5600000000013</v>
      </c>
      <c r="M5" s="72">
        <f>IFERROR(VLOOKUP($B5,'BASE+TOMADOR'!$A:$BS,58,FALSE),0)</f>
        <v>9288.5600000000013</v>
      </c>
      <c r="N5" s="74">
        <f t="shared" si="0"/>
        <v>0.10018351849664754</v>
      </c>
      <c r="O5" s="72">
        <f>IFERROR(VLOOKUP(B5,'[1]BASE+TOMADOR'!$A:$BF,58,0),0)</f>
        <v>7974.9900000000007</v>
      </c>
      <c r="P5" s="67">
        <f t="shared" si="1"/>
        <v>1313.5700000000006</v>
      </c>
    </row>
    <row r="6" spans="1:20" x14ac:dyDescent="0.25">
      <c r="A6" s="43">
        <v>1</v>
      </c>
      <c r="B6" s="71" t="s">
        <v>445</v>
      </c>
      <c r="C6" s="43" t="str">
        <f>IFERROR(VLOOKUP($B6,'BASE+TOMADOR'!$A:$BS,3,FALSE),0)</f>
        <v>PJ</v>
      </c>
      <c r="D6" s="43" t="str">
        <f>VLOOKUP($B6,'BASE+TOMADOR'!$A:$BS,8,FALSE)</f>
        <v>SELETIVA APOIO</v>
      </c>
      <c r="E6" s="71" t="str">
        <f>VLOOKUP($B6,'BASE+TOMADOR'!$A:$BS,15,FALSE)</f>
        <v>GERENTE DE COMPRAS</v>
      </c>
      <c r="F6" s="43" t="str">
        <f>VLOOKUP($B6,'BASE+TOMADOR'!$A:$BS,71,FALSE)</f>
        <v>Ativo</v>
      </c>
      <c r="G6" s="71" t="str">
        <f>VLOOKUP($B6,'BASE+TOMADOR'!$A:$BS,4,FALSE)</f>
        <v>G3S  FL 04 - PRES PRUD</v>
      </c>
      <c r="H6" s="71" t="str">
        <f>VLOOKUP($B6,'BASE+TOMADOR'!$A:$BS,7,FALSE)</f>
        <v>CONTRATO PJ</v>
      </c>
      <c r="I6" s="72">
        <f>IFERROR(VLOOKUP($B6,'BASE+TOMADOR'!$A:$BS,62,FALSE),0)</f>
        <v>738.75</v>
      </c>
      <c r="J6" s="72">
        <f>IFERROR(VLOOKUP($B6,'BASE+TOMADOR'!$A:$BS,67,FALSE),0)</f>
        <v>0</v>
      </c>
      <c r="K6" s="73">
        <f>VLOOKUP($B6,'BASE+TOMADOR'!$A:$BS,55,FALSE)</f>
        <v>12.87</v>
      </c>
      <c r="L6" s="73">
        <f>IFERROR(VLOOKUP($B6,'BASE+TOMADOR'!$A:$BS,56,FALSE),0)</f>
        <v>8877.8700000000008</v>
      </c>
      <c r="M6" s="72">
        <f>IFERROR(VLOOKUP($B6,'BASE+TOMADOR'!$A:$BS,58,FALSE),0)</f>
        <v>8877.8700000000008</v>
      </c>
      <c r="N6" s="74">
        <f t="shared" si="0"/>
        <v>9.5753943921967691E-2</v>
      </c>
      <c r="O6" s="72">
        <f>IFERROR(VLOOKUP(B6,'[1]BASE+TOMADOR'!$A:$BF,58,0),0)</f>
        <v>8865</v>
      </c>
      <c r="P6" s="67">
        <f t="shared" si="1"/>
        <v>12.8700000000008</v>
      </c>
    </row>
    <row r="7" spans="1:20" s="66" customFormat="1" x14ac:dyDescent="0.25">
      <c r="A7" s="43">
        <f t="shared" ref="A7:A16" si="2">A6+1</f>
        <v>2</v>
      </c>
      <c r="B7" s="150" t="s">
        <v>103</v>
      </c>
      <c r="C7" s="43" t="str">
        <f>IFERROR(VLOOKUP($B7,'BASE+TOMADOR'!$A:$BS,3,FALSE),0)</f>
        <v>CLT</v>
      </c>
      <c r="D7" s="43" t="str">
        <f>VLOOKUP($B7,'BASE+TOMADOR'!$A:$BS,8,FALSE)</f>
        <v>LOGISTICA</v>
      </c>
      <c r="E7" s="71" t="str">
        <f>VLOOKUP($B7,'BASE+TOMADOR'!$A:$BS,15,FALSE)</f>
        <v>MOTORISTA CARRETEIRO MANTENEDOR SENIOR III</v>
      </c>
      <c r="F7" s="43" t="str">
        <f>VLOOKUP($B7,'BASE+TOMADOR'!$A:$BS,71,FALSE)</f>
        <v>Ativo</v>
      </c>
      <c r="G7" s="71" t="str">
        <f>VLOOKUP($B7,'BASE+TOMADOR'!$A:$BS,4,FALSE)</f>
        <v>G S MATRIZ - PRES PRUD</v>
      </c>
      <c r="H7" s="71" t="str">
        <f>VLOOKUP($B7,'BASE+TOMADOR'!$A:$BS,7,FALSE)</f>
        <v>20.504.237/0001-17</v>
      </c>
      <c r="I7" s="72">
        <f>IFERROR(VLOOKUP($B7,'BASE+TOMADOR'!$A:$BS,62,FALSE),0)</f>
        <v>992.56888888888898</v>
      </c>
      <c r="J7" s="72">
        <f>IFERROR(VLOOKUP($B7,'BASE+TOMADOR'!$A:$BS,67,FALSE),0)</f>
        <v>1801.92</v>
      </c>
      <c r="K7" s="73">
        <f>VLOOKUP($B7,'BASE+TOMADOR'!$A:$BS,55,FALSE)</f>
        <v>3451.13</v>
      </c>
      <c r="L7" s="73">
        <f>IFERROR(VLOOKUP($B7,'BASE+TOMADOR'!$A:$BS,56,FALSE),0)</f>
        <v>8555.77</v>
      </c>
      <c r="M7" s="72">
        <f>IFERROR(VLOOKUP($B7,'BASE+TOMADOR'!$A:$BS,58,FALSE),0)</f>
        <v>8555.77</v>
      </c>
      <c r="N7" s="74">
        <f t="shared" si="0"/>
        <v>9.2279873527011946E-2</v>
      </c>
      <c r="O7" s="72">
        <f>IFERROR(VLOOKUP(B7,'[1]BASE+TOMADOR'!$A:$BF,58,0),0)</f>
        <v>8093.7900000000009</v>
      </c>
      <c r="P7" s="67">
        <f t="shared" si="1"/>
        <v>461.97999999999956</v>
      </c>
    </row>
    <row r="8" spans="1:20" x14ac:dyDescent="0.25">
      <c r="A8" s="43">
        <f t="shared" si="2"/>
        <v>3</v>
      </c>
      <c r="B8" s="150" t="s">
        <v>106</v>
      </c>
      <c r="C8" s="43" t="str">
        <f>IFERROR(VLOOKUP($B8,'BASE+TOMADOR'!$A:$BS,3,FALSE),0)</f>
        <v>CLT</v>
      </c>
      <c r="D8" s="43" t="str">
        <f>VLOOKUP($B8,'BASE+TOMADOR'!$A:$BS,8,FALSE)</f>
        <v>LOGISTICA</v>
      </c>
      <c r="E8" s="71" t="str">
        <f>VLOOKUP($B8,'BASE+TOMADOR'!$A:$BS,15,FALSE)</f>
        <v>MOTORISTA CARRETEIRO MANTENEDOR SENIOR III</v>
      </c>
      <c r="F8" s="43" t="str">
        <f>VLOOKUP($B8,'BASE+TOMADOR'!$A:$BS,71,FALSE)</f>
        <v>Ativo</v>
      </c>
      <c r="G8" s="71" t="str">
        <f>VLOOKUP($B8,'BASE+TOMADOR'!$A:$BS,4,FALSE)</f>
        <v>G S MATRIZ - PRES PRUD</v>
      </c>
      <c r="H8" s="71" t="str">
        <f>VLOOKUP($B8,'BASE+TOMADOR'!$A:$BS,7,FALSE)</f>
        <v>20.504.237/0001-17</v>
      </c>
      <c r="I8" s="72">
        <f>IFERROR(VLOOKUP($B8,'BASE+TOMADOR'!$A:$BS,62,FALSE),0)</f>
        <v>987.37333333333345</v>
      </c>
      <c r="J8" s="72">
        <f>IFERROR(VLOOKUP($B8,'BASE+TOMADOR'!$A:$BS,67,FALSE),0)</f>
        <v>1792.48</v>
      </c>
      <c r="K8" s="73">
        <f>VLOOKUP($B8,'BASE+TOMADOR'!$A:$BS,55,FALSE)</f>
        <v>3297.21</v>
      </c>
      <c r="L8" s="73">
        <f>IFERROR(VLOOKUP($B8,'BASE+TOMADOR'!$A:$BS,56,FALSE),0)</f>
        <v>8375.130000000001</v>
      </c>
      <c r="M8" s="72">
        <f>IFERROR(VLOOKUP($B8,'BASE+TOMADOR'!$A:$BS,58,FALSE),0)</f>
        <v>8375.130000000001</v>
      </c>
      <c r="N8" s="74">
        <f t="shared" si="0"/>
        <v>9.033154668396691E-2</v>
      </c>
      <c r="O8" s="72">
        <f>IFERROR(VLOOKUP(B8,'[1]BASE+TOMADOR'!$A:$BF,58,0),0)</f>
        <v>8208.56</v>
      </c>
      <c r="P8" s="67">
        <f t="shared" si="1"/>
        <v>166.57000000000153</v>
      </c>
      <c r="R8" s="68" t="s">
        <v>683</v>
      </c>
    </row>
    <row r="9" spans="1:20" x14ac:dyDescent="0.25">
      <c r="A9" s="43">
        <f t="shared" si="2"/>
        <v>4</v>
      </c>
      <c r="B9" s="150" t="s">
        <v>306</v>
      </c>
      <c r="C9" s="43" t="str">
        <f>IFERROR(VLOOKUP($B9,'BASE+TOMADOR'!$A:$BS,3,FALSE),0)</f>
        <v>CLT</v>
      </c>
      <c r="D9" s="43" t="str">
        <f>VLOOKUP($B9,'BASE+TOMADOR'!$A:$BS,8,FALSE)</f>
        <v>OPERACIONAL</v>
      </c>
      <c r="E9" s="71" t="str">
        <f>VLOOKUP($B9,'BASE+TOMADOR'!$A:$BS,15,FALSE)</f>
        <v>GERENTE DE PATIO SENIOR</v>
      </c>
      <c r="F9" s="43" t="str">
        <f>VLOOKUP($B9,'BASE+TOMADOR'!$A:$BS,71,FALSE)</f>
        <v>Ativo</v>
      </c>
      <c r="G9" s="71" t="str">
        <f>VLOOKUP($B9,'BASE+TOMADOR'!$A:$BS,4,FALSE)</f>
        <v>G3S  FL 04 - PRES PRUD</v>
      </c>
      <c r="H9" s="71" t="str">
        <f>VLOOKUP($B9,'BASE+TOMADOR'!$A:$BS,7,FALSE)</f>
        <v>20.947.332/0004-38</v>
      </c>
      <c r="I9" s="72">
        <f>IFERROR(VLOOKUP($B9,'BASE+TOMADOR'!$A:$BS,62,FALSE),0)</f>
        <v>997.53111111111104</v>
      </c>
      <c r="J9" s="72">
        <f>IFERROR(VLOOKUP($B9,'BASE+TOMADOR'!$A:$BS,67,FALSE),0)</f>
        <v>1810.93</v>
      </c>
      <c r="K9" s="73">
        <f>VLOOKUP($B9,'BASE+TOMADOR'!$A:$BS,55,FALSE)</f>
        <v>1092.21</v>
      </c>
      <c r="L9" s="73">
        <f>IFERROR(VLOOKUP($B9,'BASE+TOMADOR'!$A:$BS,56,FALSE),0)</f>
        <v>6222.37</v>
      </c>
      <c r="M9" s="72">
        <f>IFERROR(VLOOKUP($B9,'BASE+TOMADOR'!$A:$BS,58,FALSE),0)</f>
        <v>6222.37</v>
      </c>
      <c r="N9" s="74">
        <f t="shared" si="0"/>
        <v>6.7112547045826768E-2</v>
      </c>
      <c r="O9" s="72">
        <f>IFERROR(VLOOKUP(B9,'[1]BASE+TOMADOR'!$A:$BF,58,0),0)</f>
        <v>5385.64</v>
      </c>
      <c r="P9" s="67">
        <f t="shared" si="1"/>
        <v>836.72999999999956</v>
      </c>
    </row>
    <row r="10" spans="1:20" x14ac:dyDescent="0.25">
      <c r="A10" s="43">
        <f t="shared" si="2"/>
        <v>5</v>
      </c>
      <c r="B10" s="150" t="s">
        <v>121</v>
      </c>
      <c r="C10" s="43" t="str">
        <f>IFERROR(VLOOKUP($B10,'BASE+TOMADOR'!$A:$BS,3,FALSE),0)</f>
        <v>CLT</v>
      </c>
      <c r="D10" s="43" t="str">
        <f>VLOOKUP($B10,'BASE+TOMADOR'!$A:$BS,8,FALSE)</f>
        <v>OPERACIONAL</v>
      </c>
      <c r="E10" s="71" t="str">
        <f>VLOOKUP($B10,'BASE+TOMADOR'!$A:$BS,15,FALSE)</f>
        <v>OPERADOR MANTENEDOR JR</v>
      </c>
      <c r="F10" s="43" t="str">
        <f>VLOOKUP($B10,'BASE+TOMADOR'!$A:$BS,71,FALSE)</f>
        <v>Ativo</v>
      </c>
      <c r="G10" s="71" t="str">
        <f>VLOOKUP($B10,'BASE+TOMADOR'!$A:$BS,4,FALSE)</f>
        <v>G S MATRIZ - PRES PRUD</v>
      </c>
      <c r="H10" s="71" t="str">
        <f>VLOOKUP($B10,'BASE+TOMADOR'!$A:$BS,7,FALSE)</f>
        <v>20.504.237/0001-17</v>
      </c>
      <c r="I10" s="72">
        <f>IFERROR(VLOOKUP($B10,'BASE+TOMADOR'!$A:$BS,62,FALSE),0)</f>
        <v>783.02</v>
      </c>
      <c r="J10" s="72">
        <f>IFERROR(VLOOKUP($B10,'BASE+TOMADOR'!$A:$BS,67,FALSE),0)</f>
        <v>1421.5</v>
      </c>
      <c r="K10" s="73">
        <f>VLOOKUP($B10,'BASE+TOMADOR'!$A:$BS,55,FALSE)</f>
        <v>1092.21</v>
      </c>
      <c r="L10" s="73">
        <f>IFERROR(VLOOKUP($B10,'BASE+TOMADOR'!$A:$BS,56,FALSE),0)</f>
        <v>5119.17</v>
      </c>
      <c r="M10" s="72">
        <f>IFERROR(VLOOKUP($B10,'BASE+TOMADOR'!$A:$BS,58,FALSE),0)</f>
        <v>5119.17</v>
      </c>
      <c r="N10" s="74">
        <f t="shared" si="0"/>
        <v>5.5213775050436571E-2</v>
      </c>
      <c r="O10" s="72">
        <f>IFERROR(VLOOKUP(B10,'[1]BASE+TOMADOR'!$A:$BF,58,0),0)</f>
        <v>3613.93</v>
      </c>
      <c r="P10" s="67">
        <f t="shared" si="1"/>
        <v>1505.2400000000002</v>
      </c>
    </row>
    <row r="11" spans="1:20" x14ac:dyDescent="0.25">
      <c r="A11" s="43">
        <f t="shared" si="2"/>
        <v>6</v>
      </c>
      <c r="B11" s="150" t="s">
        <v>301</v>
      </c>
      <c r="C11" s="43" t="str">
        <f>IFERROR(VLOOKUP($B11,'BASE+TOMADOR'!$A:$BS,3,FALSE),0)</f>
        <v>CLT</v>
      </c>
      <c r="D11" s="43" t="str">
        <f>VLOOKUP($B11,'BASE+TOMADOR'!$A:$BS,8,FALSE)</f>
        <v>OPERACIONAL</v>
      </c>
      <c r="E11" s="71" t="str">
        <f>VLOOKUP($B11,'BASE+TOMADOR'!$A:$BS,15,FALSE)</f>
        <v>SOLDADOR MAÇARIQUEIRO</v>
      </c>
      <c r="F11" s="43" t="str">
        <f>VLOOKUP($B11,'BASE+TOMADOR'!$A:$BS,71,FALSE)</f>
        <v>Ativo</v>
      </c>
      <c r="G11" s="71" t="str">
        <f>VLOOKUP($B11,'BASE+TOMADOR'!$A:$BS,4,FALSE)</f>
        <v>G3S  FL 04 - PRES PRUD</v>
      </c>
      <c r="H11" s="71" t="str">
        <f>VLOOKUP($B11,'BASE+TOMADOR'!$A:$BS,7,FALSE)</f>
        <v>20.947.332/0004-38</v>
      </c>
      <c r="I11" s="72">
        <f>IFERROR(VLOOKUP($B11,'BASE+TOMADOR'!$A:$BS,62,FALSE),0)</f>
        <v>643.08416666666676</v>
      </c>
      <c r="J11" s="72">
        <f>IFERROR(VLOOKUP($B11,'BASE+TOMADOR'!$A:$BS,67,FALSE),0)</f>
        <v>1167.46</v>
      </c>
      <c r="K11" s="73">
        <f>VLOOKUP($B11,'BASE+TOMADOR'!$A:$BS,55,FALSE)</f>
        <v>1607.21</v>
      </c>
      <c r="L11" s="73">
        <f>IFERROR(VLOOKUP($B11,'BASE+TOMADOR'!$A:$BS,56,FALSE),0)</f>
        <v>4914.5</v>
      </c>
      <c r="M11" s="72">
        <f>IFERROR(VLOOKUP($B11,'BASE+TOMADOR'!$A:$BS,58,FALSE),0)</f>
        <v>4914.5</v>
      </c>
      <c r="N11" s="74">
        <f t="shared" si="0"/>
        <v>5.3006268103104708E-2</v>
      </c>
      <c r="O11" s="72">
        <f>IFERROR(VLOOKUP(B11,'[1]BASE+TOMADOR'!$A:$BF,58,0),0)</f>
        <v>4214.93</v>
      </c>
      <c r="P11" s="67">
        <f t="shared" si="1"/>
        <v>699.56999999999971</v>
      </c>
    </row>
    <row r="12" spans="1:20" x14ac:dyDescent="0.25">
      <c r="A12" s="43">
        <f t="shared" si="2"/>
        <v>7</v>
      </c>
      <c r="B12" s="150" t="s">
        <v>300</v>
      </c>
      <c r="C12" s="43" t="str">
        <f>IFERROR(VLOOKUP($B12,'BASE+TOMADOR'!$A:$BS,3,FALSE),0)</f>
        <v>CLT</v>
      </c>
      <c r="D12" s="43" t="str">
        <f>VLOOKUP($B12,'BASE+TOMADOR'!$A:$BS,8,FALSE)</f>
        <v>OPERACIONAL</v>
      </c>
      <c r="E12" s="71" t="str">
        <f>VLOOKUP($B12,'BASE+TOMADOR'!$A:$BS,15,FALSE)</f>
        <v>AUXILIAR DE PATIO SENIOR</v>
      </c>
      <c r="F12" s="43" t="str">
        <f>VLOOKUP($B12,'BASE+TOMADOR'!$A:$BS,71,FALSE)</f>
        <v>Ativo</v>
      </c>
      <c r="G12" s="71" t="str">
        <f>VLOOKUP($B12,'BASE+TOMADOR'!$A:$BS,4,FALSE)</f>
        <v>G3S  FL 04 - PRES PRUD</v>
      </c>
      <c r="H12" s="71" t="str">
        <f>VLOOKUP($B12,'BASE+TOMADOR'!$A:$BS,7,FALSE)</f>
        <v>20.947.332/0004-38</v>
      </c>
      <c r="I12" s="72">
        <f>IFERROR(VLOOKUP($B12,'BASE+TOMADOR'!$A:$BS,62,FALSE),0)</f>
        <v>505.55555555555554</v>
      </c>
      <c r="J12" s="72">
        <f>IFERROR(VLOOKUP($B12,'BASE+TOMADOR'!$A:$BS,67,FALSE),0)</f>
        <v>933.8</v>
      </c>
      <c r="K12" s="73">
        <f>VLOOKUP($B12,'BASE+TOMADOR'!$A:$BS,55,FALSE)</f>
        <v>2109.34</v>
      </c>
      <c r="L12" s="73">
        <f>IFERROR(VLOOKUP($B12,'BASE+TOMADOR'!$A:$BS,56,FALSE),0)</f>
        <v>4709.34</v>
      </c>
      <c r="M12" s="72">
        <f>IFERROR(VLOOKUP($B12,'BASE+TOMADOR'!$A:$BS,58,FALSE),0)</f>
        <v>4709.34</v>
      </c>
      <c r="N12" s="74">
        <f t="shared" si="0"/>
        <v>5.0793476168211442E-2</v>
      </c>
      <c r="O12" s="72">
        <f>IFERROR(VLOOKUP(B12,'[1]BASE+TOMADOR'!$A:$BF,58,0),0)</f>
        <v>6356.7000000000007</v>
      </c>
      <c r="P12" s="67">
        <f t="shared" si="1"/>
        <v>-1647.3600000000006</v>
      </c>
    </row>
    <row r="13" spans="1:20" x14ac:dyDescent="0.25">
      <c r="A13" s="43">
        <f t="shared" si="2"/>
        <v>8</v>
      </c>
      <c r="B13" s="150" t="s">
        <v>307</v>
      </c>
      <c r="C13" s="43" t="str">
        <f>IFERROR(VLOOKUP($B13,'BASE+TOMADOR'!$A:$BS,3,FALSE),0)</f>
        <v>CLT</v>
      </c>
      <c r="D13" s="43" t="str">
        <f>VLOOKUP($B13,'BASE+TOMADOR'!$A:$BS,8,FALSE)</f>
        <v>OPERACIONAL</v>
      </c>
      <c r="E13" s="71" t="str">
        <f>VLOOKUP($B13,'BASE+TOMADOR'!$A:$BS,15,FALSE)</f>
        <v>CLASSIFICADOR SENIOR</v>
      </c>
      <c r="F13" s="43" t="str">
        <f>VLOOKUP($B13,'BASE+TOMADOR'!$A:$BS,71,FALSE)</f>
        <v>Ativo</v>
      </c>
      <c r="G13" s="71" t="str">
        <f>VLOOKUP($B13,'BASE+TOMADOR'!$A:$BS,4,FALSE)</f>
        <v>G3S  FL 04 - PRES PRUD</v>
      </c>
      <c r="H13" s="71" t="str">
        <f>VLOOKUP($B13,'BASE+TOMADOR'!$A:$BS,7,FALSE)</f>
        <v>20.947.332/0004-38</v>
      </c>
      <c r="I13" s="72">
        <f>IFERROR(VLOOKUP($B13,'BASE+TOMADOR'!$A:$BS,62,FALSE),0)</f>
        <v>577.05083333333334</v>
      </c>
      <c r="J13" s="72">
        <f>IFERROR(VLOOKUP($B13,'BASE+TOMADOR'!$A:$BS,67,FALSE),0)</f>
        <v>1047.58</v>
      </c>
      <c r="K13" s="73">
        <f>VLOOKUP($B13,'BASE+TOMADOR'!$A:$BS,55,FALSE)</f>
        <v>1292.21</v>
      </c>
      <c r="L13" s="73">
        <f>IFERROR(VLOOKUP($B13,'BASE+TOMADOR'!$A:$BS,56,FALSE),0)</f>
        <v>4259.8999999999996</v>
      </c>
      <c r="M13" s="72">
        <f>IFERROR(VLOOKUP($B13,'BASE+TOMADOR'!$A:$BS,58,FALSE),0)</f>
        <v>4259.8999999999996</v>
      </c>
      <c r="N13" s="74">
        <f t="shared" si="0"/>
        <v>4.594595614862463E-2</v>
      </c>
      <c r="O13" s="72">
        <f>IFERROR(VLOOKUP(B13,'[1]BASE+TOMADOR'!$A:$BF,58,0),0)</f>
        <v>3649.62</v>
      </c>
      <c r="P13" s="67">
        <f t="shared" si="1"/>
        <v>610.27999999999975</v>
      </c>
    </row>
    <row r="14" spans="1:20" customFormat="1" ht="16.149999999999999" customHeight="1" x14ac:dyDescent="0.25">
      <c r="A14" s="43">
        <f t="shared" si="2"/>
        <v>9</v>
      </c>
      <c r="B14" s="150" t="s">
        <v>224</v>
      </c>
      <c r="C14" s="43" t="str">
        <f>IFERROR(VLOOKUP($B14,'BASE+TOMADOR'!$A:$BS,3,FALSE),0)</f>
        <v>CLT</v>
      </c>
      <c r="D14" s="43" t="str">
        <f>VLOOKUP($B14,'BASE+TOMADOR'!$A:$BS,8,FALSE)</f>
        <v>ADMINISTRATIVO</v>
      </c>
      <c r="E14" s="71" t="str">
        <f>VLOOKUP($B14,'BASE+TOMADOR'!$A:$BS,15,FALSE)</f>
        <v>AUX ADMINISTRATIVO JUNIOR</v>
      </c>
      <c r="F14" s="43" t="str">
        <f>VLOOKUP($B14,'BASE+TOMADOR'!$A:$BS,71,FALSE)</f>
        <v>Ativo</v>
      </c>
      <c r="G14" s="71" t="str">
        <f>VLOOKUP($B14,'BASE+TOMADOR'!$A:$BS,4,FALSE)</f>
        <v>G3S FL 10 - PRES PRUD</v>
      </c>
      <c r="H14" s="71" t="str">
        <f>VLOOKUP($B14,'BASE+TOMADOR'!$A:$BS,7,FALSE)</f>
        <v>20.947.332/0010-86</v>
      </c>
      <c r="I14" s="72">
        <f>IFERROR(VLOOKUP($B14,'BASE+TOMADOR'!$A:$BS,62,FALSE),0)</f>
        <v>527.23611111111109</v>
      </c>
      <c r="J14" s="72">
        <f>IFERROR(VLOOKUP($B14,'BASE+TOMADOR'!$A:$BS,67,FALSE),0)</f>
        <v>997.81999999999994</v>
      </c>
      <c r="K14" s="73">
        <f>VLOOKUP($B14,'BASE+TOMADOR'!$A:$BS,55,FALSE)</f>
        <v>1101.21</v>
      </c>
      <c r="L14" s="73">
        <f>IFERROR(VLOOKUP($B14,'BASE+TOMADOR'!$A:$BS,56,FALSE),0)</f>
        <v>3812.71</v>
      </c>
      <c r="M14" s="72">
        <f>IFERROR(VLOOKUP($B14,'BASE+TOMADOR'!$A:$BS,58,FALSE),0)</f>
        <v>3812.71</v>
      </c>
      <c r="N14" s="74">
        <f t="shared" si="0"/>
        <v>4.1122703929064676E-2</v>
      </c>
      <c r="O14" s="72">
        <f>IFERROR(VLOOKUP(B14,'[1]BASE+TOMADOR'!$A:$BF,58,0),0)</f>
        <v>3577.7099999999996</v>
      </c>
      <c r="P14" s="67">
        <f t="shared" si="1"/>
        <v>235.00000000000045</v>
      </c>
      <c r="R14" s="1"/>
    </row>
    <row r="15" spans="1:20" customFormat="1" ht="16.149999999999999" customHeight="1" x14ac:dyDescent="0.25">
      <c r="A15" s="43">
        <f t="shared" si="2"/>
        <v>10</v>
      </c>
      <c r="B15" s="150" t="s">
        <v>309</v>
      </c>
      <c r="C15" s="43" t="str">
        <f>IFERROR(VLOOKUP($B15,'BASE+TOMADOR'!$A:$BS,3,FALSE),0)</f>
        <v>CLT</v>
      </c>
      <c r="D15" s="43" t="str">
        <f>VLOOKUP($B15,'BASE+TOMADOR'!$A:$BS,8,FALSE)</f>
        <v>OPERACIONAL</v>
      </c>
      <c r="E15" s="71" t="str">
        <f>VLOOKUP($B15,'BASE+TOMADOR'!$A:$BS,15,FALSE)</f>
        <v>MACARIQUEIRO PLENO</v>
      </c>
      <c r="F15" s="43" t="str">
        <f>VLOOKUP($B15,'BASE+TOMADOR'!$A:$BS,71,FALSE)</f>
        <v>Ativo</v>
      </c>
      <c r="G15" s="71" t="str">
        <f>VLOOKUP($B15,'BASE+TOMADOR'!$A:$BS,4,FALSE)</f>
        <v>G3S  FL 04 - PRES PRUD</v>
      </c>
      <c r="H15" s="71" t="str">
        <f>VLOOKUP($B15,'BASE+TOMADOR'!$A:$BS,7,FALSE)</f>
        <v>20.947.332/0004-38</v>
      </c>
      <c r="I15" s="72">
        <f>IFERROR(VLOOKUP($B15,'BASE+TOMADOR'!$A:$BS,62,FALSE),0)</f>
        <v>503.125</v>
      </c>
      <c r="J15" s="72">
        <f>IFERROR(VLOOKUP($B15,'BASE+TOMADOR'!$A:$BS,67,FALSE),0)</f>
        <v>913.37999999999988</v>
      </c>
      <c r="K15" s="73">
        <f>VLOOKUP($B15,'BASE+TOMADOR'!$A:$BS,55,FALSE)</f>
        <v>1092.21</v>
      </c>
      <c r="L15" s="73">
        <f>IFERROR(VLOOKUP($B15,'BASE+TOMADOR'!$A:$BS,56,FALSE),0)</f>
        <v>3679.71</v>
      </c>
      <c r="M15" s="72">
        <f>IFERROR(VLOOKUP($B15,'BASE+TOMADOR'!$A:$BS,58,FALSE),0)</f>
        <v>3679.71</v>
      </c>
      <c r="N15" s="74">
        <f t="shared" si="0"/>
        <v>3.9688207305254943E-2</v>
      </c>
      <c r="O15" s="72">
        <f>IFERROR(VLOOKUP(B15,'[1]BASE+TOMADOR'!$A:$BF,58,0),0)</f>
        <v>2247.4499999999998</v>
      </c>
      <c r="P15" s="67">
        <f t="shared" si="1"/>
        <v>1432.2600000000002</v>
      </c>
      <c r="R15" s="1"/>
      <c r="T15">
        <f>11-3</f>
        <v>8</v>
      </c>
    </row>
    <row r="16" spans="1:20" customFormat="1" ht="16.149999999999999" customHeight="1" x14ac:dyDescent="0.25">
      <c r="A16" s="43">
        <f t="shared" si="2"/>
        <v>11</v>
      </c>
      <c r="B16" s="150" t="s">
        <v>298</v>
      </c>
      <c r="C16" s="43" t="str">
        <f>IFERROR(VLOOKUP($B16,'BASE+TOMADOR'!$A:$BS,3,FALSE),0)</f>
        <v>CLT</v>
      </c>
      <c r="D16" s="43" t="str">
        <f>VLOOKUP($B16,'BASE+TOMADOR'!$A:$BS,8,FALSE)</f>
        <v>ADMINISTRATIVO</v>
      </c>
      <c r="E16" s="71" t="str">
        <f>VLOOKUP($B16,'BASE+TOMADOR'!$A:$BS,15,FALSE)</f>
        <v>FAXINEIRO (EMPRESA)</v>
      </c>
      <c r="F16" s="43" t="str">
        <f>VLOOKUP($B16,'BASE+TOMADOR'!$A:$BS,71,FALSE)</f>
        <v>Ativo</v>
      </c>
      <c r="G16" s="71" t="str">
        <f>VLOOKUP($B16,'BASE+TOMADOR'!$A:$BS,4,FALSE)</f>
        <v>G3S  FL 04 - PRES PRUD</v>
      </c>
      <c r="H16" s="71" t="str">
        <f>VLOOKUP($B16,'BASE+TOMADOR'!$A:$BS,7,FALSE)</f>
        <v>20.947.332/0004-38</v>
      </c>
      <c r="I16" s="72">
        <f>IFERROR(VLOOKUP($B16,'BASE+TOMADOR'!$A:$BS,62,FALSE),0)</f>
        <v>359.68333333333334</v>
      </c>
      <c r="J16" s="72">
        <f>IFERROR(VLOOKUP($B16,'BASE+TOMADOR'!$A:$BS,67,FALSE),0)</f>
        <v>652.96</v>
      </c>
      <c r="K16" s="73">
        <f>VLOOKUP($B16,'BASE+TOMADOR'!$A:$BS,55,FALSE)</f>
        <v>512.87</v>
      </c>
      <c r="L16" s="73">
        <f>IFERROR(VLOOKUP($B16,'BASE+TOMADOR'!$A:$BS,56,FALSE),0)</f>
        <v>2362.67</v>
      </c>
      <c r="M16" s="72">
        <f>IFERROR(VLOOKUP($B16,'BASE+TOMADOR'!$A:$BS,58,FALSE),0)</f>
        <v>2362.67</v>
      </c>
      <c r="N16" s="74">
        <f t="shared" si="0"/>
        <v>2.5483023595312321E-2</v>
      </c>
      <c r="O16" s="72">
        <f>IFERROR(VLOOKUP(B16,'[1]BASE+TOMADOR'!$A:$BF,58,0),0)</f>
        <v>1849.8</v>
      </c>
      <c r="P16" s="67">
        <f t="shared" si="1"/>
        <v>512.87000000000012</v>
      </c>
      <c r="R16" s="1"/>
      <c r="T16">
        <f>T15*110</f>
        <v>880</v>
      </c>
    </row>
    <row r="17" spans="1:18" customFormat="1" ht="16.149999999999999" customHeight="1" x14ac:dyDescent="0.25">
      <c r="A17" s="1"/>
      <c r="B17" s="2"/>
      <c r="C17" s="1"/>
      <c r="D17" s="2"/>
      <c r="E17" s="2"/>
      <c r="F17" s="1"/>
      <c r="G17" s="2"/>
      <c r="H17" s="2"/>
      <c r="I17" s="1"/>
      <c r="J17" s="1"/>
      <c r="K17" s="48"/>
      <c r="L17" s="48"/>
      <c r="M17" s="49"/>
      <c r="N17" s="50"/>
      <c r="O17" s="1"/>
      <c r="R17" s="1"/>
    </row>
    <row r="18" spans="1:18" customFormat="1" ht="16.149999999999999" customHeight="1" x14ac:dyDescent="0.25">
      <c r="A18" s="1"/>
      <c r="B18" s="98" t="s">
        <v>2</v>
      </c>
      <c r="C18" s="1" t="s">
        <v>684</v>
      </c>
      <c r="D18" s="1" t="s">
        <v>685</v>
      </c>
      <c r="E18" s="2"/>
      <c r="F18" s="1"/>
      <c r="G18" s="2"/>
      <c r="H18" s="2"/>
      <c r="I18" s="1"/>
      <c r="J18" s="1"/>
      <c r="K18" s="2"/>
      <c r="L18" s="40"/>
      <c r="M18" s="6"/>
      <c r="N18" s="4"/>
      <c r="O18" s="1"/>
      <c r="R18" s="1"/>
    </row>
    <row r="19" spans="1:18" customFormat="1" x14ac:dyDescent="0.25">
      <c r="A19" s="1"/>
      <c r="B19" s="2" t="s">
        <v>426</v>
      </c>
      <c r="C19" s="1">
        <v>14</v>
      </c>
      <c r="D19" s="48">
        <v>92715.45</v>
      </c>
      <c r="E19" s="2"/>
      <c r="F19" s="1"/>
      <c r="G19" s="2"/>
      <c r="H19" s="2"/>
      <c r="I19" s="1"/>
      <c r="J19" s="1"/>
      <c r="K19" s="2"/>
      <c r="L19" s="40"/>
      <c r="M19" s="6"/>
      <c r="N19" s="4"/>
      <c r="O19" s="1"/>
      <c r="R19" s="1"/>
    </row>
    <row r="20" spans="1:18" customFormat="1" x14ac:dyDescent="0.25">
      <c r="A20" s="1"/>
      <c r="B20" s="99" t="s">
        <v>5</v>
      </c>
      <c r="C20" s="1">
        <v>13</v>
      </c>
      <c r="D20" s="48">
        <v>83837.58</v>
      </c>
      <c r="E20" s="2"/>
      <c r="F20" s="1"/>
      <c r="G20" s="2"/>
      <c r="H20" s="2"/>
      <c r="I20" s="1"/>
      <c r="J20" s="1"/>
      <c r="K20" s="2"/>
      <c r="L20" s="40"/>
      <c r="M20" s="6"/>
      <c r="N20" s="4"/>
      <c r="O20" s="1"/>
      <c r="R20" s="1"/>
    </row>
    <row r="21" spans="1:18" customFormat="1" x14ac:dyDescent="0.25">
      <c r="A21" s="1"/>
      <c r="B21" s="99" t="s">
        <v>8</v>
      </c>
      <c r="C21" s="1">
        <v>1</v>
      </c>
      <c r="D21" s="48">
        <v>8877.8700000000008</v>
      </c>
      <c r="E21" s="2"/>
      <c r="F21" s="1"/>
      <c r="G21" s="2"/>
      <c r="H21" s="2"/>
      <c r="I21" s="1"/>
      <c r="J21" s="1"/>
      <c r="K21" s="2"/>
      <c r="L21" s="40"/>
      <c r="M21" s="6"/>
      <c r="N21" s="4"/>
      <c r="O21" s="1"/>
      <c r="R21" s="1"/>
    </row>
    <row r="22" spans="1:18" customFormat="1" x14ac:dyDescent="0.25">
      <c r="A22" s="1"/>
      <c r="B22" s="1" t="s">
        <v>686</v>
      </c>
      <c r="C22" s="1">
        <v>14</v>
      </c>
      <c r="D22" s="48">
        <v>92715.45</v>
      </c>
      <c r="E22" s="2"/>
      <c r="F22" s="1"/>
      <c r="G22" s="2"/>
      <c r="H22" s="2"/>
      <c r="I22" s="1"/>
      <c r="J22" s="1"/>
      <c r="K22" s="2"/>
      <c r="L22" s="40"/>
      <c r="M22" s="6"/>
      <c r="N22" s="4"/>
      <c r="O22" s="1"/>
      <c r="R22" s="1"/>
    </row>
    <row r="23" spans="1:18" customFormat="1" x14ac:dyDescent="0.25">
      <c r="A23" s="1"/>
      <c r="E23" s="2"/>
      <c r="F23" s="1"/>
      <c r="G23" s="2"/>
      <c r="H23" s="2"/>
      <c r="I23" s="1"/>
      <c r="J23" s="1"/>
      <c r="K23" s="2"/>
      <c r="L23" s="40"/>
      <c r="M23" s="6"/>
      <c r="N23" s="4"/>
      <c r="O23" s="1"/>
      <c r="R23" s="1"/>
    </row>
    <row r="24" spans="1:18" x14ac:dyDescent="0.25">
      <c r="D24" s="48"/>
    </row>
    <row r="25" spans="1:18" x14ac:dyDescent="0.25">
      <c r="B25" s="102" t="s">
        <v>12</v>
      </c>
      <c r="C25" s="98" t="s">
        <v>13</v>
      </c>
      <c r="D25" s="1" t="s">
        <v>684</v>
      </c>
      <c r="E25" s="1" t="s">
        <v>685</v>
      </c>
    </row>
    <row r="26" spans="1:18" x14ac:dyDescent="0.25">
      <c r="B26" s="103" t="s">
        <v>291</v>
      </c>
      <c r="C26" s="1" t="s">
        <v>292</v>
      </c>
      <c r="D26" s="1">
        <v>7</v>
      </c>
      <c r="E26" s="48">
        <v>35437.049999999996</v>
      </c>
    </row>
    <row r="27" spans="1:18" x14ac:dyDescent="0.25">
      <c r="B27" s="103"/>
      <c r="C27" s="1" t="s">
        <v>424</v>
      </c>
      <c r="D27" s="1">
        <v>1</v>
      </c>
      <c r="E27" s="48">
        <v>8877.8700000000008</v>
      </c>
    </row>
    <row r="28" spans="1:18" x14ac:dyDescent="0.25">
      <c r="B28" s="103" t="s">
        <v>94</v>
      </c>
      <c r="C28" s="1" t="s">
        <v>95</v>
      </c>
      <c r="D28" s="1">
        <v>5</v>
      </c>
      <c r="E28" s="48">
        <v>44587.82</v>
      </c>
    </row>
    <row r="29" spans="1:18" x14ac:dyDescent="0.25">
      <c r="B29" s="1" t="s">
        <v>199</v>
      </c>
      <c r="C29" s="1" t="s">
        <v>200</v>
      </c>
      <c r="D29" s="1">
        <v>1</v>
      </c>
      <c r="E29" s="48">
        <v>3812.71</v>
      </c>
      <c r="G29" s="101"/>
      <c r="H29" s="101"/>
      <c r="K29"/>
      <c r="L29" s="12"/>
      <c r="M29"/>
      <c r="N29"/>
    </row>
    <row r="30" spans="1:18" x14ac:dyDescent="0.25">
      <c r="B30" s="1" t="s">
        <v>686</v>
      </c>
      <c r="D30" s="1">
        <v>14</v>
      </c>
      <c r="E30" s="48">
        <v>92715.450000000012</v>
      </c>
      <c r="G30" s="101"/>
      <c r="H30" s="101"/>
      <c r="K30"/>
      <c r="L30" s="12"/>
      <c r="M30"/>
      <c r="N30"/>
    </row>
    <row r="31" spans="1:18" x14ac:dyDescent="0.25">
      <c r="B31"/>
      <c r="C31"/>
      <c r="D31"/>
      <c r="E31" s="101"/>
      <c r="G31" s="101"/>
      <c r="H31" s="101"/>
      <c r="K31"/>
      <c r="L31" s="12"/>
      <c r="M31"/>
      <c r="N31"/>
    </row>
    <row r="32" spans="1:18" x14ac:dyDescent="0.25">
      <c r="B32" s="101"/>
      <c r="C32" s="101"/>
      <c r="D32" s="101"/>
      <c r="E32" s="101"/>
      <c r="G32" s="101"/>
      <c r="H32" s="101"/>
      <c r="K32"/>
      <c r="L32" s="12"/>
      <c r="M32"/>
      <c r="N32"/>
    </row>
    <row r="33" spans="2:14" x14ac:dyDescent="0.25">
      <c r="B33"/>
      <c r="C33"/>
      <c r="D33"/>
      <c r="E33"/>
      <c r="G33"/>
      <c r="H33"/>
      <c r="K33"/>
      <c r="L33" s="12"/>
      <c r="M33"/>
      <c r="N33"/>
    </row>
    <row r="34" spans="2:14" x14ac:dyDescent="0.25">
      <c r="B34"/>
      <c r="C34"/>
      <c r="D34"/>
      <c r="E34"/>
      <c r="G34"/>
      <c r="H34"/>
      <c r="K34"/>
      <c r="L34" s="12"/>
      <c r="M34"/>
      <c r="N34"/>
    </row>
    <row r="35" spans="2:14" x14ac:dyDescent="0.25">
      <c r="B35"/>
      <c r="C35"/>
      <c r="D35"/>
      <c r="E35"/>
      <c r="G35"/>
      <c r="H35"/>
      <c r="K35"/>
      <c r="L35" s="12"/>
      <c r="M35"/>
      <c r="N35"/>
    </row>
    <row r="36" spans="2:14" x14ac:dyDescent="0.25">
      <c r="B36"/>
      <c r="C36"/>
      <c r="D36"/>
      <c r="E36"/>
      <c r="G36"/>
      <c r="H36"/>
      <c r="K36"/>
      <c r="L36" s="12"/>
      <c r="M36"/>
      <c r="N36"/>
    </row>
    <row r="37" spans="2:14" x14ac:dyDescent="0.25">
      <c r="B37"/>
      <c r="C37"/>
      <c r="D37"/>
      <c r="E37"/>
      <c r="G37"/>
      <c r="H37"/>
      <c r="K37"/>
      <c r="L37" s="12"/>
      <c r="M37"/>
      <c r="N37"/>
    </row>
    <row r="38" spans="2:14" x14ac:dyDescent="0.25">
      <c r="B38"/>
      <c r="C38"/>
      <c r="D38"/>
      <c r="E38"/>
      <c r="G38"/>
      <c r="H38"/>
      <c r="K38"/>
      <c r="L38" s="12"/>
      <c r="M38"/>
      <c r="N38"/>
    </row>
    <row r="39" spans="2:14" x14ac:dyDescent="0.25">
      <c r="B39"/>
      <c r="C39"/>
      <c r="D39"/>
      <c r="E39"/>
      <c r="G39"/>
      <c r="H39"/>
      <c r="K39"/>
      <c r="L39" s="12"/>
      <c r="M39"/>
      <c r="N39"/>
    </row>
    <row r="40" spans="2:14" x14ac:dyDescent="0.25">
      <c r="B40"/>
      <c r="C40"/>
      <c r="D40"/>
      <c r="E40"/>
      <c r="G40"/>
      <c r="H40"/>
      <c r="K40"/>
      <c r="L40" s="12"/>
      <c r="M40"/>
      <c r="N40"/>
    </row>
    <row r="41" spans="2:14" x14ac:dyDescent="0.25">
      <c r="B41"/>
      <c r="C41"/>
      <c r="D41"/>
      <c r="E41"/>
      <c r="G41"/>
      <c r="H41"/>
      <c r="K41"/>
      <c r="L41" s="12"/>
      <c r="M41"/>
      <c r="N41"/>
    </row>
    <row r="42" spans="2:14" x14ac:dyDescent="0.25">
      <c r="B42"/>
      <c r="C42"/>
      <c r="D42"/>
      <c r="E42"/>
      <c r="G42"/>
      <c r="H42"/>
      <c r="K42"/>
      <c r="L42" s="12"/>
      <c r="M42"/>
      <c r="N42"/>
    </row>
    <row r="43" spans="2:14" x14ac:dyDescent="0.25">
      <c r="B43"/>
      <c r="C43"/>
      <c r="D43"/>
      <c r="E43"/>
      <c r="G43"/>
      <c r="H43"/>
      <c r="K43"/>
      <c r="L43" s="12"/>
      <c r="M43"/>
      <c r="N43"/>
    </row>
    <row r="44" spans="2:14" x14ac:dyDescent="0.25">
      <c r="B44"/>
      <c r="C44"/>
      <c r="D44"/>
      <c r="E44"/>
    </row>
    <row r="45" spans="2:14" x14ac:dyDescent="0.25">
      <c r="B45"/>
      <c r="C45"/>
      <c r="D45"/>
      <c r="E45"/>
    </row>
    <row r="46" spans="2:14" x14ac:dyDescent="0.25">
      <c r="B46"/>
      <c r="C46"/>
      <c r="D46"/>
      <c r="E46"/>
    </row>
    <row r="47" spans="2:14" x14ac:dyDescent="0.25">
      <c r="B47"/>
      <c r="C47"/>
      <c r="D47"/>
      <c r="E47"/>
    </row>
    <row r="48" spans="2:14" x14ac:dyDescent="0.25">
      <c r="B48" s="5"/>
      <c r="C48" s="5"/>
      <c r="D48" s="3"/>
    </row>
    <row r="49" spans="2:4" x14ac:dyDescent="0.25">
      <c r="B49" s="5"/>
      <c r="C49" s="5"/>
      <c r="D49" s="3"/>
    </row>
    <row r="50" spans="2:4" x14ac:dyDescent="0.25">
      <c r="B50" s="5"/>
      <c r="C50" s="5"/>
      <c r="D50" s="3"/>
    </row>
    <row r="51" spans="2:4" x14ac:dyDescent="0.25">
      <c r="B51" s="5"/>
      <c r="C51" s="5"/>
    </row>
    <row r="52" spans="2:4" x14ac:dyDescent="0.25">
      <c r="B52" s="5"/>
      <c r="C52" s="5"/>
    </row>
  </sheetData>
  <autoFilter ref="A2:O12" xr:uid="{D12CA574-7460-41EF-8B5D-188A312AA43A}">
    <sortState xmlns:xlrd2="http://schemas.microsoft.com/office/spreadsheetml/2017/richdata2" ref="A3:O16">
      <sortCondition descending="1" ref="N2:N12"/>
    </sortState>
  </autoFilter>
  <mergeCells count="2">
    <mergeCell ref="K1:L1"/>
    <mergeCell ref="B1:E1"/>
  </mergeCells>
  <printOptions horizontalCentered="1"/>
  <pageMargins left="0" right="0" top="0.11811023622047245" bottom="0.11811023622047245" header="0" footer="0"/>
  <pageSetup paperSize="9" scale="69" fitToHeight="0" orientation="landscape"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95" id="{A6A88AA7-9413-4110-8CED-997273BCC48A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P3:P16</xm:sqref>
        </x14:conditionalFormatting>
        <x14:conditionalFormatting xmlns:xm="http://schemas.microsoft.com/office/excel/2006/main">
          <x14:cfRule type="iconSet" priority="3" id="{4DBB3D29-0894-4C56-AB11-9D30F8A3993F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Q3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1FABE-A52E-497E-92C4-08559E700FF0}">
  <sheetPr>
    <tabColor rgb="FF0070C0"/>
    <pageSetUpPr fitToPage="1"/>
  </sheetPr>
  <dimension ref="A1:R50"/>
  <sheetViews>
    <sheetView showGridLines="0" zoomScale="110" zoomScaleNormal="110" workbookViewId="0">
      <pane ySplit="2" topLeftCell="A3" activePane="bottomLeft" state="frozen"/>
      <selection activeCell="X49" sqref="X49"/>
      <selection pane="bottomLeft" activeCell="J18" sqref="J18"/>
    </sheetView>
  </sheetViews>
  <sheetFormatPr defaultColWidth="9.140625" defaultRowHeight="15.75" x14ac:dyDescent="0.25"/>
  <cols>
    <col min="1" max="1" width="10.140625" style="1" customWidth="1"/>
    <col min="2" max="2" width="41.140625" style="1" bestFit="1" customWidth="1"/>
    <col min="3" max="3" width="16.28515625" style="1" bestFit="1" customWidth="1"/>
    <col min="4" max="4" width="19.140625" style="2" bestFit="1" customWidth="1"/>
    <col min="5" max="5" width="47.28515625" style="2" bestFit="1" customWidth="1"/>
    <col min="6" max="6" width="11.85546875" style="1" hidden="1" customWidth="1"/>
    <col min="7" max="7" width="22.140625" style="2" hidden="1" customWidth="1"/>
    <col min="8" max="8" width="19.85546875" style="2" hidden="1" customWidth="1"/>
    <col min="9" max="9" width="19.28515625" style="1" bestFit="1" customWidth="1"/>
    <col min="10" max="10" width="16.7109375" style="1" bestFit="1" customWidth="1"/>
    <col min="11" max="11" width="13.28515625" style="2" hidden="1" customWidth="1"/>
    <col min="12" max="12" width="11.7109375" style="40" hidden="1" customWidth="1"/>
    <col min="13" max="13" width="14.140625" style="6" bestFit="1" customWidth="1"/>
    <col min="14" max="14" width="7.85546875" style="4" customWidth="1"/>
    <col min="15" max="15" width="16.28515625" style="1" bestFit="1" customWidth="1"/>
    <col min="16" max="16" width="4.42578125" customWidth="1"/>
    <col min="18" max="16384" width="9.140625" style="1"/>
  </cols>
  <sheetData>
    <row r="1" spans="1:18" ht="31.5" x14ac:dyDescent="0.25">
      <c r="A1" s="151" t="s">
        <v>691</v>
      </c>
      <c r="B1" s="164" t="str">
        <f>GERAL!B1</f>
        <v>FOLHA DE PAGAMENTO MARÇO/2026</v>
      </c>
      <c r="C1" s="164"/>
      <c r="D1" s="164"/>
      <c r="E1" s="164"/>
      <c r="G1" s="1"/>
      <c r="H1" s="1"/>
      <c r="I1" s="80">
        <f>SUBTOTAL(9,I3:I13)</f>
        <v>8403.9280555555561</v>
      </c>
      <c r="J1" s="80">
        <f>SUBTOTAL(9,J3:J13)</f>
        <v>14875.890000000001</v>
      </c>
      <c r="K1" s="163" t="s">
        <v>669</v>
      </c>
      <c r="L1" s="163"/>
      <c r="M1" s="80">
        <f>SUBTOTAL(9,M3:M13)</f>
        <v>81172.069999999992</v>
      </c>
      <c r="N1" s="1"/>
      <c r="O1" s="80">
        <f>'[1]SELETIVA MARINGÁ'!$M$1</f>
        <v>62318.62000000001</v>
      </c>
    </row>
    <row r="2" spans="1:18" s="7" customFormat="1" ht="30" customHeight="1" x14ac:dyDescent="0.25">
      <c r="A2" s="8" t="s">
        <v>670</v>
      </c>
      <c r="B2" s="8" t="s">
        <v>362</v>
      </c>
      <c r="C2" s="8" t="s">
        <v>671</v>
      </c>
      <c r="D2" s="8" t="s">
        <v>672</v>
      </c>
      <c r="E2" s="8" t="s">
        <v>673</v>
      </c>
      <c r="F2" s="8" t="s">
        <v>674</v>
      </c>
      <c r="G2" s="8" t="s">
        <v>675</v>
      </c>
      <c r="H2" s="8" t="s">
        <v>13</v>
      </c>
      <c r="I2" s="9" t="s">
        <v>676</v>
      </c>
      <c r="J2" s="9" t="s">
        <v>677</v>
      </c>
      <c r="K2" s="8" t="s">
        <v>678</v>
      </c>
      <c r="L2" s="41" t="s">
        <v>679</v>
      </c>
      <c r="M2" s="9" t="str">
        <f>GERAL!M2</f>
        <v>TT BRUTO
MARÇO</v>
      </c>
      <c r="N2" s="9" t="s">
        <v>681</v>
      </c>
      <c r="O2" s="9" t="str">
        <f>GERAL!O2</f>
        <v>TT BRUTO
FEVEREIRO</v>
      </c>
    </row>
    <row r="3" spans="1:18" x14ac:dyDescent="0.25">
      <c r="A3" s="76">
        <v>1</v>
      </c>
      <c r="B3" s="71" t="s">
        <v>157</v>
      </c>
      <c r="C3" s="43" t="str">
        <f>IFERROR(VLOOKUP($B3,'BASE+TOMADOR'!$A:$BS,3,FALSE),0)</f>
        <v>CLT</v>
      </c>
      <c r="D3" s="43" t="str">
        <f>VLOOKUP($B3,'BASE+TOMADOR'!$A:$BS,8,FALSE)</f>
        <v>OPERACIONAL</v>
      </c>
      <c r="E3" s="71" t="str">
        <f>VLOOKUP($B3,'BASE+TOMADOR'!$A:$BS,15,FALSE)</f>
        <v>OPERADOR MANTENEDOR PLENO</v>
      </c>
      <c r="F3" s="43" t="str">
        <f>VLOOKUP($B3,'BASE+TOMADOR'!$A:$BS,71,FALSE)</f>
        <v>Ativo</v>
      </c>
      <c r="G3" s="71" t="str">
        <f>VLOOKUP($B3,'BASE+TOMADOR'!$A:$BS,4,FALSE)</f>
        <v>G S FL 05 - BARUERI</v>
      </c>
      <c r="H3" s="71" t="str">
        <f>VLOOKUP($B3,'BASE+TOMADOR'!$A:$BS,7,FALSE)</f>
        <v>20.504.237/0005-40</v>
      </c>
      <c r="I3" s="72">
        <f>IFERROR(VLOOKUP($B3,'BASE+TOMADOR'!$A:$BS,62,FALSE),0)</f>
        <v>1020.7749999999999</v>
      </c>
      <c r="J3" s="72">
        <f>IFERROR(VLOOKUP($B3,'BASE+TOMADOR'!$A:$BS,67,FALSE),0)</f>
        <v>1853.13</v>
      </c>
      <c r="K3" s="73">
        <f>VLOOKUP($B3,'BASE+TOMADOR'!$A:$BS,55,FALSE)</f>
        <v>3013.3199999999997</v>
      </c>
      <c r="L3" s="73">
        <f>IFERROR(VLOOKUP($B3,'BASE+TOMADOR'!$A:$BS,56,FALSE),0)</f>
        <v>8263.02</v>
      </c>
      <c r="M3" s="72">
        <f>IFERROR(VLOOKUP($B3,'BASE+TOMADOR'!$A:$BS,58,FALSE),0)</f>
        <v>8263.02</v>
      </c>
      <c r="N3" s="74">
        <f t="shared" ref="N3:N12" si="0">M3/$M$1</f>
        <v>0.10179634448154397</v>
      </c>
      <c r="O3" s="72">
        <f>IFERROR(VLOOKUP(B3,'[1]BASE+TOMADOR'!$A:$BF,58,0),0)</f>
        <v>8562.8799999999992</v>
      </c>
      <c r="P3" s="67">
        <f>M3-O3</f>
        <v>-299.85999999999876</v>
      </c>
    </row>
    <row r="4" spans="1:18" x14ac:dyDescent="0.25">
      <c r="A4" s="76">
        <f>A3+1</f>
        <v>2</v>
      </c>
      <c r="B4" s="71" t="s">
        <v>128</v>
      </c>
      <c r="C4" s="43" t="str">
        <f>IFERROR(VLOOKUP($B4,'BASE+TOMADOR'!$A:$BS,3,FALSE),0)</f>
        <v>CLT</v>
      </c>
      <c r="D4" s="43" t="str">
        <f>VLOOKUP($B4,'BASE+TOMADOR'!$A:$BS,8,FALSE)</f>
        <v>OPERACIONAL</v>
      </c>
      <c r="E4" s="71" t="str">
        <f>VLOOKUP($B4,'BASE+TOMADOR'!$A:$BS,15,FALSE)</f>
        <v>OPERADOR MANTENEDOR SENIOR</v>
      </c>
      <c r="F4" s="43" t="str">
        <f>VLOOKUP($B4,'BASE+TOMADOR'!$A:$BS,71,FALSE)</f>
        <v>Ativo</v>
      </c>
      <c r="G4" s="71" t="str">
        <f>VLOOKUP($B4,'BASE+TOMADOR'!$A:$BS,4,FALSE)</f>
        <v>G S FL 04 - MARINGA</v>
      </c>
      <c r="H4" s="71" t="str">
        <f>VLOOKUP($B4,'BASE+TOMADOR'!$A:$BS,7,FALSE)</f>
        <v>20.504.237/0004-60</v>
      </c>
      <c r="I4" s="72">
        <f>IFERROR(VLOOKUP($B4,'BASE+TOMADOR'!$A:$BS,62,FALSE),0)</f>
        <v>1211.4394444444447</v>
      </c>
      <c r="J4" s="72">
        <f>IFERROR(VLOOKUP($B4,'BASE+TOMADOR'!$A:$BS,67,FALSE),0)</f>
        <v>2292.7200000000003</v>
      </c>
      <c r="K4" s="73">
        <f>VLOOKUP($B4,'BASE+TOMADOR'!$A:$BS,55,FALSE)</f>
        <v>1573.0800000000002</v>
      </c>
      <c r="L4" s="73">
        <f>IFERROR(VLOOKUP($B4,'BASE+TOMADOR'!$A:$BS,56,FALSE),0)</f>
        <v>7803.34</v>
      </c>
      <c r="M4" s="72">
        <f>IFERROR(VLOOKUP($B4,'BASE+TOMADOR'!$A:$BS,58,FALSE),0)</f>
        <v>7803.34</v>
      </c>
      <c r="N4" s="74">
        <f t="shared" si="0"/>
        <v>9.6133312850097338E-2</v>
      </c>
      <c r="O4" s="72">
        <f>IFERROR(VLOOKUP(B4,'[1]BASE+TOMADOR'!$A:$BF,58,0),0)</f>
        <v>6155.9</v>
      </c>
      <c r="P4" s="67">
        <f t="shared" ref="P4:P11" si="1">M4-O4</f>
        <v>1647.4400000000005</v>
      </c>
    </row>
    <row r="5" spans="1:18" x14ac:dyDescent="0.25">
      <c r="A5" s="76">
        <f t="shared" ref="A5:A11" si="2">A4+1</f>
        <v>3</v>
      </c>
      <c r="B5" s="71" t="s">
        <v>136</v>
      </c>
      <c r="C5" s="43" t="str">
        <f>IFERROR(VLOOKUP($B5,'BASE+TOMADOR'!$A:$BS,3,FALSE),0)</f>
        <v>CLT</v>
      </c>
      <c r="D5" s="43" t="str">
        <f>VLOOKUP($B5,'BASE+TOMADOR'!$A:$BS,8,FALSE)</f>
        <v>LOGISTICA</v>
      </c>
      <c r="E5" s="71" t="str">
        <f>VLOOKUP($B5,'BASE+TOMADOR'!$A:$BS,15,FALSE)</f>
        <v>MOTORISTA CARRETEIRO MANTENEDOR SENIOR I</v>
      </c>
      <c r="F5" s="43" t="str">
        <f>VLOOKUP($B5,'BASE+TOMADOR'!$A:$BS,71,FALSE)</f>
        <v>Ativo</v>
      </c>
      <c r="G5" s="71" t="str">
        <f>VLOOKUP($B5,'BASE+TOMADOR'!$A:$BS,4,FALSE)</f>
        <v>G S FL 04 - MARINGA</v>
      </c>
      <c r="H5" s="71" t="str">
        <f>VLOOKUP($B5,'BASE+TOMADOR'!$A:$BS,7,FALSE)</f>
        <v>20.504.237/0004-60</v>
      </c>
      <c r="I5" s="72">
        <f>IFERROR(VLOOKUP($B5,'BASE+TOMADOR'!$A:$BS,62,FALSE),0)</f>
        <v>1067.5252777777775</v>
      </c>
      <c r="J5" s="72">
        <f>IFERROR(VLOOKUP($B5,'BASE+TOMADOR'!$A:$BS,67,FALSE),0)</f>
        <v>2020.3600000000001</v>
      </c>
      <c r="K5" s="73">
        <f>VLOOKUP($B5,'BASE+TOMADOR'!$A:$BS,55,FALSE)</f>
        <v>2228.23</v>
      </c>
      <c r="L5" s="73">
        <f>IFERROR(VLOOKUP($B5,'BASE+TOMADOR'!$A:$BS,56,FALSE),0)</f>
        <v>7718.3599999999988</v>
      </c>
      <c r="M5" s="72">
        <f>IFERROR(VLOOKUP($B5,'BASE+TOMADOR'!$A:$BS,58,FALSE),0)</f>
        <v>7718.3599999999988</v>
      </c>
      <c r="N5" s="74">
        <f t="shared" si="0"/>
        <v>9.5086401024391753E-2</v>
      </c>
      <c r="O5" s="72">
        <f>IFERROR(VLOOKUP(B5,'[1]BASE+TOMADOR'!$A:$BF,58,0),0)</f>
        <v>7220.29</v>
      </c>
      <c r="P5" s="67">
        <f t="shared" si="1"/>
        <v>498.0699999999988</v>
      </c>
    </row>
    <row r="6" spans="1:18" s="66" customFormat="1" x14ac:dyDescent="0.25">
      <c r="A6" s="76">
        <f t="shared" si="2"/>
        <v>4</v>
      </c>
      <c r="B6" s="71" t="s">
        <v>463</v>
      </c>
      <c r="C6" s="43" t="str">
        <f>IFERROR(VLOOKUP($B6,'BASE+TOMADOR'!$A:$BS,3,FALSE),0)</f>
        <v>PJ</v>
      </c>
      <c r="D6" s="43" t="str">
        <f>VLOOKUP($B6,'BASE+TOMADOR'!$A:$BS,8,FALSE)</f>
        <v>SELETIVA MARINGA</v>
      </c>
      <c r="E6" s="71" t="str">
        <f>VLOOKUP($B6,'BASE+TOMADOR'!$A:$BS,15,FALSE)</f>
        <v>COMPRADOR</v>
      </c>
      <c r="F6" s="43" t="str">
        <f>VLOOKUP($B6,'BASE+TOMADOR'!$A:$BS,71,FALSE)</f>
        <v>Ativo</v>
      </c>
      <c r="G6" s="71" t="str">
        <f>VLOOKUP($B6,'BASE+TOMADOR'!$A:$BS,4,FALSE)</f>
        <v>G3S FL 06 - MARINGA</v>
      </c>
      <c r="H6" s="71" t="str">
        <f>VLOOKUP($B6,'BASE+TOMADOR'!$A:$BS,7,FALSE)</f>
        <v>CONTRATO PJ</v>
      </c>
      <c r="I6" s="72">
        <f>IFERROR(VLOOKUP($B6,'BASE+TOMADOR'!$A:$BS,62,FALSE),0)</f>
        <v>666.66666666666663</v>
      </c>
      <c r="J6" s="72">
        <f>IFERROR(VLOOKUP($B6,'BASE+TOMADOR'!$A:$BS,67,FALSE),0)</f>
        <v>0</v>
      </c>
      <c r="K6" s="73">
        <f>VLOOKUP($B6,'BASE+TOMADOR'!$A:$BS,55,FALSE)</f>
        <v>21.87</v>
      </c>
      <c r="L6" s="73">
        <f>IFERROR(VLOOKUP($B6,'BASE+TOMADOR'!$A:$BS,56,FALSE),0)</f>
        <v>8021.87</v>
      </c>
      <c r="M6" s="72">
        <f>IFERROR(VLOOKUP($B6,'BASE+TOMADOR'!$A:$BS,58,FALSE),0)</f>
        <v>8021.87</v>
      </c>
      <c r="N6" s="74">
        <f t="shared" si="0"/>
        <v>9.8825495025567298E-2</v>
      </c>
      <c r="O6" s="72">
        <f>IFERROR(VLOOKUP(B6,'[1]BASE+TOMADOR'!$A:$BF,58,0),0)</f>
        <v>7300</v>
      </c>
      <c r="P6" s="67">
        <f t="shared" si="1"/>
        <v>721.86999999999989</v>
      </c>
    </row>
    <row r="7" spans="1:18" x14ac:dyDescent="0.25">
      <c r="A7" s="76">
        <f t="shared" si="2"/>
        <v>5</v>
      </c>
      <c r="B7" s="71" t="s">
        <v>354</v>
      </c>
      <c r="C7" s="43" t="str">
        <f>IFERROR(VLOOKUP($B7,'BASE+TOMADOR'!$A:$BS,3,FALSE),0)</f>
        <v>CLT</v>
      </c>
      <c r="D7" s="43" t="str">
        <f>VLOOKUP($B7,'BASE+TOMADOR'!$A:$BS,8,FALSE)</f>
        <v>OPERACIONAL</v>
      </c>
      <c r="E7" s="71" t="str">
        <f>VLOOKUP($B7,'BASE+TOMADOR'!$A:$BS,15,FALSE)</f>
        <v>GERENTE DE PATIO SENIOR</v>
      </c>
      <c r="F7" s="43" t="str">
        <f>VLOOKUP($B7,'BASE+TOMADOR'!$A:$BS,71,FALSE)</f>
        <v>Ativo</v>
      </c>
      <c r="G7" s="71" t="str">
        <f>VLOOKUP($B7,'BASE+TOMADOR'!$A:$BS,4,FALSE)</f>
        <v>G3S FL 06 - MARINGA</v>
      </c>
      <c r="H7" s="71" t="str">
        <f>VLOOKUP($B7,'BASE+TOMADOR'!$A:$BS,7,FALSE)</f>
        <v>20.947.332/0006-08</v>
      </c>
      <c r="I7" s="72">
        <f>IFERROR(VLOOKUP($B7,'BASE+TOMADOR'!$A:$BS,62,FALSE),0)</f>
        <v>1119.1930555555557</v>
      </c>
      <c r="J7" s="72">
        <f>IFERROR(VLOOKUP($B7,'BASE+TOMADOR'!$A:$BS,67,FALSE),0)</f>
        <v>2031.79</v>
      </c>
      <c r="K7" s="73">
        <f>VLOOKUP($B7,'BASE+TOMADOR'!$A:$BS,55,FALSE)</f>
        <v>1294.8</v>
      </c>
      <c r="L7" s="73">
        <f>IFERROR(VLOOKUP($B7,'BASE+TOMADOR'!$A:$BS,56,FALSE),0)</f>
        <v>7050.6500000000005</v>
      </c>
      <c r="M7" s="72">
        <f>IFERROR(VLOOKUP($B7,'BASE+TOMADOR'!$A:$BS,58,FALSE),0)</f>
        <v>7050.6500000000005</v>
      </c>
      <c r="N7" s="74">
        <f t="shared" si="0"/>
        <v>8.6860542055906681E-2</v>
      </c>
      <c r="O7" s="72">
        <f>IFERROR(VLOOKUP(B7,'[1]BASE+TOMADOR'!$A:$BF,58,0),0)</f>
        <v>10447.1</v>
      </c>
      <c r="P7" s="67">
        <f t="shared" si="1"/>
        <v>-3396.45</v>
      </c>
      <c r="R7" s="68" t="s">
        <v>683</v>
      </c>
    </row>
    <row r="8" spans="1:18" customFormat="1" ht="16.149999999999999" customHeight="1" x14ac:dyDescent="0.25">
      <c r="A8" s="76">
        <f t="shared" si="2"/>
        <v>6</v>
      </c>
      <c r="B8" s="71" t="s">
        <v>137</v>
      </c>
      <c r="C8" s="43" t="str">
        <f>IFERROR(VLOOKUP($B8,'BASE+TOMADOR'!$A:$BS,3,FALSE),0)</f>
        <v>CLT</v>
      </c>
      <c r="D8" s="43" t="str">
        <f>VLOOKUP($B8,'BASE+TOMADOR'!$A:$BS,8,FALSE)</f>
        <v>LOGISTICA</v>
      </c>
      <c r="E8" s="71" t="str">
        <f>VLOOKUP($B8,'BASE+TOMADOR'!$A:$BS,15,FALSE)</f>
        <v>MOTORISTA CARRETEIRO MANTENEDOR SENIOR I</v>
      </c>
      <c r="F8" s="43" t="str">
        <f>VLOOKUP($B8,'BASE+TOMADOR'!$A:$BS,71,FALSE)</f>
        <v>Ativo</v>
      </c>
      <c r="G8" s="71" t="str">
        <f>VLOOKUP($B8,'BASE+TOMADOR'!$A:$BS,4,FALSE)</f>
        <v>G S FL 04 - MARINGA</v>
      </c>
      <c r="H8" s="71" t="str">
        <f>VLOOKUP($B8,'BASE+TOMADOR'!$A:$BS,7,FALSE)</f>
        <v>20.504.237/0004-60</v>
      </c>
      <c r="I8" s="72">
        <f>IFERROR(VLOOKUP($B8,'BASE+TOMADOR'!$A:$BS,62,FALSE),0)</f>
        <v>1085.7622222222221</v>
      </c>
      <c r="J8" s="72">
        <f>IFERROR(VLOOKUP($B8,'BASE+TOMADOR'!$A:$BS,67,FALSE),0)</f>
        <v>2054.86</v>
      </c>
      <c r="K8" s="73">
        <f>VLOOKUP($B8,'BASE+TOMADOR'!$A:$BS,55,FALSE)</f>
        <v>1433.19</v>
      </c>
      <c r="L8" s="73">
        <f>IFERROR(VLOOKUP($B8,'BASE+TOMADOR'!$A:$BS,56,FALSE),0)</f>
        <v>7017.1100000000006</v>
      </c>
      <c r="M8" s="72">
        <f>IFERROR(VLOOKUP($B8,'BASE+TOMADOR'!$A:$BS,58,FALSE),0)</f>
        <v>7017.1100000000006</v>
      </c>
      <c r="N8" s="74">
        <f t="shared" si="0"/>
        <v>8.6447345743431228E-2</v>
      </c>
      <c r="O8" s="72">
        <f>IFERROR(VLOOKUP(B8,'[1]BASE+TOMADOR'!$A:$BF,58,0),0)</f>
        <v>6535.91</v>
      </c>
      <c r="P8" s="67">
        <f t="shared" si="1"/>
        <v>481.20000000000073</v>
      </c>
      <c r="R8" s="1"/>
    </row>
    <row r="9" spans="1:18" customFormat="1" ht="16.149999999999999" customHeight="1" x14ac:dyDescent="0.25">
      <c r="A9" s="76">
        <f t="shared" si="2"/>
        <v>7</v>
      </c>
      <c r="B9" s="71" t="s">
        <v>357</v>
      </c>
      <c r="C9" s="43" t="str">
        <f>IFERROR(VLOOKUP($B9,'BASE+TOMADOR'!$A:$BS,3,FALSE),0)</f>
        <v>CLT</v>
      </c>
      <c r="D9" s="43" t="str">
        <f>VLOOKUP($B9,'BASE+TOMADOR'!$A:$BS,8,FALSE)</f>
        <v>ADMINISTRATIVO</v>
      </c>
      <c r="E9" s="71" t="str">
        <f>VLOOKUP($B9,'BASE+TOMADOR'!$A:$BS,15,FALSE)</f>
        <v>AUX ADMINISTRATIVO PLENO</v>
      </c>
      <c r="F9" s="43" t="str">
        <f>VLOOKUP($B9,'BASE+TOMADOR'!$A:$BS,71,FALSE)</f>
        <v>Ativo</v>
      </c>
      <c r="G9" s="71" t="str">
        <f>VLOOKUP($B9,'BASE+TOMADOR'!$A:$BS,4,FALSE)</f>
        <v>G3S FL 06 - MARINGA</v>
      </c>
      <c r="H9" s="71" t="str">
        <f>VLOOKUP($B9,'BASE+TOMADOR'!$A:$BS,7,FALSE)</f>
        <v>20.947.332/0006-08</v>
      </c>
      <c r="I9" s="72">
        <f>IFERROR(VLOOKUP($B9,'BASE+TOMADOR'!$A:$BS,62,FALSE),0)</f>
        <v>655.50527777777779</v>
      </c>
      <c r="J9" s="72">
        <f>IFERROR(VLOOKUP($B9,'BASE+TOMADOR'!$A:$BS,67,FALSE),0)</f>
        <v>1190</v>
      </c>
      <c r="K9" s="73">
        <f>VLOOKUP($B9,'BASE+TOMADOR'!$A:$BS,55,FALSE)</f>
        <v>765.31999999999994</v>
      </c>
      <c r="L9" s="73">
        <f>IFERROR(VLOOKUP($B9,'BASE+TOMADOR'!$A:$BS,56,FALSE),0)</f>
        <v>4136.49</v>
      </c>
      <c r="M9" s="72">
        <f>IFERROR(VLOOKUP($B9,'BASE+TOMADOR'!$A:$BS,58,FALSE),0)</f>
        <v>4136.49</v>
      </c>
      <c r="N9" s="74">
        <f t="shared" si="0"/>
        <v>5.0959523392713778E-2</v>
      </c>
      <c r="O9" s="72">
        <f>IFERROR(VLOOKUP(B9,'[1]BASE+TOMADOR'!$A:$BF,58,0),0)</f>
        <v>3527.19</v>
      </c>
      <c r="P9" s="67">
        <f t="shared" si="1"/>
        <v>609.29999999999973</v>
      </c>
      <c r="R9" s="1"/>
    </row>
    <row r="10" spans="1:18" customFormat="1" ht="16.149999999999999" customHeight="1" x14ac:dyDescent="0.25">
      <c r="A10" s="76">
        <f t="shared" si="2"/>
        <v>8</v>
      </c>
      <c r="B10" s="71" t="s">
        <v>359</v>
      </c>
      <c r="C10" s="43" t="str">
        <f>IFERROR(VLOOKUP($B10,'BASE+TOMADOR'!$A:$BS,3,FALSE),0)</f>
        <v>CLT</v>
      </c>
      <c r="D10" s="43" t="str">
        <f>VLOOKUP($B10,'BASE+TOMADOR'!$A:$BS,8,FALSE)</f>
        <v>OPERACIONAL</v>
      </c>
      <c r="E10" s="71" t="str">
        <f>VLOOKUP($B10,'BASE+TOMADOR'!$A:$BS,15,FALSE)</f>
        <v>CLASSIFICADOR PLENO</v>
      </c>
      <c r="F10" s="43" t="str">
        <f>VLOOKUP($B10,'BASE+TOMADOR'!$A:$BS,71,FALSE)</f>
        <v>Ativo</v>
      </c>
      <c r="G10" s="71" t="str">
        <f>VLOOKUP($B10,'BASE+TOMADOR'!$A:$BS,4,FALSE)</f>
        <v>G3S FL 06 - MARINGA</v>
      </c>
      <c r="H10" s="71" t="str">
        <f>VLOOKUP($B10,'BASE+TOMADOR'!$A:$BS,7,FALSE)</f>
        <v>20.947.332/0006-08</v>
      </c>
      <c r="I10" s="72">
        <f>IFERROR(VLOOKUP($B10,'BASE+TOMADOR'!$A:$BS,62,FALSE),0)</f>
        <v>471.03194444444438</v>
      </c>
      <c r="J10" s="72">
        <f>IFERROR(VLOOKUP($B10,'BASE+TOMADOR'!$A:$BS,67,FALSE),0)</f>
        <v>855.11</v>
      </c>
      <c r="K10" s="73">
        <f>VLOOKUP($B10,'BASE+TOMADOR'!$A:$BS,55,FALSE)</f>
        <v>774.31999999999994</v>
      </c>
      <c r="L10" s="73">
        <f>IFERROR(VLOOKUP($B10,'BASE+TOMADOR'!$A:$BS,56,FALSE),0)</f>
        <v>3196.7699999999995</v>
      </c>
      <c r="M10" s="72">
        <f>IFERROR(VLOOKUP($B10,'BASE+TOMADOR'!$A:$BS,58,FALSE),0)</f>
        <v>3196.7699999999995</v>
      </c>
      <c r="N10" s="74">
        <f t="shared" si="0"/>
        <v>3.9382634938347635E-2</v>
      </c>
      <c r="O10" s="72">
        <f>IFERROR(VLOOKUP(B10,'[1]BASE+TOMADOR'!$A:$BF,58,0),0)</f>
        <v>2343.37</v>
      </c>
      <c r="P10" s="67">
        <f t="shared" si="1"/>
        <v>853.39999999999964</v>
      </c>
      <c r="R10" s="1"/>
    </row>
    <row r="11" spans="1:18" customFormat="1" ht="16.149999999999999" customHeight="1" x14ac:dyDescent="0.25">
      <c r="A11" s="76">
        <f t="shared" si="2"/>
        <v>9</v>
      </c>
      <c r="B11" s="71" t="s">
        <v>358</v>
      </c>
      <c r="C11" s="43" t="str">
        <f>IFERROR(VLOOKUP($B11,'BASE+TOMADOR'!$A:$BS,3,FALSE),0)</f>
        <v>CLT</v>
      </c>
      <c r="D11" s="43" t="str">
        <f>VLOOKUP($B11,'BASE+TOMADOR'!$A:$BS,8,FALSE)</f>
        <v>ADMINISTRATIVO</v>
      </c>
      <c r="E11" s="71" t="str">
        <f>VLOOKUP($B11,'BASE+TOMADOR'!$A:$BS,15,FALSE)</f>
        <v>AUX ADMINISTRATIVO JUNIOR</v>
      </c>
      <c r="F11" s="43" t="str">
        <f>VLOOKUP($B11,'BASE+TOMADOR'!$A:$BS,71,FALSE)</f>
        <v>Ativo</v>
      </c>
      <c r="G11" s="71" t="str">
        <f>VLOOKUP($B11,'BASE+TOMADOR'!$A:$BS,4,FALSE)</f>
        <v>G3S FL 06 - MARINGA</v>
      </c>
      <c r="H11" s="71" t="str">
        <f>VLOOKUP($B11,'BASE+TOMADOR'!$A:$BS,7,FALSE)</f>
        <v>20.947.332/0006-08</v>
      </c>
      <c r="I11" s="72">
        <f>IFERROR(VLOOKUP($B11,'BASE+TOMADOR'!$A:$BS,62,FALSE),0)</f>
        <v>510.05888888888887</v>
      </c>
      <c r="J11" s="72">
        <f>IFERROR(VLOOKUP($B11,'BASE+TOMADOR'!$A:$BS,67,FALSE),0)</f>
        <v>934.51</v>
      </c>
      <c r="K11" s="73">
        <f>VLOOKUP($B11,'BASE+TOMADOR'!$A:$BS,55,FALSE)</f>
        <v>456.6</v>
      </c>
      <c r="L11" s="73">
        <f>IFERROR(VLOOKUP($B11,'BASE+TOMADOR'!$A:$BS,56,FALSE),0)</f>
        <v>3079.7599999999998</v>
      </c>
      <c r="M11" s="72">
        <f>IFERROR(VLOOKUP($B11,'BASE+TOMADOR'!$A:$BS,58,FALSE),0)</f>
        <v>3079.7599999999998</v>
      </c>
      <c r="N11" s="74">
        <f t="shared" si="0"/>
        <v>3.7941129257883899E-2</v>
      </c>
      <c r="O11" s="72">
        <f>IFERROR(VLOOKUP(B11,'[1]BASE+TOMADOR'!$A:$BF,58,0),0)</f>
        <v>2858.2799999999997</v>
      </c>
      <c r="P11" s="67">
        <f t="shared" si="1"/>
        <v>221.48000000000002</v>
      </c>
      <c r="R11" s="1"/>
    </row>
    <row r="12" spans="1:18" customFormat="1" ht="16.149999999999999" customHeight="1" x14ac:dyDescent="0.25">
      <c r="A12" s="76">
        <v>10</v>
      </c>
      <c r="B12" s="71" t="s">
        <v>361</v>
      </c>
      <c r="C12" s="43" t="str">
        <f>IFERROR(VLOOKUP($B12,'BASE+TOMADOR'!$A:$BS,3,FALSE),0)</f>
        <v>CLT</v>
      </c>
      <c r="D12" s="43" t="str">
        <f>VLOOKUP($B12,'BASE+TOMADOR'!$A:$BS,8,FALSE)</f>
        <v>OPERACIONAL</v>
      </c>
      <c r="E12" s="71" t="str">
        <f>VLOOKUP($B12,'BASE+TOMADOR'!$A:$BS,15,FALSE)</f>
        <v>AUXILIAR DE PATIO JUNIOR</v>
      </c>
      <c r="F12" s="43" t="str">
        <f>VLOOKUP($B12,'BASE+TOMADOR'!$A:$BS,71,FALSE)</f>
        <v>Ativo</v>
      </c>
      <c r="G12" s="71" t="str">
        <f>VLOOKUP($B12,'BASE+TOMADOR'!$A:$BS,4,FALSE)</f>
        <v>G3S FL 06 - MARINGA</v>
      </c>
      <c r="H12" s="71" t="str">
        <f>VLOOKUP($B12,'BASE+TOMADOR'!$A:$BS,7,FALSE)</f>
        <v>20.947.332/0006-08</v>
      </c>
      <c r="I12" s="72">
        <f>IFERROR(VLOOKUP($B12,'BASE+TOMADOR'!$A:$BS,62,FALSE),0)</f>
        <v>0</v>
      </c>
      <c r="J12" s="72">
        <f>IFERROR(VLOOKUP($B12,'BASE+TOMADOR'!$A:$BS,67,FALSE),0)</f>
        <v>760.70999999999992</v>
      </c>
      <c r="K12" s="73">
        <f>VLOOKUP($B12,'BASE+TOMADOR'!$A:$BS,55,FALSE)</f>
        <v>770.45</v>
      </c>
      <c r="L12" s="73">
        <f>IFERROR(VLOOKUP($B12,'BASE+TOMADOR'!$A:$BS,56,FALSE),0)</f>
        <v>2925.45</v>
      </c>
      <c r="M12" s="72">
        <f>IFERROR(VLOOKUP($B12,'BASE+TOMADOR'!$A:$BS,58,FALSE),0)</f>
        <v>2925.45</v>
      </c>
      <c r="N12" s="74">
        <f t="shared" si="0"/>
        <v>3.604010591327781E-2</v>
      </c>
      <c r="O12" s="72">
        <f>IFERROR(VLOOKUP(B12,'[1]BASE+TOMADOR'!$A:$BF,58,0),0)</f>
        <v>0</v>
      </c>
      <c r="P12" s="67">
        <f t="shared" ref="P12" si="3">M12-O12</f>
        <v>2925.45</v>
      </c>
      <c r="R12" s="1"/>
    </row>
    <row r="13" spans="1:18" customFormat="1" ht="16.149999999999999" customHeight="1" x14ac:dyDescent="0.25">
      <c r="A13" s="76">
        <v>1</v>
      </c>
      <c r="B13" s="71" t="s">
        <v>133</v>
      </c>
      <c r="C13" s="43" t="str">
        <f>IFERROR(VLOOKUP($B13,'BASE+TOMADOR'!$A:$BS,3,FALSE),0)</f>
        <v>CLT</v>
      </c>
      <c r="D13" s="43" t="str">
        <f>VLOOKUP($B13,'BASE+TOMADOR'!$A:$BS,8,FALSE)</f>
        <v>LOGISTICA</v>
      </c>
      <c r="E13" s="71" t="str">
        <f>VLOOKUP($B13,'BASE+TOMADOR'!$A:$BS,15,FALSE)</f>
        <v>MOTORISTA CARRETEIRO MANTENEDOR SENIOR I</v>
      </c>
      <c r="F13" s="43" t="str">
        <f>VLOOKUP($B13,'BASE+TOMADOR'!$A:$BS,71,FALSE)</f>
        <v>Desligado</v>
      </c>
      <c r="G13" s="71" t="str">
        <f>VLOOKUP($B13,'BASE+TOMADOR'!$A:$BS,4,FALSE)</f>
        <v>G S FL 04 - MARINGA</v>
      </c>
      <c r="H13" s="71" t="str">
        <f>VLOOKUP($B13,'BASE+TOMADOR'!$A:$BS,7,FALSE)</f>
        <v>20.504.237/0004-60</v>
      </c>
      <c r="I13" s="72">
        <f>IFERROR(VLOOKUP($B13,'BASE+TOMADOR'!$A:$BS,62,FALSE),0)</f>
        <v>595.97027777777771</v>
      </c>
      <c r="J13" s="72">
        <f>IFERROR(VLOOKUP($B13,'BASE+TOMADOR'!$A:$BS,67,FALSE),0)</f>
        <v>882.7</v>
      </c>
      <c r="K13" s="73">
        <f>VLOOKUP($B13,'BASE+TOMADOR'!$A:$BS,55,FALSE)</f>
        <v>2223.0700000000002</v>
      </c>
      <c r="L13" s="73">
        <f>IFERROR(VLOOKUP($B13,'BASE+TOMADOR'!$A:$BS,56,FALSE),0)</f>
        <v>5288.0599999999995</v>
      </c>
      <c r="M13" s="72">
        <f>IFERROR(VLOOKUP($B13,'BASE+TOMADOR'!$A:$BS,70,FALSE),0)</f>
        <v>21959.25</v>
      </c>
      <c r="N13" s="74">
        <v>0</v>
      </c>
      <c r="O13" s="72"/>
      <c r="P13" s="67"/>
      <c r="R13" s="1"/>
    </row>
    <row r="14" spans="1:18" customFormat="1" ht="16.149999999999999" customHeight="1" x14ac:dyDescent="0.25">
      <c r="A14" s="1"/>
      <c r="B14" s="3"/>
      <c r="C14" s="1"/>
      <c r="D14" s="2"/>
      <c r="E14" s="2"/>
      <c r="F14" s="1"/>
      <c r="G14" s="2"/>
      <c r="H14" s="2"/>
      <c r="I14" s="49"/>
      <c r="J14" s="49"/>
      <c r="K14" s="48"/>
      <c r="L14" s="48"/>
      <c r="M14" s="49"/>
      <c r="N14" s="50"/>
      <c r="O14" s="49"/>
      <c r="P14" s="67"/>
      <c r="R14" s="1"/>
    </row>
    <row r="15" spans="1:18" customFormat="1" ht="16.149999999999999" customHeight="1" x14ac:dyDescent="0.25">
      <c r="A15" s="1"/>
      <c r="B15" s="98" t="s">
        <v>2</v>
      </c>
      <c r="C15" s="1" t="s">
        <v>684</v>
      </c>
      <c r="D15" s="1" t="s">
        <v>685</v>
      </c>
      <c r="E15" s="2"/>
      <c r="F15" s="1"/>
      <c r="G15" s="2"/>
      <c r="H15" s="2"/>
      <c r="I15" s="1"/>
      <c r="J15" s="1"/>
      <c r="K15" s="2"/>
      <c r="L15" s="40"/>
      <c r="M15" s="6"/>
      <c r="N15" s="4"/>
      <c r="O15" s="1"/>
      <c r="R15" s="1"/>
    </row>
    <row r="16" spans="1:18" customFormat="1" ht="16.149999999999999" customHeight="1" x14ac:dyDescent="0.25">
      <c r="A16" s="1"/>
      <c r="B16" s="2" t="s">
        <v>426</v>
      </c>
      <c r="C16" s="1">
        <v>10</v>
      </c>
      <c r="D16" s="48">
        <v>59212.82</v>
      </c>
      <c r="E16" s="2"/>
      <c r="F16" s="1"/>
      <c r="G16" s="2"/>
      <c r="H16" s="2"/>
      <c r="I16" s="1"/>
      <c r="J16" s="1"/>
      <c r="K16" s="2"/>
      <c r="L16" s="40"/>
      <c r="M16" s="6"/>
      <c r="N16" s="4"/>
      <c r="O16" s="1"/>
      <c r="R16" s="1"/>
    </row>
    <row r="17" spans="1:18" customFormat="1" ht="16.149999999999999" customHeight="1" x14ac:dyDescent="0.25">
      <c r="A17" s="1"/>
      <c r="B17" s="99" t="s">
        <v>5</v>
      </c>
      <c r="C17" s="1">
        <v>9</v>
      </c>
      <c r="D17" s="48">
        <v>51190.95</v>
      </c>
      <c r="E17" s="2"/>
      <c r="F17" s="1"/>
      <c r="G17" s="2"/>
      <c r="H17" s="2"/>
      <c r="I17" s="1"/>
      <c r="J17" s="1"/>
      <c r="K17" s="2"/>
      <c r="L17" s="40"/>
      <c r="M17" s="6"/>
      <c r="N17" s="4"/>
      <c r="O17" s="1"/>
      <c r="R17" s="1"/>
    </row>
    <row r="18" spans="1:18" customFormat="1" ht="16.149999999999999" customHeight="1" x14ac:dyDescent="0.25">
      <c r="A18" s="1"/>
      <c r="B18" s="99" t="s">
        <v>8</v>
      </c>
      <c r="C18" s="1">
        <v>1</v>
      </c>
      <c r="D18" s="48">
        <v>8021.87</v>
      </c>
      <c r="E18" s="2"/>
      <c r="F18" s="1"/>
      <c r="G18" s="2"/>
      <c r="H18" s="2"/>
      <c r="I18" s="1"/>
      <c r="J18" s="1"/>
      <c r="K18" s="2"/>
      <c r="L18" s="40"/>
      <c r="M18" s="6"/>
      <c r="N18" s="4"/>
      <c r="O18" s="1"/>
      <c r="R18" s="1"/>
    </row>
    <row r="19" spans="1:18" customFormat="1" ht="16.149999999999999" customHeight="1" x14ac:dyDescent="0.25">
      <c r="A19" s="1"/>
      <c r="B19" s="2" t="s">
        <v>455</v>
      </c>
      <c r="C19" s="1">
        <v>1</v>
      </c>
      <c r="D19" s="48">
        <v>21959.25</v>
      </c>
      <c r="E19" s="2"/>
      <c r="F19" s="1"/>
      <c r="G19" s="2"/>
      <c r="H19" s="2"/>
      <c r="I19" s="1"/>
      <c r="J19" s="1"/>
      <c r="K19" s="2"/>
      <c r="L19" s="40"/>
      <c r="M19" s="6"/>
      <c r="N19" s="4"/>
      <c r="O19" s="1"/>
      <c r="R19" s="1"/>
    </row>
    <row r="20" spans="1:18" customFormat="1" ht="16.149999999999999" customHeight="1" x14ac:dyDescent="0.25">
      <c r="A20" s="1"/>
      <c r="B20" s="99" t="s">
        <v>5</v>
      </c>
      <c r="C20" s="1">
        <v>1</v>
      </c>
      <c r="D20" s="48">
        <v>21959.25</v>
      </c>
      <c r="E20" s="2"/>
      <c r="F20" s="1"/>
      <c r="G20" s="2"/>
      <c r="H20" s="2"/>
      <c r="I20" s="1"/>
      <c r="J20" s="1"/>
      <c r="K20" s="2"/>
      <c r="L20" s="40"/>
      <c r="M20" s="6"/>
      <c r="N20" s="4"/>
      <c r="O20" s="1"/>
      <c r="R20" s="1"/>
    </row>
    <row r="21" spans="1:18" customFormat="1" ht="16.149999999999999" customHeight="1" x14ac:dyDescent="0.25">
      <c r="A21" s="1"/>
      <c r="B21" s="1" t="s">
        <v>686</v>
      </c>
      <c r="C21" s="1">
        <v>11</v>
      </c>
      <c r="D21" s="48">
        <v>81172.070000000007</v>
      </c>
      <c r="E21" s="2"/>
      <c r="F21" s="1"/>
      <c r="G21" s="2"/>
      <c r="H21" s="2"/>
      <c r="I21" s="1"/>
      <c r="J21" s="1"/>
      <c r="K21" s="2"/>
      <c r="L21" s="40"/>
      <c r="M21" s="6"/>
      <c r="N21" s="4"/>
      <c r="O21" s="1"/>
      <c r="R21" s="1"/>
    </row>
    <row r="22" spans="1:18" customFormat="1" ht="16.149999999999999" customHeight="1" x14ac:dyDescent="0.25">
      <c r="A22" s="1"/>
      <c r="B22" s="101"/>
      <c r="C22" s="101"/>
      <c r="D22" s="101"/>
      <c r="E22" s="2"/>
      <c r="F22" s="1"/>
      <c r="G22" s="2"/>
      <c r="H22" s="2"/>
      <c r="I22" s="1"/>
      <c r="J22" s="1"/>
      <c r="K22" s="2"/>
      <c r="L22" s="40"/>
      <c r="M22" s="6"/>
      <c r="N22" s="4"/>
      <c r="O22" s="1"/>
      <c r="R22" s="1"/>
    </row>
    <row r="23" spans="1:18" ht="16.149999999999999" customHeight="1" x14ac:dyDescent="0.25">
      <c r="B23" s="102" t="s">
        <v>12</v>
      </c>
      <c r="C23" s="98" t="s">
        <v>13</v>
      </c>
      <c r="D23" s="1" t="s">
        <v>684</v>
      </c>
      <c r="E23" s="1" t="s">
        <v>685</v>
      </c>
    </row>
    <row r="24" spans="1:18" x14ac:dyDescent="0.25">
      <c r="B24" s="2" t="s">
        <v>129</v>
      </c>
      <c r="C24" s="2" t="s">
        <v>130</v>
      </c>
      <c r="D24" s="1">
        <v>4</v>
      </c>
      <c r="E24" s="48">
        <v>44498.06</v>
      </c>
    </row>
    <row r="25" spans="1:18" x14ac:dyDescent="0.25">
      <c r="B25" s="2" t="s">
        <v>355</v>
      </c>
      <c r="C25" s="2" t="s">
        <v>356</v>
      </c>
      <c r="D25" s="1">
        <v>5</v>
      </c>
      <c r="E25" s="48">
        <v>20389.12</v>
      </c>
    </row>
    <row r="26" spans="1:18" x14ac:dyDescent="0.25">
      <c r="B26" s="2"/>
      <c r="C26" s="2" t="s">
        <v>424</v>
      </c>
      <c r="D26" s="1">
        <v>1</v>
      </c>
      <c r="E26" s="48">
        <v>8021.87</v>
      </c>
    </row>
    <row r="27" spans="1:18" x14ac:dyDescent="0.25">
      <c r="B27" s="2" t="s">
        <v>149</v>
      </c>
      <c r="C27" s="1" t="s">
        <v>150</v>
      </c>
      <c r="D27" s="1">
        <v>1</v>
      </c>
      <c r="E27" s="48">
        <v>8263.02</v>
      </c>
      <c r="G27"/>
      <c r="H27"/>
      <c r="K27"/>
      <c r="L27" s="12"/>
      <c r="M27"/>
      <c r="N27"/>
    </row>
    <row r="28" spans="1:18" x14ac:dyDescent="0.25">
      <c r="B28" s="1" t="s">
        <v>686</v>
      </c>
      <c r="D28" s="1">
        <v>11</v>
      </c>
      <c r="E28" s="48">
        <v>81172.069999999992</v>
      </c>
      <c r="G28"/>
      <c r="H28"/>
      <c r="K28"/>
      <c r="L28" s="12"/>
      <c r="M28"/>
      <c r="N28"/>
    </row>
    <row r="29" spans="1:18" x14ac:dyDescent="0.25">
      <c r="B29" s="101"/>
      <c r="C29" s="101"/>
      <c r="D29" s="101"/>
      <c r="E29" s="101"/>
      <c r="G29"/>
      <c r="H29"/>
      <c r="K29"/>
      <c r="L29" s="12"/>
      <c r="M29"/>
      <c r="N29"/>
    </row>
    <row r="30" spans="1:18" x14ac:dyDescent="0.25">
      <c r="B30"/>
      <c r="C30"/>
      <c r="D30"/>
      <c r="E30"/>
      <c r="G30"/>
      <c r="H30"/>
      <c r="K30"/>
      <c r="L30" s="12"/>
      <c r="M30"/>
      <c r="N30"/>
    </row>
    <row r="31" spans="1:18" x14ac:dyDescent="0.25">
      <c r="B31"/>
      <c r="C31"/>
      <c r="D31"/>
      <c r="E31"/>
      <c r="G31"/>
      <c r="H31"/>
      <c r="K31"/>
      <c r="L31" s="12"/>
      <c r="M31"/>
      <c r="N31"/>
    </row>
    <row r="32" spans="1:18" x14ac:dyDescent="0.25">
      <c r="B32"/>
      <c r="C32"/>
      <c r="D32"/>
      <c r="E32"/>
      <c r="G32"/>
      <c r="H32"/>
      <c r="K32"/>
      <c r="L32" s="12"/>
      <c r="M32"/>
      <c r="N32"/>
    </row>
    <row r="33" spans="2:14" x14ac:dyDescent="0.25">
      <c r="B33"/>
      <c r="C33"/>
      <c r="D33"/>
      <c r="E33"/>
      <c r="G33"/>
      <c r="H33"/>
      <c r="K33"/>
      <c r="L33" s="12"/>
      <c r="M33"/>
      <c r="N33"/>
    </row>
    <row r="34" spans="2:14" x14ac:dyDescent="0.25">
      <c r="B34"/>
      <c r="C34"/>
      <c r="D34"/>
      <c r="E34"/>
      <c r="G34"/>
      <c r="H34"/>
      <c r="K34"/>
      <c r="L34" s="12"/>
      <c r="M34"/>
      <c r="N34"/>
    </row>
    <row r="35" spans="2:14" x14ac:dyDescent="0.25">
      <c r="B35"/>
      <c r="C35"/>
      <c r="D35"/>
      <c r="E35"/>
      <c r="G35"/>
      <c r="H35"/>
      <c r="K35"/>
      <c r="L35" s="12"/>
      <c r="M35"/>
      <c r="N35"/>
    </row>
    <row r="36" spans="2:14" x14ac:dyDescent="0.25">
      <c r="B36"/>
      <c r="C36"/>
      <c r="D36"/>
      <c r="E36"/>
      <c r="G36"/>
      <c r="H36"/>
      <c r="K36"/>
      <c r="L36" s="12"/>
      <c r="M36"/>
      <c r="N36"/>
    </row>
    <row r="37" spans="2:14" x14ac:dyDescent="0.25">
      <c r="B37"/>
      <c r="C37"/>
      <c r="D37"/>
      <c r="E37"/>
      <c r="G37"/>
      <c r="H37"/>
      <c r="K37"/>
      <c r="L37" s="12"/>
      <c r="M37"/>
      <c r="N37"/>
    </row>
    <row r="38" spans="2:14" x14ac:dyDescent="0.25">
      <c r="B38"/>
      <c r="C38"/>
      <c r="D38"/>
      <c r="E38"/>
      <c r="G38"/>
      <c r="H38"/>
      <c r="K38"/>
      <c r="L38" s="12"/>
      <c r="M38"/>
      <c r="N38"/>
    </row>
    <row r="39" spans="2:14" x14ac:dyDescent="0.25">
      <c r="B39"/>
      <c r="C39"/>
      <c r="D39"/>
      <c r="E39"/>
      <c r="G39"/>
      <c r="H39"/>
      <c r="K39"/>
      <c r="L39" s="12"/>
      <c r="M39"/>
      <c r="N39"/>
    </row>
    <row r="40" spans="2:14" x14ac:dyDescent="0.25">
      <c r="B40"/>
      <c r="C40"/>
      <c r="D40"/>
      <c r="E40"/>
      <c r="G40"/>
      <c r="H40"/>
      <c r="K40"/>
      <c r="L40" s="12"/>
      <c r="M40"/>
      <c r="N40"/>
    </row>
    <row r="41" spans="2:14" x14ac:dyDescent="0.25">
      <c r="B41"/>
      <c r="C41"/>
      <c r="D41"/>
      <c r="E41"/>
      <c r="G41"/>
      <c r="H41"/>
      <c r="K41"/>
      <c r="L41" s="12"/>
      <c r="M41"/>
      <c r="N41"/>
    </row>
    <row r="42" spans="2:14" x14ac:dyDescent="0.25">
      <c r="B42"/>
      <c r="C42"/>
      <c r="D42"/>
      <c r="E42"/>
    </row>
    <row r="43" spans="2:14" x14ac:dyDescent="0.25">
      <c r="B43"/>
      <c r="C43"/>
      <c r="D43"/>
      <c r="E43"/>
    </row>
    <row r="44" spans="2:14" x14ac:dyDescent="0.25">
      <c r="B44"/>
      <c r="C44"/>
      <c r="D44"/>
      <c r="E44"/>
    </row>
    <row r="45" spans="2:14" x14ac:dyDescent="0.25">
      <c r="B45"/>
      <c r="C45"/>
      <c r="D45"/>
      <c r="E45"/>
    </row>
    <row r="46" spans="2:14" x14ac:dyDescent="0.25">
      <c r="B46" s="5"/>
      <c r="C46" s="5"/>
      <c r="D46" s="3"/>
    </row>
    <row r="47" spans="2:14" x14ac:dyDescent="0.25">
      <c r="B47" s="5"/>
      <c r="C47" s="5"/>
      <c r="D47" s="3"/>
    </row>
    <row r="48" spans="2:14" x14ac:dyDescent="0.25">
      <c r="B48" s="5"/>
      <c r="C48" s="5"/>
      <c r="D48" s="3"/>
    </row>
    <row r="49" spans="2:3" x14ac:dyDescent="0.25">
      <c r="B49" s="5"/>
      <c r="C49" s="5"/>
    </row>
    <row r="50" spans="2:3" x14ac:dyDescent="0.25">
      <c r="B50" s="5"/>
      <c r="C50" s="5"/>
    </row>
  </sheetData>
  <autoFilter ref="A2:O13" xr:uid="{D12CA574-7460-41EF-8B5D-188A312AA43A}">
    <sortState xmlns:xlrd2="http://schemas.microsoft.com/office/spreadsheetml/2017/richdata2" ref="A3:O13">
      <sortCondition descending="1" ref="N2:N13"/>
    </sortState>
  </autoFilter>
  <mergeCells count="2">
    <mergeCell ref="K1:L1"/>
    <mergeCell ref="B1:E1"/>
  </mergeCells>
  <conditionalFormatting sqref="B36:B1048576 B2 B15:B18">
    <cfRule type="duplicateValues" dxfId="182" priority="5"/>
  </conditionalFormatting>
  <printOptions horizontalCentered="1"/>
  <pageMargins left="0" right="0" top="0.11811023622047245" bottom="0.11811023622047245" header="0" footer="0"/>
  <pageSetup paperSize="9" scale="70" fitToHeight="0" orientation="landscape"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7D312378-D40F-4ADD-A446-FBA2B03E733A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P3:P13</xm:sqref>
        </x14:conditionalFormatting>
        <x14:conditionalFormatting xmlns:xm="http://schemas.microsoft.com/office/excel/2006/main">
          <x14:cfRule type="iconSet" priority="382" id="{A830B499-6FFB-43A8-9546-E700FA1742C0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P14</xm:sqref>
        </x14:conditionalFormatting>
        <x14:conditionalFormatting xmlns:xm="http://schemas.microsoft.com/office/excel/2006/main">
          <x14:cfRule type="iconSet" priority="3" id="{429705DD-3A8F-45BD-BB10-C2EE8F04813C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Q3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379BF-86BD-40F2-891F-B4EA5435D09F}">
  <sheetPr>
    <tabColor rgb="FF0070C0"/>
    <pageSetUpPr fitToPage="1"/>
  </sheetPr>
  <dimension ref="A1:R42"/>
  <sheetViews>
    <sheetView showGridLines="0" zoomScaleNormal="100" workbookViewId="0">
      <pane ySplit="2" topLeftCell="A3" activePane="bottomLeft" state="frozen"/>
      <selection activeCell="X49" sqref="X49"/>
      <selection pane="bottomLeft" activeCell="J10" sqref="J10"/>
    </sheetView>
  </sheetViews>
  <sheetFormatPr defaultColWidth="9.140625" defaultRowHeight="15.75" x14ac:dyDescent="0.25"/>
  <cols>
    <col min="1" max="1" width="9.28515625" style="1" customWidth="1"/>
    <col min="2" max="2" width="47.140625" style="1" bestFit="1" customWidth="1"/>
    <col min="3" max="3" width="19.28515625" style="1" bestFit="1" customWidth="1"/>
    <col min="4" max="4" width="16.85546875" style="2" bestFit="1" customWidth="1"/>
    <col min="5" max="5" width="28.5703125" style="2" bestFit="1" customWidth="1"/>
    <col min="6" max="6" width="11.85546875" style="1" hidden="1" customWidth="1"/>
    <col min="7" max="7" width="22.140625" style="2" hidden="1" customWidth="1"/>
    <col min="8" max="8" width="19.7109375" style="2" hidden="1" customWidth="1"/>
    <col min="9" max="9" width="19.7109375" style="1" bestFit="1" customWidth="1"/>
    <col min="10" max="10" width="17" style="1" bestFit="1" customWidth="1"/>
    <col min="11" max="11" width="13.28515625" style="2" hidden="1" customWidth="1"/>
    <col min="12" max="12" width="11.7109375" style="40" hidden="1" customWidth="1"/>
    <col min="13" max="13" width="14.7109375" style="6" bestFit="1" customWidth="1"/>
    <col min="14" max="14" width="7.85546875" style="4" bestFit="1" customWidth="1"/>
    <col min="15" max="15" width="16.28515625" style="1" bestFit="1" customWidth="1"/>
    <col min="16" max="16" width="4.42578125" customWidth="1"/>
    <col min="18" max="16384" width="9.140625" style="1"/>
  </cols>
  <sheetData>
    <row r="1" spans="1:18" ht="63" x14ac:dyDescent="0.25">
      <c r="A1" s="151" t="s">
        <v>692</v>
      </c>
      <c r="B1" s="164" t="str">
        <f>GERAL!B1</f>
        <v>FOLHA DE PAGAMENTO MARÇO/2026</v>
      </c>
      <c r="C1" s="164"/>
      <c r="D1" s="164"/>
      <c r="E1" s="164"/>
      <c r="G1" s="1"/>
      <c r="H1" s="1"/>
      <c r="I1" s="80">
        <f>SUM(I3:I6)</f>
        <v>1866.4780555555556</v>
      </c>
      <c r="J1" s="80">
        <f>SUBTOTAL(9,J3:J6)</f>
        <v>3705.9500000000003</v>
      </c>
      <c r="K1" s="163" t="s">
        <v>669</v>
      </c>
      <c r="L1" s="163"/>
      <c r="M1" s="80">
        <f>SUBTOTAL(9,M3:M6)</f>
        <v>12290.16</v>
      </c>
      <c r="N1" s="1"/>
      <c r="O1" s="80">
        <f>'[1]SELETIVA CIDADE ALTA'!$M$1</f>
        <v>15068.000000000002</v>
      </c>
    </row>
    <row r="2" spans="1:18" s="7" customFormat="1" ht="30" customHeight="1" x14ac:dyDescent="0.25">
      <c r="A2" s="8" t="s">
        <v>670</v>
      </c>
      <c r="B2" s="8" t="s">
        <v>362</v>
      </c>
      <c r="C2" s="8" t="s">
        <v>671</v>
      </c>
      <c r="D2" s="8" t="s">
        <v>672</v>
      </c>
      <c r="E2" s="8" t="s">
        <v>673</v>
      </c>
      <c r="F2" s="8" t="s">
        <v>674</v>
      </c>
      <c r="G2" s="8" t="s">
        <v>675</v>
      </c>
      <c r="H2" s="8" t="s">
        <v>13</v>
      </c>
      <c r="I2" s="9" t="s">
        <v>676</v>
      </c>
      <c r="J2" s="9" t="s">
        <v>677</v>
      </c>
      <c r="K2" s="8" t="s">
        <v>678</v>
      </c>
      <c r="L2" s="41" t="s">
        <v>679</v>
      </c>
      <c r="M2" s="9" t="str">
        <f>GERAL!M2</f>
        <v>TT BRUTO
MARÇO</v>
      </c>
      <c r="N2" s="9" t="s">
        <v>681</v>
      </c>
      <c r="O2" s="9" t="str">
        <f>GERAL!O2</f>
        <v>TT BRUTO
FEVEREIRO</v>
      </c>
    </row>
    <row r="3" spans="1:18" x14ac:dyDescent="0.25">
      <c r="A3" s="76">
        <v>1</v>
      </c>
      <c r="B3" s="71" t="s">
        <v>138</v>
      </c>
      <c r="C3" s="43" t="str">
        <f>IFERROR(VLOOKUP($B3,'BASE+TOMADOR'!$A:$BS,3,FALSE),0)</f>
        <v>CLT</v>
      </c>
      <c r="D3" s="43" t="str">
        <f>VLOOKUP($B3,'BASE+TOMADOR'!$A:$BS,8,FALSE)</f>
        <v>OPERACIONAL</v>
      </c>
      <c r="E3" s="71" t="str">
        <f>VLOOKUP($B3,'BASE+TOMADOR'!$A:$BS,15,FALSE)</f>
        <v>OPERADOR MANTENEDOR JR</v>
      </c>
      <c r="F3" s="43" t="str">
        <f>VLOOKUP($B3,'BASE+TOMADOR'!$A:$BS,71,FALSE)</f>
        <v>Ativo</v>
      </c>
      <c r="G3" s="71" t="str">
        <f>VLOOKUP($B3,'BASE+TOMADOR'!$A:$BS,4,FALSE)</f>
        <v>G S FL 04 - MARINGA</v>
      </c>
      <c r="H3" s="71" t="str">
        <f>VLOOKUP($B3,'BASE+TOMADOR'!$A:$BS,7,FALSE)</f>
        <v>20.504.237/0004-60</v>
      </c>
      <c r="I3" s="72">
        <f>IFERROR(VLOOKUP($B3,'BASE+TOMADOR'!$A:$BS,62,FALSE),0)</f>
        <v>636.04916666666668</v>
      </c>
      <c r="J3" s="72">
        <f>IFERROR(VLOOKUP($B3,'BASE+TOMADOR'!$A:$BS,67,FALSE),0)</f>
        <v>1203.75</v>
      </c>
      <c r="K3" s="73">
        <f>VLOOKUP($B3,'BASE+TOMADOR'!$A:$BS,55,FALSE)</f>
        <v>969.47</v>
      </c>
      <c r="L3" s="73">
        <f>IFERROR(VLOOKUP($B3,'BASE+TOMADOR'!$A:$BS,56,FALSE),0)</f>
        <v>4240.58</v>
      </c>
      <c r="M3" s="72">
        <f>IFERROR(VLOOKUP($B3,'BASE+TOMADOR'!$A:$BS,58,FALSE),0)</f>
        <v>4240.58</v>
      </c>
      <c r="N3" s="74">
        <f>M3/$M$1</f>
        <v>0.34503863253204187</v>
      </c>
      <c r="O3" s="72">
        <f>IFERROR(VLOOKUP(B3,'[1]BASE+TOMADOR'!$A:$BF,58,0),0)</f>
        <v>3512.48</v>
      </c>
      <c r="P3" s="67">
        <f>M3-O3</f>
        <v>728.09999999999991</v>
      </c>
    </row>
    <row r="4" spans="1:18" customFormat="1" ht="16.149999999999999" customHeight="1" x14ac:dyDescent="0.25">
      <c r="A4" s="76">
        <f>A3+1</f>
        <v>2</v>
      </c>
      <c r="B4" s="71" t="s">
        <v>262</v>
      </c>
      <c r="C4" s="43" t="str">
        <f>IFERROR(VLOOKUP($B4,'BASE+TOMADOR'!$A:$BS,3,FALSE),0)</f>
        <v>CLT</v>
      </c>
      <c r="D4" s="43" t="str">
        <f>VLOOKUP($B4,'BASE+TOMADOR'!$A:$BS,8,FALSE)</f>
        <v>OPERACIONAL</v>
      </c>
      <c r="E4" s="71" t="str">
        <f>VLOOKUP($B4,'BASE+TOMADOR'!$A:$BS,15,FALSE)</f>
        <v>AUXILIAR DE PATIO SENIOR</v>
      </c>
      <c r="F4" s="43" t="str">
        <f>VLOOKUP($B4,'BASE+TOMADOR'!$A:$BS,71,FALSE)</f>
        <v>Ativo</v>
      </c>
      <c r="G4" s="71" t="str">
        <f>VLOOKUP($B4,'BASE+TOMADOR'!$A:$BS,4,FALSE)</f>
        <v>G3S FL 11 - MARINGA</v>
      </c>
      <c r="H4" s="71" t="str">
        <f>VLOOKUP($B4,'BASE+TOMADOR'!$A:$BS,7,FALSE)</f>
        <v>20.947.332/0011-67</v>
      </c>
      <c r="I4" s="72">
        <f>IFERROR(VLOOKUP($B4,'BASE+TOMADOR'!$A:$BS,62,FALSE),0)</f>
        <v>524.09194444444438</v>
      </c>
      <c r="J4" s="72">
        <f>IFERROR(VLOOKUP($B4,'BASE+TOMADOR'!$A:$BS,67,FALSE),0)</f>
        <v>991.86</v>
      </c>
      <c r="K4" s="73">
        <f>VLOOKUP($B4,'BASE+TOMADOR'!$A:$BS,55,FALSE)</f>
        <v>969.47</v>
      </c>
      <c r="L4" s="73">
        <f>IFERROR(VLOOKUP($B4,'BASE+TOMADOR'!$A:$BS,56,FALSE),0)</f>
        <v>3664.8</v>
      </c>
      <c r="M4" s="72">
        <f>IFERROR(VLOOKUP($B4,'BASE+TOMADOR'!$A:$BS,58,FALSE),0)</f>
        <v>3664.8</v>
      </c>
      <c r="N4" s="74">
        <f>M4/$M$1</f>
        <v>0.29818977132925856</v>
      </c>
      <c r="O4" s="72">
        <f>IFERROR(VLOOKUP(B4,'[1]BASE+TOMADOR'!$A:$BF,58,0),0)</f>
        <v>2848.01</v>
      </c>
      <c r="P4" s="67">
        <f t="shared" ref="P4:P5" si="0">M4-O4</f>
        <v>816.79</v>
      </c>
      <c r="R4" s="1"/>
    </row>
    <row r="5" spans="1:18" customFormat="1" ht="16.149999999999999" customHeight="1" x14ac:dyDescent="0.25">
      <c r="A5" s="76">
        <f>A4+1</f>
        <v>3</v>
      </c>
      <c r="B5" s="71" t="s">
        <v>269</v>
      </c>
      <c r="C5" s="43" t="str">
        <f>IFERROR(VLOOKUP($B5,'BASE+TOMADOR'!$A:$BS,3,FALSE),0)</f>
        <v>CLT</v>
      </c>
      <c r="D5" s="43" t="str">
        <f>VLOOKUP($B5,'BASE+TOMADOR'!$A:$BS,8,FALSE)</f>
        <v>ADMINISTRATIVO</v>
      </c>
      <c r="E5" s="71" t="str">
        <f>VLOOKUP($B5,'BASE+TOMADOR'!$A:$BS,15,FALSE)</f>
        <v>AUX ADMINISTRATIVO JUNIOR</v>
      </c>
      <c r="F5" s="43" t="str">
        <f>VLOOKUP($B5,'BASE+TOMADOR'!$A:$BS,71,FALSE)</f>
        <v>Ativo</v>
      </c>
      <c r="G5" s="71" t="str">
        <f>VLOOKUP($B5,'BASE+TOMADOR'!$A:$BS,4,FALSE)</f>
        <v>G3S FL 11 - MARINGA</v>
      </c>
      <c r="H5" s="71" t="str">
        <f>VLOOKUP($B5,'BASE+TOMADOR'!$A:$BS,7,FALSE)</f>
        <v>20.947.332/0011-67</v>
      </c>
      <c r="I5" s="72">
        <f>IFERROR(VLOOKUP($B5,'BASE+TOMADOR'!$A:$BS,62,FALSE),0)</f>
        <v>506.24194444444447</v>
      </c>
      <c r="J5" s="72">
        <f>IFERROR(VLOOKUP($B5,'BASE+TOMADOR'!$A:$BS,67,FALSE),0)</f>
        <v>958.09</v>
      </c>
      <c r="K5" s="73">
        <f>VLOOKUP($B5,'BASE+TOMADOR'!$A:$BS,55,FALSE)</f>
        <v>456.6</v>
      </c>
      <c r="L5" s="73">
        <f>IFERROR(VLOOKUP($B5,'BASE+TOMADOR'!$A:$BS,56,FALSE),0)</f>
        <v>3060.13</v>
      </c>
      <c r="M5" s="72">
        <f>IFERROR(VLOOKUP($B5,'BASE+TOMADOR'!$A:$BS,58,FALSE),0)</f>
        <v>3060.13</v>
      </c>
      <c r="N5" s="74">
        <f>M5/$M$1</f>
        <v>0.24899024910985701</v>
      </c>
      <c r="O5" s="72">
        <f>IFERROR(VLOOKUP(B5,'[1]BASE+TOMADOR'!$A:$BF,58,0),0)</f>
        <v>0</v>
      </c>
      <c r="P5" s="67">
        <f t="shared" si="0"/>
        <v>3060.13</v>
      </c>
      <c r="R5" s="1"/>
    </row>
    <row r="6" spans="1:18" customFormat="1" ht="16.149999999999999" customHeight="1" x14ac:dyDescent="0.25">
      <c r="A6" s="76">
        <v>1</v>
      </c>
      <c r="B6" s="71" t="s">
        <v>268</v>
      </c>
      <c r="C6" s="43" t="str">
        <f>IFERROR(VLOOKUP($B6,'BASE+TOMADOR'!$A:$BS,3,FALSE),0)</f>
        <v>CLT</v>
      </c>
      <c r="D6" s="43" t="str">
        <f>VLOOKUP($B6,'BASE+TOMADOR'!$A:$BS,8,FALSE)</f>
        <v>OPERACIONAL</v>
      </c>
      <c r="E6" s="71" t="str">
        <f>VLOOKUP($B6,'BASE+TOMADOR'!$A:$BS,15,FALSE)</f>
        <v>GERENTE DE PATIO SENIOR</v>
      </c>
      <c r="F6" s="43" t="str">
        <f>VLOOKUP($B6,'BASE+TOMADOR'!$A:$BS,71,FALSE)</f>
        <v>Desligado</v>
      </c>
      <c r="G6" s="71" t="str">
        <f>VLOOKUP($B6,'BASE+TOMADOR'!$A:$BS,4,FALSE)</f>
        <v>G3S FL 11 - MARINGA</v>
      </c>
      <c r="H6" s="71" t="str">
        <f>VLOOKUP($B6,'BASE+TOMADOR'!$A:$BS,7,FALSE)</f>
        <v>20.947.332/0011-67</v>
      </c>
      <c r="I6" s="72">
        <f>IFERROR(VLOOKUP($B6,'BASE+TOMADOR'!$A:$BS,62,FALSE),0)</f>
        <v>200.095</v>
      </c>
      <c r="J6" s="72">
        <f>IFERROR(VLOOKUP($B6,'BASE+TOMADOR'!$A:$BS,67,FALSE),0)</f>
        <v>552.25</v>
      </c>
      <c r="K6" s="73">
        <f>VLOOKUP($B6,'BASE+TOMADOR'!$A:$BS,55,FALSE)</f>
        <v>295.59000000000003</v>
      </c>
      <c r="L6" s="73">
        <f>IFERROR(VLOOKUP($B6,'BASE+TOMADOR'!$A:$BS,56,FALSE),0)</f>
        <v>1324.65</v>
      </c>
      <c r="M6" s="72">
        <f>IFERROR(VLOOKUP($B6,'BASE+TOMADOR'!$A:$BS,58,FALSE),0)</f>
        <v>1324.65</v>
      </c>
      <c r="N6" s="74">
        <f>M6/$M$1</f>
        <v>0.10778134702884259</v>
      </c>
      <c r="O6" s="72">
        <v>0</v>
      </c>
      <c r="P6" s="67"/>
      <c r="R6" s="1"/>
    </row>
    <row r="7" spans="1:18" customFormat="1" ht="16.149999999999999" customHeight="1" x14ac:dyDescent="0.25">
      <c r="A7" s="1"/>
      <c r="B7" s="1"/>
      <c r="C7" s="1"/>
      <c r="D7" s="2"/>
      <c r="E7" s="2"/>
      <c r="F7" s="1"/>
      <c r="G7" s="2"/>
      <c r="H7" s="2"/>
      <c r="I7" s="49"/>
      <c r="J7" s="49"/>
      <c r="K7" s="48"/>
      <c r="L7" s="48"/>
      <c r="M7" s="49"/>
      <c r="N7" s="50"/>
      <c r="O7" s="49"/>
      <c r="P7" s="67"/>
      <c r="R7" s="1"/>
    </row>
    <row r="8" spans="1:18" customFormat="1" ht="16.149999999999999" customHeight="1" x14ac:dyDescent="0.25">
      <c r="A8" s="1"/>
      <c r="B8" s="98" t="s">
        <v>2</v>
      </c>
      <c r="C8" s="1" t="s">
        <v>684</v>
      </c>
      <c r="D8" s="1" t="s">
        <v>685</v>
      </c>
      <c r="E8" s="2"/>
      <c r="F8" s="1"/>
      <c r="G8" s="2"/>
      <c r="H8" s="2"/>
      <c r="I8" s="1"/>
      <c r="J8" s="1"/>
      <c r="K8" s="2"/>
      <c r="L8" s="40"/>
      <c r="M8" s="6"/>
      <c r="N8" s="4"/>
      <c r="O8" s="1"/>
      <c r="R8" s="1"/>
    </row>
    <row r="9" spans="1:18" customFormat="1" ht="16.149999999999999" customHeight="1" x14ac:dyDescent="0.25">
      <c r="A9" s="1"/>
      <c r="B9" s="2" t="s">
        <v>426</v>
      </c>
      <c r="C9" s="1">
        <v>3</v>
      </c>
      <c r="D9" s="48">
        <v>10965.51</v>
      </c>
      <c r="E9" s="2"/>
      <c r="F9" s="1"/>
      <c r="G9" s="2"/>
      <c r="H9" s="2"/>
      <c r="I9" s="1"/>
      <c r="J9" s="1"/>
      <c r="K9" s="2"/>
      <c r="L9" s="40"/>
      <c r="M9" s="6"/>
      <c r="N9" s="4"/>
      <c r="O9" s="1"/>
      <c r="R9" s="1"/>
    </row>
    <row r="10" spans="1:18" customFormat="1" ht="16.149999999999999" customHeight="1" x14ac:dyDescent="0.25">
      <c r="A10" s="1"/>
      <c r="B10" s="99" t="s">
        <v>5</v>
      </c>
      <c r="C10" s="1">
        <v>3</v>
      </c>
      <c r="D10" s="48">
        <v>10965.51</v>
      </c>
      <c r="E10" s="2"/>
      <c r="F10" s="1"/>
      <c r="G10" s="2"/>
      <c r="H10" s="2"/>
      <c r="I10" s="1"/>
      <c r="J10" s="1"/>
      <c r="K10" s="2"/>
      <c r="L10" s="40"/>
      <c r="M10" s="6"/>
      <c r="N10" s="4"/>
      <c r="O10" s="1"/>
      <c r="R10" s="1"/>
    </row>
    <row r="11" spans="1:18" customFormat="1" ht="16.149999999999999" customHeight="1" x14ac:dyDescent="0.25">
      <c r="A11" s="1"/>
      <c r="B11" s="2" t="s">
        <v>455</v>
      </c>
      <c r="C11" s="1">
        <v>1</v>
      </c>
      <c r="D11" s="48">
        <v>1324.65</v>
      </c>
      <c r="E11" s="2"/>
      <c r="F11" s="1"/>
      <c r="G11" s="2"/>
      <c r="H11" s="2"/>
      <c r="I11" s="1"/>
      <c r="J11" s="1"/>
      <c r="K11" s="2"/>
      <c r="L11" s="40"/>
      <c r="M11" s="6"/>
      <c r="N11" s="4"/>
      <c r="O11" s="1"/>
      <c r="R11" s="1"/>
    </row>
    <row r="12" spans="1:18" customFormat="1" ht="16.149999999999999" customHeight="1" x14ac:dyDescent="0.25">
      <c r="A12" s="1"/>
      <c r="B12" s="99" t="s">
        <v>5</v>
      </c>
      <c r="C12" s="1">
        <v>1</v>
      </c>
      <c r="D12" s="48">
        <v>1324.65</v>
      </c>
      <c r="E12" s="2"/>
      <c r="F12" s="1"/>
      <c r="G12" s="2"/>
      <c r="H12" s="2"/>
      <c r="I12" s="1"/>
      <c r="J12" s="1"/>
      <c r="K12" s="2"/>
      <c r="L12" s="40"/>
      <c r="M12" s="6"/>
      <c r="N12" s="4"/>
      <c r="O12" s="1"/>
      <c r="R12" s="1"/>
    </row>
    <row r="13" spans="1:18" customFormat="1" ht="16.149999999999999" customHeight="1" x14ac:dyDescent="0.25">
      <c r="A13" s="1"/>
      <c r="B13" s="1" t="s">
        <v>686</v>
      </c>
      <c r="C13" s="1">
        <v>4</v>
      </c>
      <c r="D13" s="48">
        <v>12290.16</v>
      </c>
      <c r="E13" s="2"/>
      <c r="F13" s="1"/>
      <c r="G13" s="2"/>
      <c r="H13" s="2"/>
      <c r="I13" s="1"/>
      <c r="J13" s="1"/>
      <c r="K13" s="2"/>
      <c r="L13" s="40"/>
      <c r="M13" s="6"/>
      <c r="N13" s="4"/>
      <c r="O13" s="1"/>
      <c r="R13" s="1"/>
    </row>
    <row r="14" spans="1:18" customFormat="1" ht="16.149999999999999" customHeight="1" x14ac:dyDescent="0.25">
      <c r="A14" s="1"/>
      <c r="B14" s="1"/>
      <c r="C14" s="1"/>
      <c r="D14" s="48"/>
      <c r="E14" s="2"/>
      <c r="F14" s="1"/>
      <c r="G14" s="2"/>
      <c r="H14" s="2"/>
      <c r="I14" s="1"/>
      <c r="J14" s="1"/>
      <c r="K14" s="2"/>
      <c r="L14" s="40"/>
      <c r="M14" s="6"/>
      <c r="N14" s="4"/>
      <c r="O14" s="1"/>
      <c r="R14" s="1"/>
    </row>
    <row r="15" spans="1:18" ht="16.149999999999999" customHeight="1" x14ac:dyDescent="0.25">
      <c r="B15" s="102" t="s">
        <v>12</v>
      </c>
      <c r="C15" s="98" t="s">
        <v>13</v>
      </c>
      <c r="D15" s="1" t="s">
        <v>684</v>
      </c>
      <c r="E15" s="1" t="s">
        <v>685</v>
      </c>
    </row>
    <row r="16" spans="1:18" x14ac:dyDescent="0.25">
      <c r="B16" s="103" t="s">
        <v>129</v>
      </c>
      <c r="C16" s="2" t="s">
        <v>130</v>
      </c>
      <c r="D16" s="1">
        <v>1</v>
      </c>
      <c r="E16" s="48">
        <v>4240.58</v>
      </c>
    </row>
    <row r="17" spans="2:14" x14ac:dyDescent="0.25">
      <c r="B17" s="2" t="s">
        <v>263</v>
      </c>
      <c r="C17" s="2" t="s">
        <v>264</v>
      </c>
      <c r="D17" s="1">
        <v>3</v>
      </c>
      <c r="E17" s="48">
        <v>8049.58</v>
      </c>
    </row>
    <row r="18" spans="2:14" x14ac:dyDescent="0.25">
      <c r="B18" s="1" t="s">
        <v>686</v>
      </c>
      <c r="D18" s="1">
        <v>4</v>
      </c>
      <c r="E18" s="48">
        <v>12290.16</v>
      </c>
    </row>
    <row r="19" spans="2:14" x14ac:dyDescent="0.25">
      <c r="B19"/>
      <c r="C19"/>
      <c r="D19"/>
      <c r="E19"/>
      <c r="G19"/>
      <c r="H19"/>
      <c r="K19"/>
      <c r="L19" s="12"/>
      <c r="M19"/>
      <c r="N19"/>
    </row>
    <row r="20" spans="2:14" x14ac:dyDescent="0.25">
      <c r="B20"/>
      <c r="C20"/>
      <c r="D20"/>
      <c r="E20"/>
      <c r="G20"/>
      <c r="H20"/>
      <c r="K20"/>
      <c r="L20" s="12"/>
      <c r="M20"/>
      <c r="N20"/>
    </row>
    <row r="21" spans="2:14" x14ac:dyDescent="0.25">
      <c r="B21"/>
      <c r="C21"/>
      <c r="D21"/>
      <c r="E21"/>
      <c r="G21"/>
      <c r="H21"/>
      <c r="K21"/>
      <c r="L21" s="12"/>
      <c r="M21"/>
      <c r="N21"/>
    </row>
    <row r="22" spans="2:14" x14ac:dyDescent="0.25">
      <c r="B22"/>
      <c r="C22"/>
      <c r="D22"/>
      <c r="E22"/>
      <c r="G22"/>
      <c r="H22"/>
      <c r="K22"/>
      <c r="L22" s="12"/>
      <c r="M22"/>
      <c r="N22"/>
    </row>
    <row r="23" spans="2:14" x14ac:dyDescent="0.25">
      <c r="B23"/>
      <c r="C23"/>
      <c r="D23"/>
      <c r="E23"/>
      <c r="G23"/>
      <c r="H23"/>
      <c r="K23"/>
      <c r="L23" s="12"/>
      <c r="M23"/>
      <c r="N23"/>
    </row>
    <row r="24" spans="2:14" x14ac:dyDescent="0.25">
      <c r="B24"/>
      <c r="C24"/>
      <c r="D24"/>
      <c r="E24"/>
      <c r="G24"/>
      <c r="H24"/>
      <c r="K24"/>
      <c r="L24" s="12"/>
      <c r="M24"/>
      <c r="N24"/>
    </row>
    <row r="25" spans="2:14" x14ac:dyDescent="0.25">
      <c r="B25"/>
      <c r="C25"/>
      <c r="D25"/>
      <c r="E25"/>
      <c r="G25"/>
      <c r="H25"/>
      <c r="K25"/>
      <c r="L25" s="12"/>
      <c r="M25"/>
      <c r="N25"/>
    </row>
    <row r="26" spans="2:14" x14ac:dyDescent="0.25">
      <c r="B26"/>
      <c r="C26"/>
      <c r="D26"/>
      <c r="E26"/>
      <c r="G26"/>
      <c r="H26"/>
      <c r="K26"/>
      <c r="L26" s="12"/>
      <c r="M26"/>
      <c r="N26"/>
    </row>
    <row r="27" spans="2:14" x14ac:dyDescent="0.25">
      <c r="B27"/>
      <c r="C27"/>
      <c r="D27"/>
      <c r="E27"/>
      <c r="G27"/>
      <c r="H27"/>
      <c r="K27"/>
      <c r="L27" s="12"/>
      <c r="M27"/>
      <c r="N27"/>
    </row>
    <row r="28" spans="2:14" x14ac:dyDescent="0.25">
      <c r="B28"/>
      <c r="C28"/>
      <c r="D28"/>
      <c r="E28"/>
      <c r="G28"/>
      <c r="H28"/>
      <c r="K28"/>
      <c r="L28" s="12"/>
      <c r="M28"/>
      <c r="N28"/>
    </row>
    <row r="29" spans="2:14" x14ac:dyDescent="0.25">
      <c r="B29"/>
      <c r="C29"/>
      <c r="D29"/>
      <c r="E29"/>
      <c r="G29"/>
      <c r="H29"/>
      <c r="K29"/>
      <c r="L29" s="12"/>
      <c r="M29"/>
      <c r="N29"/>
    </row>
    <row r="30" spans="2:14" x14ac:dyDescent="0.25">
      <c r="B30"/>
      <c r="C30"/>
      <c r="D30"/>
      <c r="E30"/>
      <c r="G30"/>
      <c r="H30"/>
      <c r="K30"/>
      <c r="L30" s="12"/>
      <c r="M30"/>
      <c r="N30"/>
    </row>
    <row r="31" spans="2:14" x14ac:dyDescent="0.25">
      <c r="B31"/>
      <c r="C31"/>
      <c r="D31"/>
      <c r="E31"/>
      <c r="G31"/>
      <c r="H31"/>
      <c r="K31"/>
      <c r="L31" s="12"/>
      <c r="M31"/>
      <c r="N31"/>
    </row>
    <row r="32" spans="2:14" x14ac:dyDescent="0.25">
      <c r="B32"/>
      <c r="C32"/>
      <c r="D32"/>
      <c r="E32"/>
      <c r="G32"/>
      <c r="H32"/>
      <c r="K32"/>
      <c r="L32" s="12"/>
      <c r="M32"/>
      <c r="N32"/>
    </row>
    <row r="33" spans="2:14" x14ac:dyDescent="0.25">
      <c r="B33"/>
      <c r="C33"/>
      <c r="D33"/>
      <c r="E33"/>
      <c r="G33"/>
      <c r="H33"/>
      <c r="K33"/>
      <c r="L33" s="12"/>
      <c r="M33"/>
      <c r="N33"/>
    </row>
    <row r="34" spans="2:14" x14ac:dyDescent="0.25">
      <c r="B34"/>
      <c r="C34"/>
      <c r="D34"/>
      <c r="E34"/>
    </row>
    <row r="35" spans="2:14" x14ac:dyDescent="0.25">
      <c r="B35"/>
      <c r="C35"/>
      <c r="D35"/>
      <c r="E35"/>
    </row>
    <row r="36" spans="2:14" x14ac:dyDescent="0.25">
      <c r="B36"/>
      <c r="C36"/>
      <c r="D36"/>
      <c r="E36"/>
    </row>
    <row r="37" spans="2:14" x14ac:dyDescent="0.25">
      <c r="B37"/>
      <c r="C37"/>
      <c r="D37"/>
      <c r="E37"/>
    </row>
    <row r="38" spans="2:14" x14ac:dyDescent="0.25">
      <c r="B38" s="5"/>
      <c r="C38" s="5"/>
      <c r="D38" s="3"/>
    </row>
    <row r="39" spans="2:14" x14ac:dyDescent="0.25">
      <c r="B39" s="5"/>
      <c r="C39" s="5"/>
      <c r="D39" s="3"/>
    </row>
    <row r="40" spans="2:14" x14ac:dyDescent="0.25">
      <c r="B40" s="5"/>
      <c r="C40" s="5"/>
      <c r="D40" s="3"/>
    </row>
    <row r="41" spans="2:14" x14ac:dyDescent="0.25">
      <c r="B41" s="5"/>
      <c r="C41" s="5"/>
    </row>
    <row r="42" spans="2:14" x14ac:dyDescent="0.25">
      <c r="B42" s="5"/>
      <c r="C42" s="5"/>
    </row>
  </sheetData>
  <autoFilter ref="A2:O5" xr:uid="{D12CA574-7460-41EF-8B5D-188A312AA43A}">
    <sortState xmlns:xlrd2="http://schemas.microsoft.com/office/spreadsheetml/2017/richdata2" ref="A3:O6">
      <sortCondition descending="1" ref="N2:N5"/>
    </sortState>
  </autoFilter>
  <mergeCells count="2">
    <mergeCell ref="K1:L1"/>
    <mergeCell ref="B1:E1"/>
  </mergeCells>
  <printOptions horizontalCentered="1"/>
  <pageMargins left="0" right="0" top="0.11811023622047245" bottom="0.11811023622047245" header="0" footer="0"/>
  <pageSetup paperSize="9" scale="73" fitToHeight="0" orientation="landscape"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41" id="{E72D4017-632A-417A-8DAC-94D3BF706C3B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P3:P6</xm:sqref>
        </x14:conditionalFormatting>
        <x14:conditionalFormatting xmlns:xm="http://schemas.microsoft.com/office/excel/2006/main">
          <x14:cfRule type="iconSet" priority="325" id="{21EEC1F0-9AE6-4DA5-877B-558E8B3B9B73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P7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E8966-791D-4405-BF13-B34A1278A215}">
  <sheetPr>
    <tabColor rgb="FF0070C0"/>
    <pageSetUpPr fitToPage="1"/>
  </sheetPr>
  <dimension ref="A1:R36"/>
  <sheetViews>
    <sheetView showGridLines="0" zoomScaleNormal="100" workbookViewId="0">
      <pane ySplit="2" topLeftCell="A3" activePane="bottomLeft" state="frozen"/>
      <selection activeCell="X49" sqref="X49"/>
      <selection pane="bottomLeft" activeCell="I21" sqref="I21"/>
    </sheetView>
  </sheetViews>
  <sheetFormatPr defaultColWidth="9.140625" defaultRowHeight="15.75" x14ac:dyDescent="0.25"/>
  <cols>
    <col min="1" max="1" width="10.7109375" style="1" bestFit="1" customWidth="1"/>
    <col min="2" max="2" width="30.5703125" style="1" bestFit="1" customWidth="1"/>
    <col min="3" max="3" width="15.7109375" style="1" bestFit="1" customWidth="1"/>
    <col min="4" max="4" width="16.85546875" style="2" bestFit="1" customWidth="1"/>
    <col min="5" max="5" width="46.85546875" style="2" bestFit="1" customWidth="1"/>
    <col min="6" max="6" width="12" style="1" hidden="1" customWidth="1"/>
    <col min="7" max="7" width="22.28515625" style="2" hidden="1" customWidth="1"/>
    <col min="8" max="8" width="19.7109375" style="2" hidden="1" customWidth="1"/>
    <col min="9" max="9" width="19.7109375" style="1" bestFit="1" customWidth="1"/>
    <col min="10" max="10" width="17" style="1" bestFit="1" customWidth="1"/>
    <col min="11" max="11" width="13.28515625" style="2" hidden="1" customWidth="1"/>
    <col min="12" max="12" width="11.7109375" style="40" hidden="1" customWidth="1"/>
    <col min="13" max="13" width="14.7109375" style="6" bestFit="1" customWidth="1"/>
    <col min="14" max="14" width="7.85546875" style="4" bestFit="1" customWidth="1"/>
    <col min="15" max="15" width="16.28515625" style="1" bestFit="1" customWidth="1"/>
    <col min="16" max="16" width="4.42578125" customWidth="1"/>
    <col min="18" max="16384" width="9.140625" style="1"/>
  </cols>
  <sheetData>
    <row r="1" spans="1:18" ht="47.25" x14ac:dyDescent="0.25">
      <c r="A1" s="151" t="s">
        <v>83</v>
      </c>
      <c r="B1" s="164" t="str">
        <f>GERAL!B1</f>
        <v>FOLHA DE PAGAMENTO MARÇO/2026</v>
      </c>
      <c r="C1" s="164"/>
      <c r="D1" s="164"/>
      <c r="E1" s="164"/>
      <c r="G1" s="1"/>
      <c r="H1" s="1"/>
      <c r="I1" s="80">
        <f>SUBTOTAL(9,I3:I7)</f>
        <v>4483.0974999999999</v>
      </c>
      <c r="J1" s="80">
        <f>SUBTOTAL(9,J3:J7)</f>
        <v>9642.32</v>
      </c>
      <c r="K1" s="163" t="s">
        <v>669</v>
      </c>
      <c r="L1" s="163"/>
      <c r="M1" s="80">
        <f>SUBTOTAL(9,M3:M7)</f>
        <v>31490.829999999994</v>
      </c>
      <c r="N1" s="1"/>
      <c r="O1" s="80">
        <f>'[1]SELETIVA LONDRINA'!$M$1</f>
        <v>32628.769999999997</v>
      </c>
    </row>
    <row r="2" spans="1:18" s="7" customFormat="1" ht="30" customHeight="1" x14ac:dyDescent="0.25">
      <c r="A2" s="8" t="s">
        <v>670</v>
      </c>
      <c r="B2" s="8" t="s">
        <v>362</v>
      </c>
      <c r="C2" s="8" t="s">
        <v>671</v>
      </c>
      <c r="D2" s="8" t="s">
        <v>672</v>
      </c>
      <c r="E2" s="8" t="s">
        <v>673</v>
      </c>
      <c r="F2" s="8" t="s">
        <v>674</v>
      </c>
      <c r="G2" s="8" t="s">
        <v>675</v>
      </c>
      <c r="H2" s="8" t="s">
        <v>13</v>
      </c>
      <c r="I2" s="9" t="s">
        <v>676</v>
      </c>
      <c r="J2" s="9" t="s">
        <v>677</v>
      </c>
      <c r="K2" s="8" t="s">
        <v>678</v>
      </c>
      <c r="L2" s="41" t="s">
        <v>679</v>
      </c>
      <c r="M2" s="9" t="str">
        <f>GERAL!M2</f>
        <v>TT BRUTO
MARÇO</v>
      </c>
      <c r="N2" s="9" t="s">
        <v>681</v>
      </c>
      <c r="O2" s="9" t="str">
        <f>GERAL!O2</f>
        <v>TT BRUTO
FEVEREIRO</v>
      </c>
    </row>
    <row r="3" spans="1:18" x14ac:dyDescent="0.25">
      <c r="A3" s="43">
        <v>1</v>
      </c>
      <c r="B3" s="71" t="s">
        <v>86</v>
      </c>
      <c r="C3" s="43" t="str">
        <f>IFERROR(VLOOKUP($B3,'BASE+TOMADOR'!$A:$BS,3,FALSE),0)</f>
        <v>CLT</v>
      </c>
      <c r="D3" s="43" t="str">
        <f>VLOOKUP($B3,'BASE+TOMADOR'!$A:$BS,8,FALSE)</f>
        <v>OPERACIONAL</v>
      </c>
      <c r="E3" s="71" t="str">
        <f>VLOOKUP($B3,'BASE+TOMADOR'!$A:$BS,15,FALSE)</f>
        <v>GERENTE DE PATIO SENIOR</v>
      </c>
      <c r="F3" s="43" t="str">
        <f>VLOOKUP($B3,'BASE+TOMADOR'!$A:$BS,71,FALSE)</f>
        <v>Ativo</v>
      </c>
      <c r="G3" s="71" t="str">
        <f>VLOOKUP($B3,'BASE+TOMADOR'!$A:$BS,4,FALSE)</f>
        <v>G3S  FL 08 - LONDRINA</v>
      </c>
      <c r="H3" s="71" t="str">
        <f>VLOOKUP($B3,'BASE+TOMADOR'!$A:$BS,7,FALSE)</f>
        <v>20.947.332/0008-61</v>
      </c>
      <c r="I3" s="72">
        <f>IFERROR(VLOOKUP($B3,'BASE+TOMADOR'!$A:$BS,62,FALSE),0)</f>
        <v>1426.6661111111109</v>
      </c>
      <c r="J3" s="72">
        <f>IFERROR(VLOOKUP($B3,'BASE+TOMADOR'!$A:$BS,67,FALSE),0)</f>
        <v>3764.5800000000008</v>
      </c>
      <c r="K3" s="73">
        <f>VLOOKUP($B3,'BASE+TOMADOR'!$A:$BS,55,FALSE)</f>
        <v>3799.96</v>
      </c>
      <c r="L3" s="73">
        <f>IFERROR(VLOOKUP($B3,'BASE+TOMADOR'!$A:$BS,56,FALSE),0)</f>
        <v>11137.099999999999</v>
      </c>
      <c r="M3" s="72">
        <f>IFERROR(VLOOKUP($B3,'BASE+TOMADOR'!$A:$BS,58,FALSE),0)</f>
        <v>11137.099999999999</v>
      </c>
      <c r="N3" s="74">
        <f>M3/$M$1</f>
        <v>0.35366168500480938</v>
      </c>
      <c r="O3" s="72">
        <f>IFERROR(VLOOKUP(B3,'[1]BASE+TOMADOR'!$A:$BF,58,0),0)</f>
        <v>7940.31</v>
      </c>
      <c r="P3" s="67">
        <f>M3-O3</f>
        <v>3196.7899999999981</v>
      </c>
    </row>
    <row r="4" spans="1:18" x14ac:dyDescent="0.25">
      <c r="A4" s="43">
        <f>A3+1</f>
        <v>2</v>
      </c>
      <c r="B4" s="71" t="s">
        <v>189</v>
      </c>
      <c r="C4" s="43" t="str">
        <f>IFERROR(VLOOKUP($B4,'BASE+TOMADOR'!$A:$BS,3,FALSE),0)</f>
        <v>CLT</v>
      </c>
      <c r="D4" s="43" t="str">
        <f>VLOOKUP($B4,'BASE+TOMADOR'!$A:$BS,8,FALSE)</f>
        <v>LOGISTICA</v>
      </c>
      <c r="E4" s="71" t="str">
        <f>VLOOKUP($B4,'BASE+TOMADOR'!$A:$BS,15,FALSE)</f>
        <v>MOTORISTA CARRETEIRO MANTENEDOR SENIOR I</v>
      </c>
      <c r="F4" s="43" t="str">
        <f>VLOOKUP($B4,'BASE+TOMADOR'!$A:$BS,71,FALSE)</f>
        <v>Ativo</v>
      </c>
      <c r="G4" s="71" t="str">
        <f>VLOOKUP($B4,'BASE+TOMADOR'!$A:$BS,4,FALSE)</f>
        <v>G S FL 07 - LONDRINA</v>
      </c>
      <c r="H4" s="71" t="str">
        <f>VLOOKUP($B4,'BASE+TOMADOR'!$A:$BS,7,FALSE)</f>
        <v>20.504.237/0007-02</v>
      </c>
      <c r="I4" s="72">
        <f>IFERROR(VLOOKUP($B4,'BASE+TOMADOR'!$A:$BS,62,FALSE),0)</f>
        <v>875.69611111111112</v>
      </c>
      <c r="J4" s="72">
        <f>IFERROR(VLOOKUP($B4,'BASE+TOMADOR'!$A:$BS,67,FALSE),0)</f>
        <v>1656.13</v>
      </c>
      <c r="K4" s="73">
        <f>VLOOKUP($B4,'BASE+TOMADOR'!$A:$BS,55,FALSE)</f>
        <v>1498.89</v>
      </c>
      <c r="L4" s="73">
        <f>IFERROR(VLOOKUP($B4,'BASE+TOMADOR'!$A:$BS,56,FALSE),0)</f>
        <v>6002.47</v>
      </c>
      <c r="M4" s="72">
        <f>IFERROR(VLOOKUP($B4,'BASE+TOMADOR'!$A:$BS,58,FALSE),0)</f>
        <v>6002.47</v>
      </c>
      <c r="N4" s="74">
        <f>M4/$M$1</f>
        <v>0.19061009189024239</v>
      </c>
      <c r="O4" s="72">
        <f>IFERROR(VLOOKUP(B4,'[1]BASE+TOMADOR'!$A:$BF,58,0),0)</f>
        <v>6124.4699999999993</v>
      </c>
      <c r="P4" s="67">
        <f t="shared" ref="P4:P7" si="0">M4-O4</f>
        <v>-121.99999999999909</v>
      </c>
    </row>
    <row r="5" spans="1:18" x14ac:dyDescent="0.25">
      <c r="A5" s="43">
        <f>A4+1</f>
        <v>3</v>
      </c>
      <c r="B5" s="71" t="s">
        <v>191</v>
      </c>
      <c r="C5" s="43" t="str">
        <f>IFERROR(VLOOKUP($B5,'BASE+TOMADOR'!$A:$BS,3,FALSE),0)</f>
        <v>CLT</v>
      </c>
      <c r="D5" s="43" t="str">
        <f>VLOOKUP($B5,'BASE+TOMADOR'!$A:$BS,8,FALSE)</f>
        <v>OPERACIONAL</v>
      </c>
      <c r="E5" s="71" t="str">
        <f>VLOOKUP($B5,'BASE+TOMADOR'!$A:$BS,15,FALSE)</f>
        <v>OPERADOR MANTENEDOR JR</v>
      </c>
      <c r="F5" s="43" t="str">
        <f>VLOOKUP($B5,'BASE+TOMADOR'!$A:$BS,71,FALSE)</f>
        <v>Ativo</v>
      </c>
      <c r="G5" s="71" t="str">
        <f>VLOOKUP($B5,'BASE+TOMADOR'!$A:$BS,4,FALSE)</f>
        <v>G S FL 07 - LONDRINA</v>
      </c>
      <c r="H5" s="71" t="str">
        <f>VLOOKUP($B5,'BASE+TOMADOR'!$A:$BS,7,FALSE)</f>
        <v>20.504.237/0007-02</v>
      </c>
      <c r="I5" s="72">
        <f>IFERROR(VLOOKUP($B5,'BASE+TOMADOR'!$A:$BS,62,FALSE),0)</f>
        <v>751.38583333333327</v>
      </c>
      <c r="J5" s="72">
        <f>IFERROR(VLOOKUP($B5,'BASE+TOMADOR'!$A:$BS,67,FALSE),0)</f>
        <v>1422.0299999999997</v>
      </c>
      <c r="K5" s="73">
        <f>VLOOKUP($B5,'BASE+TOMADOR'!$A:$BS,55,FALSE)</f>
        <v>1042.3499999999999</v>
      </c>
      <c r="L5" s="73">
        <f>IFERROR(VLOOKUP($B5,'BASE+TOMADOR'!$A:$BS,56,FALSE),0)</f>
        <v>4906.62</v>
      </c>
      <c r="M5" s="72">
        <f>IFERROR(VLOOKUP($B5,'BASE+TOMADOR'!$A:$BS,58,FALSE),0)</f>
        <v>4906.62</v>
      </c>
      <c r="N5" s="74">
        <f>M5/$M$1</f>
        <v>0.15581107262018817</v>
      </c>
      <c r="O5" s="72">
        <f>IFERROR(VLOOKUP(B5,'[1]BASE+TOMADOR'!$A:$BF,58,0),0)</f>
        <v>6296.1799999999994</v>
      </c>
      <c r="P5" s="67">
        <f t="shared" si="0"/>
        <v>-1389.5599999999995</v>
      </c>
    </row>
    <row r="6" spans="1:18" x14ac:dyDescent="0.25">
      <c r="A6" s="43">
        <f>A5+1</f>
        <v>4</v>
      </c>
      <c r="B6" s="71" t="s">
        <v>186</v>
      </c>
      <c r="C6" s="43" t="str">
        <f>IFERROR(VLOOKUP($B6,'BASE+TOMADOR'!$A:$BS,3,FALSE),0)</f>
        <v>CLT</v>
      </c>
      <c r="D6" s="43" t="str">
        <f>VLOOKUP($B6,'BASE+TOMADOR'!$A:$BS,8,FALSE)</f>
        <v>OPERACIONAL</v>
      </c>
      <c r="E6" s="71" t="str">
        <f>VLOOKUP($B6,'BASE+TOMADOR'!$A:$BS,15,FALSE)</f>
        <v>OPERADOR MANTENEDOR JR</v>
      </c>
      <c r="F6" s="43" t="str">
        <f>VLOOKUP($B6,'BASE+TOMADOR'!$A:$BS,71,FALSE)</f>
        <v>Ativo</v>
      </c>
      <c r="G6" s="71" t="str">
        <f>VLOOKUP($B6,'BASE+TOMADOR'!$A:$BS,4,FALSE)</f>
        <v>G S FL 07 - LONDRINA</v>
      </c>
      <c r="H6" s="71" t="str">
        <f>VLOOKUP($B6,'BASE+TOMADOR'!$A:$BS,7,FALSE)</f>
        <v>20.504.237/0007-02</v>
      </c>
      <c r="I6" s="72">
        <f>IFERROR(VLOOKUP($B6,'BASE+TOMADOR'!$A:$BS,62,FALSE),0)</f>
        <v>726.24611111111108</v>
      </c>
      <c r="J6" s="72">
        <f>IFERROR(VLOOKUP($B6,'BASE+TOMADOR'!$A:$BS,67,FALSE),0)</f>
        <v>1371.08</v>
      </c>
      <c r="K6" s="73">
        <f>VLOOKUP($B6,'BASE+TOMADOR'!$A:$BS,55,FALSE)</f>
        <v>1042.3499999999999</v>
      </c>
      <c r="L6" s="73">
        <f>IFERROR(VLOOKUP($B6,'BASE+TOMADOR'!$A:$BS,56,FALSE),0)</f>
        <v>4777.33</v>
      </c>
      <c r="M6" s="72">
        <f>IFERROR(VLOOKUP($B6,'BASE+TOMADOR'!$A:$BS,58,FALSE),0)</f>
        <v>4777.33</v>
      </c>
      <c r="N6" s="74">
        <f>M6/$M$1</f>
        <v>0.15170543297842581</v>
      </c>
      <c r="O6" s="72">
        <f>IFERROR(VLOOKUP(B6,'[1]BASE+TOMADOR'!$A:$BF,58,0),0)</f>
        <v>7489.5499999999993</v>
      </c>
      <c r="P6" s="67">
        <f t="shared" si="0"/>
        <v>-2712.2199999999993</v>
      </c>
    </row>
    <row r="7" spans="1:18" s="66" customFormat="1" x14ac:dyDescent="0.25">
      <c r="A7" s="43">
        <f>A6+1</f>
        <v>5</v>
      </c>
      <c r="B7" s="71" t="s">
        <v>77</v>
      </c>
      <c r="C7" s="43" t="str">
        <f>IFERROR(VLOOKUP($B7,'BASE+TOMADOR'!$A:$BS,3,FALSE),0)</f>
        <v>CLT</v>
      </c>
      <c r="D7" s="43" t="str">
        <f>VLOOKUP($B7,'BASE+TOMADOR'!$A:$BS,8,FALSE)</f>
        <v>ADMINISTRATIVO</v>
      </c>
      <c r="E7" s="71" t="str">
        <f>VLOOKUP($B7,'BASE+TOMADOR'!$A:$BS,15,FALSE)</f>
        <v>AUX ADMINISTRATIVO SENIOR</v>
      </c>
      <c r="F7" s="43" t="str">
        <f>VLOOKUP($B7,'BASE+TOMADOR'!$A:$BS,71,FALSE)</f>
        <v>Ativo</v>
      </c>
      <c r="G7" s="71" t="str">
        <f>VLOOKUP($B7,'BASE+TOMADOR'!$A:$BS,4,FALSE)</f>
        <v>G3S  FL 08 - LONDRINA</v>
      </c>
      <c r="H7" s="71" t="str">
        <f>VLOOKUP($B7,'BASE+TOMADOR'!$A:$BS,7,FALSE)</f>
        <v>20.947.332/0008-61</v>
      </c>
      <c r="I7" s="72">
        <f>IFERROR(VLOOKUP($B7,'BASE+TOMADOR'!$A:$BS,62,FALSE),0)</f>
        <v>703.10333333333324</v>
      </c>
      <c r="J7" s="72">
        <f>IFERROR(VLOOKUP($B7,'BASE+TOMADOR'!$A:$BS,67,FALSE),0)</f>
        <v>1428.5</v>
      </c>
      <c r="K7" s="73">
        <f>VLOOKUP($B7,'BASE+TOMADOR'!$A:$BS,55,FALSE)</f>
        <v>1051.3499999999999</v>
      </c>
      <c r="L7" s="73">
        <f>IFERROR(VLOOKUP($B7,'BASE+TOMADOR'!$A:$BS,56,FALSE),0)</f>
        <v>4667.3099999999995</v>
      </c>
      <c r="M7" s="72">
        <f>IFERROR(VLOOKUP($B7,'BASE+TOMADOR'!$A:$BS,58,FALSE),0)</f>
        <v>4667.3099999999995</v>
      </c>
      <c r="N7" s="74">
        <f>M7/$M$1</f>
        <v>0.14821171750633438</v>
      </c>
      <c r="O7" s="72">
        <f>IFERROR(VLOOKUP(B7,'[1]BASE+TOMADOR'!$A:$BF,58,0),0)</f>
        <v>4689.0999999999995</v>
      </c>
      <c r="P7" s="67">
        <f t="shared" si="0"/>
        <v>-21.789999999999964</v>
      </c>
    </row>
    <row r="8" spans="1:18" customFormat="1" ht="16.149999999999999" customHeight="1" x14ac:dyDescent="0.25">
      <c r="A8" s="1"/>
      <c r="B8" s="2"/>
      <c r="C8" s="1"/>
      <c r="D8" s="2"/>
      <c r="E8" s="2"/>
      <c r="F8" s="1"/>
      <c r="G8" s="2"/>
      <c r="H8" s="2"/>
      <c r="I8" s="1"/>
      <c r="J8" s="1"/>
      <c r="K8" s="48"/>
      <c r="L8" s="48"/>
      <c r="M8" s="49"/>
      <c r="N8" s="50"/>
      <c r="O8" s="1"/>
      <c r="R8" s="1"/>
    </row>
    <row r="9" spans="1:18" customFormat="1" ht="16.149999999999999" customHeight="1" x14ac:dyDescent="0.25">
      <c r="A9" s="1"/>
      <c r="B9" s="98" t="s">
        <v>2</v>
      </c>
      <c r="C9" s="1" t="s">
        <v>684</v>
      </c>
      <c r="D9" s="1" t="s">
        <v>685</v>
      </c>
      <c r="E9" s="2"/>
      <c r="F9" s="1"/>
      <c r="G9" s="2"/>
      <c r="H9" s="2"/>
      <c r="I9" s="1"/>
      <c r="J9" s="1"/>
      <c r="K9" s="2"/>
      <c r="L9" s="40"/>
      <c r="M9" s="6"/>
      <c r="N9" s="4"/>
      <c r="O9" s="1"/>
      <c r="R9" s="1"/>
    </row>
    <row r="10" spans="1:18" customFormat="1" ht="16.149999999999999" customHeight="1" x14ac:dyDescent="0.25">
      <c r="A10" s="1"/>
      <c r="B10" s="2" t="s">
        <v>426</v>
      </c>
      <c r="C10" s="1">
        <v>5</v>
      </c>
      <c r="D10" s="48">
        <v>31490.829999999994</v>
      </c>
      <c r="E10" s="2"/>
      <c r="F10" s="1"/>
      <c r="G10" s="2"/>
      <c r="H10" s="2"/>
      <c r="I10" s="1"/>
      <c r="J10" s="1"/>
      <c r="K10" s="2"/>
      <c r="L10" s="40"/>
      <c r="M10" s="6"/>
      <c r="N10" s="4"/>
      <c r="O10" s="1"/>
      <c r="R10" s="1"/>
    </row>
    <row r="11" spans="1:18" customFormat="1" ht="16.149999999999999" customHeight="1" x14ac:dyDescent="0.25">
      <c r="A11" s="1"/>
      <c r="B11" s="99" t="s">
        <v>5</v>
      </c>
      <c r="C11" s="1">
        <v>5</v>
      </c>
      <c r="D11" s="48">
        <v>31490.829999999994</v>
      </c>
      <c r="E11" s="2"/>
      <c r="F11" s="1"/>
      <c r="G11" s="2"/>
      <c r="H11" s="2"/>
      <c r="I11" s="1"/>
      <c r="J11" s="1"/>
      <c r="K11" s="2"/>
      <c r="L11" s="40"/>
      <c r="M11" s="6"/>
      <c r="N11" s="4"/>
      <c r="O11" s="1"/>
      <c r="R11" s="1"/>
    </row>
    <row r="12" spans="1:18" customFormat="1" x14ac:dyDescent="0.25">
      <c r="A12" s="1"/>
      <c r="B12" s="1" t="s">
        <v>686</v>
      </c>
      <c r="C12" s="1">
        <v>5</v>
      </c>
      <c r="D12" s="48">
        <v>31490.829999999994</v>
      </c>
      <c r="E12" s="2"/>
      <c r="F12" s="1"/>
      <c r="G12" s="2"/>
      <c r="H12" s="2"/>
      <c r="I12" s="1"/>
      <c r="J12" s="1"/>
      <c r="K12" s="2"/>
      <c r="L12" s="40"/>
      <c r="M12" s="6"/>
      <c r="N12" s="4"/>
      <c r="O12" s="1"/>
      <c r="R12" s="1"/>
    </row>
    <row r="13" spans="1:18" ht="15.75" customHeight="1" x14ac:dyDescent="0.25">
      <c r="D13" s="104"/>
    </row>
    <row r="14" spans="1:18" ht="16.149999999999999" customHeight="1" x14ac:dyDescent="0.25">
      <c r="B14" s="102" t="s">
        <v>12</v>
      </c>
      <c r="C14" s="98" t="s">
        <v>13</v>
      </c>
      <c r="D14" s="1" t="s">
        <v>684</v>
      </c>
      <c r="E14" s="1" t="s">
        <v>685</v>
      </c>
    </row>
    <row r="15" spans="1:18" x14ac:dyDescent="0.25">
      <c r="B15" s="103" t="s">
        <v>79</v>
      </c>
      <c r="C15" s="1" t="s">
        <v>80</v>
      </c>
      <c r="D15" s="1">
        <v>2</v>
      </c>
      <c r="E15" s="48">
        <v>15804.409999999998</v>
      </c>
    </row>
    <row r="16" spans="1:18" x14ac:dyDescent="0.25">
      <c r="B16" s="103" t="s">
        <v>187</v>
      </c>
      <c r="C16" s="1" t="s">
        <v>188</v>
      </c>
      <c r="D16" s="1">
        <v>3</v>
      </c>
      <c r="E16" s="48">
        <v>15686.42</v>
      </c>
    </row>
    <row r="17" spans="2:14" x14ac:dyDescent="0.25">
      <c r="B17" s="1" t="s">
        <v>686</v>
      </c>
      <c r="D17" s="1">
        <v>5</v>
      </c>
      <c r="E17" s="48">
        <v>31490.829999999994</v>
      </c>
    </row>
    <row r="18" spans="2:14" x14ac:dyDescent="0.25">
      <c r="B18"/>
      <c r="C18"/>
      <c r="D18"/>
      <c r="E18" s="101"/>
      <c r="G18"/>
      <c r="H18"/>
      <c r="K18"/>
      <c r="L18" s="12"/>
      <c r="M18"/>
      <c r="N18"/>
    </row>
    <row r="19" spans="2:14" x14ac:dyDescent="0.25">
      <c r="B19" s="101"/>
      <c r="C19" s="101"/>
      <c r="D19" s="101"/>
      <c r="E19" s="101"/>
      <c r="G19"/>
      <c r="H19"/>
      <c r="K19"/>
      <c r="L19" s="12"/>
      <c r="M19"/>
      <c r="N19"/>
    </row>
    <row r="20" spans="2:14" x14ac:dyDescent="0.25">
      <c r="B20" s="101"/>
      <c r="C20" s="101"/>
      <c r="D20" s="101"/>
      <c r="E20" s="101"/>
      <c r="G20"/>
      <c r="H20"/>
      <c r="K20"/>
      <c r="L20" s="12"/>
      <c r="M20"/>
      <c r="N20"/>
    </row>
    <row r="21" spans="2:14" x14ac:dyDescent="0.25">
      <c r="B21" s="101"/>
      <c r="C21" s="101"/>
      <c r="D21" s="101"/>
      <c r="E21" s="101"/>
      <c r="G21"/>
      <c r="H21"/>
      <c r="K21"/>
      <c r="L21" s="12"/>
      <c r="M21"/>
      <c r="N21"/>
    </row>
    <row r="22" spans="2:14" x14ac:dyDescent="0.25">
      <c r="B22" s="101"/>
      <c r="C22" s="101"/>
      <c r="D22" s="101"/>
      <c r="E22" s="101"/>
      <c r="G22"/>
      <c r="H22"/>
      <c r="K22"/>
      <c r="L22" s="12"/>
      <c r="M22"/>
      <c r="N22"/>
    </row>
    <row r="23" spans="2:14" x14ac:dyDescent="0.25">
      <c r="B23" s="101"/>
      <c r="C23" s="101"/>
      <c r="D23" s="101"/>
      <c r="E23" s="101"/>
      <c r="G23"/>
      <c r="H23"/>
      <c r="K23"/>
      <c r="L23" s="12"/>
      <c r="M23"/>
      <c r="N23"/>
    </row>
    <row r="24" spans="2:14" x14ac:dyDescent="0.25">
      <c r="B24" s="101"/>
      <c r="C24" s="101"/>
      <c r="D24" s="101"/>
      <c r="E24" s="101"/>
      <c r="G24"/>
      <c r="H24"/>
      <c r="K24"/>
      <c r="L24" s="12"/>
      <c r="M24"/>
      <c r="N24"/>
    </row>
    <row r="25" spans="2:14" x14ac:dyDescent="0.25">
      <c r="B25" s="101"/>
      <c r="C25" s="101"/>
      <c r="D25" s="101"/>
      <c r="E25" s="101"/>
      <c r="G25"/>
      <c r="H25"/>
      <c r="K25"/>
      <c r="L25" s="12"/>
      <c r="M25"/>
      <c r="N25"/>
    </row>
    <row r="26" spans="2:14" x14ac:dyDescent="0.25">
      <c r="B26" s="101"/>
      <c r="C26" s="101"/>
      <c r="D26" s="101"/>
      <c r="E26" s="101"/>
      <c r="G26"/>
      <c r="H26"/>
      <c r="K26"/>
      <c r="L26" s="12"/>
      <c r="M26"/>
      <c r="N26"/>
    </row>
    <row r="27" spans="2:14" x14ac:dyDescent="0.25">
      <c r="B27" s="101"/>
      <c r="C27" s="101"/>
      <c r="D27" s="101"/>
      <c r="E27" s="101"/>
      <c r="G27"/>
      <c r="H27"/>
      <c r="K27"/>
      <c r="L27" s="12"/>
      <c r="M27"/>
      <c r="N27"/>
    </row>
    <row r="28" spans="2:14" x14ac:dyDescent="0.25">
      <c r="B28" s="101"/>
      <c r="C28" s="101"/>
      <c r="D28" s="101"/>
      <c r="E28" s="101"/>
      <c r="G28"/>
      <c r="H28"/>
      <c r="K28"/>
      <c r="L28" s="12"/>
      <c r="M28"/>
      <c r="N28"/>
    </row>
    <row r="29" spans="2:14" x14ac:dyDescent="0.25">
      <c r="B29" s="101"/>
      <c r="C29" s="101"/>
      <c r="D29" s="101"/>
      <c r="E29" s="101"/>
      <c r="G29"/>
      <c r="H29"/>
      <c r="K29"/>
      <c r="L29" s="12"/>
      <c r="M29"/>
      <c r="N29"/>
    </row>
    <row r="30" spans="2:14" x14ac:dyDescent="0.25">
      <c r="B30" s="101"/>
      <c r="C30" s="101"/>
      <c r="D30" s="101"/>
      <c r="E30" s="101"/>
      <c r="G30"/>
      <c r="H30"/>
      <c r="K30"/>
      <c r="L30" s="12"/>
      <c r="M30"/>
      <c r="N30"/>
    </row>
    <row r="31" spans="2:14" x14ac:dyDescent="0.25">
      <c r="B31" s="101"/>
      <c r="C31" s="101"/>
      <c r="D31" s="101"/>
      <c r="E31" s="101"/>
      <c r="G31"/>
      <c r="H31"/>
      <c r="K31"/>
      <c r="L31" s="12"/>
      <c r="M31"/>
      <c r="N31"/>
    </row>
    <row r="32" spans="2:14" x14ac:dyDescent="0.25">
      <c r="B32" s="101"/>
      <c r="C32" s="101"/>
      <c r="D32" s="101"/>
      <c r="E32" s="101"/>
      <c r="G32"/>
      <c r="H32"/>
      <c r="K32"/>
      <c r="L32" s="12"/>
      <c r="M32"/>
      <c r="N32"/>
    </row>
    <row r="33" spans="2:5" x14ac:dyDescent="0.25">
      <c r="B33" s="101"/>
      <c r="C33" s="101"/>
      <c r="D33" s="101"/>
      <c r="E33" s="101"/>
    </row>
    <row r="34" spans="2:5" x14ac:dyDescent="0.25">
      <c r="B34" s="101"/>
      <c r="C34" s="101"/>
      <c r="D34" s="101"/>
      <c r="E34" s="101"/>
    </row>
    <row r="35" spans="2:5" x14ac:dyDescent="0.25">
      <c r="B35" s="101"/>
      <c r="C35" s="101"/>
      <c r="D35" s="101"/>
      <c r="E35" s="101"/>
    </row>
    <row r="36" spans="2:5" x14ac:dyDescent="0.25">
      <c r="B36" s="101"/>
      <c r="C36" s="101"/>
      <c r="D36" s="101"/>
      <c r="E36" s="101"/>
    </row>
  </sheetData>
  <autoFilter ref="A2:O7" xr:uid="{D12CA574-7460-41EF-8B5D-188A312AA43A}">
    <sortState xmlns:xlrd2="http://schemas.microsoft.com/office/spreadsheetml/2017/richdata2" ref="A3:O7">
      <sortCondition descending="1" ref="N2:N7"/>
    </sortState>
  </autoFilter>
  <mergeCells count="2">
    <mergeCell ref="K1:L1"/>
    <mergeCell ref="B1:E1"/>
  </mergeCells>
  <printOptions horizontalCentered="1"/>
  <pageMargins left="0" right="0" top="0.11811023622047245" bottom="0.11811023622047245" header="0" footer="0"/>
  <pageSetup paperSize="9" scale="62" fitToHeight="0" orientation="landscape"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96" id="{F30A5E81-EA68-4169-A6B6-ED878809359B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P3:P7</xm:sqref>
        </x14:conditionalFormatting>
        <x14:conditionalFormatting xmlns:xm="http://schemas.microsoft.com/office/excel/2006/main">
          <x14:cfRule type="iconSet" priority="3" id="{D2A67668-040C-440E-8489-0D7DE18C936E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Q3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272EED-C1DB-4A3C-A3FB-67C36E07C4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20</vt:i4>
      </vt:variant>
      <vt:variant>
        <vt:lpstr>Intervalos Nomeados</vt:lpstr>
      </vt:variant>
      <vt:variant>
        <vt:i4>24</vt:i4>
      </vt:variant>
    </vt:vector>
  </HeadingPairs>
  <TitlesOfParts>
    <vt:vector size="44" baseType="lpstr">
      <vt:lpstr>TD</vt:lpstr>
      <vt:lpstr>Custo_Fopag (2)</vt:lpstr>
      <vt:lpstr>BASE+TOMADOR</vt:lpstr>
      <vt:lpstr>Beneficios</vt:lpstr>
      <vt:lpstr>Custo_Fopag.CSV</vt:lpstr>
      <vt:lpstr>mar-25</vt:lpstr>
      <vt:lpstr>Planilha1</vt:lpstr>
      <vt:lpstr>Planilha3</vt:lpstr>
      <vt:lpstr>GERAL</vt:lpstr>
      <vt:lpstr>PILARES</vt:lpstr>
      <vt:lpstr>BRACOFER</vt:lpstr>
      <vt:lpstr>EKIPA</vt:lpstr>
      <vt:lpstr>TRANSMOVE</vt:lpstr>
      <vt:lpstr>SELETIVA APOIO</vt:lpstr>
      <vt:lpstr>SELETIVA C GRANDE</vt:lpstr>
      <vt:lpstr>SELETIVA DOURADOS</vt:lpstr>
      <vt:lpstr>SELETIVA PRUDENTE</vt:lpstr>
      <vt:lpstr>SELETIVA MARINGÁ</vt:lpstr>
      <vt:lpstr>SELETIVA CIDADE ALTA</vt:lpstr>
      <vt:lpstr>SELETIVA LONDRINA</vt:lpstr>
      <vt:lpstr>BRACOFER!Area_de_impressao</vt:lpstr>
      <vt:lpstr>EKIPA!Area_de_impressao</vt:lpstr>
      <vt:lpstr>GERAL!Area_de_impressao</vt:lpstr>
      <vt:lpstr>PILARES!Area_de_impressao</vt:lpstr>
      <vt:lpstr>'SELETIVA APOIO'!Area_de_impressao</vt:lpstr>
      <vt:lpstr>'SELETIVA C GRANDE'!Area_de_impressao</vt:lpstr>
      <vt:lpstr>'SELETIVA CIDADE ALTA'!Area_de_impressao</vt:lpstr>
      <vt:lpstr>'SELETIVA DOURADOS'!Area_de_impressao</vt:lpstr>
      <vt:lpstr>'SELETIVA LONDRINA'!Area_de_impressao</vt:lpstr>
      <vt:lpstr>'SELETIVA MARINGÁ'!Area_de_impressao</vt:lpstr>
      <vt:lpstr>'SELETIVA PRUDENTE'!Area_de_impressao</vt:lpstr>
      <vt:lpstr>TRANSMOVE!Area_de_impressao</vt:lpstr>
      <vt:lpstr>BRACOFER!Titulos_de_impressao</vt:lpstr>
      <vt:lpstr>EKIPA!Titulos_de_impressao</vt:lpstr>
      <vt:lpstr>GERAL!Titulos_de_impressao</vt:lpstr>
      <vt:lpstr>PILARES!Titulos_de_impressao</vt:lpstr>
      <vt:lpstr>'SELETIVA APOIO'!Titulos_de_impressao</vt:lpstr>
      <vt:lpstr>'SELETIVA C GRANDE'!Titulos_de_impressao</vt:lpstr>
      <vt:lpstr>'SELETIVA CIDADE ALTA'!Titulos_de_impressao</vt:lpstr>
      <vt:lpstr>'SELETIVA DOURADOS'!Titulos_de_impressao</vt:lpstr>
      <vt:lpstr>'SELETIVA LONDRINA'!Titulos_de_impressao</vt:lpstr>
      <vt:lpstr>'SELETIVA MARINGÁ'!Titulos_de_impressao</vt:lpstr>
      <vt:lpstr>'SELETIVA PRUDENTE'!Titulos_de_impressao</vt:lpstr>
      <vt:lpstr>TRANSMOVE!Titulos_de_impressao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Luciano Faria</dc:creator>
  <cp:keywords/>
  <dc:description/>
  <cp:lastModifiedBy>Julio Oliveira Santana | Pilares</cp:lastModifiedBy>
  <cp:revision/>
  <dcterms:created xsi:type="dcterms:W3CDTF">2024-10-10T12:04:01Z</dcterms:created>
  <dcterms:modified xsi:type="dcterms:W3CDTF">2026-05-08T17:44:49Z</dcterms:modified>
  <cp:category/>
  <cp:contentStatus/>
</cp:coreProperties>
</file>