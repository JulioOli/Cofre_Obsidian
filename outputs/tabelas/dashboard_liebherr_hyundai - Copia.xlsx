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1" autoFilterDateGrouping="1"/>
  </bookViews>
  <sheets>
    <sheet name="Visão Geral" sheetId="1" state="visible" r:id="rId1"/>
    <sheet name="Mix por conta" sheetId="2" state="visible" r:id="rId2"/>
    <sheet name="Planilha2" sheetId="3" state="visible" r:id="rId3"/>
    <sheet name="Gasto por Local - Simples" sheetId="4" state="visible" r:id="rId4"/>
    <sheet name="Gasto por Local - Detalhado" sheetId="5" state="visible" r:id="rId5"/>
    <sheet name="Resumo Local×Marca" sheetId="6" state="visible" r:id="rId6"/>
    <sheet name="Mês×Maq LIEB" sheetId="7" state="visible" r:id="rId7"/>
    <sheet name="Mês×Maq HYUN" sheetId="8" state="visible" r:id="rId8"/>
    <sheet name="Série mensal" sheetId="9" state="visible" r:id="rId9"/>
    <sheet name="Gasto_mês_máquina" sheetId="10" state="visible" r:id="rId10"/>
    <sheet name="Gráficos feitos em Python" sheetId="11" state="visible" r:id="rId11"/>
    <sheet name="Fonte_Dado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R$&quot;\ #,##0"/>
    <numFmt numFmtId="166" formatCode="&quot;R$&quot;\ #,##0;[Red]\-&quot;R$&quot;\ #,##0"/>
    <numFmt numFmtId="167" formatCode="0.0"/>
  </numFmts>
  <fonts count="24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color rgb="FF004B8D"/>
      <sz val="11"/>
    </font>
    <font>
      <name val="Calibri"/>
      <family val="2"/>
      <b val="1"/>
      <color rgb="FFF4C430"/>
      <sz val="11"/>
    </font>
    <font>
      <name val="Calibri"/>
      <family val="2"/>
      <i val="1"/>
      <color rgb="FF004B8D"/>
      <sz val="11"/>
    </font>
    <font>
      <name val="Calibri"/>
      <family val="2"/>
      <i val="1"/>
      <sz val="10"/>
    </font>
    <font>
      <name val="Calibri"/>
      <family val="2"/>
      <i val="1"/>
      <color rgb="FF333333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color theme="0" tint="-0.499984740745262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rgb="FF004B8D"/>
      <sz val="12"/>
    </font>
    <font>
      <name val="Calibri"/>
      <family val="2"/>
      <i val="1"/>
      <color rgb="FF555555"/>
      <sz val="10"/>
    </font>
    <font>
      <name val="Calibri"/>
      <family val="2"/>
      <b val="1"/>
      <sz val="11"/>
    </font>
    <font>
      <b val="1"/>
      <color rgb="00004B8D"/>
      <sz val="12"/>
    </font>
    <font>
      <i val="1"/>
      <color rgb="00555555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E8EEF7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"/>
        <bgColor indexed="64"/>
      </patternFill>
    </fill>
  </fills>
  <borders count="5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4">
    <xf numFmtId="0" fontId="9" fillId="0" borderId="0"/>
    <xf numFmtId="43" fontId="9" fillId="0" borderId="0"/>
    <xf numFmtId="44" fontId="9" fillId="0" borderId="0"/>
    <xf numFmtId="9" fontId="9" fillId="0" borderId="0"/>
  </cellStyleXfs>
  <cellXfs count="20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2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3" fontId="0" fillId="0" borderId="5" pivotButton="0" quotePrefix="0" xfId="0"/>
    <xf numFmtId="0" fontId="0" fillId="0" borderId="19" pivotButton="0" quotePrefix="0" xfId="0"/>
    <xf numFmtId="3" fontId="0" fillId="0" borderId="20" pivotButton="0" quotePrefix="0" xfId="0"/>
    <xf numFmtId="0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0" fillId="0" borderId="24" pivotButton="0" quotePrefix="0" xfId="0"/>
    <xf numFmtId="3" fontId="0" fillId="0" borderId="25" pivotButton="0" quotePrefix="0" xfId="0"/>
    <xf numFmtId="3" fontId="0" fillId="0" borderId="26" pivotButton="0" quotePrefix="0" xfId="0"/>
    <xf numFmtId="164" fontId="0" fillId="0" borderId="5" pivotButton="0" quotePrefix="0" xfId="1"/>
    <xf numFmtId="164" fontId="0" fillId="0" borderId="20" pivotButton="0" quotePrefix="0" xfId="1"/>
    <xf numFmtId="164" fontId="0" fillId="0" borderId="22" pivotButton="0" quotePrefix="0" xfId="1"/>
    <xf numFmtId="164" fontId="0" fillId="0" borderId="23" pivotButton="0" quotePrefix="0" xfId="1"/>
    <xf numFmtId="164" fontId="0" fillId="0" borderId="26" pivotButton="0" quotePrefix="0" xfId="1"/>
    <xf numFmtId="164" fontId="0" fillId="0" borderId="30" pivotButton="0" quotePrefix="0" xfId="1"/>
    <xf numFmtId="164" fontId="0" fillId="0" borderId="31" pivotButton="0" quotePrefix="0" xfId="1"/>
    <xf numFmtId="0" fontId="0" fillId="0" borderId="12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2" borderId="0" applyAlignment="1" pivotButton="0" quotePrefix="0" xfId="2">
      <alignment horizontal="center"/>
    </xf>
    <xf numFmtId="165" fontId="0" fillId="0" borderId="0" applyAlignment="1" pivotButton="0" quotePrefix="0" xfId="2">
      <alignment horizontal="center"/>
    </xf>
    <xf numFmtId="9" fontId="0" fillId="0" borderId="0" pivotButton="0" quotePrefix="0" xfId="3"/>
    <xf numFmtId="0" fontId="0" fillId="2" borderId="0" applyAlignment="1" pivotButton="0" quotePrefix="0" xfId="2">
      <alignment horizontal="center"/>
    </xf>
    <xf numFmtId="0" fontId="0" fillId="0" borderId="0" applyAlignment="1" pivotButton="0" quotePrefix="0" xfId="2">
      <alignment horizontal="center"/>
    </xf>
    <xf numFmtId="165" fontId="0" fillId="0" borderId="2" applyAlignment="1" pivotButton="0" quotePrefix="0" xfId="2">
      <alignment horizontal="center"/>
    </xf>
    <xf numFmtId="0" fontId="0" fillId="0" borderId="5" applyAlignment="1" pivotButton="0" quotePrefix="0" xfId="0">
      <alignment horizontal="center"/>
    </xf>
    <xf numFmtId="165" fontId="0" fillId="0" borderId="5" applyAlignment="1" pivotButton="0" quotePrefix="0" xfId="2">
      <alignment horizontal="center"/>
    </xf>
    <xf numFmtId="9" fontId="0" fillId="0" borderId="0" applyAlignment="1" pivotButton="0" quotePrefix="0" xfId="3">
      <alignment horizontal="center"/>
    </xf>
    <xf numFmtId="0" fontId="14" fillId="0" borderId="25" pivotButton="0" quotePrefix="0" xfId="0"/>
    <xf numFmtId="0" fontId="0" fillId="0" borderId="25" applyAlignment="1" pivotButton="0" quotePrefix="0" xfId="0">
      <alignment horizontal="center"/>
    </xf>
    <xf numFmtId="166" fontId="0" fillId="0" borderId="25" applyAlignment="1" pivotButton="0" quotePrefix="0" xfId="0">
      <alignment horizontal="center"/>
    </xf>
    <xf numFmtId="9" fontId="0" fillId="0" borderId="25" applyAlignment="1" pivotButton="0" quotePrefix="0" xfId="0">
      <alignment horizontal="center"/>
    </xf>
    <xf numFmtId="0" fontId="11" fillId="0" borderId="16" pivotButton="0" quotePrefix="0" xfId="0"/>
    <xf numFmtId="0" fontId="11" fillId="0" borderId="17" applyAlignment="1" pivotButton="0" quotePrefix="0" xfId="0">
      <alignment horizontal="center"/>
    </xf>
    <xf numFmtId="9" fontId="11" fillId="0" borderId="18" applyAlignment="1" pivotButton="0" quotePrefix="0" xfId="3">
      <alignment horizontal="center"/>
    </xf>
    <xf numFmtId="0" fontId="4" fillId="0" borderId="19" applyAlignment="1" pivotButton="0" quotePrefix="0" xfId="0">
      <alignment horizontal="right"/>
    </xf>
    <xf numFmtId="9" fontId="0" fillId="0" borderId="20" applyAlignment="1" pivotButton="0" quotePrefix="0" xfId="3">
      <alignment horizontal="center"/>
    </xf>
    <xf numFmtId="0" fontId="11" fillId="0" borderId="21" pivotButton="0" quotePrefix="0" xfId="0"/>
    <xf numFmtId="0" fontId="11" fillId="0" borderId="22" applyAlignment="1" pivotButton="0" quotePrefix="0" xfId="0">
      <alignment horizontal="center"/>
    </xf>
    <xf numFmtId="165" fontId="0" fillId="0" borderId="22" applyAlignment="1" pivotButton="0" quotePrefix="0" xfId="0">
      <alignment horizontal="center"/>
    </xf>
    <xf numFmtId="166" fontId="0" fillId="0" borderId="22" applyAlignment="1" pivotButton="0" quotePrefix="0" xfId="1">
      <alignment horizontal="center"/>
    </xf>
    <xf numFmtId="9" fontId="0" fillId="0" borderId="23" applyAlignment="1" pivotButton="0" quotePrefix="0" xfId="3">
      <alignment horizontal="center"/>
    </xf>
    <xf numFmtId="0" fontId="5" fillId="0" borderId="19" applyAlignment="1" pivotButton="0" quotePrefix="0" xfId="0">
      <alignment horizontal="right"/>
    </xf>
    <xf numFmtId="0" fontId="0" fillId="0" borderId="22" applyAlignment="1" pivotButton="0" quotePrefix="0" xfId="0">
      <alignment horizontal="center"/>
    </xf>
    <xf numFmtId="9" fontId="15" fillId="0" borderId="5" applyAlignment="1" pivotButton="0" quotePrefix="0" xfId="3">
      <alignment horizontal="center"/>
    </xf>
    <xf numFmtId="9" fontId="15" fillId="0" borderId="22" applyAlignment="1" pivotButton="0" quotePrefix="0" xfId="1">
      <alignment horizontal="center"/>
    </xf>
    <xf numFmtId="0" fontId="15" fillId="0" borderId="0" applyAlignment="1" pivotButton="0" quotePrefix="0" xfId="0">
      <alignment horizontal="center"/>
    </xf>
    <xf numFmtId="0" fontId="16" fillId="0" borderId="17" applyAlignment="1" pivotButton="0" quotePrefix="0" xfId="0">
      <alignment horizontal="center"/>
    </xf>
    <xf numFmtId="165" fontId="15" fillId="0" borderId="0" applyAlignment="1" pivotButton="0" quotePrefix="0" xfId="2">
      <alignment horizontal="center"/>
    </xf>
    <xf numFmtId="9" fontId="15" fillId="0" borderId="20" applyAlignment="1" pivotButton="0" quotePrefix="0" xfId="3">
      <alignment horizontal="center"/>
    </xf>
    <xf numFmtId="9" fontId="15" fillId="0" borderId="23" applyAlignment="1" pivotButton="0" quotePrefix="0" xfId="3">
      <alignment horizontal="center"/>
    </xf>
    <xf numFmtId="9" fontId="16" fillId="0" borderId="18" applyAlignment="1" pivotButton="0" quotePrefix="0" xfId="3">
      <alignment horizontal="center"/>
    </xf>
    <xf numFmtId="0" fontId="11" fillId="0" borderId="18" applyAlignment="1" pivotButton="0" quotePrefix="0" xfId="0">
      <alignment horizontal="center"/>
    </xf>
    <xf numFmtId="0" fontId="3" fillId="0" borderId="1" pivotButton="0" quotePrefix="0" xfId="0"/>
    <xf numFmtId="0" fontId="3" fillId="0" borderId="2" applyAlignment="1" pivotButton="0" quotePrefix="0" xfId="0">
      <alignment horizontal="center"/>
    </xf>
    <xf numFmtId="0" fontId="0" fillId="0" borderId="2" applyAlignment="1" pivotButton="0" quotePrefix="0" xfId="2">
      <alignment horizontal="center"/>
    </xf>
    <xf numFmtId="165" fontId="0" fillId="0" borderId="3" applyAlignment="1" pivotButton="0" quotePrefix="0" xfId="2">
      <alignment horizontal="center"/>
    </xf>
    <xf numFmtId="0" fontId="13" fillId="0" borderId="2" applyAlignment="1" pivotButton="0" quotePrefix="0" xfId="0">
      <alignment horizontal="center"/>
    </xf>
    <xf numFmtId="0" fontId="4" fillId="0" borderId="2" pivotButton="0" quotePrefix="0" xfId="0"/>
    <xf numFmtId="3" fontId="0" fillId="0" borderId="2" applyAlignment="1" pivotButton="0" quotePrefix="0" xfId="0">
      <alignment horizontal="center"/>
    </xf>
    <xf numFmtId="3" fontId="0" fillId="0" borderId="3" applyAlignment="1" pivotButton="0" quotePrefix="0" xfId="0">
      <alignment horizontal="center"/>
    </xf>
    <xf numFmtId="0" fontId="0" fillId="0" borderId="41" pivotButton="0" quotePrefix="0" xfId="0"/>
    <xf numFmtId="0" fontId="5" fillId="0" borderId="6" pivotButton="0" quotePrefix="0" xfId="0"/>
    <xf numFmtId="0" fontId="13" fillId="0" borderId="6" applyAlignment="1" pivotButton="0" quotePrefix="0" xfId="0">
      <alignment horizontal="center"/>
    </xf>
    <xf numFmtId="165" fontId="0" fillId="0" borderId="6" applyAlignment="1" pivotButton="0" quotePrefix="0" xfId="2">
      <alignment horizontal="center"/>
    </xf>
    <xf numFmtId="0" fontId="0" fillId="0" borderId="6" applyAlignment="1" pivotButton="0" quotePrefix="0" xfId="2">
      <alignment horizontal="center"/>
    </xf>
    <xf numFmtId="165" fontId="0" fillId="0" borderId="33" applyAlignment="1" pivotButton="0" quotePrefix="0" xfId="2">
      <alignment horizontal="center"/>
    </xf>
    <xf numFmtId="0" fontId="17" fillId="0" borderId="2" pivotButton="0" quotePrefix="0" xfId="0"/>
    <xf numFmtId="0" fontId="17" fillId="4" borderId="2" pivotButton="0" quotePrefix="0" xfId="0"/>
    <xf numFmtId="9" fontId="0" fillId="4" borderId="2" applyAlignment="1" pivotButton="0" quotePrefix="0" xfId="3">
      <alignment horizontal="center"/>
    </xf>
    <xf numFmtId="9" fontId="0" fillId="0" borderId="2" applyAlignment="1" pivotButton="0" quotePrefix="0" xfId="3">
      <alignment horizontal="center"/>
    </xf>
    <xf numFmtId="9" fontId="0" fillId="0" borderId="6" applyAlignment="1" pivotButton="0" quotePrefix="0" xfId="3">
      <alignment horizontal="center"/>
    </xf>
    <xf numFmtId="0" fontId="13" fillId="4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165" fontId="0" fillId="4" borderId="11" applyAlignment="1" pivotButton="0" quotePrefix="0" xfId="2">
      <alignment horizontal="center"/>
    </xf>
    <xf numFmtId="165" fontId="0" fillId="4" borderId="12" applyAlignment="1" pivotButton="0" quotePrefix="0" xfId="2">
      <alignment horizontal="center"/>
    </xf>
    <xf numFmtId="165" fontId="0" fillId="0" borderId="11" applyAlignment="1" pivotButton="0" quotePrefix="0" xfId="2">
      <alignment horizontal="center"/>
    </xf>
    <xf numFmtId="165" fontId="0" fillId="0" borderId="12" applyAlignment="1" pivotButton="0" quotePrefix="0" xfId="2">
      <alignment horizontal="center"/>
    </xf>
    <xf numFmtId="3" fontId="0" fillId="0" borderId="13" applyAlignment="1" pivotButton="0" quotePrefix="0" xfId="0">
      <alignment horizontal="center"/>
    </xf>
    <xf numFmtId="9" fontId="0" fillId="0" borderId="14" applyAlignment="1" pivotButton="0" quotePrefix="0" xfId="3">
      <alignment horizontal="center"/>
    </xf>
    <xf numFmtId="3" fontId="0" fillId="0" borderId="15" applyAlignment="1" pivotButton="0" quotePrefix="0" xfId="0">
      <alignment horizontal="center"/>
    </xf>
    <xf numFmtId="0" fontId="10" fillId="3" borderId="44" pivotButton="0" quotePrefix="0" xfId="0"/>
    <xf numFmtId="0" fontId="10" fillId="3" borderId="34" pivotButton="0" quotePrefix="0" xfId="0"/>
    <xf numFmtId="0" fontId="10" fillId="3" borderId="32" applyAlignment="1" pivotButton="0" quotePrefix="0" xfId="0">
      <alignment horizontal="center"/>
    </xf>
    <xf numFmtId="9" fontId="3" fillId="3" borderId="45" applyAlignment="1" pivotButton="0" quotePrefix="0" xfId="3">
      <alignment horizontal="center"/>
    </xf>
    <xf numFmtId="9" fontId="3" fillId="3" borderId="34" applyAlignment="1" pivotButton="0" quotePrefix="0" xfId="3">
      <alignment horizontal="center"/>
    </xf>
    <xf numFmtId="9" fontId="3" fillId="3" borderId="46" applyAlignment="1" pivotButton="0" quotePrefix="0" xfId="3">
      <alignment horizontal="center"/>
    </xf>
    <xf numFmtId="0" fontId="3" fillId="4" borderId="27" pivotButton="0" quotePrefix="0" xfId="0"/>
    <xf numFmtId="0" fontId="3" fillId="4" borderId="28" pivotButton="0" quotePrefix="0" xfId="0"/>
    <xf numFmtId="0" fontId="3" fillId="4" borderId="47" applyAlignment="1" pivotButton="0" quotePrefix="0" xfId="0">
      <alignment horizontal="center"/>
    </xf>
    <xf numFmtId="165" fontId="11" fillId="4" borderId="27" applyAlignment="1" pivotButton="0" quotePrefix="0" xfId="2">
      <alignment horizontal="center"/>
    </xf>
    <xf numFmtId="9" fontId="11" fillId="4" borderId="28" applyAlignment="1" pivotButton="0" quotePrefix="0" xfId="3">
      <alignment horizontal="center"/>
    </xf>
    <xf numFmtId="165" fontId="11" fillId="4" borderId="29" applyAlignment="1" pivotButton="0" quotePrefix="0" xfId="2">
      <alignment horizontal="center"/>
    </xf>
    <xf numFmtId="0" fontId="0" fillId="4" borderId="11" pivotButton="0" quotePrefix="0" xfId="0"/>
    <xf numFmtId="0" fontId="0" fillId="4" borderId="13" pivotButton="0" quotePrefix="0" xfId="0"/>
    <xf numFmtId="0" fontId="17" fillId="4" borderId="14" pivotButton="0" quotePrefix="0" xfId="0"/>
    <xf numFmtId="0" fontId="13" fillId="4" borderId="48" applyAlignment="1" pivotButton="0" quotePrefix="0" xfId="0">
      <alignment horizontal="center"/>
    </xf>
    <xf numFmtId="165" fontId="0" fillId="4" borderId="13" applyAlignment="1" pivotButton="0" quotePrefix="0" xfId="2">
      <alignment horizontal="center"/>
    </xf>
    <xf numFmtId="9" fontId="0" fillId="4" borderId="14" applyAlignment="1" pivotButton="0" quotePrefix="0" xfId="3">
      <alignment horizontal="center"/>
    </xf>
    <xf numFmtId="165" fontId="0" fillId="4" borderId="15" applyAlignment="1" pivotButton="0" quotePrefix="0" xfId="2">
      <alignment horizontal="center"/>
    </xf>
    <xf numFmtId="0" fontId="3" fillId="0" borderId="27" pivotButton="0" quotePrefix="0" xfId="0"/>
    <xf numFmtId="0" fontId="17" fillId="0" borderId="28" pivotButton="0" quotePrefix="0" xfId="0"/>
    <xf numFmtId="0" fontId="3" fillId="0" borderId="47" applyAlignment="1" pivotButton="0" quotePrefix="0" xfId="0">
      <alignment horizontal="center"/>
    </xf>
    <xf numFmtId="165" fontId="11" fillId="0" borderId="27" applyAlignment="1" pivotButton="0" quotePrefix="0" xfId="2">
      <alignment horizontal="center"/>
    </xf>
    <xf numFmtId="9" fontId="11" fillId="0" borderId="28" applyAlignment="1" pivotButton="0" quotePrefix="0" xfId="3">
      <alignment horizontal="center"/>
    </xf>
    <xf numFmtId="165" fontId="11" fillId="0" borderId="29" applyAlignment="1" pivotButton="0" quotePrefix="0" xfId="2">
      <alignment horizontal="center"/>
    </xf>
    <xf numFmtId="0" fontId="0" fillId="0" borderId="11" pivotButton="0" quotePrefix="0" xfId="0"/>
    <xf numFmtId="0" fontId="0" fillId="0" borderId="13" pivotButton="0" quotePrefix="0" xfId="0"/>
    <xf numFmtId="0" fontId="17" fillId="0" borderId="14" pivotButton="0" quotePrefix="0" xfId="0"/>
    <xf numFmtId="0" fontId="13" fillId="0" borderId="48" applyAlignment="1" pivotButton="0" quotePrefix="0" xfId="0">
      <alignment horizontal="center"/>
    </xf>
    <xf numFmtId="165" fontId="0" fillId="0" borderId="13" applyAlignment="1" pivotButton="0" quotePrefix="0" xfId="2">
      <alignment horizontal="center"/>
    </xf>
    <xf numFmtId="165" fontId="0" fillId="0" borderId="15" applyAlignment="1" pivotButton="0" quotePrefix="0" xfId="2">
      <alignment horizontal="center"/>
    </xf>
    <xf numFmtId="0" fontId="17" fillId="4" borderId="28" pivotButton="0" quotePrefix="0" xfId="0"/>
    <xf numFmtId="0" fontId="17" fillId="0" borderId="0" pivotButton="0" quotePrefix="0" xfId="0"/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3">
      <alignment horizontal="center"/>
    </xf>
    <xf numFmtId="0" fontId="0" fillId="0" borderId="6" applyAlignment="1" pivotButton="0" quotePrefix="0" xfId="3">
      <alignment horizontal="center"/>
    </xf>
    <xf numFmtId="0" fontId="0" fillId="0" borderId="2" applyAlignment="1" pivotButton="0" quotePrefix="0" xfId="3">
      <alignment horizontal="center"/>
    </xf>
    <xf numFmtId="0" fontId="20" fillId="0" borderId="0" pivotButton="0" quotePrefix="0" xfId="0"/>
    <xf numFmtId="167" fontId="0" fillId="0" borderId="0" pivotButton="0" quotePrefix="0" xfId="0"/>
    <xf numFmtId="0" fontId="19" fillId="0" borderId="0" pivotButton="0" quotePrefix="0" xfId="0"/>
    <xf numFmtId="0" fontId="0" fillId="0" borderId="0" pivotButton="0" quotePrefix="0" xfId="0"/>
    <xf numFmtId="0" fontId="18" fillId="0" borderId="0" pivotButton="0" quotePrefix="0" xfId="0"/>
    <xf numFmtId="0" fontId="0" fillId="0" borderId="0" applyAlignment="1" pivotButton="0" quotePrefix="0" xfId="0">
      <alignment horizontal="center"/>
    </xf>
    <xf numFmtId="0" fontId="11" fillId="0" borderId="49" applyAlignment="1" pivotButton="0" quotePrefix="0" xfId="0">
      <alignment horizontal="center"/>
    </xf>
    <xf numFmtId="0" fontId="0" fillId="0" borderId="42" pivotButton="0" quotePrefix="0" xfId="0"/>
    <xf numFmtId="0" fontId="0" fillId="0" borderId="43" pivotButton="0" quotePrefix="0" xfId="0"/>
    <xf numFmtId="0" fontId="4" fillId="0" borderId="0" pivotButton="0" quotePrefix="0" xfId="0"/>
    <xf numFmtId="0" fontId="7" fillId="0" borderId="2" pivotButton="0" quotePrefix="0" xfId="0"/>
    <xf numFmtId="0" fontId="0" fillId="0" borderId="50" pivotButton="0" quotePrefix="0" xfId="0"/>
    <xf numFmtId="0" fontId="0" fillId="0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167" fontId="0" fillId="0" borderId="0" pivotButton="0" quotePrefix="0" xfId="0"/>
    <xf numFmtId="165" fontId="11" fillId="4" borderId="27" applyAlignment="1" pivotButton="0" quotePrefix="0" xfId="2">
      <alignment horizontal="center"/>
    </xf>
    <xf numFmtId="165" fontId="11" fillId="4" borderId="29" applyAlignment="1" pivotButton="0" quotePrefix="0" xfId="2">
      <alignment horizontal="center"/>
    </xf>
    <xf numFmtId="165" fontId="0" fillId="0" borderId="0" applyAlignment="1" pivotButton="0" quotePrefix="0" xfId="2">
      <alignment horizontal="center"/>
    </xf>
    <xf numFmtId="165" fontId="0" fillId="4" borderId="11" applyAlignment="1" pivotButton="0" quotePrefix="0" xfId="2">
      <alignment horizontal="center"/>
    </xf>
    <xf numFmtId="165" fontId="0" fillId="4" borderId="12" applyAlignment="1" pivotButton="0" quotePrefix="0" xfId="2">
      <alignment horizontal="center"/>
    </xf>
    <xf numFmtId="165" fontId="0" fillId="4" borderId="13" applyAlignment="1" pivotButton="0" quotePrefix="0" xfId="2">
      <alignment horizontal="center"/>
    </xf>
    <xf numFmtId="165" fontId="0" fillId="4" borderId="15" applyAlignment="1" pivotButton="0" quotePrefix="0" xfId="2">
      <alignment horizontal="center"/>
    </xf>
    <xf numFmtId="165" fontId="11" fillId="0" borderId="27" applyAlignment="1" pivotButton="0" quotePrefix="0" xfId="2">
      <alignment horizontal="center"/>
    </xf>
    <xf numFmtId="165" fontId="11" fillId="0" borderId="29" applyAlignment="1" pivotButton="0" quotePrefix="0" xfId="2">
      <alignment horizontal="center"/>
    </xf>
    <xf numFmtId="165" fontId="0" fillId="0" borderId="11" applyAlignment="1" pivotButton="0" quotePrefix="0" xfId="2">
      <alignment horizontal="center"/>
    </xf>
    <xf numFmtId="165" fontId="0" fillId="0" borderId="12" applyAlignment="1" pivotButton="0" quotePrefix="0" xfId="2">
      <alignment horizontal="center"/>
    </xf>
    <xf numFmtId="165" fontId="0" fillId="0" borderId="13" applyAlignment="1" pivotButton="0" quotePrefix="0" xfId="2">
      <alignment horizontal="center"/>
    </xf>
    <xf numFmtId="165" fontId="0" fillId="0" borderId="15" applyAlignment="1" pivotButton="0" quotePrefix="0" xfId="2">
      <alignment horizontal="center"/>
    </xf>
    <xf numFmtId="165" fontId="0" fillId="0" borderId="6" applyAlignment="1" pivotButton="0" quotePrefix="0" xfId="2">
      <alignment horizontal="center"/>
    </xf>
    <xf numFmtId="165" fontId="0" fillId="0" borderId="33" applyAlignment="1" pivotButton="0" quotePrefix="0" xfId="2">
      <alignment horizontal="center"/>
    </xf>
    <xf numFmtId="165" fontId="0" fillId="0" borderId="2" applyAlignment="1" pivotButton="0" quotePrefix="0" xfId="2">
      <alignment horizontal="center"/>
    </xf>
    <xf numFmtId="165" fontId="0" fillId="0" borderId="3" applyAlignment="1" pivotButton="0" quotePrefix="0" xfId="2">
      <alignment horizontal="center"/>
    </xf>
    <xf numFmtId="165" fontId="0" fillId="0" borderId="5" applyAlignment="1" pivotButton="0" quotePrefix="0" xfId="2">
      <alignment horizontal="center"/>
    </xf>
    <xf numFmtId="165" fontId="0" fillId="0" borderId="22" applyAlignment="1" pivotButton="0" quotePrefix="0" xfId="0">
      <alignment horizontal="center"/>
    </xf>
    <xf numFmtId="166" fontId="0" fillId="0" borderId="22" applyAlignment="1" pivotButton="0" quotePrefix="0" xfId="1">
      <alignment horizontal="center"/>
    </xf>
    <xf numFmtId="165" fontId="15" fillId="0" borderId="0" applyAlignment="1" pivotButton="0" quotePrefix="0" xfId="2">
      <alignment horizontal="center"/>
    </xf>
    <xf numFmtId="166" fontId="0" fillId="0" borderId="25" applyAlignment="1" pivotButton="0" quotePrefix="0" xfId="0">
      <alignment horizontal="center"/>
    </xf>
    <xf numFmtId="165" fontId="0" fillId="2" borderId="0" applyAlignment="1" pivotButton="0" quotePrefix="0" xfId="2">
      <alignment horizontal="center"/>
    </xf>
    <xf numFmtId="164" fontId="0" fillId="0" borderId="30" pivotButton="0" quotePrefix="0" xfId="1"/>
    <xf numFmtId="164" fontId="0" fillId="0" borderId="26" pivotButton="0" quotePrefix="0" xfId="1"/>
    <xf numFmtId="164" fontId="0" fillId="0" borderId="31" pivotButton="0" quotePrefix="0" xfId="1"/>
    <xf numFmtId="164" fontId="0" fillId="0" borderId="20" pivotButton="0" quotePrefix="0" xfId="1"/>
    <xf numFmtId="164" fontId="0" fillId="0" borderId="5" pivotButton="0" quotePrefix="0" xfId="1"/>
    <xf numFmtId="164" fontId="0" fillId="0" borderId="22" pivotButton="0" quotePrefix="0" xfId="1"/>
    <xf numFmtId="164" fontId="0" fillId="0" borderId="23" pivotButton="0" quotePrefix="0" xfId="1"/>
  </cellXfs>
  <cellStyles count="4">
    <cellStyle name="Normal" xfId="0" builtinId="0"/>
    <cellStyle name="Vírgula" xfId="1" builtinId="3"/>
    <cellStyle name="Moeda" xfId="2" builtinId="4"/>
    <cellStyle name="Porcentagem" xfId="3" builtinId="5"/>
  </cellStyles>
  <dxfs count="7"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Mix de gastos por tipo de conta (top 6 rubricas)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'Mix por conta'!B5</f>
            </strRef>
          </tx>
          <spPr>
            <a:solidFill>
              <a:srgbClr val="F4C430"/>
            </a:solidFill>
            <a:ln>
              <a:prstDash val="solid"/>
            </a:ln>
          </spPr>
          <cat>
            <numRef>
              <f>'Mix por conta'!$A$6:$A$10</f>
            </numRef>
          </cat>
          <val>
            <numRef>
              <f>'Mix por conta'!$B$6:$B$10</f>
            </numRef>
          </val>
        </ser>
        <ser>
          <idx val="1"/>
          <order val="1"/>
          <tx>
            <strRef>
              <f>'Mix por conta'!C5</f>
            </strRef>
          </tx>
          <spPr>
            <a:solidFill>
              <a:srgbClr val="004B8D"/>
            </a:solidFill>
            <a:ln>
              <a:prstDash val="solid"/>
            </a:ln>
          </spPr>
          <cat>
            <numRef>
              <f>'Mix por conta'!$A$6:$A$10</f>
            </numRef>
          </cat>
          <val>
            <numRef>
              <f>'Mix por conta'!$C$6:$C$10</f>
            </numRef>
          </val>
        </ser>
        <dLbls>
          <numFmt formatCode="0.0"/>
          <dLblPos val="outEnd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do volume da marca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 por conta — custo médio por máquina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'Mix por conta'!B14</f>
            </strRef>
          </tx>
          <spPr>
            <a:solidFill>
              <a:srgbClr val="F4C430"/>
            </a:solidFill>
            <a:ln>
              <a:prstDash val="solid"/>
            </a:ln>
          </spPr>
          <cat>
            <numRef>
              <f>'Mix por conta'!$A$15:$A$19</f>
            </numRef>
          </cat>
          <val>
            <numRef>
              <f>'Mix por conta'!$B$15:$B$19</f>
            </numRef>
          </val>
        </ser>
        <ser>
          <idx val="1"/>
          <order val="1"/>
          <tx>
            <strRef>
              <f>'Mix por conta'!C14</f>
            </strRef>
          </tx>
          <spPr>
            <a:solidFill>
              <a:srgbClr val="004B8D"/>
            </a:solidFill>
            <a:ln>
              <a:prstDash val="solid"/>
            </a:ln>
          </spPr>
          <cat>
            <numRef>
              <f>'Mix por conta'!$A$15:$A$19</f>
            </numRef>
          </cat>
          <val>
            <numRef>
              <f>'Mix por conta'!$C$15:$C$19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 médio / máquina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t-BR"/>
              <a:t>Média mensal 2025 — por local e marca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'Resumo Local×Marca'!$D$3</f>
              <strCache>
                <ptCount val="1"/>
                <pt idx="0">
                  <v>Média mensal 2025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'Resumo Local×Marca'!$A$4:$A$17</f>
              <strCache>
                <ptCount val="14"/>
                <pt idx="0">
                  <v>Prudente</v>
                </pt>
                <pt idx="1">
                  <v>Prudente</v>
                </pt>
                <pt idx="2">
                  <v>Maringá</v>
                </pt>
                <pt idx="3">
                  <v>Maringá</v>
                </pt>
                <pt idx="4">
                  <v>Londrina</v>
                </pt>
                <pt idx="5">
                  <v>Dourados</v>
                </pt>
                <pt idx="6">
                  <v>Dourados</v>
                </pt>
                <pt idx="7">
                  <v>Campo Grande</v>
                </pt>
                <pt idx="8">
                  <v>AM-BAR</v>
                </pt>
                <pt idx="9">
                  <v>Tupy</v>
                </pt>
                <pt idx="10">
                  <v>Tupy</v>
                </pt>
                <pt idx="11">
                  <v>Pátio de Manutenção</v>
                </pt>
                <pt idx="12">
                  <v>Matheus</v>
                </pt>
                <pt idx="13">
                  <v>Multi Aço</v>
                </pt>
              </strCache>
            </strRef>
          </cat>
          <val>
            <numRef>
              <f>'Resumo Local×Marca'!$D$4:$D$17</f>
              <numCache>
                <formatCode>#,##0</formatCode>
                <ptCount val="14"/>
                <pt idx="0">
                  <v>18643.1275</v>
                </pt>
                <pt idx="1">
                  <v>6703.313</v>
                </pt>
                <pt idx="2">
                  <v>25205.2925</v>
                </pt>
                <pt idx="3">
                  <v>15051.33166666667</v>
                </pt>
                <pt idx="4">
                  <v>17156.8825</v>
                </pt>
                <pt idx="5">
                  <v>10735.53571428571</v>
                </pt>
                <pt idx="6">
                  <v>26161.89083333333</v>
                </pt>
                <pt idx="7">
                  <v>15541.2825</v>
                </pt>
                <pt idx="8">
                  <v>10830.79083333333</v>
                </pt>
                <pt idx="9">
                  <v>4002.745</v>
                </pt>
                <pt idx="10">
                  <v>3018.435</v>
                </pt>
                <pt idx="11">
                  <v>11560.4025</v>
                </pt>
                <pt idx="12">
                  <v>9151.860000000001</v>
                </pt>
                <pt idx="13">
                  <v>2885.456666666667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pt-BR"/>
                  <a:t>Local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 mensal — parque LIEBHERR (7 máq.)</a:t>
            </a:r>
          </a:p>
        </rich>
      </tx>
      <overlay val="1"/>
      <spPr>
        <a:noFill/>
        <a:ln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strRef>
              <f>'Mês×Maq LIEB'!$B$3</f>
              <strCache>
                <ptCount val="1"/>
                <pt idx="0">
                  <v>EHL0013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LIEB'!$B$4:$B$18</f>
              <numCache>
                <formatCode>#,##0</formatCode>
                <ptCount val="15"/>
                <pt idx="0">
                  <v>0</v>
                </pt>
                <pt idx="1">
                  <v>148.73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1802</v>
                </pt>
                <pt idx="6">
                  <v>0</v>
                </pt>
                <pt idx="7">
                  <v>712.98</v>
                </pt>
                <pt idx="8">
                  <v>8662.65</v>
                </pt>
                <pt idx="9">
                  <v>0</v>
                </pt>
                <pt idx="10">
                  <v>416.19</v>
                </pt>
                <pt idx="11">
                  <v>0</v>
                </pt>
                <pt idx="12">
                  <v>1350</v>
                </pt>
                <pt idx="13">
                  <v>0</v>
                </pt>
                <pt idx="14">
                  <v>1330.02</v>
                </pt>
              </numCache>
            </numRef>
          </val>
          <smooth val="1"/>
        </ser>
        <ser>
          <idx val="1"/>
          <order val="1"/>
          <tx>
            <strRef>
              <f>'Mês×Maq LIEB'!$C$3</f>
              <strCache>
                <ptCount val="1"/>
                <pt idx="0">
                  <v>EHL0014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LIEB'!$C$4:$C$18</f>
              <numCache>
                <formatCode>#,##0</formatCode>
                <ptCount val="15"/>
                <pt idx="0">
                  <v>0</v>
                </pt>
                <pt idx="1">
                  <v>725.02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11810.46</v>
                </pt>
                <pt idx="6">
                  <v>21756.44</v>
                </pt>
                <pt idx="7">
                  <v>15920.79</v>
                </pt>
                <pt idx="8">
                  <v>17999.3</v>
                </pt>
                <pt idx="9">
                  <v>6642.1</v>
                </pt>
                <pt idx="10">
                  <v>3786.56</v>
                </pt>
                <pt idx="11">
                  <v>2100</v>
                </pt>
                <pt idx="12">
                  <v>15341.26</v>
                </pt>
                <pt idx="13">
                  <v>4759.73</v>
                </pt>
                <pt idx="14">
                  <v>12220.17</v>
                </pt>
              </numCache>
            </numRef>
          </val>
          <smooth val="1"/>
        </ser>
        <ser>
          <idx val="2"/>
          <order val="2"/>
          <tx>
            <strRef>
              <f>'Mês×Maq LIEB'!$D$3</f>
              <strCache>
                <ptCount val="1"/>
                <pt idx="0">
                  <v>EHL0028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LIEB'!$D$4:$D$18</f>
              <numCache>
                <formatCode>#,##0</formatCode>
                <ptCount val="15"/>
                <pt idx="0">
                  <v>6906.09</v>
                </pt>
                <pt idx="1">
                  <v>6116.29</v>
                </pt>
                <pt idx="2">
                  <v>14853.72</v>
                </pt>
                <pt idx="3">
                  <v>14632.4</v>
                </pt>
                <pt idx="4">
                  <v>15628.97</v>
                </pt>
                <pt idx="5">
                  <v>11391.19</v>
                </pt>
                <pt idx="6">
                  <v>12700.01</v>
                </pt>
                <pt idx="7">
                  <v>58750.48</v>
                </pt>
                <pt idx="8">
                  <v>22867.67</v>
                </pt>
                <pt idx="9">
                  <v>34785.93</v>
                </pt>
                <pt idx="10">
                  <v>13971.43</v>
                </pt>
                <pt idx="11">
                  <v>11113.35</v>
                </pt>
                <pt idx="12">
                  <v>5297.05</v>
                </pt>
                <pt idx="13">
                  <v>14963.59</v>
                </pt>
                <pt idx="14">
                  <v>7348.3</v>
                </pt>
              </numCache>
            </numRef>
          </val>
          <smooth val="1"/>
        </ser>
        <ser>
          <idx val="3"/>
          <order val="3"/>
          <tx>
            <strRef>
              <f>'Mês×Maq LIEB'!$E$3</f>
              <strCache>
                <ptCount val="1"/>
                <pt idx="0">
                  <v>EHL0041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LIEB'!$E$4:$E$18</f>
              <numCache>
                <formatCode>#,##0</formatCode>
                <ptCount val="15"/>
                <pt idx="0">
                  <v>7763.690000000001</v>
                </pt>
                <pt idx="1">
                  <v>1599.7</v>
                </pt>
                <pt idx="2">
                  <v>214.52</v>
                </pt>
                <pt idx="3">
                  <v>8204.85</v>
                </pt>
                <pt idx="4">
                  <v>0</v>
                </pt>
                <pt idx="5">
                  <v>7571.15</v>
                </pt>
                <pt idx="6">
                  <v>1549.97</v>
                </pt>
                <pt idx="7">
                  <v>660</v>
                </pt>
                <pt idx="8">
                  <v>3129.67</v>
                </pt>
                <pt idx="9">
                  <v>6245.9</v>
                </pt>
                <pt idx="10">
                  <v>0</v>
                </pt>
                <pt idx="11">
                  <v>3088</v>
                </pt>
                <pt idx="12">
                  <v>5112.08</v>
                </pt>
                <pt idx="13">
                  <v>2461.27</v>
                </pt>
                <pt idx="14">
                  <v>669</v>
                </pt>
              </numCache>
            </numRef>
          </val>
          <smooth val="1"/>
        </ser>
        <ser>
          <idx val="4"/>
          <order val="4"/>
          <tx>
            <strRef>
              <f>'Mês×Maq LIEB'!$F$3</f>
              <strCache>
                <ptCount val="1"/>
                <pt idx="0">
                  <v>EHL0042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LIEB'!$F$4:$F$18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1664.79</v>
                </pt>
                <pt idx="6">
                  <v>5566.56</v>
                </pt>
                <pt idx="7">
                  <v>6520.91</v>
                </pt>
                <pt idx="8">
                  <v>5009.63</v>
                </pt>
                <pt idx="9">
                  <v>9517.289999999999</v>
                </pt>
                <pt idx="10">
                  <v>32862.85</v>
                </pt>
                <pt idx="11">
                  <v>14006.72</v>
                </pt>
                <pt idx="12">
                  <v>2056.6</v>
                </pt>
                <pt idx="13">
                  <v>2060.05</v>
                </pt>
                <pt idx="14">
                  <v>13555.88</v>
                </pt>
              </numCache>
            </numRef>
          </val>
          <smooth val="1"/>
        </ser>
        <ser>
          <idx val="5"/>
          <order val="5"/>
          <tx>
            <strRef>
              <f>'Mês×Maq LIEB'!$G$3</f>
              <strCache>
                <ptCount val="1"/>
                <pt idx="0">
                  <v>EHL0043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LIEB'!$G$4:$G$18</f>
              <numCache>
                <formatCode>#,##0</formatCode>
                <ptCount val="15"/>
                <pt idx="0">
                  <v>6055.91</v>
                </pt>
                <pt idx="1">
                  <v>9645.190000000001</v>
                </pt>
                <pt idx="2">
                  <v>245.67</v>
                </pt>
                <pt idx="3">
                  <v>5025.46</v>
                </pt>
                <pt idx="4">
                  <v>2905.4</v>
                </pt>
                <pt idx="5">
                  <v>14420.03</v>
                </pt>
                <pt idx="6">
                  <v>11423.92</v>
                </pt>
                <pt idx="7">
                  <v>187955.22</v>
                </pt>
                <pt idx="8">
                  <v>15374.66</v>
                </pt>
                <pt idx="9">
                  <v>18391.91</v>
                </pt>
                <pt idx="10">
                  <v>26434.87</v>
                </pt>
                <pt idx="11">
                  <v>4185.27</v>
                </pt>
                <pt idx="12">
                  <v>18267.03</v>
                </pt>
                <pt idx="13">
                  <v>3871.65</v>
                </pt>
                <pt idx="14">
                  <v>23998.45</v>
                </pt>
              </numCache>
            </numRef>
          </val>
          <smooth val="1"/>
        </ser>
        <ser>
          <idx val="6"/>
          <order val="6"/>
          <tx>
            <strRef>
              <f>'Mês×Maq LIEB'!$H$3</f>
              <strCache>
                <ptCount val="1"/>
                <pt idx="0">
                  <v>EHL0070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LIEB'!$H$4:$H$18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400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 mensal — parque HYUNDAI (16 máq.)</a:t>
            </a:r>
          </a:p>
        </rich>
      </tx>
      <overlay val="1"/>
      <spPr>
        <a:noFill/>
        <a:ln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strRef>
              <f>'Mês×Maq HYUN'!$B$3</f>
              <strCache>
                <ptCount val="1"/>
                <pt idx="0">
                  <v>EHH0002</v>
                </pt>
              </strCache>
            </strRef>
          </tx>
          <spPr>
            <a:ln w="2222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HYUN'!$B$4:$B$18</f>
              <numCache>
                <formatCode>#,##0</formatCode>
                <ptCount val="15"/>
                <pt idx="0">
                  <v>1145.4</v>
                </pt>
                <pt idx="1">
                  <v>230</v>
                </pt>
                <pt idx="2">
                  <v>0</v>
                </pt>
                <pt idx="3">
                  <v>1862.1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3031.18</v>
                </pt>
                <pt idx="8">
                  <v>3299.52</v>
                </pt>
                <pt idx="9">
                  <v>6923.6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6122.83</v>
                </pt>
                <pt idx="14">
                  <v>1779.77</v>
                </pt>
              </numCache>
            </numRef>
          </val>
          <smooth val="1"/>
        </ser>
        <ser>
          <idx val="1"/>
          <order val="1"/>
          <tx>
            <strRef>
              <f>'Mês×Maq HYUN'!$C$3</f>
              <strCache>
                <ptCount val="1"/>
                <pt idx="0">
                  <v>EHH0003</v>
                </pt>
              </strCache>
            </strRef>
          </tx>
          <spPr>
            <a:ln w="2222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HYUN'!$C$4:$C$18</f>
              <numCache>
                <formatCode>#,##0</formatCode>
                <ptCount val="15"/>
                <pt idx="0">
                  <v>4573.73</v>
                </pt>
                <pt idx="1">
                  <v>9620.440000000001</v>
                </pt>
                <pt idx="2">
                  <v>357.5</v>
                </pt>
                <pt idx="3">
                  <v>597.6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1064.74</v>
                </pt>
                <pt idx="10">
                  <v>1896.6</v>
                </pt>
                <pt idx="11">
                  <v>0</v>
                </pt>
                <pt idx="12">
                  <v>155.36</v>
                </pt>
                <pt idx="13">
                  <v>1261.29</v>
                </pt>
                <pt idx="14">
                  <v>463.26</v>
                </pt>
              </numCache>
            </numRef>
          </val>
          <smooth val="1"/>
        </ser>
        <ser>
          <idx val="2"/>
          <order val="2"/>
          <tx>
            <strRef>
              <f>'Mês×Maq HYUN'!$D$3</f>
              <strCache>
                <ptCount val="1"/>
                <pt idx="0">
                  <v>EHH0004</v>
                </pt>
              </strCache>
            </strRef>
          </tx>
          <spPr>
            <a:ln w="2222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HYUN'!$D$4:$D$18</f>
              <numCache>
                <formatCode>#,##0</formatCode>
                <ptCount val="15"/>
                <pt idx="0">
                  <v>806.5599999999999</v>
                </pt>
                <pt idx="1">
                  <v>0</v>
                </pt>
                <pt idx="2">
                  <v>2891</v>
                </pt>
                <pt idx="3">
                  <v>1402.1</v>
                </pt>
                <pt idx="4">
                  <v>7856.059999999999</v>
                </pt>
                <pt idx="5">
                  <v>4004.68</v>
                </pt>
                <pt idx="6">
                  <v>1224.46</v>
                </pt>
                <pt idx="7">
                  <v>1866.88</v>
                </pt>
                <pt idx="8">
                  <v>13133.52</v>
                </pt>
                <pt idx="9">
                  <v>2975</v>
                </pt>
                <pt idx="10">
                  <v>32376.9</v>
                </pt>
                <pt idx="11">
                  <v>11464.06</v>
                </pt>
                <pt idx="12">
                  <v>5762.059999999999</v>
                </pt>
                <pt idx="13">
                  <v>3119.38</v>
                </pt>
                <pt idx="14">
                  <v>6001.23</v>
                </pt>
              </numCache>
            </numRef>
          </val>
          <smooth val="1"/>
        </ser>
        <ser>
          <idx val="3"/>
          <order val="3"/>
          <tx>
            <strRef>
              <f>'Mês×Maq HYUN'!$E$3</f>
              <strCache>
                <ptCount val="1"/>
                <pt idx="0">
                  <v>EHH0006</v>
                </pt>
              </strCache>
            </strRef>
          </tx>
          <spPr>
            <a:ln w="2222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HYUN'!$E$4:$E$18</f>
              <numCache>
                <formatCode>#,##0</formatCode>
                <ptCount val="15"/>
                <pt idx="0">
                  <v>1600</v>
                </pt>
                <pt idx="1">
                  <v>2988.19</v>
                </pt>
                <pt idx="2">
                  <v>0</v>
                </pt>
                <pt idx="3">
                  <v>0</v>
                </pt>
                <pt idx="4">
                  <v>166.44</v>
                </pt>
                <pt idx="5">
                  <v>2344.98</v>
                </pt>
                <pt idx="6">
                  <v>367.46</v>
                </pt>
                <pt idx="7">
                  <v>1174.63</v>
                </pt>
                <pt idx="8">
                  <v>2664.92</v>
                </pt>
                <pt idx="9">
                  <v>1925.82</v>
                </pt>
                <pt idx="10">
                  <v>350</v>
                </pt>
                <pt idx="11">
                  <v>179.38</v>
                </pt>
                <pt idx="12">
                  <v>108</v>
                </pt>
                <pt idx="13">
                  <v>0</v>
                </pt>
                <pt idx="14">
                  <v>8533.110000000001</v>
                </pt>
              </numCache>
            </numRef>
          </val>
          <smooth val="1"/>
        </ser>
        <ser>
          <idx val="4"/>
          <order val="4"/>
          <tx>
            <strRef>
              <f>'Mês×Maq HYUN'!$F$3</f>
              <strCache>
                <ptCount val="1"/>
                <pt idx="0">
                  <v>EHH0007</v>
                </pt>
              </strCache>
            </strRef>
          </tx>
          <spPr>
            <a:ln w="2222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HYUN'!$F$4:$F$18</f>
              <numCache>
                <formatCode>#,##0</formatCode>
                <ptCount val="15"/>
                <pt idx="0">
                  <v>1640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6039.51</v>
                </pt>
                <pt idx="5">
                  <v>17452.39</v>
                </pt>
                <pt idx="6">
                  <v>8896.83</v>
                </pt>
                <pt idx="7">
                  <v>18992.34</v>
                </pt>
                <pt idx="8">
                  <v>8381.889999999999</v>
                </pt>
                <pt idx="9">
                  <v>13074.39</v>
                </pt>
                <pt idx="10">
                  <v>6473.68</v>
                </pt>
                <pt idx="11">
                  <v>1415.71</v>
                </pt>
                <pt idx="12">
                  <v>102.26</v>
                </pt>
                <pt idx="13">
                  <v>7001.82</v>
                </pt>
                <pt idx="14">
                  <v>1574.56</v>
                </pt>
              </numCache>
            </numRef>
          </val>
          <smooth val="1"/>
        </ser>
        <ser>
          <idx val="5"/>
          <order val="5"/>
          <tx>
            <strRef>
              <f>'Mês×Maq HYUN'!$G$3</f>
              <strCache>
                <ptCount val="1"/>
                <pt idx="0">
                  <v>EHH0008</v>
                </pt>
              </strCache>
            </strRef>
          </tx>
          <spPr>
            <a:ln w="2222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HYUN'!$G$4:$G$18</f>
              <numCache>
                <formatCode>#,##0</formatCode>
                <ptCount val="15"/>
                <pt idx="0">
                  <v>3598.45</v>
                </pt>
                <pt idx="1">
                  <v>4222.28</v>
                </pt>
                <pt idx="2">
                  <v>6105</v>
                </pt>
                <pt idx="3">
                  <v>6496.280000000001</v>
                </pt>
                <pt idx="4">
                  <v>8886.57</v>
                </pt>
                <pt idx="5">
                  <v>2196.06</v>
                </pt>
                <pt idx="6">
                  <v>5461.51</v>
                </pt>
                <pt idx="7">
                  <v>18956.41</v>
                </pt>
                <pt idx="8">
                  <v>5221.809999999999</v>
                </pt>
                <pt idx="9">
                  <v>11676.47</v>
                </pt>
                <pt idx="10">
                  <v>1459.66</v>
                </pt>
                <pt idx="11">
                  <v>6320.68</v>
                </pt>
                <pt idx="12">
                  <v>0</v>
                </pt>
                <pt idx="13">
                  <v>4686.059999999999</v>
                </pt>
                <pt idx="14">
                  <v>1590</v>
                </pt>
              </numCache>
            </numRef>
          </val>
          <smooth val="1"/>
        </ser>
        <ser>
          <idx val="6"/>
          <order val="6"/>
          <tx>
            <strRef>
              <f>'Mês×Maq HYUN'!$H$3</f>
              <strCache>
                <ptCount val="1"/>
                <pt idx="0">
                  <v>EHH0009</v>
                </pt>
              </strCache>
            </strRef>
          </tx>
          <spPr>
            <a:ln w="2222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HYUN'!$H$4:$H$18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1233.99</v>
                </pt>
                <pt idx="5">
                  <v>1037.37</v>
                </pt>
                <pt idx="6">
                  <v>7679.15</v>
                </pt>
                <pt idx="7">
                  <v>14810.33</v>
                </pt>
                <pt idx="8">
                  <v>12859.71</v>
                </pt>
                <pt idx="9">
                  <v>8050.38</v>
                </pt>
                <pt idx="10">
                  <v>447.2</v>
                </pt>
                <pt idx="11">
                  <v>7153.18</v>
                </pt>
                <pt idx="12">
                  <v>1072.76</v>
                </pt>
                <pt idx="13">
                  <v>8644.77</v>
                </pt>
                <pt idx="14">
                  <v>12662.5</v>
                </pt>
              </numCache>
            </numRef>
          </val>
          <smooth val="1"/>
        </ser>
        <ser>
          <idx val="7"/>
          <order val="7"/>
          <tx>
            <strRef>
              <f>'Mês×Maq HYUN'!$I$3</f>
              <strCache>
                <ptCount val="1"/>
                <pt idx="0">
                  <v>EHH0015</v>
                </pt>
              </strCache>
            </strRef>
          </tx>
          <spPr>
            <a:ln w="2222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HYUN'!$I$4:$I$18</f>
              <numCache>
                <formatCode>#,##0</formatCode>
                <ptCount val="15"/>
                <pt idx="0">
                  <v>89.90000000000001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1916.57</v>
                </pt>
                <pt idx="5">
                  <v>0</v>
                </pt>
                <pt idx="6">
                  <v>27509.69</v>
                </pt>
                <pt idx="7">
                  <v>3743.85</v>
                </pt>
                <pt idx="8">
                  <v>123.37</v>
                </pt>
                <pt idx="9">
                  <v>2784.54</v>
                </pt>
                <pt idx="10">
                  <v>4628.84</v>
                </pt>
                <pt idx="11">
                  <v>2961.15</v>
                </pt>
                <pt idx="12">
                  <v>1001.77</v>
                </pt>
                <pt idx="13">
                  <v>2030.96</v>
                </pt>
                <pt idx="14">
                  <v>5334.440000000001</v>
                </pt>
              </numCache>
            </numRef>
          </val>
          <smooth val="1"/>
        </ser>
        <ser>
          <idx val="8"/>
          <order val="8"/>
          <tx>
            <strRef>
              <f>'Mês×Maq HYUN'!$J$3</f>
              <strCache>
                <ptCount val="1"/>
                <pt idx="0">
                  <v>EHH0019</v>
                </pt>
              </strCache>
            </strRef>
          </tx>
          <spPr>
            <a:ln w="2222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HYUN'!$J$4:$J$18</f>
              <numCache>
                <formatCode>#,##0</formatCode>
                <ptCount val="15"/>
                <pt idx="0">
                  <v>2372.74</v>
                </pt>
                <pt idx="1">
                  <v>1798</v>
                </pt>
                <pt idx="2">
                  <v>20448.6</v>
                </pt>
                <pt idx="3">
                  <v>7929.19</v>
                </pt>
                <pt idx="4">
                  <v>615.5700000000001</v>
                </pt>
                <pt idx="5">
                  <v>21500</v>
                </pt>
                <pt idx="6">
                  <v>1930</v>
                </pt>
                <pt idx="7">
                  <v>907.2</v>
                </pt>
                <pt idx="8">
                  <v>3911.13</v>
                </pt>
                <pt idx="9">
                  <v>9541</v>
                </pt>
                <pt idx="10">
                  <v>14515.29</v>
                </pt>
                <pt idx="11">
                  <v>742.86</v>
                </pt>
                <pt idx="12">
                  <v>39109.73</v>
                </pt>
                <pt idx="13">
                  <v>8836.6</v>
                </pt>
                <pt idx="14">
                  <v>2311.63</v>
                </pt>
              </numCache>
            </numRef>
          </val>
          <smooth val="1"/>
        </ser>
        <ser>
          <idx val="9"/>
          <order val="9"/>
          <tx>
            <strRef>
              <f>'Mês×Maq HYUN'!$K$3</f>
              <strCache>
                <ptCount val="1"/>
                <pt idx="0">
                  <v>EHH0036</v>
                </pt>
              </strCache>
            </strRef>
          </tx>
          <spPr>
            <a:ln w="2222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HYUN'!$K$4:$K$18</f>
              <numCache>
                <formatCode>#,##0</formatCode>
                <ptCount val="15"/>
                <pt idx="0">
                  <v>5936.93</v>
                </pt>
                <pt idx="1">
                  <v>11960.77</v>
                </pt>
                <pt idx="2">
                  <v>3739.17</v>
                </pt>
                <pt idx="3">
                  <v>9131.719999999999</v>
                </pt>
                <pt idx="4">
                  <v>7961.65</v>
                </pt>
                <pt idx="5">
                  <v>5669.63</v>
                </pt>
                <pt idx="6">
                  <v>8120.81</v>
                </pt>
                <pt idx="7">
                  <v>9397.59</v>
                </pt>
                <pt idx="8">
                  <v>8032.02</v>
                </pt>
                <pt idx="9">
                  <v>12020.6</v>
                </pt>
                <pt idx="10">
                  <v>12843.22</v>
                </pt>
                <pt idx="11">
                  <v>3192.08</v>
                </pt>
                <pt idx="12">
                  <v>574.9299999999999</v>
                </pt>
                <pt idx="13">
                  <v>1261.29</v>
                </pt>
                <pt idx="14">
                  <v>4659.77</v>
                </pt>
              </numCache>
            </numRef>
          </val>
          <smooth val="1"/>
        </ser>
        <ser>
          <idx val="10"/>
          <order val="10"/>
          <tx>
            <strRef>
              <f>'Mês×Maq HYUN'!$L$3</f>
              <strCache>
                <ptCount val="1"/>
                <pt idx="0">
                  <v>EHH0037</v>
                </pt>
              </strCache>
            </strRef>
          </tx>
          <spPr>
            <a:ln w="2222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HYUN'!$L$4:$L$18</f>
              <numCache>
                <formatCode>#,##0</formatCode>
                <ptCount val="15"/>
                <pt idx="0">
                  <v>4405.97</v>
                </pt>
                <pt idx="1">
                  <v>2229.5</v>
                </pt>
                <pt idx="2">
                  <v>1711.78</v>
                </pt>
                <pt idx="3">
                  <v>6106</v>
                </pt>
                <pt idx="4">
                  <v>3786.52</v>
                </pt>
                <pt idx="5">
                  <v>2799.6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278</v>
                </pt>
                <pt idx="10">
                  <v>1690.6</v>
                </pt>
                <pt idx="11">
                  <v>2961.14</v>
                </pt>
                <pt idx="12">
                  <v>1661.42</v>
                </pt>
                <pt idx="13">
                  <v>1458</v>
                </pt>
                <pt idx="14">
                  <v>5334.45</v>
                </pt>
              </numCache>
            </numRef>
          </val>
          <smooth val="1"/>
        </ser>
        <ser>
          <idx val="11"/>
          <order val="11"/>
          <tx>
            <strRef>
              <f>'Mês×Maq HYUN'!$M$3</f>
              <strCache>
                <ptCount val="1"/>
                <pt idx="0">
                  <v>EHH0038</v>
                </pt>
              </strCache>
            </strRef>
          </tx>
          <spPr>
            <a:ln w="2222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HYUN'!$M$4:$M$18</f>
              <numCache>
                <formatCode>#,##0</formatCode>
                <ptCount val="15"/>
                <pt idx="0">
                  <v>12977.51</v>
                </pt>
                <pt idx="1">
                  <v>9990.92</v>
                </pt>
                <pt idx="2">
                  <v>19986.79</v>
                </pt>
                <pt idx="3">
                  <v>19667.77</v>
                </pt>
                <pt idx="4">
                  <v>7190.99</v>
                </pt>
                <pt idx="5">
                  <v>14015.22</v>
                </pt>
                <pt idx="6">
                  <v>16360.43</v>
                </pt>
                <pt idx="7">
                  <v>17892.78</v>
                </pt>
                <pt idx="8">
                  <v>18385.18</v>
                </pt>
                <pt idx="9">
                  <v>12732.19</v>
                </pt>
                <pt idx="10">
                  <v>8795.02</v>
                </pt>
                <pt idx="11">
                  <v>8890.809999999999</v>
                </pt>
                <pt idx="12">
                  <v>2940.53</v>
                </pt>
                <pt idx="13">
                  <v>0</v>
                </pt>
                <pt idx="14">
                  <v>718.64</v>
                </pt>
              </numCache>
            </numRef>
          </val>
          <smooth val="1"/>
        </ser>
        <ser>
          <idx val="12"/>
          <order val="12"/>
          <tx>
            <strRef>
              <f>'Mês×Maq HYUN'!$N$3</f>
              <strCache>
                <ptCount val="1"/>
                <pt idx="0">
                  <v>EHH0039</v>
                </pt>
              </strCache>
            </strRef>
          </tx>
          <spPr>
            <a:ln w="2222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HYUN'!$N$4:$N$18</f>
              <numCache>
                <formatCode>#,##0</formatCode>
                <ptCount val="15"/>
                <pt idx="0">
                  <v>3694.11</v>
                </pt>
                <pt idx="1">
                  <v>640.7</v>
                </pt>
                <pt idx="2">
                  <v>3364</v>
                </pt>
                <pt idx="3">
                  <v>20750.79</v>
                </pt>
                <pt idx="4">
                  <v>4462.11</v>
                </pt>
                <pt idx="5">
                  <v>5896.84</v>
                </pt>
                <pt idx="6">
                  <v>4563.14</v>
                </pt>
                <pt idx="7">
                  <v>6531.93</v>
                </pt>
                <pt idx="8">
                  <v>15290.55</v>
                </pt>
                <pt idx="9">
                  <v>12036.57</v>
                </pt>
                <pt idx="10">
                  <v>4497.72</v>
                </pt>
                <pt idx="11">
                  <v>2394.5</v>
                </pt>
                <pt idx="12">
                  <v>2315.75</v>
                </pt>
                <pt idx="13">
                  <v>1109.25</v>
                </pt>
                <pt idx="14">
                  <v>1196.66</v>
                </pt>
              </numCache>
            </numRef>
          </val>
          <smooth val="1"/>
        </ser>
        <ser>
          <idx val="13"/>
          <order val="13"/>
          <tx>
            <strRef>
              <f>'Mês×Maq HYUN'!$O$3</f>
              <strCache>
                <ptCount val="1"/>
                <pt idx="0">
                  <v>EHH0040</v>
                </pt>
              </strCache>
            </strRef>
          </tx>
          <spPr>
            <a:ln w="2222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HYUN'!$O$4:$O$18</f>
              <numCache>
                <formatCode>#,##0</formatCode>
                <ptCount val="15"/>
                <pt idx="0">
                  <v>12977.24</v>
                </pt>
                <pt idx="1">
                  <v>5839.82</v>
                </pt>
                <pt idx="2">
                  <v>14731.73</v>
                </pt>
                <pt idx="3">
                  <v>6790.42</v>
                </pt>
                <pt idx="4">
                  <v>13185.87</v>
                </pt>
                <pt idx="5">
                  <v>9123.67</v>
                </pt>
                <pt idx="6">
                  <v>16135.78</v>
                </pt>
                <pt idx="7">
                  <v>10595.37</v>
                </pt>
                <pt idx="8">
                  <v>10003.3</v>
                </pt>
                <pt idx="9">
                  <v>15273.65</v>
                </pt>
                <pt idx="10">
                  <v>8338.970000000001</v>
                </pt>
                <pt idx="11">
                  <v>2285.59</v>
                </pt>
                <pt idx="12">
                  <v>612.76</v>
                </pt>
                <pt idx="13">
                  <v>4325.75</v>
                </pt>
                <pt idx="14">
                  <v>5289</v>
                </pt>
              </numCache>
            </numRef>
          </val>
          <smooth val="1"/>
        </ser>
        <ser>
          <idx val="14"/>
          <order val="14"/>
          <tx>
            <strRef>
              <f>'Mês×Maq HYUN'!$P$3</f>
              <strCache>
                <ptCount val="1"/>
                <pt idx="0">
                  <v>EHH0044</v>
                </pt>
              </strCache>
            </strRef>
          </tx>
          <spPr>
            <a:ln w="2222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HYUN'!$P$4:$P$18</f>
              <numCache>
                <formatCode>#,##0</formatCode>
                <ptCount val="15"/>
                <pt idx="0">
                  <v>11319.24</v>
                </pt>
                <pt idx="1">
                  <v>8041.02</v>
                </pt>
                <pt idx="2">
                  <v>12830.86</v>
                </pt>
                <pt idx="3">
                  <v>34949.44</v>
                </pt>
                <pt idx="4">
                  <v>20844.79</v>
                </pt>
                <pt idx="5">
                  <v>7142.04</v>
                </pt>
                <pt idx="6">
                  <v>1337.08</v>
                </pt>
                <pt idx="7">
                  <v>4096.95</v>
                </pt>
                <pt idx="8">
                  <v>78025.17</v>
                </pt>
                <pt idx="9">
                  <v>20995.46</v>
                </pt>
                <pt idx="10">
                  <v>13683.59</v>
                </pt>
                <pt idx="11">
                  <v>2670.86</v>
                </pt>
                <pt idx="12">
                  <v>836.41</v>
                </pt>
                <pt idx="13">
                  <v>8593.77</v>
                </pt>
                <pt idx="14">
                  <v>6511.059999999999</v>
                </pt>
              </numCache>
            </numRef>
          </val>
          <smooth val="1"/>
        </ser>
        <ser>
          <idx val="15"/>
          <order val="15"/>
          <tx>
            <strRef>
              <f>'Mês×Maq HYUN'!$Q$3</f>
              <strCache>
                <ptCount val="1"/>
                <pt idx="0">
                  <v>EHH0046</v>
                </pt>
              </strCache>
            </strRef>
          </tx>
          <spPr>
            <a:ln w="2222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HYUN'!$Q$4:$Q$18</f>
              <numCache>
                <formatCode>#,##0</formatCode>
                <ptCount val="15"/>
                <pt idx="0">
                  <v>2024.17</v>
                </pt>
                <pt idx="1">
                  <v>1600</v>
                </pt>
                <pt idx="2">
                  <v>0</v>
                </pt>
                <pt idx="3">
                  <v>294.7</v>
                </pt>
                <pt idx="4">
                  <v>11867.39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1184.02</v>
                </pt>
                <pt idx="9">
                  <v>2639.5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675.03</v>
                </pt>
                <pt idx="1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strRef>
              <f>'Série mensal'!$C$2</f>
              <strCache>
                <ptCount val="1"/>
                <pt idx="0">
                  <v>HYUNDAI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'Série mensal'!$B$3:$B$17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'Série mensal'!$C$3:$C$17</f>
              <numCache>
                <formatCode>_(* #,##0.00_);_(* \(#,##0.00\);_(* "-"??_);_(@_)</formatCode>
                <ptCount val="15"/>
                <pt idx="0">
                  <v>4322.621875</v>
                </pt>
                <pt idx="1">
                  <v>3697.6025</v>
                </pt>
                <pt idx="2">
                  <v>5385.401875</v>
                </pt>
                <pt idx="3">
                  <v>7248.631875</v>
                </pt>
                <pt idx="4">
                  <v>6000.876875</v>
                </pt>
                <pt idx="5">
                  <v>5823.905</v>
                </pt>
                <pt idx="6">
                  <v>6224.14625</v>
                </pt>
                <pt idx="7">
                  <v>6999.84</v>
                </pt>
                <pt idx="8">
                  <v>11282.256875</v>
                </pt>
                <pt idx="9">
                  <v>8374.494375</v>
                </pt>
                <pt idx="10">
                  <v>6999.830625000001</v>
                </pt>
                <pt idx="11">
                  <v>3289.5</v>
                </pt>
                <pt idx="12">
                  <v>3515.85875</v>
                </pt>
                <pt idx="13">
                  <v>3695.425</v>
                </pt>
                <pt idx="14">
                  <v>3997.505</v>
                </pt>
              </numCache>
            </numRef>
          </val>
          <smooth val="1"/>
        </ser>
        <ser>
          <idx val="1"/>
          <order val="1"/>
          <tx>
            <strRef>
              <f>'Série mensal'!$D$2</f>
              <strCache>
                <ptCount val="1"/>
                <pt idx="0">
                  <v>LIEBHERR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'Série mensal'!$B$3:$B$17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'Série mensal'!$D$3:$D$17</f>
              <numCache>
                <formatCode>_(* #,##0.00_);_(* \(#,##0.00\);_(* "-"??_);_(@_)</formatCode>
                <ptCount val="15"/>
                <pt idx="0">
                  <v>2960.812857142857</v>
                </pt>
                <pt idx="1">
                  <v>2604.99</v>
                </pt>
                <pt idx="2">
                  <v>2187.701428571429</v>
                </pt>
                <pt idx="3">
                  <v>3980.387142857143</v>
                </pt>
                <pt idx="4">
                  <v>2647.767142857143</v>
                </pt>
                <pt idx="5">
                  <v>6951.374285714286</v>
                </pt>
                <pt idx="6">
                  <v>7570.985714285714</v>
                </pt>
                <pt idx="7">
                  <v>38645.76857142857</v>
                </pt>
                <pt idx="8">
                  <v>10434.79714285714</v>
                </pt>
                <pt idx="9">
                  <v>10797.59</v>
                </pt>
                <pt idx="10">
                  <v>11124.55714285714</v>
                </pt>
                <pt idx="11">
                  <v>4927.62</v>
                </pt>
                <pt idx="12">
                  <v>6774.86</v>
                </pt>
                <pt idx="13">
                  <v>4016.612857142857</v>
                </pt>
                <pt idx="14">
                  <v>8445.974285714286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_(* #,##0.00_);_(* \(#,##0.00\);_(* &quot;-&quot;??_);_(@_)" sourceLinked="1"/>
        <majorTickMark val="out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Relationship Type="http://schemas.openxmlformats.org/officeDocument/2006/relationships/image" Target="/xl/media/image9.png" Id="rId5" /><Relationship Type="http://schemas.openxmlformats.org/officeDocument/2006/relationships/image" Target="/xl/media/image10.png" Id="rId6" /><Relationship Type="http://schemas.openxmlformats.org/officeDocument/2006/relationships/image" Target="/xl/media/image11.png" Id="rId7" /><Relationship Type="http://schemas.openxmlformats.org/officeDocument/2006/relationships/image" Target="/xl/media/image12.png" Id="rId8" /><Relationship Type="http://schemas.openxmlformats.org/officeDocument/2006/relationships/image" Target="/xl/media/image13.png" Id="rId9" /><Relationship Type="http://schemas.openxmlformats.org/officeDocument/2006/relationships/image" Target="/xl/media/image14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57150</colOff>
      <row>2</row>
      <rowOff>190500</rowOff>
    </from>
    <ext cx="4572000" cy="2667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553200" y="647700"/>
          <a:ext cx="4572000" cy="2667000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581025</colOff>
      <row>2</row>
      <rowOff>190500</rowOff>
    </from>
    <ext cx="4572000" cy="26670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11344275" y="647700"/>
          <a:ext cx="4572000" cy="2667000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47625</colOff>
      <row>17</row>
      <rowOff>95250</rowOff>
    </from>
    <ext cx="4610100" cy="269557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11420475" y="3419475"/>
          <a:ext cx="4610100" cy="2695575"/>
        </a:xfrm>
        <a:prstGeom prst="rect">
          <avLst/>
        </a:prstGeom>
        <a:ln>
          <a:prstDash val="solid"/>
        </a:ln>
      </spPr>
    </pic>
    <clientData/>
  </oneCellAnchor>
  <oneCellAnchor>
    <from>
      <col>4</col>
      <colOff>333375</colOff>
      <row>17</row>
      <rowOff>47625</rowOff>
    </from>
    <ext cx="4572000" cy="266700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6219825" y="3371850"/>
          <a:ext cx="4572000" cy="2667000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12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485775</colOff>
      <row>2</row>
      <rowOff>9525</rowOff>
    </from>
    <ext cx="6286500" cy="36385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485775" y="390525"/>
          <a:ext cx="6286500" cy="3638550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122705</colOff>
      <row>2</row>
      <rowOff>175932</rowOff>
    </from>
    <ext cx="6286500" cy="36385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171205" y="556932"/>
          <a:ext cx="6286500" cy="3638550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101975</colOff>
      <row>2</row>
      <rowOff>128867</rowOff>
    </from>
    <ext cx="6096000" cy="34290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13806769" y="509867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5</col>
      <colOff>425823</colOff>
      <row>25</row>
      <rowOff>93009</rowOff>
    </from>
    <ext cx="5817534" cy="3145491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4527176" y="4855509"/>
          <a:ext cx="5817534" cy="3145491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544606</colOff>
      <row>25</row>
      <rowOff>122705</rowOff>
    </from>
    <ext cx="5817534" cy="3145491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10585077" y="4885205"/>
          <a:ext cx="5817534" cy="3145491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415177</colOff>
      <row>46</row>
      <rowOff>126628</rowOff>
    </from>
    <ext cx="6096000" cy="342900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3907059" y="8889628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253814</colOff>
      <row>46</row>
      <rowOff>90768</rowOff>
    </from>
    <ext cx="6096000" cy="342900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253814" y="8853768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44825</colOff>
      <row>46</row>
      <rowOff>134472</rowOff>
    </from>
    <ext cx="6096000" cy="3429000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7194178" y="8897472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5</col>
      <colOff>369795</colOff>
      <row>68</row>
      <rowOff>100853</rowOff>
    </from>
    <ext cx="6096000" cy="3429000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4471148" y="13054853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564216</colOff>
      <row>68</row>
      <rowOff>105337</rowOff>
    </from>
    <ext cx="6096000" cy="3429000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1209804" y="13059337"/>
          <a:ext cx="6096000" cy="3429000"/>
        </a:xfrm>
        <a:prstGeom prst="rect">
          <avLst/>
        </a:prstGeom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MixPct" displayName="TabMixPct" ref="A5:C10" headerRowCount="1">
  <autoFilter ref="A5:C10"/>
  <tableColumns count="3">
    <tableColumn id="1" name="Conta"/>
    <tableColumn id="2" name="LIEBHERR"/>
    <tableColumn id="3" name="HYUNDAI"/>
  </tableColumns>
  <tableStyleInfo name="TableStyleMedium2" showRowStripes="1"/>
</table>
</file>

<file path=xl/tables/table2.xml><?xml version="1.0" encoding="utf-8"?>
<table xmlns="http://schemas.openxmlformats.org/spreadsheetml/2006/main" id="2" name="TabMixVol" displayName="TabMixVol" ref="A14:C19" headerRowCount="1">
  <autoFilter ref="A14:C19"/>
  <tableColumns count="3">
    <tableColumn id="1" name="Conta"/>
    <tableColumn id="2" name="LIEBHERR"/>
    <tableColumn id="3" name="HYUNDAI"/>
  </tableColumns>
  <tableStyleInfo name="TableStyleMedium9" showRowStripes="1"/>
</table>
</file>

<file path=xl/tables/table3.xml><?xml version="1.0" encoding="utf-8"?>
<table xmlns="http://schemas.openxmlformats.org/spreadsheetml/2006/main" id="3" name="TabHierarquia" displayName="TabHierarquia" ref="A3:I50" headerRowCount="1">
  <autoFilter ref="A3:I50"/>
  <tableColumns count="9">
    <tableColumn id="1" name="Local"/>
    <tableColumn id="3" name="Marca"/>
    <tableColumn id="4" name="Máquina" dataDxfId="6"/>
    <tableColumn id="5" name="2025" dataDxfId="5"/>
    <tableColumn id="6" name="2026" dataDxfId="4"/>
    <tableColumn id="7" name="Meses c/ gasto 2025" dataDxfId="3"/>
    <tableColumn id="8" name="Meses c/ gasto 2026" dataDxfId="2"/>
    <tableColumn id="9" name="2025(m)" dataDxfId="1"/>
    <tableColumn id="10" name="2026(m)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ivotLocal" displayName="TabPivotLocal" ref="A3:G17" headerRowCount="1">
  <autoFilter ref="A3:G17"/>
  <tableColumns count="7">
    <tableColumn id="1" name="Local"/>
    <tableColumn id="2" name="Marca"/>
    <tableColumn id="3" name="Máquinas"/>
    <tableColumn id="4" name="Média mensal 2025"/>
    <tableColumn id="5" name="Gasto total 2025"/>
    <tableColumn id="6" name="Média mensal 2026"/>
    <tableColumn id="7" name="Gasto total 20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GastoMesMaquina" displayName="TabGastoMesMaquina" ref="A3:E274" headerRowCount="1">
  <autoFilter ref="A3:E274"/>
  <tableColumns count="5">
    <tableColumn id="1" name="Mês"/>
    <tableColumn id="2" name="Marca"/>
    <tableColumn id="3" name="Máquina"/>
    <tableColumn id="4" name="Local"/>
    <tableColumn id="5" name="Gasto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FonteDados" displayName="TabFonteDados" ref="A3:K1447" headerRowCount="1">
  <autoFilter ref="A3:K1447">
    <filterColumn colId="2" hiddenButton="0" showButton="1">
      <filters>
        <filter val="Ambar"/>
      </filters>
    </filterColumn>
  </autoFilter>
  <tableColumns count="11">
    <tableColumn id="1" name="Ano"/>
    <tableColumn id="2" name="Mês"/>
    <tableColumn id="3" name="Local"/>
    <tableColumn id="4" name="Marca"/>
    <tableColumn id="5" name="Máquina"/>
    <tableColumn id="6" name="Divisão"/>
    <tableColumn id="7" name="Filial_SAGI"/>
    <tableColumn id="8" name="Conta_Código"/>
    <tableColumn id="9" name="Conta"/>
    <tableColumn id="10" name="Gasto_Abs"/>
    <tableColumn id="11" name="Valor_Con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B22" sqref="B22"/>
    </sheetView>
  </sheetViews>
  <sheetFormatPr baseColWidth="8" defaultRowHeight="15"/>
  <cols>
    <col width="28" customWidth="1" style="154" min="1" max="1"/>
    <col width="42" customWidth="1" style="154" min="2" max="2"/>
    <col width="3.7109375" customWidth="1" style="154" min="21" max="21"/>
  </cols>
  <sheetData>
    <row r="1" ht="21" customHeight="1" s="154">
      <c r="A1" s="7" t="inlineStr">
        <is>
          <t>Liebherr × Hyundai — Dashboard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 ht="15.75" customHeight="1" s="154">
      <c r="A3" s="8" t="inlineStr">
        <is>
          <t>Mudança principal nas análises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>
      <c r="A4" s="6" t="inlineStr">
        <is>
          <t>Comparação das marcas pelo custo médio mensal por máquina do parque (÷7 ou ÷16), não pelo total bruto.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>
      <c r="A6" s="9" t="inlineStr">
        <is>
          <t>Indicador</t>
        </is>
      </c>
      <c r="B6" s="9" t="inlineStr">
        <is>
          <t>Valor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6" t="inlineStr">
        <is>
          <t>Comparativo justo</t>
        </is>
      </c>
      <c r="B7" s="6" t="inlineStr">
        <is>
          <t>LIEBHERR ~43% mais cara (média mensal/máq do parque)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6" t="inlineStr">
        <is>
          <t>LIEBHERR</t>
        </is>
      </c>
      <c r="B8" s="6" t="inlineStr">
        <is>
          <t>R$ 8.271 / máq / mês  (7 máq.)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>
      <c r="A9" s="6" t="inlineStr">
        <is>
          <t>HYUNDAI</t>
        </is>
      </c>
      <c r="B9" s="6" t="inlineStr">
        <is>
          <t>R$ 5.791 / máq / mês  (16 máq.)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>
      <c r="A10" s="6" t="inlineStr">
        <is>
          <t>Unidade líder em gasto</t>
        </is>
      </c>
      <c r="B10" s="6" t="inlineStr">
        <is>
          <t>Maringá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6" t="inlineStr">
        <is>
          <t>Período observado</t>
        </is>
      </c>
      <c r="B11" s="6" t="inlineStr">
        <is>
          <t>2025-01 → 2026-03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style="154" min="1" max="1"/>
    <col width="14" customWidth="1" style="154" min="2" max="2"/>
    <col width="14" customWidth="1" style="154" min="3" max="3"/>
  </cols>
  <sheetData>
    <row r="1">
      <c r="A1" s="166" t="inlineStr">
        <is>
          <t>Mix de gastos por tipo de conta — gráficos interativos (clique na legenda para ocultar/mostrar marca)</t>
        </is>
      </c>
    </row>
    <row r="2">
      <c r="A2" s="167" t="inlineStr">
        <is>
          <t>Top 6 rubricas do parque (sem ISS). Valores nas barras. Filtre as tabelas abaixo pelo cabeçalho (▼) para refinar a visualização.</t>
        </is>
      </c>
    </row>
    <row r="4">
      <c r="A4" s="168" t="inlineStr">
        <is>
          <t>% do volume da marca</t>
        </is>
      </c>
    </row>
    <row r="5">
      <c r="A5" t="inlineStr">
        <is>
          <t>Conta</t>
        </is>
      </c>
      <c r="B5" t="inlineStr">
        <is>
          <t>LIEBHERR</t>
        </is>
      </c>
      <c r="C5" t="inlineStr">
        <is>
          <t>HYUNDAI</t>
        </is>
      </c>
    </row>
    <row r="6">
      <c r="A6" t="inlineStr">
        <is>
          <t>7.1.2 Manutenção veíc./máq.</t>
        </is>
      </c>
      <c r="B6" s="169" t="n">
        <v>42.4279126214235</v>
      </c>
      <c r="C6" s="169" t="n">
        <v>54.05301482554461</v>
      </c>
    </row>
    <row r="7">
      <c r="A7" t="inlineStr">
        <is>
          <t>7.1.22 Diesel (interno)</t>
        </is>
      </c>
      <c r="B7" s="169" t="n">
        <v>22.60549274815634</v>
      </c>
      <c r="C7" s="169" t="n">
        <v>32.39707587036829</v>
      </c>
    </row>
    <row r="8">
      <c r="A8" t="inlineStr">
        <is>
          <t>7.1.1 Peças de manutenção</t>
        </is>
      </c>
      <c r="B8" s="169" t="n">
        <v>30.54331248453733</v>
      </c>
      <c r="C8" s="169" t="n">
        <v>8.238266475986441</v>
      </c>
    </row>
    <row r="9">
      <c r="A9" t="inlineStr">
        <is>
          <t>7.1.4 Diesel (posto)</t>
        </is>
      </c>
      <c r="B9" s="169" t="n">
        <v>2.638070428782486</v>
      </c>
      <c r="C9" s="169" t="n">
        <v>3.172312304505128</v>
      </c>
    </row>
    <row r="10">
      <c r="A10" t="inlineStr">
        <is>
          <t>7.1.18 Fretes e carretos</t>
        </is>
      </c>
      <c r="B10" s="169" t="n">
        <v>1.785211717100349</v>
      </c>
      <c r="C10" s="169" t="n">
        <v>2.139330523595526</v>
      </c>
    </row>
    <row r="13">
      <c r="A13" s="168" t="inlineStr">
        <is>
          <t>R$ médio / máquina do parque</t>
        </is>
      </c>
    </row>
    <row r="14">
      <c r="A14" t="inlineStr">
        <is>
          <t>Conta</t>
        </is>
      </c>
      <c r="B14" t="inlineStr">
        <is>
          <t>LIEBHERR</t>
        </is>
      </c>
      <c r="C14" t="inlineStr">
        <is>
          <t>HYUNDAI</t>
        </is>
      </c>
    </row>
    <row r="15">
      <c r="A15" t="inlineStr">
        <is>
          <t>7.1.2 Manutenção veíc./máq.</t>
        </is>
      </c>
      <c r="B15" s="5" t="n">
        <v>52641.07428571429</v>
      </c>
      <c r="C15" s="5" t="n">
        <v>46949.311875</v>
      </c>
    </row>
    <row r="16">
      <c r="A16" t="inlineStr">
        <is>
          <t>7.1.22 Diesel (interno)</t>
        </is>
      </c>
      <c r="B16" s="5" t="n">
        <v>28047.04142857143</v>
      </c>
      <c r="C16" s="5" t="n">
        <v>28139.41875</v>
      </c>
    </row>
    <row r="17">
      <c r="A17" t="inlineStr">
        <is>
          <t>7.1.1 Peças de manutenção</t>
        </is>
      </c>
      <c r="B17" s="5" t="n">
        <v>37895.63714285714</v>
      </c>
      <c r="C17" s="5" t="n">
        <v>7155.585</v>
      </c>
    </row>
    <row r="18">
      <c r="A18" t="inlineStr">
        <is>
          <t>7.1.4 Diesel (posto)</t>
        </is>
      </c>
      <c r="B18" s="5" t="n">
        <v>3273.101428571429</v>
      </c>
      <c r="C18" s="5" t="n">
        <v>2755.40375</v>
      </c>
    </row>
    <row r="19">
      <c r="A19" t="inlineStr">
        <is>
          <t>7.1.18 Fretes e carretos</t>
        </is>
      </c>
      <c r="B19" s="5" t="n">
        <v>2214.944285714286</v>
      </c>
      <c r="C19" s="5" t="n">
        <v>1858.1775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R11" sqref="R11"/>
    </sheetView>
  </sheetViews>
  <sheetFormatPr baseColWidth="8" defaultRowHeight="15"/>
  <cols>
    <col width="25" bestFit="1" customWidth="1" style="154" min="1" max="1"/>
    <col width="16" customWidth="1" style="154" min="2" max="2"/>
    <col width="17.85546875" customWidth="1" style="154" min="3" max="3"/>
    <col width="17.140625" customWidth="1" style="156" min="4" max="4"/>
    <col width="9" customWidth="1" style="148" min="5" max="5"/>
    <col width="16" customWidth="1" style="156" min="6" max="6"/>
    <col width="16.140625" customWidth="1" style="154" min="7" max="7"/>
    <col width="8.7109375" customWidth="1" style="54" min="8" max="8"/>
    <col width="20.28515625" customWidth="1" style="154" min="9" max="9"/>
    <col width="8.42578125" bestFit="1" customWidth="1" style="154" min="13" max="13"/>
    <col width="14.85546875" bestFit="1" customWidth="1" style="154" min="15" max="15"/>
  </cols>
  <sheetData>
    <row r="1">
      <c r="D1" s="157" t="n">
        <v>2025</v>
      </c>
      <c r="E1" s="158" t="n"/>
      <c r="F1" s="159" t="n"/>
      <c r="G1" s="157" t="n">
        <v>2026</v>
      </c>
      <c r="H1" s="158" t="n"/>
      <c r="I1" s="159" t="n"/>
    </row>
    <row r="2" ht="15.75" customHeight="1" s="154" thickBot="1">
      <c r="A2" s="114" t="inlineStr">
        <is>
          <t>Local</t>
        </is>
      </c>
      <c r="B2" s="115" t="inlineStr">
        <is>
          <t>Marca</t>
        </is>
      </c>
      <c r="C2" s="116" t="inlineStr">
        <is>
          <t>Máquina</t>
        </is>
      </c>
      <c r="D2" s="117" t="inlineStr">
        <is>
          <t>Gasto total</t>
        </is>
      </c>
      <c r="E2" s="118" t="inlineStr">
        <is>
          <t>%</t>
        </is>
      </c>
      <c r="F2" s="119" t="inlineStr">
        <is>
          <t>Média mensal</t>
        </is>
      </c>
      <c r="G2" s="117" t="inlineStr">
        <is>
          <t>Gasto total</t>
        </is>
      </c>
      <c r="H2" s="118" t="inlineStr">
        <is>
          <t>%</t>
        </is>
      </c>
      <c r="I2" s="119" t="inlineStr">
        <is>
          <t>Média mensal</t>
        </is>
      </c>
      <c r="P2" s="156" t="inlineStr">
        <is>
          <t>Gastos Totais</t>
        </is>
      </c>
    </row>
    <row r="3">
      <c r="A3" s="120" t="inlineStr">
        <is>
          <t>PRUDENTE</t>
        </is>
      </c>
      <c r="B3" s="121" t="n"/>
      <c r="C3" s="122" t="n">
        <v>3</v>
      </c>
      <c r="D3" s="170" t="n">
        <v>290750.66</v>
      </c>
      <c r="E3" s="124" t="n"/>
      <c r="F3" s="171" t="n">
        <v>24229.22166666666</v>
      </c>
      <c r="G3" s="170" t="n">
        <v>58630.08</v>
      </c>
      <c r="H3" s="124" t="n"/>
      <c r="I3" s="171" t="n">
        <v>19543.36</v>
      </c>
      <c r="M3" s="146" t="inlineStr">
        <is>
          <t>Liebherr</t>
        </is>
      </c>
      <c r="N3" s="147" t="inlineStr">
        <is>
          <t>Hyundai</t>
        </is>
      </c>
      <c r="O3" s="172" t="inlineStr">
        <is>
          <t>nº de máquinas</t>
        </is>
      </c>
      <c r="P3" s="148" t="n">
        <v>2025</v>
      </c>
      <c r="Q3" s="56" t="n">
        <v>2026</v>
      </c>
    </row>
    <row r="4">
      <c r="A4" s="126" t="inlineStr">
        <is>
          <t>PRUDENTE</t>
        </is>
      </c>
      <c r="B4" s="101" t="inlineStr">
        <is>
          <t>LIEBHERR</t>
        </is>
      </c>
      <c r="C4" s="105" t="n">
        <v>1</v>
      </c>
      <c r="D4" s="173" t="n">
        <v>223717.53</v>
      </c>
      <c r="E4" s="102">
        <f>D4/D3</f>
        <v/>
      </c>
      <c r="F4" s="174" t="n">
        <v>18643.1275</v>
      </c>
      <c r="G4" s="173" t="n">
        <v>27608.94</v>
      </c>
      <c r="H4" s="102">
        <f>G4/G3</f>
        <v/>
      </c>
      <c r="I4" s="174" t="n">
        <v>9202.980000000001</v>
      </c>
    </row>
    <row r="5" ht="15.75" customHeight="1" s="154" thickBot="1">
      <c r="A5" s="127" t="inlineStr">
        <is>
          <t>PRUDENTE</t>
        </is>
      </c>
      <c r="B5" s="128" t="inlineStr">
        <is>
          <t>HYUNDAI</t>
        </is>
      </c>
      <c r="C5" s="129" t="n">
        <v>2</v>
      </c>
      <c r="D5" s="175" t="n">
        <v>67033.13</v>
      </c>
      <c r="E5" s="131">
        <f>D5/D3</f>
        <v/>
      </c>
      <c r="F5" s="176" t="n">
        <v>6703.313</v>
      </c>
      <c r="G5" s="175" t="n">
        <v>31021.14</v>
      </c>
      <c r="H5" s="131">
        <f>G5/G3</f>
        <v/>
      </c>
      <c r="I5" s="176" t="n">
        <v>10340.38</v>
      </c>
    </row>
    <row r="6">
      <c r="A6" s="133" t="inlineStr">
        <is>
          <t>MARINGÁ</t>
        </is>
      </c>
      <c r="B6" s="134" t="n"/>
      <c r="C6" s="135" t="n">
        <v>4</v>
      </c>
      <c r="D6" s="177" t="n">
        <v>483079.49</v>
      </c>
      <c r="E6" s="137" t="n"/>
      <c r="F6" s="178" t="n">
        <v>40256.62416666667</v>
      </c>
      <c r="G6" s="177" t="n">
        <v>73544.06</v>
      </c>
      <c r="H6" s="137" t="n"/>
      <c r="I6" s="178" t="n">
        <v>24514.68666666666</v>
      </c>
    </row>
    <row r="7">
      <c r="A7" s="139" t="inlineStr">
        <is>
          <t>MARINGÁ</t>
        </is>
      </c>
      <c r="B7" s="100" t="inlineStr">
        <is>
          <t>LIEBHERR</t>
        </is>
      </c>
      <c r="C7" s="106" t="n">
        <v>1</v>
      </c>
      <c r="D7" s="179" t="n">
        <v>302463.51</v>
      </c>
      <c r="E7" s="103">
        <f>D7/D6</f>
        <v/>
      </c>
      <c r="F7" s="180" t="n">
        <v>25205.2925</v>
      </c>
      <c r="G7" s="179" t="n">
        <v>46137.13</v>
      </c>
      <c r="H7" s="103">
        <f>G7/G6</f>
        <v/>
      </c>
      <c r="I7" s="180" t="n">
        <v>15379.04333333333</v>
      </c>
    </row>
    <row r="8" ht="15.75" customHeight="1" s="154" thickBot="1">
      <c r="A8" s="140" t="inlineStr">
        <is>
          <t>MARINGÁ</t>
        </is>
      </c>
      <c r="B8" s="141" t="inlineStr">
        <is>
          <t>HYUNDAI</t>
        </is>
      </c>
      <c r="C8" s="142" t="n">
        <v>3</v>
      </c>
      <c r="D8" s="181" t="n">
        <v>180615.98</v>
      </c>
      <c r="E8" s="112">
        <f>D8/D6</f>
        <v/>
      </c>
      <c r="F8" s="182" t="n">
        <v>15051.33166666667</v>
      </c>
      <c r="G8" s="181" t="n">
        <v>27406.93</v>
      </c>
      <c r="H8" s="112">
        <f>G8/G6</f>
        <v/>
      </c>
      <c r="I8" s="182" t="n">
        <v>9135.643333333333</v>
      </c>
    </row>
    <row r="9">
      <c r="A9" s="120" t="inlineStr">
        <is>
          <t>LONDRINA</t>
        </is>
      </c>
      <c r="B9" s="145" t="n"/>
      <c r="C9" s="122" t="n">
        <v>2</v>
      </c>
      <c r="D9" s="170" t="n">
        <v>205882.59</v>
      </c>
      <c r="E9" s="124" t="n"/>
      <c r="F9" s="171" t="n">
        <v>17156.8825</v>
      </c>
      <c r="G9" s="170" t="n">
        <v>16503.57</v>
      </c>
      <c r="H9" s="124" t="n"/>
      <c r="I9" s="171" t="n">
        <v>5501.19</v>
      </c>
    </row>
    <row r="10" ht="15.75" customHeight="1" s="154" thickBot="1">
      <c r="A10" s="127" t="inlineStr">
        <is>
          <t>LONDRINA</t>
        </is>
      </c>
      <c r="B10" s="128" t="inlineStr">
        <is>
          <t>HYUNDAI</t>
        </is>
      </c>
      <c r="C10" s="129" t="n">
        <v>2</v>
      </c>
      <c r="D10" s="175" t="n">
        <v>205882.59</v>
      </c>
      <c r="E10" s="131" t="n">
        <v>1</v>
      </c>
      <c r="F10" s="176" t="n">
        <v>17156.8825</v>
      </c>
      <c r="G10" s="175" t="n">
        <v>16503.57</v>
      </c>
      <c r="H10" s="131" t="n">
        <v>1</v>
      </c>
      <c r="I10" s="176" t="n">
        <v>5501.19</v>
      </c>
    </row>
    <row r="11">
      <c r="A11" s="133" t="inlineStr">
        <is>
          <t>DOURADOS</t>
        </is>
      </c>
      <c r="B11" s="134" t="n"/>
      <c r="C11" s="135" t="n">
        <v>3</v>
      </c>
      <c r="D11" s="177" t="n">
        <v>389091.44</v>
      </c>
      <c r="E11" s="137" t="n"/>
      <c r="F11" s="178" t="n">
        <v>32424.28666666667</v>
      </c>
      <c r="G11" s="177" t="n">
        <v>40109.76</v>
      </c>
      <c r="H11" s="137" t="n"/>
      <c r="I11" s="178" t="n">
        <v>13369.92</v>
      </c>
    </row>
    <row r="12">
      <c r="A12" s="139" t="inlineStr">
        <is>
          <t>DOURADOS</t>
        </is>
      </c>
      <c r="B12" s="100" t="inlineStr">
        <is>
          <t>LIEBHERR</t>
        </is>
      </c>
      <c r="C12" s="106" t="n">
        <v>1</v>
      </c>
      <c r="D12" s="179" t="n">
        <v>75148.75</v>
      </c>
      <c r="E12" s="103">
        <f>D12/D11</f>
        <v/>
      </c>
      <c r="F12" s="180" t="n">
        <v>10735.53571428571</v>
      </c>
      <c r="G12" s="179" t="n">
        <v>17672.53</v>
      </c>
      <c r="H12" s="103">
        <f>G12/G11</f>
        <v/>
      </c>
      <c r="I12" s="180" t="n">
        <v>5890.843333333333</v>
      </c>
    </row>
    <row r="13" ht="15.75" customHeight="1" s="154" thickBot="1">
      <c r="A13" s="140" t="inlineStr">
        <is>
          <t>DOURADOS</t>
        </is>
      </c>
      <c r="B13" s="141" t="inlineStr">
        <is>
          <t>HYUNDAI</t>
        </is>
      </c>
      <c r="C13" s="142" t="n">
        <v>2</v>
      </c>
      <c r="D13" s="181" t="n">
        <v>313942.69</v>
      </c>
      <c r="E13" s="112">
        <f>D13/D11</f>
        <v/>
      </c>
      <c r="F13" s="182" t="n">
        <v>26161.89083333333</v>
      </c>
      <c r="G13" s="181" t="n">
        <v>22437.23</v>
      </c>
      <c r="H13" s="112">
        <f>G13/G11</f>
        <v/>
      </c>
      <c r="I13" s="182" t="n">
        <v>7479.076666666667</v>
      </c>
    </row>
    <row r="14">
      <c r="A14" s="120" t="inlineStr">
        <is>
          <t>CAMPO GRANDE</t>
        </is>
      </c>
      <c r="B14" s="145" t="n"/>
      <c r="C14" s="122" t="n">
        <v>2</v>
      </c>
      <c r="D14" s="170" t="n">
        <v>186495.39</v>
      </c>
      <c r="E14" s="124" t="n"/>
      <c r="F14" s="171" t="n">
        <v>15541.2825</v>
      </c>
      <c r="G14" s="170" t="n">
        <v>4334.2</v>
      </c>
      <c r="H14" s="124" t="n"/>
      <c r="I14" s="171" t="n">
        <v>1444.733333333333</v>
      </c>
    </row>
    <row r="15" ht="15.75" customHeight="1" s="154" thickBot="1">
      <c r="A15" s="127" t="inlineStr">
        <is>
          <t>CAMPO GRANDE</t>
        </is>
      </c>
      <c r="B15" s="128" t="inlineStr">
        <is>
          <t>HYUNDAI</t>
        </is>
      </c>
      <c r="C15" s="129" t="n">
        <v>2</v>
      </c>
      <c r="D15" s="175" t="n">
        <v>186495.39</v>
      </c>
      <c r="E15" s="131" t="n">
        <v>1</v>
      </c>
      <c r="F15" s="176" t="n">
        <v>15541.2825</v>
      </c>
      <c r="G15" s="175" t="n">
        <v>4334.2</v>
      </c>
      <c r="H15" s="131" t="n">
        <v>1</v>
      </c>
      <c r="I15" s="176" t="n">
        <v>1444.733333333333</v>
      </c>
    </row>
    <row r="16">
      <c r="A16" s="133" t="inlineStr">
        <is>
          <t>ARCELOR BARRA MANSA</t>
        </is>
      </c>
      <c r="B16" s="134" t="n"/>
      <c r="C16" s="135" t="n">
        <v>2</v>
      </c>
      <c r="D16" s="177" t="n">
        <v>129969.49</v>
      </c>
      <c r="E16" s="137" t="n"/>
      <c r="F16" s="178" t="n">
        <v>10830.79083333333</v>
      </c>
      <c r="G16" s="177" t="n">
        <v>58625.13</v>
      </c>
      <c r="H16" s="137" t="n"/>
      <c r="I16" s="178" t="n">
        <v>19541.71</v>
      </c>
    </row>
    <row r="17" ht="15.75" customHeight="1" s="154" thickBot="1">
      <c r="A17" s="140" t="inlineStr">
        <is>
          <t>ARCELOR BARRA MANSA</t>
        </is>
      </c>
      <c r="B17" s="141" t="inlineStr">
        <is>
          <t>HYUNDAI</t>
        </is>
      </c>
      <c r="C17" s="142" t="n">
        <v>2</v>
      </c>
      <c r="D17" s="181" t="n">
        <v>129969.49</v>
      </c>
      <c r="E17" s="112" t="n">
        <v>1</v>
      </c>
      <c r="F17" s="182" t="n">
        <v>10830.79083333333</v>
      </c>
      <c r="G17" s="181" t="n">
        <v>58625.13</v>
      </c>
      <c r="H17" s="112" t="n">
        <v>1</v>
      </c>
      <c r="I17" s="182" t="n">
        <v>19541.71</v>
      </c>
    </row>
    <row r="18">
      <c r="A18" s="120" t="inlineStr">
        <is>
          <t>TUPY</t>
        </is>
      </c>
      <c r="B18" s="145" t="n"/>
      <c r="C18" s="122" t="n">
        <v>2</v>
      </c>
      <c r="D18" s="170" t="n">
        <v>58138.06</v>
      </c>
      <c r="E18" s="124" t="n"/>
      <c r="F18" s="171" t="n">
        <v>5285.278181818182</v>
      </c>
      <c r="G18" s="170" t="n">
        <v>10122.26</v>
      </c>
      <c r="H18" s="124" t="n"/>
      <c r="I18" s="171" t="n">
        <v>3374.086666666667</v>
      </c>
    </row>
    <row r="19">
      <c r="A19" s="126" t="inlineStr">
        <is>
          <t>TUPY</t>
        </is>
      </c>
      <c r="B19" s="101" t="inlineStr">
        <is>
          <t>LIEBHERR</t>
        </is>
      </c>
      <c r="C19" s="105" t="n">
        <v>1</v>
      </c>
      <c r="D19" s="173" t="n">
        <v>40027.45</v>
      </c>
      <c r="E19" s="102">
        <f>D19/D18</f>
        <v/>
      </c>
      <c r="F19" s="174" t="n">
        <v>4002.745</v>
      </c>
      <c r="G19" s="173" t="n">
        <v>8242.35</v>
      </c>
      <c r="H19" s="102">
        <f>G19/G18</f>
        <v/>
      </c>
      <c r="I19" s="174" t="n">
        <v>2747.45</v>
      </c>
    </row>
    <row r="20" ht="15.75" customHeight="1" s="154" thickBot="1">
      <c r="A20" s="127" t="inlineStr">
        <is>
          <t>TUPY</t>
        </is>
      </c>
      <c r="B20" s="128" t="inlineStr">
        <is>
          <t>HYUNDAI</t>
        </is>
      </c>
      <c r="C20" s="129" t="n">
        <v>1</v>
      </c>
      <c r="D20" s="175" t="n">
        <v>18110.61</v>
      </c>
      <c r="E20" s="131">
        <f>D20/D18</f>
        <v/>
      </c>
      <c r="F20" s="176" t="n">
        <v>3018.435</v>
      </c>
      <c r="G20" s="175" t="n">
        <v>1879.91</v>
      </c>
      <c r="H20" s="131">
        <f>G20/G18</f>
        <v/>
      </c>
      <c r="I20" s="176" t="n">
        <v>626.6366666666667</v>
      </c>
    </row>
    <row r="21">
      <c r="A21" s="133" t="inlineStr">
        <is>
          <t>PÁTIO DE MANUTENÇÃO</t>
        </is>
      </c>
      <c r="B21" s="134" t="n"/>
      <c r="C21" s="135" t="n">
        <v>2</v>
      </c>
      <c r="D21" s="177" t="n">
        <v>92483.22</v>
      </c>
      <c r="E21" s="137" t="n"/>
      <c r="F21" s="178" t="n">
        <v>11560.4025</v>
      </c>
      <c r="G21" s="177" t="n">
        <v>35001.18</v>
      </c>
      <c r="H21" s="137" t="n"/>
      <c r="I21" s="178" t="n">
        <v>11667.06</v>
      </c>
    </row>
    <row r="22" ht="15.75" customHeight="1" s="154" thickBot="1">
      <c r="A22" s="140" t="inlineStr">
        <is>
          <t>PÁTIO DE MANUTENÇÃO</t>
        </is>
      </c>
      <c r="B22" s="141" t="inlineStr">
        <is>
          <t>LIEBHERR</t>
        </is>
      </c>
      <c r="C22" s="142" t="n">
        <v>2</v>
      </c>
      <c r="D22" s="181" t="n">
        <v>92483.22</v>
      </c>
      <c r="E22" s="112" t="n">
        <v>1</v>
      </c>
      <c r="F22" s="182" t="n">
        <v>11560.4025</v>
      </c>
      <c r="G22" s="181" t="n">
        <v>35001.18</v>
      </c>
      <c r="H22" s="112" t="n">
        <v>1</v>
      </c>
      <c r="I22" s="182" t="n">
        <v>11667.06</v>
      </c>
    </row>
    <row r="23">
      <c r="A23" s="120" t="inlineStr">
        <is>
          <t>MATHEUS</t>
        </is>
      </c>
      <c r="B23" s="145" t="n"/>
      <c r="C23" s="122" t="n">
        <v>1</v>
      </c>
      <c r="D23" s="170" t="n">
        <v>82366.74000000001</v>
      </c>
      <c r="E23" s="124" t="n"/>
      <c r="F23" s="171" t="n">
        <v>9151.860000000001</v>
      </c>
      <c r="G23" s="170" t="n">
        <v>8678.639999999999</v>
      </c>
      <c r="H23" s="124" t="n"/>
      <c r="I23" s="171" t="n">
        <v>2892.88</v>
      </c>
    </row>
    <row r="24" ht="15.75" customHeight="1" s="154" thickBot="1">
      <c r="A24" s="127" t="inlineStr">
        <is>
          <t>MATHEUS</t>
        </is>
      </c>
      <c r="B24" s="128" t="inlineStr">
        <is>
          <t>HYUNDAI</t>
        </is>
      </c>
      <c r="C24" s="129" t="n">
        <v>1</v>
      </c>
      <c r="D24" s="175" t="n">
        <v>82366.74000000001</v>
      </c>
      <c r="E24" s="131" t="n">
        <v>1</v>
      </c>
      <c r="F24" s="176" t="n">
        <v>9151.860000000001</v>
      </c>
      <c r="G24" s="175" t="n">
        <v>8678.639999999999</v>
      </c>
      <c r="H24" s="131" t="n">
        <v>1</v>
      </c>
      <c r="I24" s="176" t="n">
        <v>2892.88</v>
      </c>
    </row>
    <row r="25">
      <c r="A25" s="133" t="inlineStr">
        <is>
          <t>MULTI AÇO</t>
        </is>
      </c>
      <c r="B25" s="134" t="n"/>
      <c r="C25" s="135" t="n">
        <v>1</v>
      </c>
      <c r="D25" s="177" t="n">
        <v>25969.11</v>
      </c>
      <c r="E25" s="137" t="n"/>
      <c r="F25" s="178" t="n">
        <v>2885.456666666667</v>
      </c>
      <c r="G25" s="177" t="n">
        <v>8453.870000000001</v>
      </c>
      <c r="H25" s="137" t="n"/>
      <c r="I25" s="178" t="n">
        <v>2817.956666666667</v>
      </c>
    </row>
    <row r="26" ht="15.75" customHeight="1" s="154" thickBot="1">
      <c r="A26" s="140" t="inlineStr">
        <is>
          <t>MULTI AÇO</t>
        </is>
      </c>
      <c r="B26" s="141" t="inlineStr">
        <is>
          <t>HYUNDAI</t>
        </is>
      </c>
      <c r="C26" s="142" t="n">
        <v>1</v>
      </c>
      <c r="D26" s="111" t="n">
        <v>25969.11</v>
      </c>
      <c r="E26" s="112" t="n">
        <v>1</v>
      </c>
      <c r="F26" s="113" t="n">
        <v>2885.456666666667</v>
      </c>
      <c r="G26" s="111" t="n">
        <v>8453.870000000001</v>
      </c>
      <c r="H26" s="112" t="n">
        <v>1</v>
      </c>
      <c r="I26" s="113" t="n">
        <v>2817.956666666667</v>
      </c>
    </row>
    <row r="27">
      <c r="A27" s="1" t="n"/>
      <c r="B27" s="1" t="n"/>
      <c r="C27" s="50" t="n"/>
      <c r="D27" s="172" t="n"/>
      <c r="F27" s="172" t="n"/>
      <c r="G27" s="172" t="n"/>
      <c r="H27" s="60" t="n"/>
      <c r="I27" s="172" t="n"/>
    </row>
    <row r="28">
      <c r="G28" s="172" t="n"/>
      <c r="H28" s="60" t="n"/>
      <c r="I28" s="172" t="n"/>
    </row>
    <row r="29">
      <c r="C29" s="156" t="n"/>
      <c r="D29" s="172" t="n"/>
      <c r="F29" s="56" t="n"/>
      <c r="G29" s="172" t="n"/>
      <c r="H29" s="60" t="n"/>
      <c r="I29" s="172" t="n"/>
    </row>
    <row r="30">
      <c r="C30" s="156" t="n"/>
      <c r="D30" s="172" t="n"/>
      <c r="F30" s="56" t="n"/>
      <c r="G30" s="172" t="n"/>
      <c r="H30" s="60" t="n"/>
      <c r="I30" s="172" t="n"/>
    </row>
    <row r="31">
      <c r="A31" s="1" t="n"/>
      <c r="B31" s="1" t="n"/>
      <c r="C31" s="50" t="n"/>
      <c r="D31" s="172" t="n"/>
      <c r="F31" s="56" t="n"/>
      <c r="G31" s="172" t="n"/>
      <c r="H31" s="60" t="n"/>
      <c r="I31" s="172" t="n"/>
    </row>
    <row r="32">
      <c r="B32" s="160" t="n"/>
      <c r="C32" s="13" t="n"/>
      <c r="D32" s="172" t="n"/>
      <c r="F32" s="56" t="n"/>
      <c r="G32" s="172" t="n"/>
      <c r="H32" s="60" t="n"/>
      <c r="I32" s="172" t="n"/>
    </row>
    <row r="33">
      <c r="C33" s="156" t="n"/>
      <c r="D33" s="172" t="n"/>
      <c r="F33" s="56" t="n"/>
      <c r="G33" s="172" t="n"/>
      <c r="H33" s="60" t="n"/>
      <c r="I33" s="172" t="n"/>
    </row>
    <row r="34">
      <c r="C34" s="156" t="n"/>
      <c r="D34" s="172" t="n"/>
      <c r="F34" s="56" t="n"/>
      <c r="G34" s="172" t="n"/>
      <c r="H34" s="60" t="n"/>
      <c r="I34" s="172" t="n"/>
    </row>
    <row r="35">
      <c r="A35" s="1" t="n"/>
      <c r="B35" s="1" t="n"/>
      <c r="C35" s="50" t="n"/>
      <c r="D35" s="172" t="n"/>
      <c r="F35" s="56" t="n"/>
      <c r="G35" s="172" t="n"/>
      <c r="H35" s="60" t="n"/>
      <c r="I35" s="172" t="n"/>
    </row>
    <row r="36">
      <c r="B36" s="4" t="n"/>
      <c r="C36" s="13" t="n"/>
      <c r="D36" s="172" t="n"/>
      <c r="F36" s="56" t="n"/>
      <c r="G36" s="172" t="n"/>
      <c r="H36" s="60" t="n"/>
      <c r="I36" s="172" t="n"/>
    </row>
    <row r="37">
      <c r="C37" s="156" t="n"/>
      <c r="D37" s="172" t="n"/>
      <c r="F37" s="56" t="n"/>
      <c r="G37" s="172" t="n"/>
      <c r="H37" s="60" t="n"/>
      <c r="I37" s="172" t="n"/>
    </row>
    <row r="38">
      <c r="B38" s="160" t="n"/>
      <c r="C38" s="13" t="n"/>
      <c r="D38" s="172" t="n"/>
      <c r="F38" s="56" t="n"/>
      <c r="G38" s="172" t="n"/>
      <c r="H38" s="60" t="n"/>
      <c r="I38" s="172" t="n"/>
    </row>
    <row r="39">
      <c r="C39" s="156" t="n"/>
      <c r="D39" s="172" t="n"/>
      <c r="F39" s="56" t="n"/>
      <c r="G39" s="172" t="n"/>
      <c r="H39" s="60" t="n"/>
      <c r="I39" s="172" t="n"/>
    </row>
    <row r="40">
      <c r="A40" s="1" t="n"/>
      <c r="B40" s="1" t="n"/>
      <c r="C40" s="50" t="n"/>
      <c r="D40" s="172" t="n"/>
      <c r="F40" s="56" t="n"/>
      <c r="G40" s="172" t="n"/>
      <c r="H40" s="60" t="n"/>
      <c r="I40" s="172" t="n"/>
    </row>
    <row r="41">
      <c r="A41" s="94" t="n"/>
      <c r="B41" s="95" t="n"/>
      <c r="C41" s="96" t="n"/>
      <c r="D41" s="183" t="n"/>
      <c r="E41" s="149" t="n"/>
      <c r="F41" s="98" t="n"/>
      <c r="G41" s="183" t="n"/>
      <c r="H41" s="104" t="n"/>
      <c r="I41" s="184" t="n"/>
    </row>
    <row r="42">
      <c r="A42" s="6" t="n"/>
      <c r="B42" s="6" t="n"/>
      <c r="C42" s="49" t="n"/>
      <c r="D42" s="185" t="n"/>
      <c r="E42" s="150" t="n"/>
      <c r="F42" s="88" t="n"/>
      <c r="G42" s="185" t="n"/>
      <c r="H42" s="103" t="n"/>
      <c r="I42" s="185" t="n"/>
    </row>
    <row r="43">
      <c r="A43" s="6" t="n"/>
      <c r="B43" s="6" t="n"/>
      <c r="C43" s="49" t="n"/>
      <c r="D43" s="185" t="n"/>
      <c r="E43" s="150" t="n"/>
      <c r="F43" s="88" t="n"/>
      <c r="G43" s="185" t="n"/>
      <c r="H43" s="103" t="n"/>
      <c r="I43" s="185" t="n"/>
    </row>
    <row r="44">
      <c r="A44" s="86" t="n"/>
      <c r="B44" s="9" t="n"/>
      <c r="C44" s="87" t="n"/>
      <c r="D44" s="185" t="n"/>
      <c r="E44" s="150" t="n"/>
      <c r="F44" s="88" t="n"/>
      <c r="G44" s="185" t="n"/>
      <c r="H44" s="103" t="n"/>
      <c r="I44" s="186" t="n"/>
    </row>
    <row r="45">
      <c r="A45" s="163" t="n"/>
      <c r="B45" s="91" t="n"/>
      <c r="C45" s="90" t="n"/>
      <c r="D45" s="185" t="n"/>
      <c r="E45" s="150" t="n"/>
      <c r="F45" s="88" t="n"/>
      <c r="G45" s="185" t="n"/>
      <c r="H45" s="103" t="n"/>
      <c r="I45" s="186" t="n"/>
    </row>
    <row r="46">
      <c r="A46" s="6" t="n"/>
      <c r="B46" s="6" t="n"/>
      <c r="C46" s="49" t="n"/>
      <c r="D46" s="185" t="n"/>
      <c r="E46" s="150" t="n"/>
      <c r="F46" s="88" t="n"/>
      <c r="G46" s="185" t="n"/>
      <c r="H46" s="103" t="n"/>
      <c r="I46" s="185" t="n"/>
    </row>
    <row r="47">
      <c r="A47" s="86" t="n"/>
      <c r="B47" s="9" t="n"/>
      <c r="C47" s="87" t="n"/>
      <c r="D47" s="185" t="n"/>
      <c r="E47" s="150" t="n"/>
      <c r="F47" s="88" t="n"/>
      <c r="G47" s="185" t="n"/>
      <c r="H47" s="103" t="n"/>
      <c r="I47" s="186" t="n"/>
    </row>
    <row r="48">
      <c r="A48" s="163" t="n"/>
      <c r="B48" s="91" t="n"/>
      <c r="C48" s="90" t="n"/>
      <c r="D48" s="92" t="n"/>
      <c r="E48" s="150" t="n"/>
      <c r="F48" s="49" t="n"/>
      <c r="G48" s="92" t="n"/>
      <c r="H48" s="103" t="n"/>
      <c r="I48" s="93" t="n"/>
    </row>
  </sheetData>
  <mergeCells count="3">
    <mergeCell ref="P2:Q2"/>
    <mergeCell ref="D1:F1"/>
    <mergeCell ref="G1:I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48"/>
  <sheetViews>
    <sheetView zoomScale="115" zoomScaleNormal="115" workbookViewId="0">
      <selection activeCell="P11" sqref="P11"/>
    </sheetView>
  </sheetViews>
  <sheetFormatPr baseColWidth="8" defaultRowHeight="15"/>
  <cols>
    <col width="22.42578125" bestFit="1" customWidth="1" style="154" min="2" max="2"/>
    <col width="11.140625" bestFit="1" customWidth="1" style="154" min="3" max="4"/>
    <col width="9.7109375" customWidth="1" style="156" min="5" max="5"/>
    <col width="10" bestFit="1" customWidth="1" style="154" min="6" max="6"/>
    <col width="8.85546875" customWidth="1" style="156" min="7" max="7"/>
    <col width="18" customWidth="1" style="154" min="8" max="8"/>
    <col width="22.42578125" bestFit="1" customWidth="1" style="154" min="9" max="9"/>
    <col width="11.140625" bestFit="1" customWidth="1" style="154" min="10" max="11"/>
    <col width="9.85546875" customWidth="1" style="156" min="12" max="12"/>
    <col width="10.140625" bestFit="1" customWidth="1" style="156" min="13" max="13"/>
    <col width="10.42578125" customWidth="1" style="156" min="14" max="14"/>
    <col width="10.5703125" customWidth="1" style="156" min="15" max="15"/>
    <col width="15.140625" bestFit="1" customWidth="1" style="60" min="16" max="16"/>
    <col width="15.140625" bestFit="1" customWidth="1" style="154" min="17" max="17"/>
  </cols>
  <sheetData>
    <row r="2" ht="15.75" customHeight="1" s="154" thickBot="1">
      <c r="I2" s="50" t="n"/>
      <c r="J2" s="156" t="n"/>
      <c r="K2" s="12" t="inlineStr">
        <is>
          <t>Gasto</t>
        </is>
      </c>
      <c r="M2" s="12" t="inlineStr">
        <is>
          <t>Gasto</t>
        </is>
      </c>
      <c r="N2" s="60" t="n"/>
    </row>
    <row r="3" ht="15.75" customHeight="1" s="154" thickBot="1">
      <c r="C3" s="156" t="n"/>
      <c r="D3" s="12" t="inlineStr">
        <is>
          <t>Gasto</t>
        </is>
      </c>
      <c r="F3" s="12" t="inlineStr">
        <is>
          <t>Gasto</t>
        </is>
      </c>
      <c r="G3" s="60" t="n"/>
      <c r="H3" s="50" t="n"/>
      <c r="I3" s="65" t="inlineStr">
        <is>
          <t>CAMPO GRANDE</t>
        </is>
      </c>
      <c r="J3" s="66" t="inlineStr">
        <is>
          <t>quantidade</t>
        </is>
      </c>
      <c r="K3" s="66" t="n">
        <v>2025</v>
      </c>
      <c r="L3" s="66" t="inlineStr">
        <is>
          <t>%</t>
        </is>
      </c>
      <c r="M3" s="66" t="n">
        <v>2026</v>
      </c>
      <c r="N3" s="85" t="inlineStr">
        <is>
          <t>%</t>
        </is>
      </c>
    </row>
    <row r="4">
      <c r="A4" s="1" t="n"/>
      <c r="B4" s="65" t="inlineStr">
        <is>
          <t>PRUDENTE</t>
        </is>
      </c>
      <c r="C4" s="66" t="inlineStr">
        <is>
          <t>quantidade</t>
        </is>
      </c>
      <c r="D4" s="66" t="n">
        <v>2025</v>
      </c>
      <c r="E4" s="66" t="inlineStr">
        <is>
          <t>%</t>
        </is>
      </c>
      <c r="F4" s="66" t="n">
        <v>2026</v>
      </c>
      <c r="G4" s="67" t="inlineStr">
        <is>
          <t>%</t>
        </is>
      </c>
      <c r="H4" s="172" t="n"/>
      <c r="I4" s="68" t="inlineStr">
        <is>
          <t>HYUNDAI</t>
        </is>
      </c>
      <c r="J4" s="58" t="n">
        <v>2</v>
      </c>
      <c r="K4" s="185" t="n">
        <v>186495.39</v>
      </c>
      <c r="L4" s="77">
        <f>K4/K5</f>
        <v/>
      </c>
      <c r="M4" s="185" t="n">
        <v>4334.2</v>
      </c>
      <c r="N4" s="82">
        <f>M4/M5</f>
        <v/>
      </c>
    </row>
    <row r="5" ht="15.75" customHeight="1" s="154" thickBot="1">
      <c r="B5" s="68" t="inlineStr">
        <is>
          <t>HYUNDAI</t>
        </is>
      </c>
      <c r="C5" s="58" t="n">
        <v>2</v>
      </c>
      <c r="D5" s="187" t="n">
        <v>67033.13</v>
      </c>
      <c r="E5" s="77">
        <f>D5/M45</f>
        <v/>
      </c>
      <c r="F5" s="187" t="n">
        <v>31021.14</v>
      </c>
      <c r="G5" s="69">
        <f>F5/O45</f>
        <v/>
      </c>
      <c r="H5" s="172" t="n"/>
      <c r="I5" s="70" t="inlineStr">
        <is>
          <t>Total</t>
        </is>
      </c>
      <c r="J5" s="71" t="n">
        <v>2</v>
      </c>
      <c r="K5" s="188">
        <f>SUM(K4:K4)</f>
        <v/>
      </c>
      <c r="L5" s="78" t="n">
        <v>1</v>
      </c>
      <c r="M5" s="189">
        <f>SUM(M4:M4)</f>
        <v/>
      </c>
      <c r="N5" s="83" t="n">
        <v>1</v>
      </c>
    </row>
    <row r="6" ht="15.75" customHeight="1" s="154" thickBot="1">
      <c r="B6" s="75" t="inlineStr">
        <is>
          <t>LIEBHERR</t>
        </is>
      </c>
      <c r="C6" s="58" t="n">
        <v>2</v>
      </c>
      <c r="D6" s="187">
        <f>223717.53 + 400</f>
        <v/>
      </c>
      <c r="E6" s="77">
        <f>D6/M45</f>
        <v/>
      </c>
      <c r="F6" s="187" t="n">
        <v>27608.94</v>
      </c>
      <c r="G6" s="69">
        <f>F6/O45</f>
        <v/>
      </c>
      <c r="H6" s="172" t="n"/>
      <c r="I6" s="1" t="n"/>
      <c r="J6" s="50" t="n"/>
      <c r="K6" s="172" t="n"/>
      <c r="L6" s="190" t="n"/>
      <c r="M6" s="172" t="n"/>
      <c r="N6" s="190" t="n"/>
    </row>
    <row r="7" ht="15.75" customHeight="1" s="154" thickBot="1">
      <c r="B7" s="70" t="inlineStr">
        <is>
          <t>Total</t>
        </is>
      </c>
      <c r="C7" s="76" t="n">
        <v>4</v>
      </c>
      <c r="D7" s="188">
        <f>SUM(D5:D6)</f>
        <v/>
      </c>
      <c r="E7" s="78" t="n">
        <v>1</v>
      </c>
      <c r="F7" s="189" t="n">
        <v>58630</v>
      </c>
      <c r="G7" s="74" t="n">
        <v>1</v>
      </c>
      <c r="H7" s="172" t="n"/>
      <c r="I7" s="65" t="inlineStr">
        <is>
          <t>ARCELOR MITTAL</t>
        </is>
      </c>
      <c r="J7" s="66" t="n"/>
      <c r="K7" s="66" t="n"/>
      <c r="L7" s="80" t="n"/>
      <c r="M7" s="66" t="n"/>
      <c r="N7" s="84" t="n"/>
    </row>
    <row r="8" ht="15.75" customHeight="1" s="154" thickBot="1">
      <c r="C8" s="156" t="n"/>
      <c r="E8" s="79" t="n"/>
      <c r="F8" s="156" t="n"/>
      <c r="G8" s="60" t="n"/>
      <c r="H8" s="172" t="n"/>
      <c r="I8" s="68" t="inlineStr">
        <is>
          <t>HYUNDAI</t>
        </is>
      </c>
      <c r="J8" s="58" t="n">
        <v>2</v>
      </c>
      <c r="K8" s="185" t="n">
        <v>129969.49</v>
      </c>
      <c r="L8" s="77">
        <f>K8/K9</f>
        <v/>
      </c>
      <c r="M8" s="185" t="n">
        <v>58625.13</v>
      </c>
      <c r="N8" s="82">
        <f>M8/M9</f>
        <v/>
      </c>
    </row>
    <row r="9" ht="15.75" customHeight="1" s="154" thickBot="1">
      <c r="B9" s="65" t="inlineStr">
        <is>
          <t>MARINGÁ Distrito</t>
        </is>
      </c>
      <c r="C9" s="66" t="n"/>
      <c r="D9" s="66" t="n"/>
      <c r="E9" s="80" t="n"/>
      <c r="F9" s="66" t="n"/>
      <c r="G9" s="67" t="n"/>
      <c r="H9" s="172" t="n"/>
      <c r="I9" s="70" t="inlineStr">
        <is>
          <t>Total</t>
        </is>
      </c>
      <c r="J9" s="71" t="n">
        <v>2</v>
      </c>
      <c r="K9" s="188">
        <f>SUM(K8:K8)</f>
        <v/>
      </c>
      <c r="L9" s="78" t="n">
        <v>1</v>
      </c>
      <c r="M9" s="189">
        <f>SUM(M8:M8)</f>
        <v/>
      </c>
      <c r="N9" s="83" t="n">
        <v>1</v>
      </c>
    </row>
    <row r="10" ht="15.75" customHeight="1" s="154" thickBot="1">
      <c r="A10" s="1" t="n"/>
      <c r="B10" s="68" t="inlineStr">
        <is>
          <t>HYUNDAI</t>
        </is>
      </c>
      <c r="C10" s="58" t="n">
        <v>2</v>
      </c>
      <c r="D10" s="187" t="n">
        <v>180615.98</v>
      </c>
      <c r="E10" s="77">
        <f>D10/D12</f>
        <v/>
      </c>
      <c r="F10" s="187" t="n">
        <v>27406.93</v>
      </c>
      <c r="G10" s="69">
        <f>F10/F12</f>
        <v/>
      </c>
      <c r="H10" s="172" t="n"/>
      <c r="I10" s="172" t="n"/>
      <c r="L10" s="79" t="n"/>
      <c r="N10" s="79" t="n"/>
    </row>
    <row r="11">
      <c r="B11" s="75" t="inlineStr">
        <is>
          <t>LIEBHERR</t>
        </is>
      </c>
      <c r="C11" s="58" t="n">
        <v>1</v>
      </c>
      <c r="D11" s="187" t="n">
        <v>302463.51</v>
      </c>
      <c r="E11" s="77">
        <f>D11/D12</f>
        <v/>
      </c>
      <c r="F11" s="187" t="n">
        <v>46137.13</v>
      </c>
      <c r="G11" s="69">
        <f>F11/F12</f>
        <v/>
      </c>
      <c r="H11" s="172" t="n"/>
      <c r="I11" s="65" t="inlineStr">
        <is>
          <t>MARINGÁ Distrito</t>
        </is>
      </c>
      <c r="J11" s="66" t="n"/>
      <c r="K11" s="66" t="n"/>
      <c r="L11" s="80" t="n"/>
      <c r="M11" s="66" t="n"/>
      <c r="N11" s="84" t="n"/>
    </row>
    <row r="12" ht="15.75" customHeight="1" s="154" thickBot="1">
      <c r="B12" s="70" t="inlineStr">
        <is>
          <t>Total</t>
        </is>
      </c>
      <c r="C12" s="71" t="n">
        <v>3</v>
      </c>
      <c r="D12" s="188">
        <f>SUM(D10:D11)</f>
        <v/>
      </c>
      <c r="E12" s="78" t="n">
        <v>1</v>
      </c>
      <c r="F12" s="189">
        <f>SUM(F10:F11)</f>
        <v/>
      </c>
      <c r="G12" s="74" t="n">
        <v>1</v>
      </c>
      <c r="H12" s="172" t="n"/>
      <c r="I12" s="68" t="inlineStr">
        <is>
          <t>HYUNDAI</t>
        </is>
      </c>
      <c r="J12" s="58" t="n">
        <v>2</v>
      </c>
      <c r="K12" s="187" t="n">
        <v>18110.61</v>
      </c>
      <c r="L12" s="77">
        <f>K12/K14</f>
        <v/>
      </c>
      <c r="M12" s="187" t="n">
        <v>1879.91</v>
      </c>
      <c r="N12" s="82">
        <f>M12/M14</f>
        <v/>
      </c>
    </row>
    <row r="13" ht="15.75" customHeight="1" s="154" thickBot="1">
      <c r="E13" s="79" t="n"/>
      <c r="H13" s="172" t="n"/>
      <c r="I13" s="75" t="inlineStr">
        <is>
          <t>LIEBHERR</t>
        </is>
      </c>
      <c r="J13" s="58" t="n">
        <v>1</v>
      </c>
      <c r="K13" s="187" t="n">
        <v>40027.45</v>
      </c>
      <c r="L13" s="77">
        <f>K13/K14</f>
        <v/>
      </c>
      <c r="M13" s="187" t="n">
        <v>8242.35</v>
      </c>
      <c r="N13" s="82">
        <f>M13/M14</f>
        <v/>
      </c>
    </row>
    <row r="14" ht="15.75" customHeight="1" s="154" thickBot="1">
      <c r="B14" s="65" t="inlineStr">
        <is>
          <t>MARINGÁ (Cidade Alta)</t>
        </is>
      </c>
      <c r="C14" s="66" t="n"/>
      <c r="D14" s="66" t="n"/>
      <c r="E14" s="80" t="n"/>
      <c r="F14" s="66" t="n"/>
      <c r="G14" s="67" t="n"/>
      <c r="H14" s="172" t="n"/>
      <c r="I14" s="70" t="inlineStr">
        <is>
          <t>Total</t>
        </is>
      </c>
      <c r="J14" s="71" t="n">
        <v>3</v>
      </c>
      <c r="K14" s="188">
        <f>SUM(K12:K13)</f>
        <v/>
      </c>
      <c r="L14" s="78" t="n">
        <v>1</v>
      </c>
      <c r="M14" s="189">
        <f>SUM(M12:M13)</f>
        <v/>
      </c>
      <c r="N14" s="83" t="n">
        <v>1</v>
      </c>
    </row>
    <row r="15" ht="15.75" customHeight="1" s="154" thickBot="1">
      <c r="B15" s="68" t="inlineStr">
        <is>
          <t>HYUNDAI</t>
        </is>
      </c>
      <c r="C15" s="58" t="n">
        <v>1</v>
      </c>
      <c r="D15" s="187" t="n">
        <v>80001.22</v>
      </c>
      <c r="E15" s="77">
        <f>D15/D16</f>
        <v/>
      </c>
      <c r="F15" s="187" t="n">
        <v>14882.67</v>
      </c>
      <c r="G15" s="69">
        <f>F15/F16</f>
        <v/>
      </c>
      <c r="H15" s="172" t="n"/>
      <c r="I15" s="172" t="n"/>
      <c r="L15" s="79" t="n"/>
      <c r="N15" s="79" t="n"/>
    </row>
    <row r="16" ht="15.75" customHeight="1" s="154" thickBot="1">
      <c r="B16" s="70" t="inlineStr">
        <is>
          <t>Total</t>
        </is>
      </c>
      <c r="C16" s="71" t="n">
        <v>1</v>
      </c>
      <c r="D16" s="188">
        <f>SUM(D15:D15)</f>
        <v/>
      </c>
      <c r="E16" s="78" t="n">
        <v>1</v>
      </c>
      <c r="F16" s="189">
        <f>SUM(F15:F15)</f>
        <v/>
      </c>
      <c r="G16" s="74" t="n">
        <v>1</v>
      </c>
      <c r="H16" s="172" t="n"/>
      <c r="I16" s="65" t="inlineStr">
        <is>
          <t>Pátio de Manutenção</t>
        </is>
      </c>
      <c r="J16" s="66" t="n"/>
      <c r="K16" s="66" t="n"/>
      <c r="L16" s="80" t="n"/>
      <c r="M16" s="66" t="n"/>
      <c r="N16" s="84" t="n"/>
    </row>
    <row r="17" ht="15.75" customHeight="1" s="154" thickBot="1">
      <c r="A17" s="1" t="n"/>
      <c r="B17" s="1" t="n"/>
      <c r="C17" s="50" t="n"/>
      <c r="D17" s="172" t="n"/>
      <c r="E17" s="190" t="n"/>
      <c r="F17" s="172" t="n"/>
      <c r="G17" s="172" t="n"/>
      <c r="H17" s="172" t="n"/>
      <c r="I17" s="75" t="inlineStr">
        <is>
          <t>LIEBHERR</t>
        </is>
      </c>
      <c r="J17" s="58" t="n">
        <v>2</v>
      </c>
      <c r="K17" s="185" t="n">
        <v>92483.22</v>
      </c>
      <c r="L17" s="77">
        <f>K17/K18</f>
        <v/>
      </c>
      <c r="M17" s="185" t="n">
        <v>35001.18</v>
      </c>
      <c r="N17" s="82">
        <f>M17/M18</f>
        <v/>
      </c>
    </row>
    <row r="18" ht="15.75" customHeight="1" s="154" thickBot="1">
      <c r="B18" s="65" t="inlineStr">
        <is>
          <t>LONDRINA</t>
        </is>
      </c>
      <c r="C18" s="66" t="n"/>
      <c r="D18" s="66" t="n"/>
      <c r="E18" s="80" t="n"/>
      <c r="F18" s="66" t="n"/>
      <c r="G18" s="67" t="n"/>
      <c r="H18" s="172" t="n"/>
      <c r="I18" s="70" t="inlineStr">
        <is>
          <t>Total</t>
        </is>
      </c>
      <c r="J18" s="71" t="n">
        <v>2</v>
      </c>
      <c r="K18" s="188">
        <f>SUM(K17:K17)</f>
        <v/>
      </c>
      <c r="L18" s="78" t="n">
        <v>1</v>
      </c>
      <c r="M18" s="189">
        <f>SUM(M17:M17)</f>
        <v/>
      </c>
      <c r="N18" s="83" t="n">
        <v>1</v>
      </c>
    </row>
    <row r="19" ht="15.75" customHeight="1" s="154" thickBot="1">
      <c r="B19" s="68" t="inlineStr">
        <is>
          <t>HYUNDAI</t>
        </is>
      </c>
      <c r="C19" s="58" t="n">
        <v>2</v>
      </c>
      <c r="D19" s="187" t="n">
        <v>205882.59</v>
      </c>
      <c r="E19" s="77">
        <f>D19/D20</f>
        <v/>
      </c>
      <c r="F19" s="187" t="n">
        <v>16503.57</v>
      </c>
      <c r="G19" s="69">
        <f>F19/F20</f>
        <v/>
      </c>
      <c r="H19" s="172" t="n"/>
      <c r="L19" s="79" t="n"/>
      <c r="N19" s="79" t="n"/>
    </row>
    <row r="20" ht="15.75" customHeight="1" s="154" thickBot="1">
      <c r="A20" s="1" t="n"/>
      <c r="B20" s="70" t="inlineStr">
        <is>
          <t>Total</t>
        </is>
      </c>
      <c r="C20" s="71" t="n">
        <v>2</v>
      </c>
      <c r="D20" s="188">
        <f>SUM(D19:D19)</f>
        <v/>
      </c>
      <c r="E20" s="78" t="n">
        <v>1</v>
      </c>
      <c r="F20" s="189">
        <f>SUM(F19:F19)</f>
        <v/>
      </c>
      <c r="G20" s="74" t="n">
        <v>1</v>
      </c>
      <c r="H20" s="172" t="n"/>
      <c r="I20" s="65" t="inlineStr">
        <is>
          <t>Matheus</t>
        </is>
      </c>
      <c r="J20" s="66" t="n"/>
      <c r="K20" s="66" t="n"/>
      <c r="L20" s="80" t="n"/>
      <c r="M20" s="66" t="n"/>
      <c r="N20" s="84" t="n"/>
    </row>
    <row r="21" ht="15.75" customHeight="1" s="154" thickBot="1">
      <c r="B21" s="4" t="n"/>
      <c r="C21" s="13" t="n"/>
      <c r="D21" s="172" t="n"/>
      <c r="E21" s="190" t="n"/>
      <c r="F21" s="172" t="n"/>
      <c r="G21" s="172" t="n"/>
      <c r="H21" s="172" t="n"/>
      <c r="I21" s="68" t="inlineStr">
        <is>
          <t>HYUNDAI</t>
        </is>
      </c>
      <c r="J21" s="58" t="n">
        <v>1</v>
      </c>
      <c r="K21" s="185" t="n">
        <v>82366.74000000001</v>
      </c>
      <c r="L21" s="77">
        <f>K21/K22</f>
        <v/>
      </c>
      <c r="M21" s="185" t="n">
        <v>8678.639999999999</v>
      </c>
      <c r="N21" s="82">
        <f>M21/M22</f>
        <v/>
      </c>
    </row>
    <row r="22" ht="15.75" customHeight="1" s="154" thickBot="1">
      <c r="B22" s="65" t="inlineStr">
        <is>
          <t>DOURADOS</t>
        </is>
      </c>
      <c r="C22" s="66" t="n"/>
      <c r="D22" s="66" t="n"/>
      <c r="E22" s="80" t="n"/>
      <c r="F22" s="66" t="n"/>
      <c r="G22" s="67" t="n"/>
      <c r="H22" s="172" t="n"/>
      <c r="I22" s="70" t="inlineStr">
        <is>
          <t>Total</t>
        </is>
      </c>
      <c r="J22" s="71" t="n">
        <v>1</v>
      </c>
      <c r="K22" s="188">
        <f>SUM(K21:K21)</f>
        <v/>
      </c>
      <c r="L22" s="78" t="n">
        <v>1</v>
      </c>
      <c r="M22" s="189">
        <f>SUM(M21:M21)</f>
        <v/>
      </c>
      <c r="N22" s="83" t="n">
        <v>1</v>
      </c>
    </row>
    <row r="23" ht="15.75" customHeight="1" s="154" thickBot="1">
      <c r="B23" s="68" t="inlineStr">
        <is>
          <t>HYUNDAI</t>
        </is>
      </c>
      <c r="C23" s="58" t="n">
        <v>2</v>
      </c>
      <c r="D23" s="187" t="n">
        <v>313942.69</v>
      </c>
      <c r="E23" s="77">
        <f>D23/D25</f>
        <v/>
      </c>
      <c r="F23" s="187" t="n">
        <v>22437.23</v>
      </c>
      <c r="G23" s="69">
        <f>F23/F25</f>
        <v/>
      </c>
      <c r="H23" s="172" t="n"/>
      <c r="I23" s="172" t="n"/>
      <c r="L23" s="79" t="n"/>
      <c r="N23" s="79" t="n"/>
    </row>
    <row r="24">
      <c r="B24" s="75" t="inlineStr">
        <is>
          <t>LIEBHERR</t>
        </is>
      </c>
      <c r="C24" s="58" t="n">
        <v>1</v>
      </c>
      <c r="D24" s="187" t="n">
        <v>75148.75</v>
      </c>
      <c r="E24" s="77">
        <f>D24/D25</f>
        <v/>
      </c>
      <c r="F24" s="187" t="n">
        <v>17672.53</v>
      </c>
      <c r="G24" s="69">
        <f>F24/F25</f>
        <v/>
      </c>
      <c r="H24" s="172" t="n"/>
      <c r="I24" s="65" t="inlineStr">
        <is>
          <t>Multi Aço</t>
        </is>
      </c>
      <c r="J24" s="66" t="n"/>
      <c r="K24" s="66" t="n"/>
      <c r="L24" s="80" t="n"/>
      <c r="M24" s="66" t="n"/>
      <c r="N24" s="84" t="n"/>
    </row>
    <row r="25" ht="15.75" customHeight="1" s="154" thickBot="1">
      <c r="B25" s="70" t="inlineStr">
        <is>
          <t>Total</t>
        </is>
      </c>
      <c r="C25" s="71" t="n">
        <v>3</v>
      </c>
      <c r="D25" s="188">
        <f>SUM(D23:D24)</f>
        <v/>
      </c>
      <c r="E25" s="78" t="n">
        <v>1</v>
      </c>
      <c r="F25" s="189">
        <f>SUM(F23:F24)</f>
        <v/>
      </c>
      <c r="G25" s="74" t="n">
        <v>1</v>
      </c>
      <c r="H25" s="172" t="n"/>
      <c r="I25" s="68" t="inlineStr">
        <is>
          <t>HYUNDAI</t>
        </is>
      </c>
      <c r="J25" s="58" t="n">
        <v>1</v>
      </c>
      <c r="K25" s="185" t="n">
        <v>25969.11</v>
      </c>
      <c r="L25" s="77">
        <f>K25/K26</f>
        <v/>
      </c>
      <c r="M25" s="185" t="n">
        <v>8453.870000000001</v>
      </c>
      <c r="N25" s="82">
        <f>M25/M26</f>
        <v/>
      </c>
    </row>
    <row r="26" ht="15.75" customHeight="1" s="154" thickBot="1">
      <c r="A26" s="1" t="n"/>
      <c r="B26" s="1" t="n"/>
      <c r="C26" s="50" t="n"/>
      <c r="D26" s="172" t="n"/>
      <c r="E26" s="172" t="n"/>
      <c r="F26" s="172" t="n"/>
      <c r="G26" s="172" t="n"/>
      <c r="H26" s="172" t="n"/>
      <c r="I26" s="70" t="inlineStr">
        <is>
          <t>Total</t>
        </is>
      </c>
      <c r="J26" s="71" t="n">
        <v>1</v>
      </c>
      <c r="K26" s="188">
        <f>SUM(K25:K25)</f>
        <v/>
      </c>
      <c r="L26" s="78" t="n">
        <v>1</v>
      </c>
      <c r="M26" s="189">
        <f>SUM(M25:M25)</f>
        <v/>
      </c>
      <c r="N26" s="83" t="n">
        <v>1</v>
      </c>
    </row>
    <row r="27">
      <c r="H27" s="172" t="n"/>
    </row>
    <row r="28">
      <c r="H28" s="172" t="n"/>
      <c r="I28" s="172" t="n"/>
    </row>
    <row r="29">
      <c r="H29" s="172" t="n"/>
      <c r="I29" s="172" t="n"/>
    </row>
    <row r="30">
      <c r="A30" s="1" t="n"/>
      <c r="H30" s="172" t="n"/>
      <c r="I30" s="172" t="n"/>
    </row>
    <row r="31">
      <c r="H31" s="172" t="n"/>
      <c r="I31" s="172" t="n"/>
    </row>
    <row r="32">
      <c r="H32" s="172" t="n"/>
      <c r="I32" s="172" t="n"/>
    </row>
    <row r="33">
      <c r="H33" s="172" t="n"/>
      <c r="I33" s="172" t="n"/>
    </row>
    <row r="34">
      <c r="A34" s="1" t="n"/>
      <c r="B34" s="1" t="n"/>
      <c r="C34" s="50" t="n"/>
      <c r="D34" s="172" t="n"/>
      <c r="E34" s="172" t="n"/>
      <c r="F34" s="172" t="n"/>
      <c r="G34" s="172" t="n"/>
      <c r="H34" s="172" t="n"/>
      <c r="I34" s="172" t="n"/>
    </row>
    <row r="35">
      <c r="B35" s="4" t="n"/>
      <c r="C35" s="13" t="n"/>
      <c r="D35" s="172" t="n"/>
      <c r="E35" s="172" t="n"/>
      <c r="F35" s="172" t="n"/>
      <c r="G35" s="172" t="n"/>
      <c r="H35" s="172" t="n"/>
      <c r="I35" s="172" t="n"/>
    </row>
    <row r="36">
      <c r="C36" s="156" t="n"/>
      <c r="D36" s="172" t="n"/>
      <c r="E36" s="172" t="n"/>
      <c r="F36" s="172" t="n"/>
      <c r="G36" s="172" t="n"/>
      <c r="H36" s="172" t="n"/>
      <c r="I36" s="172" t="n"/>
    </row>
    <row r="37">
      <c r="B37" s="160" t="n"/>
      <c r="C37" s="13" t="n"/>
      <c r="D37" s="172" t="n"/>
      <c r="E37" s="172" t="n"/>
      <c r="F37" s="172" t="n"/>
      <c r="G37" s="172" t="n"/>
      <c r="H37" s="172" t="n"/>
      <c r="I37" s="172" t="n"/>
    </row>
    <row r="38">
      <c r="C38" s="156" t="n"/>
      <c r="D38" s="172" t="n"/>
      <c r="E38" s="172" t="n"/>
      <c r="F38" s="172" t="n"/>
      <c r="G38" s="172" t="n"/>
      <c r="H38" s="172" t="n"/>
      <c r="I38" s="172" t="n"/>
    </row>
    <row r="39">
      <c r="A39" s="1" t="n"/>
      <c r="B39" s="1" t="n"/>
      <c r="C39" s="50" t="n"/>
      <c r="D39" s="172" t="n"/>
      <c r="E39" s="172" t="n"/>
      <c r="F39" s="172" t="n"/>
      <c r="G39" s="172" t="n"/>
      <c r="H39" s="172" t="n"/>
      <c r="I39" s="172" t="n"/>
    </row>
    <row r="40">
      <c r="B40" s="4" t="n"/>
      <c r="C40" s="13" t="n"/>
      <c r="D40" s="172" t="n"/>
      <c r="E40" s="172" t="n"/>
      <c r="F40" s="172" t="n"/>
      <c r="G40" s="172" t="n"/>
      <c r="H40" s="172" t="n"/>
      <c r="I40" s="172" t="n"/>
    </row>
    <row r="41">
      <c r="C41" s="156" t="n"/>
      <c r="D41" s="172" t="n"/>
      <c r="E41" s="172" t="n"/>
      <c r="F41" s="172" t="n"/>
      <c r="G41" s="172" t="n"/>
      <c r="H41" s="172" t="n"/>
      <c r="I41" s="172" t="n"/>
    </row>
    <row r="42">
      <c r="C42" s="156" t="n"/>
      <c r="D42" s="172" t="n"/>
      <c r="E42" s="172" t="n"/>
      <c r="F42" s="172" t="n"/>
      <c r="G42" s="172" t="n"/>
      <c r="H42" s="172" t="n"/>
      <c r="I42" s="172" t="n"/>
    </row>
    <row r="43">
      <c r="A43" s="1" t="n"/>
      <c r="B43" s="1" t="n"/>
      <c r="C43" s="50" t="n"/>
      <c r="D43" s="172" t="n"/>
      <c r="E43" s="172" t="n"/>
      <c r="F43" s="172" t="n"/>
      <c r="G43" s="172" t="n"/>
      <c r="H43" s="172" t="n"/>
      <c r="I43" s="172" t="n"/>
    </row>
    <row r="44">
      <c r="B44" s="160" t="n"/>
      <c r="C44" s="13" t="n"/>
      <c r="D44" s="172" t="n"/>
      <c r="E44" s="172" t="n"/>
      <c r="F44" s="172" t="n"/>
      <c r="G44" s="172" t="n"/>
      <c r="H44" s="172" t="n"/>
      <c r="I44" s="172" t="n"/>
    </row>
    <row r="45">
      <c r="C45" s="156" t="n"/>
      <c r="D45" s="172" t="n"/>
      <c r="E45" s="172" t="n"/>
      <c r="F45" s="172" t="n"/>
      <c r="G45" s="172" t="n"/>
      <c r="H45" s="172" t="n"/>
      <c r="I45" s="172" t="n"/>
      <c r="K45" s="61" t="inlineStr">
        <is>
          <t>Total</t>
        </is>
      </c>
      <c r="L45" s="62" t="n">
        <v>3</v>
      </c>
      <c r="M45" s="191" t="n">
        <v>290751</v>
      </c>
      <c r="N45" s="64" t="n">
        <v>1</v>
      </c>
      <c r="O45" s="191" t="n">
        <v>58630</v>
      </c>
      <c r="P45" s="64" t="n">
        <v>1</v>
      </c>
    </row>
    <row r="46">
      <c r="A46" s="1" t="n"/>
      <c r="B46" s="1" t="n"/>
      <c r="C46" s="50" t="n"/>
      <c r="D46" s="172" t="n"/>
      <c r="E46" s="172" t="n"/>
      <c r="F46" s="172" t="n"/>
      <c r="G46" s="172" t="n"/>
      <c r="H46" s="172" t="n"/>
      <c r="I46" s="172" t="n"/>
    </row>
    <row r="47">
      <c r="B47" s="160" t="n"/>
      <c r="C47" s="13" t="n"/>
      <c r="D47" s="51" t="n"/>
      <c r="E47" s="51" t="n"/>
      <c r="F47" s="156" t="n"/>
      <c r="H47" s="51" t="n"/>
      <c r="I47" s="51" t="n"/>
    </row>
    <row r="48">
      <c r="C48" s="156" t="n"/>
      <c r="D48" s="51" t="n"/>
      <c r="E48" s="51" t="n"/>
      <c r="F48" s="156" t="n"/>
      <c r="H48" s="51" t="n"/>
      <c r="I48" s="51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applyStyles="1" summaryBelow="0"/>
    <pageSetUpPr/>
  </sheetPr>
  <dimension ref="A1:I50"/>
  <sheetViews>
    <sheetView workbookViewId="0">
      <selection activeCell="A3" sqref="A3:I5 A7:I7 A10:I11 A14:I14 A18:I19 A22:I23 A25:I25 A28:I29 A32:I33 A36:I37 A39:I39 A41:I42 A45:I46 A48:I49"/>
    </sheetView>
  </sheetViews>
  <sheetFormatPr baseColWidth="8" defaultRowHeight="15" outlineLevelRow="2"/>
  <cols>
    <col width="23.7109375" customWidth="1" style="154" min="1" max="1"/>
    <col width="10" customWidth="1" style="154" min="2" max="2"/>
    <col width="13.5703125" customWidth="1" style="156" min="3" max="3"/>
    <col width="20" customWidth="1" style="156" min="4" max="5"/>
    <col width="16.140625" customWidth="1" style="156" min="6" max="6"/>
    <col width="14.7109375" customWidth="1" style="156" min="7" max="7"/>
    <col width="14" bestFit="1" customWidth="1" style="156" min="8" max="8"/>
    <col width="16.140625" customWidth="1" style="156" min="9" max="9"/>
    <col width="21" customWidth="1" style="154" min="11" max="11"/>
    <col width="11.140625" bestFit="1" customWidth="1" style="154" min="12" max="12"/>
    <col width="16.42578125" customWidth="1" style="154" min="13" max="13"/>
    <col width="10.5703125" bestFit="1" customWidth="1" style="154" min="14" max="14"/>
  </cols>
  <sheetData>
    <row r="1">
      <c r="A1" s="160" t="inlineStr">
        <is>
          <t>Expanda/recolha: Local → Marca → Máquina  |  Filtros: cabeçalho da tabela (▼)</t>
        </is>
      </c>
    </row>
    <row r="2">
      <c r="D2" s="156" t="inlineStr">
        <is>
          <t xml:space="preserve">Gasto total </t>
        </is>
      </c>
      <c r="E2" s="156" t="inlineStr">
        <is>
          <t xml:space="preserve">Gasto total </t>
        </is>
      </c>
      <c r="H2" s="156" t="inlineStr">
        <is>
          <t xml:space="preserve">Média mensal </t>
        </is>
      </c>
      <c r="I2" s="156" t="inlineStr">
        <is>
          <t>Media mensal</t>
        </is>
      </c>
    </row>
    <row r="3">
      <c r="A3" t="inlineStr">
        <is>
          <t>Local</t>
        </is>
      </c>
      <c r="B3" t="inlineStr">
        <is>
          <t>Marca</t>
        </is>
      </c>
      <c r="C3" s="156" t="inlineStr">
        <is>
          <t>Máquina</t>
        </is>
      </c>
      <c r="D3" s="50" t="inlineStr">
        <is>
          <t>2025</t>
        </is>
      </c>
      <c r="E3" s="50" t="inlineStr">
        <is>
          <t>2026</t>
        </is>
      </c>
      <c r="F3" s="50" t="inlineStr">
        <is>
          <t>Meses c/ gasto 2025</t>
        </is>
      </c>
      <c r="G3" s="50" t="inlineStr">
        <is>
          <t>Meses c/ gasto 2026</t>
        </is>
      </c>
      <c r="H3" s="50" t="inlineStr">
        <is>
          <t>2025(m)</t>
        </is>
      </c>
      <c r="I3" s="50" t="inlineStr">
        <is>
          <t>2026(m)</t>
        </is>
      </c>
    </row>
    <row r="4">
      <c r="A4" s="3" t="inlineStr">
        <is>
          <t>Prudente</t>
        </is>
      </c>
      <c r="B4" s="3" t="n"/>
      <c r="C4" s="11">
        <f>C5+C7</f>
        <v/>
      </c>
      <c r="D4" s="192" t="n">
        <v>290750.66</v>
      </c>
      <c r="E4" s="192" t="n">
        <v>58630.08</v>
      </c>
      <c r="F4" s="55" t="n">
        <v>12</v>
      </c>
      <c r="G4" s="55" t="n">
        <v>3</v>
      </c>
      <c r="H4" s="192" t="n">
        <v>24229.22166666666</v>
      </c>
      <c r="I4" s="192" t="n">
        <v>19543.36</v>
      </c>
    </row>
    <row r="5" outlineLevel="1" collapsed="1" s="154">
      <c r="A5" t="inlineStr">
        <is>
          <t>Prudente</t>
        </is>
      </c>
      <c r="B5" s="4" t="inlineStr">
        <is>
          <t>LIEBHERR</t>
        </is>
      </c>
      <c r="C5" s="13">
        <f>COUNTA(C6)</f>
        <v/>
      </c>
      <c r="D5" s="172" t="n">
        <v>223717.53</v>
      </c>
      <c r="E5" s="172" t="n">
        <v>27608.94</v>
      </c>
      <c r="F5" s="56" t="n">
        <v>12</v>
      </c>
      <c r="G5" s="56" t="n">
        <v>3</v>
      </c>
      <c r="H5" s="172" t="n">
        <v>18643.1275</v>
      </c>
      <c r="I5" s="172" t="n">
        <v>9202.980000000001</v>
      </c>
    </row>
    <row r="6" hidden="1" outlineLevel="2" s="154">
      <c r="A6" t="inlineStr">
        <is>
          <t>Prudente</t>
        </is>
      </c>
      <c r="B6" t="inlineStr">
        <is>
          <t>LIEBHERR</t>
        </is>
      </c>
      <c r="C6" s="156" t="inlineStr">
        <is>
          <t>EHL0028</t>
        </is>
      </c>
      <c r="D6" s="172" t="n">
        <v>223717.53</v>
      </c>
      <c r="E6" s="172" t="n">
        <v>27608.94</v>
      </c>
      <c r="F6" s="56" t="n">
        <v>12</v>
      </c>
      <c r="G6" s="56" t="n">
        <v>3</v>
      </c>
      <c r="H6" s="172" t="n">
        <v>18643.1275</v>
      </c>
      <c r="I6" s="172" t="n">
        <v>9202.980000000001</v>
      </c>
    </row>
    <row r="7" outlineLevel="1" collapsed="1" s="154">
      <c r="A7" t="inlineStr">
        <is>
          <t>Prudente</t>
        </is>
      </c>
      <c r="B7" s="160" t="inlineStr">
        <is>
          <t>HYUNDAI</t>
        </is>
      </c>
      <c r="C7" s="13">
        <f>COUNTA(C8:C9)</f>
        <v/>
      </c>
      <c r="D7" s="172" t="n">
        <v>67033.13</v>
      </c>
      <c r="E7" s="172" t="n">
        <v>31021.14</v>
      </c>
      <c r="F7" s="56" t="n">
        <v>10</v>
      </c>
      <c r="G7" s="56" t="n">
        <v>3</v>
      </c>
      <c r="H7" s="172" t="n">
        <v>6703.313</v>
      </c>
      <c r="I7" s="172" t="n">
        <v>10340.38</v>
      </c>
    </row>
    <row r="8" hidden="1" outlineLevel="2" s="154">
      <c r="A8" t="inlineStr">
        <is>
          <t>Prudente</t>
        </is>
      </c>
      <c r="B8" t="inlineStr">
        <is>
          <t>HYUNDAI</t>
        </is>
      </c>
      <c r="C8" s="156" t="inlineStr">
        <is>
          <t>EHH0006</t>
        </is>
      </c>
      <c r="D8" s="172" t="n">
        <v>13761.82</v>
      </c>
      <c r="E8" s="172" t="n">
        <v>8641.110000000001</v>
      </c>
      <c r="F8" s="56" t="n">
        <v>10</v>
      </c>
      <c r="G8" s="56" t="n">
        <v>2</v>
      </c>
      <c r="H8" s="172" t="n">
        <v>1376.182</v>
      </c>
      <c r="I8" s="172" t="n">
        <v>4320.555</v>
      </c>
    </row>
    <row r="9" hidden="1" outlineLevel="2" s="154">
      <c r="A9" t="inlineStr">
        <is>
          <t>Prudente</t>
        </is>
      </c>
      <c r="B9" t="inlineStr">
        <is>
          <t>HYUNDAI</t>
        </is>
      </c>
      <c r="C9" s="156" t="inlineStr">
        <is>
          <t>EHH0009</t>
        </is>
      </c>
      <c r="D9" s="172" t="n">
        <v>53271.31</v>
      </c>
      <c r="E9" s="172" t="n">
        <v>22380.03</v>
      </c>
      <c r="F9" s="56" t="n">
        <v>8</v>
      </c>
      <c r="G9" s="56" t="n">
        <v>3</v>
      </c>
      <c r="H9" s="172" t="n">
        <v>6658.91375</v>
      </c>
      <c r="I9" s="172" t="n">
        <v>7460.009999999999</v>
      </c>
    </row>
    <row r="10">
      <c r="A10" s="3" t="inlineStr">
        <is>
          <t>Maringá</t>
        </is>
      </c>
      <c r="B10" s="3" t="n"/>
      <c r="C10" s="11">
        <f>C14+C11</f>
        <v/>
      </c>
      <c r="D10" s="192" t="n">
        <v>483079.49</v>
      </c>
      <c r="E10" s="192" t="n">
        <v>73544.06</v>
      </c>
      <c r="F10" s="55" t="n">
        <v>12</v>
      </c>
      <c r="G10" s="55" t="n">
        <v>3</v>
      </c>
      <c r="H10" s="192" t="n">
        <v>40256.62416666667</v>
      </c>
      <c r="I10" s="192" t="n">
        <v>24514.68666666666</v>
      </c>
    </row>
    <row r="11" outlineLevel="1" collapsed="1" s="154">
      <c r="A11" t="inlineStr">
        <is>
          <t>Maringá</t>
        </is>
      </c>
      <c r="B11" s="4" t="inlineStr">
        <is>
          <t>LIEBHERR</t>
        </is>
      </c>
      <c r="C11" s="13" t="n">
        <v>1</v>
      </c>
      <c r="D11" s="172" t="n">
        <v>302463.51</v>
      </c>
      <c r="E11" s="172" t="n">
        <v>46137.13</v>
      </c>
      <c r="F11" s="56" t="n">
        <v>12</v>
      </c>
      <c r="G11" s="56" t="n">
        <v>3</v>
      </c>
      <c r="H11" s="172" t="n">
        <v>25205.2925</v>
      </c>
      <c r="I11" s="172" t="n">
        <v>15379.04333333333</v>
      </c>
    </row>
    <row r="12" hidden="1" outlineLevel="2" s="154">
      <c r="A12" t="inlineStr">
        <is>
          <t>Maringá Distrito</t>
        </is>
      </c>
      <c r="B12" t="inlineStr">
        <is>
          <t>LIEBHERR</t>
        </is>
      </c>
      <c r="C12" s="156" t="inlineStr">
        <is>
          <t>EHL0043</t>
        </is>
      </c>
      <c r="D12" s="172" t="n">
        <v>302063.51</v>
      </c>
      <c r="E12" s="172" t="n">
        <v>46137.13</v>
      </c>
      <c r="F12" s="56" t="n">
        <v>12</v>
      </c>
      <c r="G12" s="56" t="n">
        <v>3</v>
      </c>
      <c r="H12" s="172" t="n">
        <v>25171.95916666667</v>
      </c>
      <c r="I12" s="172" t="n">
        <v>15379.04333333333</v>
      </c>
    </row>
    <row r="13" hidden="1" outlineLevel="2" s="154">
      <c r="A13" t="inlineStr">
        <is>
          <t>Prudente</t>
        </is>
      </c>
      <c r="B13" t="inlineStr">
        <is>
          <t>LIEBHERR</t>
        </is>
      </c>
      <c r="C13" s="156" t="inlineStr">
        <is>
          <t>EHL0070</t>
        </is>
      </c>
      <c r="D13" s="172" t="n">
        <v>400</v>
      </c>
      <c r="E13" s="172" t="n">
        <v>0</v>
      </c>
      <c r="F13" s="56" t="n">
        <v>1</v>
      </c>
      <c r="G13" s="56" t="n">
        <v>0</v>
      </c>
      <c r="H13" s="172" t="n">
        <v>400</v>
      </c>
      <c r="I13" s="172" t="n">
        <v>0</v>
      </c>
    </row>
    <row r="14" outlineLevel="1" collapsed="1" s="154">
      <c r="A14" t="inlineStr">
        <is>
          <t>Maringá</t>
        </is>
      </c>
      <c r="B14" s="160" t="inlineStr">
        <is>
          <t>HYUNDAI</t>
        </is>
      </c>
      <c r="C14" s="13">
        <f>COUNTA(C15:C17)</f>
        <v/>
      </c>
      <c r="D14" s="172" t="n">
        <v>180615.98</v>
      </c>
      <c r="E14" s="172" t="n">
        <v>27406.93</v>
      </c>
      <c r="F14" s="56" t="n">
        <v>12</v>
      </c>
      <c r="G14" s="56" t="n">
        <v>3</v>
      </c>
      <c r="H14" s="172" t="n">
        <v>15051.33166666667</v>
      </c>
      <c r="I14" s="172" t="n">
        <v>9135.643333333333</v>
      </c>
    </row>
    <row r="15" hidden="1" outlineLevel="2" s="154">
      <c r="A15" t="inlineStr">
        <is>
          <t>Maringá Distrito</t>
        </is>
      </c>
      <c r="B15" t="inlineStr">
        <is>
          <t>HYUNDAI</t>
        </is>
      </c>
      <c r="C15" s="156" t="inlineStr">
        <is>
          <t>EHH0002</t>
        </is>
      </c>
      <c r="D15" s="172" t="n">
        <v>16491.8</v>
      </c>
      <c r="E15" s="172" t="n">
        <v>7902.6</v>
      </c>
      <c r="F15" s="56" t="n">
        <v>6</v>
      </c>
      <c r="G15" s="56" t="n">
        <v>2</v>
      </c>
      <c r="H15" s="172" t="n">
        <v>2748.633333333333</v>
      </c>
      <c r="I15" s="172" t="n">
        <v>3951.3</v>
      </c>
    </row>
    <row r="16" hidden="1" outlineLevel="2" s="154">
      <c r="A16" t="inlineStr">
        <is>
          <t>Maringá (Cidade Alta)</t>
        </is>
      </c>
      <c r="B16" t="inlineStr">
        <is>
          <t>HYUNDAI</t>
        </is>
      </c>
      <c r="C16" s="156" t="inlineStr">
        <is>
          <t>EHH0004</t>
        </is>
      </c>
      <c r="D16" s="172" t="n">
        <v>80001.22</v>
      </c>
      <c r="E16" s="172" t="n">
        <v>14882.67</v>
      </c>
      <c r="F16" s="56" t="n">
        <v>11</v>
      </c>
      <c r="G16" s="56" t="n">
        <v>3</v>
      </c>
      <c r="H16" s="172" t="n">
        <v>7272.838181818182</v>
      </c>
      <c r="I16" s="172" t="n">
        <v>4960.89</v>
      </c>
    </row>
    <row r="17" hidden="1" outlineLevel="2" s="154">
      <c r="A17" t="inlineStr">
        <is>
          <t>Maringá Distrito</t>
        </is>
      </c>
      <c r="B17" t="inlineStr">
        <is>
          <t>HYUNDAI</t>
        </is>
      </c>
      <c r="C17" s="156" t="inlineStr">
        <is>
          <t>EHH0039</t>
        </is>
      </c>
      <c r="D17" s="172" t="n">
        <v>84122.96000000001</v>
      </c>
      <c r="E17" s="172" t="n">
        <v>4621.66</v>
      </c>
      <c r="F17" s="56" t="n">
        <v>12</v>
      </c>
      <c r="G17" s="56" t="n">
        <v>3</v>
      </c>
      <c r="H17" s="172" t="n">
        <v>7010.246666666667</v>
      </c>
      <c r="I17" s="172" t="n">
        <v>1540.553333333333</v>
      </c>
    </row>
    <row r="18">
      <c r="A18" s="3" t="inlineStr">
        <is>
          <t>Londrina</t>
        </is>
      </c>
      <c r="B18" s="3" t="n"/>
      <c r="C18" s="11">
        <f>C19</f>
        <v/>
      </c>
      <c r="D18" s="192" t="n">
        <v>205882.59</v>
      </c>
      <c r="E18" s="192" t="n">
        <v>16503.57</v>
      </c>
      <c r="F18" s="55" t="n">
        <v>12</v>
      </c>
      <c r="G18" s="55" t="n">
        <v>3</v>
      </c>
      <c r="H18" s="192" t="n">
        <v>17156.8825</v>
      </c>
      <c r="I18" s="192" t="n">
        <v>5501.19</v>
      </c>
    </row>
    <row r="19" outlineLevel="1" collapsed="1" s="154">
      <c r="A19" t="inlineStr">
        <is>
          <t>Londrina</t>
        </is>
      </c>
      <c r="B19" s="160" t="inlineStr">
        <is>
          <t>HYUNDAI</t>
        </is>
      </c>
      <c r="C19" s="13">
        <f>COUNTA(C20:C21)</f>
        <v/>
      </c>
      <c r="D19" s="172" t="n">
        <v>205882.59</v>
      </c>
      <c r="E19" s="172" t="n">
        <v>16503.57</v>
      </c>
      <c r="F19" s="56" t="n">
        <v>12</v>
      </c>
      <c r="G19" s="56" t="n">
        <v>3</v>
      </c>
      <c r="H19" s="172" t="n">
        <v>17156.8825</v>
      </c>
      <c r="I19" s="172" t="n">
        <v>5501.19</v>
      </c>
    </row>
    <row r="20" hidden="1" outlineLevel="2" s="154">
      <c r="A20" t="inlineStr">
        <is>
          <t>Londrina</t>
        </is>
      </c>
      <c r="B20" t="inlineStr">
        <is>
          <t>HYUNDAI</t>
        </is>
      </c>
      <c r="C20" s="156" t="inlineStr">
        <is>
          <t>EHH0008</t>
        </is>
      </c>
      <c r="D20" s="172" t="n">
        <v>80601.17999999999</v>
      </c>
      <c r="E20" s="172" t="n">
        <v>6276.059999999999</v>
      </c>
      <c r="F20" s="56" t="n">
        <v>12</v>
      </c>
      <c r="G20" s="56" t="n">
        <v>2</v>
      </c>
      <c r="H20" s="172" t="n">
        <v>6716.764999999999</v>
      </c>
      <c r="I20" s="172" t="n">
        <v>3138.03</v>
      </c>
    </row>
    <row r="21" hidden="1" outlineLevel="2" s="154">
      <c r="A21" t="inlineStr">
        <is>
          <t>Londrina</t>
        </is>
      </c>
      <c r="B21" t="inlineStr">
        <is>
          <t>HYUNDAI</t>
        </is>
      </c>
      <c r="C21" s="156" t="inlineStr">
        <is>
          <t>EHH0040</t>
        </is>
      </c>
      <c r="D21" s="172" t="n">
        <v>125281.41</v>
      </c>
      <c r="E21" s="172" t="n">
        <v>10227.51</v>
      </c>
      <c r="F21" s="56" t="n">
        <v>12</v>
      </c>
      <c r="G21" s="56" t="n">
        <v>3</v>
      </c>
      <c r="H21" s="172" t="n">
        <v>10440.1175</v>
      </c>
      <c r="I21" s="172" t="n">
        <v>3409.17</v>
      </c>
    </row>
    <row r="22">
      <c r="A22" s="3" t="inlineStr">
        <is>
          <t>Dourados</t>
        </is>
      </c>
      <c r="B22" s="3" t="n"/>
      <c r="C22" s="11">
        <f>C23+C25</f>
        <v/>
      </c>
      <c r="D22" s="192" t="n">
        <v>389091.44</v>
      </c>
      <c r="E22" s="192" t="n">
        <v>40109.76</v>
      </c>
      <c r="F22" s="55" t="n">
        <v>12</v>
      </c>
      <c r="G22" s="55" t="n">
        <v>3</v>
      </c>
      <c r="H22" s="192" t="n">
        <v>32424.28666666667</v>
      </c>
      <c r="I22" s="192" t="n">
        <v>13369.92</v>
      </c>
    </row>
    <row r="23" outlineLevel="1" collapsed="1" s="154">
      <c r="A23" t="inlineStr">
        <is>
          <t>Dourados</t>
        </is>
      </c>
      <c r="B23" s="4" t="inlineStr">
        <is>
          <t>LIEBHERR</t>
        </is>
      </c>
      <c r="C23" s="13">
        <f>COUNTA(C24)</f>
        <v/>
      </c>
      <c r="D23" s="172" t="n">
        <v>75148.75</v>
      </c>
      <c r="E23" s="172" t="n">
        <v>17672.53</v>
      </c>
      <c r="F23" s="56" t="n">
        <v>7</v>
      </c>
      <c r="G23" s="56" t="n">
        <v>3</v>
      </c>
      <c r="H23" s="172" t="n">
        <v>10735.53571428571</v>
      </c>
      <c r="I23" s="172" t="n">
        <v>5890.843333333333</v>
      </c>
    </row>
    <row r="24" hidden="1" outlineLevel="2" s="154">
      <c r="A24" t="inlineStr">
        <is>
          <t>Dourados</t>
        </is>
      </c>
      <c r="B24" t="inlineStr">
        <is>
          <t>LIEBHERR</t>
        </is>
      </c>
      <c r="C24" s="156" t="inlineStr">
        <is>
          <t>EHL0042</t>
        </is>
      </c>
      <c r="D24" s="172" t="n">
        <v>75148.75</v>
      </c>
      <c r="E24" s="172" t="n">
        <v>17672.53</v>
      </c>
      <c r="F24" s="56" t="n">
        <v>7</v>
      </c>
      <c r="G24" s="56" t="n">
        <v>3</v>
      </c>
      <c r="H24" s="172" t="n">
        <v>10735.53571428571</v>
      </c>
      <c r="I24" s="172" t="n">
        <v>5890.843333333333</v>
      </c>
    </row>
    <row r="25" outlineLevel="1" collapsed="1" s="154">
      <c r="A25" t="inlineStr">
        <is>
          <t>Dourados</t>
        </is>
      </c>
      <c r="B25" s="160" t="inlineStr">
        <is>
          <t>HYUNDAI</t>
        </is>
      </c>
      <c r="C25" s="13">
        <f>COUNTA(C26:C27)</f>
        <v/>
      </c>
      <c r="D25" s="172" t="n">
        <v>313942.69</v>
      </c>
      <c r="E25" s="172" t="n">
        <v>22437.23</v>
      </c>
      <c r="F25" s="56" t="n">
        <v>12</v>
      </c>
      <c r="G25" s="56" t="n">
        <v>3</v>
      </c>
      <c r="H25" s="172" t="n">
        <v>26161.89083333333</v>
      </c>
      <c r="I25" s="172" t="n">
        <v>7479.076666666667</v>
      </c>
    </row>
    <row r="26" hidden="1" outlineLevel="2" s="154">
      <c r="A26" t="inlineStr">
        <is>
          <t>Dourados</t>
        </is>
      </c>
      <c r="B26" t="inlineStr">
        <is>
          <t>HYUNDAI</t>
        </is>
      </c>
      <c r="C26" s="156" t="inlineStr">
        <is>
          <t>EHH0036</t>
        </is>
      </c>
      <c r="D26" s="172" t="n">
        <v>98006.19</v>
      </c>
      <c r="E26" s="172" t="n">
        <v>6495.99</v>
      </c>
      <c r="F26" s="56" t="n">
        <v>12</v>
      </c>
      <c r="G26" s="56" t="n">
        <v>3</v>
      </c>
      <c r="H26" s="172" t="n">
        <v>8167.1825</v>
      </c>
      <c r="I26" s="172" t="n">
        <v>2165.33</v>
      </c>
    </row>
    <row r="27" hidden="1" outlineLevel="2" s="154">
      <c r="A27" t="inlineStr">
        <is>
          <t>Dourados</t>
        </is>
      </c>
      <c r="B27" t="inlineStr">
        <is>
          <t>HYUNDAI</t>
        </is>
      </c>
      <c r="C27" s="156" t="inlineStr">
        <is>
          <t>EHH0044</t>
        </is>
      </c>
      <c r="D27" s="172" t="n">
        <v>215936.5</v>
      </c>
      <c r="E27" s="172" t="n">
        <v>15941.24</v>
      </c>
      <c r="F27" s="56" t="n">
        <v>12</v>
      </c>
      <c r="G27" s="56" t="n">
        <v>3</v>
      </c>
      <c r="H27" s="172" t="n">
        <v>17994.70833333333</v>
      </c>
      <c r="I27" s="172" t="n">
        <v>5313.746666666667</v>
      </c>
    </row>
    <row r="28">
      <c r="A28" s="3" t="inlineStr">
        <is>
          <t>Campo Grande</t>
        </is>
      </c>
      <c r="B28" s="3" t="n"/>
      <c r="C28" s="11">
        <f>C29</f>
        <v/>
      </c>
      <c r="D28" s="192" t="n">
        <v>186495.39</v>
      </c>
      <c r="E28" s="192" t="n">
        <v>4334.2</v>
      </c>
      <c r="F28" s="55" t="n">
        <v>12</v>
      </c>
      <c r="G28" s="55" t="n">
        <v>3</v>
      </c>
      <c r="H28" s="192" t="n">
        <v>15541.2825</v>
      </c>
      <c r="I28" s="192" t="n">
        <v>1444.733333333333</v>
      </c>
    </row>
    <row r="29" outlineLevel="1" collapsed="1" s="154">
      <c r="A29" t="inlineStr">
        <is>
          <t>Campo Grande</t>
        </is>
      </c>
      <c r="B29" s="160" t="inlineStr">
        <is>
          <t>HYUNDAI</t>
        </is>
      </c>
      <c r="C29" s="13">
        <f>COUNTA(C30:C31)</f>
        <v/>
      </c>
      <c r="D29" s="172" t="n">
        <v>186495.39</v>
      </c>
      <c r="E29" s="172" t="n">
        <v>4334.2</v>
      </c>
      <c r="F29" s="56" t="n">
        <v>12</v>
      </c>
      <c r="G29" s="56" t="n">
        <v>3</v>
      </c>
      <c r="H29" s="172" t="n">
        <v>15541.2825</v>
      </c>
      <c r="I29" s="172" t="n">
        <v>1444.733333333333</v>
      </c>
    </row>
    <row r="30" hidden="1" outlineLevel="2" s="154">
      <c r="A30" t="inlineStr">
        <is>
          <t>Campo Grande</t>
        </is>
      </c>
      <c r="B30" t="inlineStr">
        <is>
          <t>HYUNDAI</t>
        </is>
      </c>
      <c r="C30" s="156" t="inlineStr">
        <is>
          <t>EHH0038</t>
        </is>
      </c>
      <c r="D30" s="172" t="n">
        <v>166885.61</v>
      </c>
      <c r="E30" s="172" t="n">
        <v>3659.17</v>
      </c>
      <c r="F30" s="56" t="n">
        <v>12</v>
      </c>
      <c r="G30" s="56" t="n">
        <v>2</v>
      </c>
      <c r="H30" s="172" t="n">
        <v>13907.13416666666</v>
      </c>
      <c r="I30" s="172" t="n">
        <v>1829.585</v>
      </c>
    </row>
    <row r="31" hidden="1" outlineLevel="2" s="154">
      <c r="A31" t="inlineStr">
        <is>
          <t>Campo Grande</t>
        </is>
      </c>
      <c r="B31" t="inlineStr">
        <is>
          <t>HYUNDAI</t>
        </is>
      </c>
      <c r="C31" s="156" t="inlineStr">
        <is>
          <t>EHH0046</t>
        </is>
      </c>
      <c r="D31" s="172" t="n">
        <v>19609.78</v>
      </c>
      <c r="E31" s="172" t="n">
        <v>675.03</v>
      </c>
      <c r="F31" s="56" t="n">
        <v>6</v>
      </c>
      <c r="G31" s="56" t="n">
        <v>1</v>
      </c>
      <c r="H31" s="172" t="n">
        <v>3268.296666666667</v>
      </c>
      <c r="I31" s="172" t="n">
        <v>675.03</v>
      </c>
    </row>
    <row r="32">
      <c r="A32" s="3" t="inlineStr">
        <is>
          <t>AM-BAR</t>
        </is>
      </c>
      <c r="B32" s="3" t="n"/>
      <c r="C32" s="11">
        <f>C33</f>
        <v/>
      </c>
      <c r="D32" s="192" t="n">
        <v>129969.49</v>
      </c>
      <c r="E32" s="192" t="n">
        <v>58625.13</v>
      </c>
      <c r="F32" s="55" t="n">
        <v>12</v>
      </c>
      <c r="G32" s="55" t="n">
        <v>3</v>
      </c>
      <c r="H32" s="192" t="n">
        <v>10830.79083333333</v>
      </c>
      <c r="I32" s="192" t="n">
        <v>19541.71</v>
      </c>
    </row>
    <row r="33" outlineLevel="1" collapsed="1" s="154">
      <c r="A33" t="inlineStr">
        <is>
          <t>AM-BAR</t>
        </is>
      </c>
      <c r="B33" s="160" t="inlineStr">
        <is>
          <t>HYUNDAI</t>
        </is>
      </c>
      <c r="C33" s="13">
        <f>COUNTA(C34:C35)</f>
        <v/>
      </c>
      <c r="D33" s="172" t="n">
        <v>129969.49</v>
      </c>
      <c r="E33" s="172" t="n">
        <v>58625.13</v>
      </c>
      <c r="F33" s="56" t="n">
        <v>12</v>
      </c>
      <c r="G33" s="56" t="n">
        <v>3</v>
      </c>
      <c r="H33" s="172" t="n">
        <v>10830.79083333333</v>
      </c>
      <c r="I33" s="172" t="n">
        <v>19541.71</v>
      </c>
    </row>
    <row r="34" hidden="1" outlineLevel="2" s="154">
      <c r="A34" t="inlineStr">
        <is>
          <t>AM-BAR</t>
        </is>
      </c>
      <c r="B34" t="inlineStr">
        <is>
          <t>HYUNDAI</t>
        </is>
      </c>
      <c r="C34" s="156" t="inlineStr">
        <is>
          <t>EHH0015</t>
        </is>
      </c>
      <c r="D34" s="172" t="n">
        <v>43757.91</v>
      </c>
      <c r="E34" s="172" t="n">
        <v>8367.17</v>
      </c>
      <c r="F34" s="56" t="n">
        <v>8</v>
      </c>
      <c r="G34" s="56" t="n">
        <v>3</v>
      </c>
      <c r="H34" s="172" t="n">
        <v>5469.73875</v>
      </c>
      <c r="I34" s="172" t="n">
        <v>2789.056666666667</v>
      </c>
    </row>
    <row r="35" hidden="1" outlineLevel="2" s="154">
      <c r="A35" t="inlineStr">
        <is>
          <t>AM-BAR</t>
        </is>
      </c>
      <c r="B35" t="inlineStr">
        <is>
          <t>HYUNDAI</t>
        </is>
      </c>
      <c r="C35" s="156" t="inlineStr">
        <is>
          <t>EHH0019</t>
        </is>
      </c>
      <c r="D35" s="172" t="n">
        <v>86211.58</v>
      </c>
      <c r="E35" s="172" t="n">
        <v>50257.96</v>
      </c>
      <c r="F35" s="56" t="n">
        <v>12</v>
      </c>
      <c r="G35" s="56" t="n">
        <v>3</v>
      </c>
      <c r="H35" s="172" t="n">
        <v>7184.298333333333</v>
      </c>
      <c r="I35" s="172" t="n">
        <v>16752.65333333333</v>
      </c>
    </row>
    <row r="36">
      <c r="A36" s="3" t="inlineStr">
        <is>
          <t>Tupy</t>
        </is>
      </c>
      <c r="B36" s="3" t="n"/>
      <c r="C36" s="11">
        <f>C37+C39</f>
        <v/>
      </c>
      <c r="D36" s="192" t="n">
        <v>58138.06</v>
      </c>
      <c r="E36" s="192" t="n">
        <v>10122.26</v>
      </c>
      <c r="F36" s="55" t="n">
        <v>11</v>
      </c>
      <c r="G36" s="55" t="n">
        <v>3</v>
      </c>
      <c r="H36" s="192" t="n">
        <v>5285.278181818182</v>
      </c>
      <c r="I36" s="192" t="n">
        <v>3374.086666666667</v>
      </c>
    </row>
    <row r="37" outlineLevel="1" collapsed="1" s="154">
      <c r="A37" t="inlineStr">
        <is>
          <t>Tupy</t>
        </is>
      </c>
      <c r="B37" s="4" t="inlineStr">
        <is>
          <t>LIEBHERR</t>
        </is>
      </c>
      <c r="C37" s="13">
        <f>COUNTA(C38)</f>
        <v/>
      </c>
      <c r="D37" s="172" t="n">
        <v>40027.45</v>
      </c>
      <c r="E37" s="172" t="n">
        <v>8242.35</v>
      </c>
      <c r="F37" s="56" t="n">
        <v>10</v>
      </c>
      <c r="G37" s="56" t="n">
        <v>3</v>
      </c>
      <c r="H37" s="172" t="n">
        <v>4002.745</v>
      </c>
      <c r="I37" s="172" t="n">
        <v>2747.45</v>
      </c>
    </row>
    <row r="38" hidden="1" outlineLevel="2" s="154">
      <c r="A38" t="inlineStr">
        <is>
          <t>Tupy</t>
        </is>
      </c>
      <c r="B38" t="inlineStr">
        <is>
          <t>LIEBHERR</t>
        </is>
      </c>
      <c r="C38" s="156" t="inlineStr">
        <is>
          <t>EHL0041</t>
        </is>
      </c>
      <c r="D38" s="172" t="n">
        <v>40027.45</v>
      </c>
      <c r="E38" s="172" t="n">
        <v>8242.35</v>
      </c>
      <c r="F38" s="56" t="n">
        <v>10</v>
      </c>
      <c r="G38" s="56" t="n">
        <v>3</v>
      </c>
      <c r="H38" s="172" t="n">
        <v>4002.745</v>
      </c>
      <c r="I38" s="172" t="n">
        <v>2747.45</v>
      </c>
    </row>
    <row r="39" outlineLevel="1" collapsed="1" s="154">
      <c r="A39" t="inlineStr">
        <is>
          <t>Tupy</t>
        </is>
      </c>
      <c r="B39" s="160" t="inlineStr">
        <is>
          <t>HYUNDAI</t>
        </is>
      </c>
      <c r="C39" s="13">
        <f>COUNTA(C40)</f>
        <v/>
      </c>
      <c r="D39" s="172" t="n">
        <v>18110.61</v>
      </c>
      <c r="E39" s="172" t="n">
        <v>1879.91</v>
      </c>
      <c r="F39" s="56" t="n">
        <v>6</v>
      </c>
      <c r="G39" s="56" t="n">
        <v>3</v>
      </c>
      <c r="H39" s="172" t="n">
        <v>3018.435</v>
      </c>
      <c r="I39" s="172" t="n">
        <v>626.6366666666667</v>
      </c>
    </row>
    <row r="40" hidden="1" outlineLevel="2" s="154">
      <c r="A40" t="inlineStr">
        <is>
          <t>Tupy</t>
        </is>
      </c>
      <c r="B40" t="inlineStr">
        <is>
          <t>HYUNDAI</t>
        </is>
      </c>
      <c r="C40" s="156" t="inlineStr">
        <is>
          <t>EHH0003</t>
        </is>
      </c>
      <c r="D40" s="172" t="n">
        <v>18110.61</v>
      </c>
      <c r="E40" s="172" t="n">
        <v>1879.91</v>
      </c>
      <c r="F40" s="56" t="n">
        <v>6</v>
      </c>
      <c r="G40" s="56" t="n">
        <v>3</v>
      </c>
      <c r="H40" s="172" t="n">
        <v>3018.435</v>
      </c>
      <c r="I40" s="172" t="n">
        <v>626.6366666666667</v>
      </c>
    </row>
    <row r="41">
      <c r="A41" s="3" t="inlineStr">
        <is>
          <t>Pátio de Manutenção</t>
        </is>
      </c>
      <c r="B41" s="3" t="n"/>
      <c r="C41" s="11">
        <f>C42</f>
        <v/>
      </c>
      <c r="D41" s="192" t="n">
        <v>92483.22</v>
      </c>
      <c r="E41" s="192" t="n">
        <v>35001.18</v>
      </c>
      <c r="F41" s="55" t="n">
        <v>8</v>
      </c>
      <c r="G41" s="55" t="n">
        <v>3</v>
      </c>
      <c r="H41" s="192" t="n">
        <v>11560.4025</v>
      </c>
      <c r="I41" s="192" t="n">
        <v>11667.06</v>
      </c>
    </row>
    <row r="42" outlineLevel="1" collapsed="1" s="154">
      <c r="A42" t="inlineStr">
        <is>
          <t>Pátio de Manutenção</t>
        </is>
      </c>
      <c r="B42" s="4" t="inlineStr">
        <is>
          <t>LIEBHERR</t>
        </is>
      </c>
      <c r="C42" s="13">
        <f>COUNTA(C43:C44)</f>
        <v/>
      </c>
      <c r="D42" s="172" t="n">
        <v>92483.22</v>
      </c>
      <c r="E42" s="172" t="n">
        <v>35001.18</v>
      </c>
      <c r="F42" s="56" t="n">
        <v>8</v>
      </c>
      <c r="G42" s="56" t="n">
        <v>3</v>
      </c>
      <c r="H42" s="172" t="n">
        <v>11560.4025</v>
      </c>
      <c r="I42" s="172" t="n">
        <v>11667.06</v>
      </c>
    </row>
    <row r="43" hidden="1" outlineLevel="2" s="154">
      <c r="A43" t="inlineStr">
        <is>
          <t>Pátio de Manutenção</t>
        </is>
      </c>
      <c r="B43" t="inlineStr">
        <is>
          <t>LIEBHERR</t>
        </is>
      </c>
      <c r="C43" s="156" t="inlineStr">
        <is>
          <t>EHL0013</t>
        </is>
      </c>
      <c r="D43" s="172" t="n">
        <v>11742.55</v>
      </c>
      <c r="E43" s="172" t="n">
        <v>2680.02</v>
      </c>
      <c r="F43" s="56" t="n">
        <v>5</v>
      </c>
      <c r="G43" s="56" t="n">
        <v>2</v>
      </c>
      <c r="H43" s="172" t="n">
        <v>2348.51</v>
      </c>
      <c r="I43" s="172" t="n">
        <v>1340.01</v>
      </c>
    </row>
    <row r="44" hidden="1" outlineLevel="2" s="154">
      <c r="A44" t="inlineStr">
        <is>
          <t>Pátio de Manutenção</t>
        </is>
      </c>
      <c r="B44" t="inlineStr">
        <is>
          <t>LIEBHERR</t>
        </is>
      </c>
      <c r="C44" s="156" t="inlineStr">
        <is>
          <t>EHL0014</t>
        </is>
      </c>
      <c r="D44" s="172" t="n">
        <v>80740.67</v>
      </c>
      <c r="E44" s="172" t="n">
        <v>32321.16</v>
      </c>
      <c r="F44" s="56" t="n">
        <v>8</v>
      </c>
      <c r="G44" s="56" t="n">
        <v>3</v>
      </c>
      <c r="H44" s="172" t="n">
        <v>10092.58375</v>
      </c>
      <c r="I44" s="172" t="n">
        <v>10773.72</v>
      </c>
    </row>
    <row r="45">
      <c r="A45" s="3" t="inlineStr">
        <is>
          <t>Matheus</t>
        </is>
      </c>
      <c r="B45" s="3" t="n"/>
      <c r="C45" s="11">
        <f>C46</f>
        <v/>
      </c>
      <c r="D45" s="192" t="n">
        <v>82366.74000000001</v>
      </c>
      <c r="E45" s="192" t="n">
        <v>8678.639999999999</v>
      </c>
      <c r="F45" s="55" t="n">
        <v>9</v>
      </c>
      <c r="G45" s="55" t="n">
        <v>3</v>
      </c>
      <c r="H45" s="192" t="n">
        <v>9151.860000000001</v>
      </c>
      <c r="I45" s="192" t="n">
        <v>2892.88</v>
      </c>
    </row>
    <row r="46" outlineLevel="1" collapsed="1" s="154">
      <c r="A46" t="inlineStr">
        <is>
          <t>Matheus</t>
        </is>
      </c>
      <c r="B46" s="160" t="inlineStr">
        <is>
          <t>HYUNDAI</t>
        </is>
      </c>
      <c r="C46" s="13">
        <f>COUNTA(C47)</f>
        <v/>
      </c>
      <c r="D46" s="172" t="n">
        <v>82366.74000000001</v>
      </c>
      <c r="E46" s="172" t="n">
        <v>8678.639999999999</v>
      </c>
      <c r="F46" s="56" t="n">
        <v>9</v>
      </c>
      <c r="G46" s="56" t="n">
        <v>3</v>
      </c>
      <c r="H46" s="172" t="n">
        <v>9151.860000000001</v>
      </c>
      <c r="I46" s="172" t="n">
        <v>2892.88</v>
      </c>
    </row>
    <row r="47" hidden="1" outlineLevel="2" s="154">
      <c r="A47" t="inlineStr">
        <is>
          <t>Matheus</t>
        </is>
      </c>
      <c r="B47" t="inlineStr">
        <is>
          <t>HYUNDAI</t>
        </is>
      </c>
      <c r="C47" s="156" t="inlineStr">
        <is>
          <t>EHH0007</t>
        </is>
      </c>
      <c r="D47" s="172" t="n">
        <v>82366.74000000001</v>
      </c>
      <c r="E47" s="172" t="n">
        <v>8678.639999999999</v>
      </c>
      <c r="F47" s="56" t="n">
        <v>9</v>
      </c>
      <c r="G47" s="56" t="n">
        <v>3</v>
      </c>
      <c r="H47" s="172" t="n">
        <v>9151.860000000001</v>
      </c>
      <c r="I47" s="172" t="n">
        <v>2892.88</v>
      </c>
    </row>
    <row r="48">
      <c r="A48" s="3" t="inlineStr">
        <is>
          <t>Multi Aço</t>
        </is>
      </c>
      <c r="B48" s="3" t="n"/>
      <c r="C48" s="11">
        <f>C49</f>
        <v/>
      </c>
      <c r="D48" s="192" t="n">
        <v>25969.11</v>
      </c>
      <c r="E48" s="192" t="n">
        <v>8453.870000000001</v>
      </c>
      <c r="F48" s="55" t="n">
        <v>9</v>
      </c>
      <c r="G48" s="55" t="n">
        <v>3</v>
      </c>
      <c r="H48" s="192" t="n">
        <v>2885.456666666667</v>
      </c>
      <c r="I48" s="192" t="n">
        <v>2817.956666666667</v>
      </c>
    </row>
    <row r="49" outlineLevel="1" collapsed="1" s="154">
      <c r="A49" t="inlineStr">
        <is>
          <t>Multi Aço</t>
        </is>
      </c>
      <c r="B49" s="160" t="inlineStr">
        <is>
          <t>HYUNDAI</t>
        </is>
      </c>
      <c r="C49" s="13">
        <f>COUNTA(C50)</f>
        <v/>
      </c>
      <c r="D49" s="51" t="n">
        <v>25969.11</v>
      </c>
      <c r="E49" s="51" t="n">
        <v>8453.870000000001</v>
      </c>
      <c r="F49" s="156" t="n">
        <v>9</v>
      </c>
      <c r="G49" s="156" t="n">
        <v>3</v>
      </c>
      <c r="H49" s="51" t="n">
        <v>2885.456666666667</v>
      </c>
      <c r="I49" s="51" t="n">
        <v>2817.956666666667</v>
      </c>
    </row>
    <row r="50" hidden="1" outlineLevel="2" s="154">
      <c r="A50" t="inlineStr">
        <is>
          <t>Multi Aço</t>
        </is>
      </c>
      <c r="B50" t="inlineStr">
        <is>
          <t>HYUNDAI</t>
        </is>
      </c>
      <c r="C50" s="156" t="inlineStr">
        <is>
          <t>EHH0037</t>
        </is>
      </c>
      <c r="D50" s="51" t="n">
        <v>25969.11</v>
      </c>
      <c r="E50" s="51" t="n">
        <v>8453.870000000001</v>
      </c>
      <c r="F50" s="156" t="n">
        <v>9</v>
      </c>
      <c r="G50" s="156" t="n">
        <v>3</v>
      </c>
      <c r="H50" s="51" t="n">
        <v>2885.456666666667</v>
      </c>
      <c r="I50" s="51" t="n">
        <v>2817.956666666667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topLeftCell="C1" workbookViewId="0">
      <selection activeCell="C24" sqref="C24"/>
    </sheetView>
  </sheetViews>
  <sheetFormatPr baseColWidth="8" defaultRowHeight="15"/>
  <cols>
    <col width="22" customWidth="1" style="154" min="1" max="1"/>
    <col width="10" customWidth="1" style="154" min="2" max="3"/>
    <col width="20" customWidth="1" style="154" min="4" max="4"/>
    <col width="18" customWidth="1" style="154" min="5" max="5"/>
    <col width="20" customWidth="1" style="154" min="6" max="7"/>
  </cols>
  <sheetData>
    <row r="1">
      <c r="A1" s="1" t="inlineStr">
        <is>
          <t>Média mensal por unidade e marca (visão pivot)</t>
        </is>
      </c>
    </row>
    <row r="3">
      <c r="A3" t="inlineStr">
        <is>
          <t>Local</t>
        </is>
      </c>
      <c r="B3" t="inlineStr">
        <is>
          <t>Marca</t>
        </is>
      </c>
      <c r="C3" t="inlineStr">
        <is>
          <t>Máquinas</t>
        </is>
      </c>
      <c r="D3" t="inlineStr">
        <is>
          <t>Média mensal 2025</t>
        </is>
      </c>
      <c r="E3" t="inlineStr">
        <is>
          <t>Gasto total 2025</t>
        </is>
      </c>
      <c r="F3" t="inlineStr">
        <is>
          <t>Média mensal 2026</t>
        </is>
      </c>
      <c r="G3" t="inlineStr">
        <is>
          <t>Gasto total 2026</t>
        </is>
      </c>
    </row>
    <row r="4">
      <c r="A4" t="inlineStr">
        <is>
          <t>Prudente</t>
        </is>
      </c>
      <c r="B4" t="inlineStr">
        <is>
          <t>LIEBHERR</t>
        </is>
      </c>
      <c r="C4" t="n">
        <v>1</v>
      </c>
      <c r="D4" s="5" t="n">
        <v>18643.1275</v>
      </c>
      <c r="E4" s="5" t="n">
        <v>223717.53</v>
      </c>
      <c r="F4" s="5" t="n">
        <v>9202.980000000001</v>
      </c>
      <c r="G4" s="5" t="n">
        <v>27608.94</v>
      </c>
    </row>
    <row r="5">
      <c r="A5" t="inlineStr">
        <is>
          <t>Prudente</t>
        </is>
      </c>
      <c r="B5" t="inlineStr">
        <is>
          <t>HYUNDAI</t>
        </is>
      </c>
      <c r="C5" t="n">
        <v>2</v>
      </c>
      <c r="D5" s="5" t="n">
        <v>6703.313</v>
      </c>
      <c r="E5" s="5" t="n">
        <v>67033.13</v>
      </c>
      <c r="F5" s="5" t="n">
        <v>10340.38</v>
      </c>
      <c r="G5" s="5" t="n">
        <v>31021.14</v>
      </c>
    </row>
    <row r="6">
      <c r="A6" t="inlineStr">
        <is>
          <t>Maringá</t>
        </is>
      </c>
      <c r="B6" t="inlineStr">
        <is>
          <t>LIEBHERR</t>
        </is>
      </c>
      <c r="C6" t="n">
        <v>2</v>
      </c>
      <c r="D6" s="5" t="n">
        <v>25205.2925</v>
      </c>
      <c r="E6" s="5" t="n">
        <v>302463.51</v>
      </c>
      <c r="F6" s="5" t="n">
        <v>15379.04333333333</v>
      </c>
      <c r="G6" s="5" t="n">
        <v>46137.13</v>
      </c>
    </row>
    <row r="7">
      <c r="A7" t="inlineStr">
        <is>
          <t>Maringá</t>
        </is>
      </c>
      <c r="B7" t="inlineStr">
        <is>
          <t>HYUNDAI</t>
        </is>
      </c>
      <c r="C7" t="n">
        <v>3</v>
      </c>
      <c r="D7" s="5" t="n">
        <v>15051.33166666667</v>
      </c>
      <c r="E7" s="5" t="n">
        <v>180615.98</v>
      </c>
      <c r="F7" s="5" t="n">
        <v>9135.643333333333</v>
      </c>
      <c r="G7" s="5" t="n">
        <v>27406.93</v>
      </c>
    </row>
    <row r="8">
      <c r="A8" t="inlineStr">
        <is>
          <t>Londrina</t>
        </is>
      </c>
      <c r="B8" t="inlineStr">
        <is>
          <t>HYUNDAI</t>
        </is>
      </c>
      <c r="C8" t="n">
        <v>2</v>
      </c>
      <c r="D8" s="5" t="n">
        <v>17156.8825</v>
      </c>
      <c r="E8" s="5" t="n">
        <v>205882.59</v>
      </c>
      <c r="F8" s="5" t="n">
        <v>5501.19</v>
      </c>
      <c r="G8" s="5" t="n">
        <v>16503.57</v>
      </c>
    </row>
    <row r="9">
      <c r="A9" t="inlineStr">
        <is>
          <t>Dourados</t>
        </is>
      </c>
      <c r="B9" t="inlineStr">
        <is>
          <t>LIEBHERR</t>
        </is>
      </c>
      <c r="C9" t="n">
        <v>1</v>
      </c>
      <c r="D9" s="5" t="n">
        <v>10735.53571428571</v>
      </c>
      <c r="E9" s="5" t="n">
        <v>75148.75</v>
      </c>
      <c r="F9" s="5" t="n">
        <v>5890.843333333333</v>
      </c>
      <c r="G9" s="5" t="n">
        <v>17672.53</v>
      </c>
    </row>
    <row r="10">
      <c r="A10" t="inlineStr">
        <is>
          <t>Dourados</t>
        </is>
      </c>
      <c r="B10" t="inlineStr">
        <is>
          <t>HYUNDAI</t>
        </is>
      </c>
      <c r="C10" t="n">
        <v>2</v>
      </c>
      <c r="D10" s="5" t="n">
        <v>26161.89083333333</v>
      </c>
      <c r="E10" s="5" t="n">
        <v>313942.69</v>
      </c>
      <c r="F10" s="5" t="n">
        <v>7479.076666666667</v>
      </c>
      <c r="G10" s="5" t="n">
        <v>22437.23</v>
      </c>
    </row>
    <row r="11">
      <c r="A11" t="inlineStr">
        <is>
          <t>Campo Grande</t>
        </is>
      </c>
      <c r="B11" t="inlineStr">
        <is>
          <t>HYUNDAI</t>
        </is>
      </c>
      <c r="C11" t="n">
        <v>2</v>
      </c>
      <c r="D11" s="5" t="n">
        <v>15541.2825</v>
      </c>
      <c r="E11" s="5" t="n">
        <v>186495.39</v>
      </c>
      <c r="F11" s="5" t="n">
        <v>1444.733333333333</v>
      </c>
      <c r="G11" s="5" t="n">
        <v>4334.2</v>
      </c>
    </row>
    <row r="12">
      <c r="A12" t="inlineStr">
        <is>
          <t>AM-BAR</t>
        </is>
      </c>
      <c r="B12" t="inlineStr">
        <is>
          <t>HYUNDAI</t>
        </is>
      </c>
      <c r="C12" t="n">
        <v>2</v>
      </c>
      <c r="D12" s="5" t="n">
        <v>10830.79083333333</v>
      </c>
      <c r="E12" s="5" t="n">
        <v>129969.49</v>
      </c>
      <c r="F12" s="5" t="n">
        <v>19541.71</v>
      </c>
      <c r="G12" s="5" t="n">
        <v>58625.13</v>
      </c>
    </row>
    <row r="13">
      <c r="A13" t="inlineStr">
        <is>
          <t>Tupy</t>
        </is>
      </c>
      <c r="B13" t="inlineStr">
        <is>
          <t>LIEBHERR</t>
        </is>
      </c>
      <c r="C13" t="n">
        <v>1</v>
      </c>
      <c r="D13" s="5" t="n">
        <v>4002.745</v>
      </c>
      <c r="E13" s="5" t="n">
        <v>40027.45</v>
      </c>
      <c r="F13" s="5" t="n">
        <v>2747.45</v>
      </c>
      <c r="G13" s="5" t="n">
        <v>8242.35</v>
      </c>
    </row>
    <row r="14">
      <c r="A14" t="inlineStr">
        <is>
          <t>Tupy</t>
        </is>
      </c>
      <c r="B14" t="inlineStr">
        <is>
          <t>HYUNDAI</t>
        </is>
      </c>
      <c r="C14" t="n">
        <v>1</v>
      </c>
      <c r="D14" s="5" t="n">
        <v>3018.435</v>
      </c>
      <c r="E14" s="5" t="n">
        <v>18110.61</v>
      </c>
      <c r="F14" s="5" t="n">
        <v>626.6366666666667</v>
      </c>
      <c r="G14" s="5" t="n">
        <v>1879.91</v>
      </c>
    </row>
    <row r="15">
      <c r="A15" t="inlineStr">
        <is>
          <t>Pátio de Manutenção</t>
        </is>
      </c>
      <c r="B15" t="inlineStr">
        <is>
          <t>LIEBHERR</t>
        </is>
      </c>
      <c r="C15" t="n">
        <v>2</v>
      </c>
      <c r="D15" s="5" t="n">
        <v>11560.4025</v>
      </c>
      <c r="E15" s="5" t="n">
        <v>92483.22</v>
      </c>
      <c r="F15" s="5" t="n">
        <v>11667.06</v>
      </c>
      <c r="G15" s="5" t="n">
        <v>35001.18</v>
      </c>
    </row>
    <row r="16">
      <c r="A16" t="inlineStr">
        <is>
          <t>Matheus</t>
        </is>
      </c>
      <c r="B16" t="inlineStr">
        <is>
          <t>HYUNDAI</t>
        </is>
      </c>
      <c r="C16" t="n">
        <v>1</v>
      </c>
      <c r="D16" s="5" t="n">
        <v>9151.860000000001</v>
      </c>
      <c r="E16" s="5" t="n">
        <v>82366.74000000001</v>
      </c>
      <c r="F16" s="5" t="n">
        <v>2892.88</v>
      </c>
      <c r="G16" s="5" t="n">
        <v>8678.639999999999</v>
      </c>
    </row>
    <row r="17">
      <c r="A17" t="inlineStr">
        <is>
          <t>Multi Aço</t>
        </is>
      </c>
      <c r="B17" t="inlineStr">
        <is>
          <t>HYUNDAI</t>
        </is>
      </c>
      <c r="C17" t="n">
        <v>1</v>
      </c>
      <c r="D17" s="5" t="n">
        <v>2885.456666666667</v>
      </c>
      <c r="E17" s="5" t="n">
        <v>25969.11</v>
      </c>
      <c r="F17" s="5" t="n">
        <v>2817.956666666667</v>
      </c>
      <c r="G17" s="5" t="n">
        <v>8453.870000000001</v>
      </c>
    </row>
    <row r="23">
      <c r="F23" s="5" t="n"/>
    </row>
    <row r="24">
      <c r="E2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E23" sqref="E23"/>
    </sheetView>
  </sheetViews>
  <sheetFormatPr baseColWidth="8" defaultRowHeight="15"/>
  <cols>
    <col width="14" customWidth="1" style="154" min="1" max="1"/>
    <col width="9" customWidth="1" style="154" min="2" max="2"/>
    <col width="14" customWidth="1" style="154" min="3" max="7"/>
    <col width="9" customWidth="1" style="154" min="8" max="8"/>
  </cols>
  <sheetData>
    <row r="1">
      <c r="A1" s="161" t="inlineStr">
        <is>
          <t>Todas as 7 máquinas LIEBHERR. Clique nos itens da legenda do gráfico para mostrar/ocultar máquinas. Ou use a aba Gasto_mês_máquina com Slicer.</t>
        </is>
      </c>
      <c r="B1" s="162" t="n"/>
      <c r="C1" s="162" t="n"/>
      <c r="D1" s="162" t="n"/>
      <c r="E1" s="162" t="n"/>
      <c r="F1" s="162" t="n"/>
      <c r="G1" s="162" t="n"/>
      <c r="H1" s="163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ht="15.75" customHeight="1" s="154" thickBot="1">
      <c r="A2" s="16" t="n"/>
      <c r="B2" s="16" t="n"/>
      <c r="C2" s="16" t="n"/>
      <c r="D2" s="16" t="n"/>
      <c r="E2" s="16" t="n"/>
      <c r="F2" s="16" t="n"/>
      <c r="G2" s="16" t="n"/>
      <c r="H2" s="1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 ht="15.75" customHeight="1" s="154" thickBot="1">
      <c r="A3" s="18" t="inlineStr">
        <is>
          <t>Mês</t>
        </is>
      </c>
      <c r="B3" s="19" t="inlineStr">
        <is>
          <t>EHL0013</t>
        </is>
      </c>
      <c r="C3" s="19" t="inlineStr">
        <is>
          <t>EHL0014</t>
        </is>
      </c>
      <c r="D3" s="19" t="inlineStr">
        <is>
          <t>EHL0028</t>
        </is>
      </c>
      <c r="E3" s="19" t="inlineStr">
        <is>
          <t>EHL0041</t>
        </is>
      </c>
      <c r="F3" s="19" t="inlineStr">
        <is>
          <t>EHL0042</t>
        </is>
      </c>
      <c r="G3" s="19" t="inlineStr">
        <is>
          <t>EHL0043</t>
        </is>
      </c>
      <c r="H3" s="20" t="inlineStr">
        <is>
          <t>EHL0070</t>
        </is>
      </c>
      <c r="I3" s="16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</row>
    <row r="4">
      <c r="A4" s="27" t="inlineStr">
        <is>
          <t>2025-01</t>
        </is>
      </c>
      <c r="B4" s="28" t="n">
        <v>0</v>
      </c>
      <c r="C4" s="28" t="n">
        <v>0</v>
      </c>
      <c r="D4" s="28" t="n">
        <v>6906.09</v>
      </c>
      <c r="E4" s="28" t="n">
        <v>7763.690000000001</v>
      </c>
      <c r="F4" s="28" t="n">
        <v>0</v>
      </c>
      <c r="G4" s="28" t="n">
        <v>6055.91</v>
      </c>
      <c r="H4" s="29" t="n">
        <v>0</v>
      </c>
      <c r="I4" s="163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</row>
    <row r="5">
      <c r="A5" s="22" t="inlineStr">
        <is>
          <t>2025-02</t>
        </is>
      </c>
      <c r="B5" s="21" t="n">
        <v>148.73</v>
      </c>
      <c r="C5" s="21" t="n">
        <v>725.02</v>
      </c>
      <c r="D5" s="21" t="n">
        <v>6116.29</v>
      </c>
      <c r="E5" s="21" t="n">
        <v>1599.7</v>
      </c>
      <c r="F5" s="21" t="n">
        <v>0</v>
      </c>
      <c r="G5" s="21" t="n">
        <v>9645.190000000001</v>
      </c>
      <c r="H5" s="23" t="n">
        <v>0</v>
      </c>
      <c r="I5" s="163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</row>
    <row r="6">
      <c r="A6" s="22" t="inlineStr">
        <is>
          <t>2025-03</t>
        </is>
      </c>
      <c r="B6" s="21" t="n">
        <v>0</v>
      </c>
      <c r="C6" s="21" t="n">
        <v>0</v>
      </c>
      <c r="D6" s="21" t="n">
        <v>14853.72</v>
      </c>
      <c r="E6" s="21" t="n">
        <v>214.52</v>
      </c>
      <c r="F6" s="21" t="n">
        <v>0</v>
      </c>
      <c r="G6" s="21" t="n">
        <v>245.67</v>
      </c>
      <c r="H6" s="23" t="n">
        <v>0</v>
      </c>
      <c r="I6" s="163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</row>
    <row r="7">
      <c r="A7" s="22" t="inlineStr">
        <is>
          <t>2025-04</t>
        </is>
      </c>
      <c r="B7" s="21" t="n">
        <v>0</v>
      </c>
      <c r="C7" s="21" t="n">
        <v>0</v>
      </c>
      <c r="D7" s="21" t="n">
        <v>14632.4</v>
      </c>
      <c r="E7" s="21" t="n">
        <v>8204.85</v>
      </c>
      <c r="F7" s="21" t="n">
        <v>0</v>
      </c>
      <c r="G7" s="21" t="n">
        <v>5025.46</v>
      </c>
      <c r="H7" s="23" t="n">
        <v>0</v>
      </c>
      <c r="I7" s="163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</row>
    <row r="8">
      <c r="A8" s="22" t="inlineStr">
        <is>
          <t>2025-05</t>
        </is>
      </c>
      <c r="B8" s="21" t="n">
        <v>0</v>
      </c>
      <c r="C8" s="21" t="n">
        <v>0</v>
      </c>
      <c r="D8" s="21" t="n">
        <v>15628.97</v>
      </c>
      <c r="E8" s="21" t="n">
        <v>0</v>
      </c>
      <c r="F8" s="21" t="n">
        <v>0</v>
      </c>
      <c r="G8" s="21" t="n">
        <v>2905.4</v>
      </c>
      <c r="H8" s="23" t="n">
        <v>0</v>
      </c>
      <c r="I8" s="163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</row>
    <row r="9">
      <c r="A9" s="22" t="inlineStr">
        <is>
          <t>2025-06</t>
        </is>
      </c>
      <c r="B9" s="21" t="n">
        <v>1802</v>
      </c>
      <c r="C9" s="21" t="n">
        <v>11810.46</v>
      </c>
      <c r="D9" s="21" t="n">
        <v>11391.19</v>
      </c>
      <c r="E9" s="21" t="n">
        <v>7571.15</v>
      </c>
      <c r="F9" s="21" t="n">
        <v>1664.79</v>
      </c>
      <c r="G9" s="21" t="n">
        <v>14420.03</v>
      </c>
      <c r="H9" s="23" t="n">
        <v>0</v>
      </c>
      <c r="I9" s="163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</row>
    <row r="10">
      <c r="A10" s="22" t="inlineStr">
        <is>
          <t>2025-07</t>
        </is>
      </c>
      <c r="B10" s="21" t="n">
        <v>0</v>
      </c>
      <c r="C10" s="21" t="n">
        <v>21756.44</v>
      </c>
      <c r="D10" s="21" t="n">
        <v>12700.01</v>
      </c>
      <c r="E10" s="21" t="n">
        <v>1549.97</v>
      </c>
      <c r="F10" s="21" t="n">
        <v>5566.56</v>
      </c>
      <c r="G10" s="21" t="n">
        <v>11423.92</v>
      </c>
      <c r="H10" s="23" t="n">
        <v>0</v>
      </c>
      <c r="I10" s="163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</row>
    <row r="11">
      <c r="A11" s="22" t="inlineStr">
        <is>
          <t>2025-08</t>
        </is>
      </c>
      <c r="B11" s="21" t="n">
        <v>712.98</v>
      </c>
      <c r="C11" s="21" t="n">
        <v>15920.79</v>
      </c>
      <c r="D11" s="21" t="n">
        <v>58750.48</v>
      </c>
      <c r="E11" s="21" t="n">
        <v>660</v>
      </c>
      <c r="F11" s="21" t="n">
        <v>6520.91</v>
      </c>
      <c r="G11" s="21" t="n">
        <v>187955.22</v>
      </c>
      <c r="H11" s="23" t="n">
        <v>0</v>
      </c>
      <c r="I11" s="163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</row>
    <row r="12">
      <c r="A12" s="22" t="inlineStr">
        <is>
          <t>2025-09</t>
        </is>
      </c>
      <c r="B12" s="21" t="n">
        <v>8662.65</v>
      </c>
      <c r="C12" s="21" t="n">
        <v>17999.3</v>
      </c>
      <c r="D12" s="21" t="n">
        <v>22867.67</v>
      </c>
      <c r="E12" s="21" t="n">
        <v>3129.67</v>
      </c>
      <c r="F12" s="21" t="n">
        <v>5009.63</v>
      </c>
      <c r="G12" s="21" t="n">
        <v>15374.66</v>
      </c>
      <c r="H12" s="23" t="n">
        <v>0</v>
      </c>
      <c r="I12" s="163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</row>
    <row r="13">
      <c r="A13" s="22" t="inlineStr">
        <is>
          <t>2025-10</t>
        </is>
      </c>
      <c r="B13" s="21" t="n">
        <v>0</v>
      </c>
      <c r="C13" s="21" t="n">
        <v>6642.1</v>
      </c>
      <c r="D13" s="21" t="n">
        <v>34785.93</v>
      </c>
      <c r="E13" s="21" t="n">
        <v>6245.9</v>
      </c>
      <c r="F13" s="21" t="n">
        <v>9517.289999999999</v>
      </c>
      <c r="G13" s="21" t="n">
        <v>18391.91</v>
      </c>
      <c r="H13" s="23" t="n">
        <v>0</v>
      </c>
      <c r="I13" s="163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</row>
    <row r="14">
      <c r="A14" s="22" t="inlineStr">
        <is>
          <t>2025-11</t>
        </is>
      </c>
      <c r="B14" s="21" t="n">
        <v>416.19</v>
      </c>
      <c r="C14" s="21" t="n">
        <v>3786.56</v>
      </c>
      <c r="D14" s="21" t="n">
        <v>13971.43</v>
      </c>
      <c r="E14" s="21" t="n">
        <v>0</v>
      </c>
      <c r="F14" s="21" t="n">
        <v>32862.85</v>
      </c>
      <c r="G14" s="21" t="n">
        <v>26434.87</v>
      </c>
      <c r="H14" s="23" t="n">
        <v>400</v>
      </c>
      <c r="I14" s="163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</row>
    <row r="15">
      <c r="A15" s="22" t="inlineStr">
        <is>
          <t>2025-12</t>
        </is>
      </c>
      <c r="B15" s="21" t="n">
        <v>0</v>
      </c>
      <c r="C15" s="21" t="n">
        <v>2100</v>
      </c>
      <c r="D15" s="21" t="n">
        <v>11113.35</v>
      </c>
      <c r="E15" s="21" t="n">
        <v>3088</v>
      </c>
      <c r="F15" s="21" t="n">
        <v>14006.72</v>
      </c>
      <c r="G15" s="21" t="n">
        <v>4185.27</v>
      </c>
      <c r="H15" s="23" t="n">
        <v>0</v>
      </c>
      <c r="I15" s="163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</row>
    <row r="16">
      <c r="A16" s="22" t="inlineStr">
        <is>
          <t>2026-01</t>
        </is>
      </c>
      <c r="B16" s="21" t="n">
        <v>1350</v>
      </c>
      <c r="C16" s="21" t="n">
        <v>15341.26</v>
      </c>
      <c r="D16" s="21" t="n">
        <v>5297.05</v>
      </c>
      <c r="E16" s="21" t="n">
        <v>5112.08</v>
      </c>
      <c r="F16" s="21" t="n">
        <v>2056.6</v>
      </c>
      <c r="G16" s="21" t="n">
        <v>18267.03</v>
      </c>
      <c r="H16" s="23" t="n">
        <v>0</v>
      </c>
      <c r="I16" s="163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</row>
    <row r="17">
      <c r="A17" s="22" t="inlineStr">
        <is>
          <t>2026-02</t>
        </is>
      </c>
      <c r="B17" s="21" t="n">
        <v>0</v>
      </c>
      <c r="C17" s="21" t="n">
        <v>4759.73</v>
      </c>
      <c r="D17" s="21" t="n">
        <v>14963.59</v>
      </c>
      <c r="E17" s="21" t="n">
        <v>2461.27</v>
      </c>
      <c r="F17" s="21" t="n">
        <v>2060.05</v>
      </c>
      <c r="G17" s="21" t="n">
        <v>3871.65</v>
      </c>
      <c r="H17" s="23" t="n">
        <v>0</v>
      </c>
      <c r="I17" s="163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</row>
    <row r="18" ht="15.75" customHeight="1" s="154" thickBot="1">
      <c r="A18" s="24" t="inlineStr">
        <is>
          <t>2026-03</t>
        </is>
      </c>
      <c r="B18" s="25" t="n">
        <v>1330.02</v>
      </c>
      <c r="C18" s="25" t="n">
        <v>12220.17</v>
      </c>
      <c r="D18" s="25" t="n">
        <v>7348.3</v>
      </c>
      <c r="E18" s="25" t="n">
        <v>669</v>
      </c>
      <c r="F18" s="25" t="n">
        <v>13555.88</v>
      </c>
      <c r="G18" s="25" t="n">
        <v>23998.45</v>
      </c>
      <c r="H18" s="26" t="n">
        <v>0</v>
      </c>
      <c r="I18" s="163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L25" sqref="L25"/>
    </sheetView>
  </sheetViews>
  <sheetFormatPr baseColWidth="8" defaultRowHeight="15"/>
  <cols>
    <col width="7.7109375" bestFit="1" customWidth="1" style="154" min="1" max="1"/>
    <col width="8.5703125" bestFit="1" customWidth="1" style="154" min="2" max="4"/>
    <col width="9" customWidth="1" style="154" min="5" max="5"/>
    <col width="10" customWidth="1" style="154" min="6" max="6"/>
    <col width="8.5703125" bestFit="1" customWidth="1" style="154" min="7" max="7"/>
    <col width="10" customWidth="1" style="154" min="8" max="8"/>
    <col width="8.5703125" bestFit="1" customWidth="1" style="154" min="9" max="11"/>
    <col width="9" customWidth="1" style="154" min="12" max="12"/>
    <col width="8.5703125" bestFit="1" customWidth="1" style="154" min="13" max="16"/>
    <col width="10" customWidth="1" style="154" min="17" max="17"/>
  </cols>
  <sheetData>
    <row r="1">
      <c r="A1" s="161" t="inlineStr">
        <is>
          <t>Todas as 16 máquinas HYUNDAI. Clique nos itens da legenda do gráfico para mostrar/ocultar máquinas. Ou use a aba Gasto_mês_máquina com Slicer.</t>
        </is>
      </c>
      <c r="B1" s="162" t="n"/>
      <c r="C1" s="162" t="n"/>
      <c r="D1" s="162" t="n"/>
      <c r="E1" s="162" t="n"/>
      <c r="F1" s="162" t="n"/>
      <c r="G1" s="162" t="n"/>
      <c r="H1" s="163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14" t="n"/>
      <c r="AI1" s="6" t="n"/>
      <c r="AJ1" s="6" t="n"/>
      <c r="AK1" s="6" t="n"/>
      <c r="AL1" s="6" t="n"/>
      <c r="AM1" s="6" t="n"/>
      <c r="AN1" s="6" t="n"/>
      <c r="AO1" s="6" t="n"/>
      <c r="AP1" s="6" t="n"/>
    </row>
    <row r="2" ht="15.75" customHeight="1" s="154" thickBo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14" t="n"/>
      <c r="AI2" s="6" t="n"/>
      <c r="AJ2" s="6" t="n"/>
      <c r="AK2" s="6" t="n"/>
      <c r="AL2" s="6" t="n"/>
      <c r="AM2" s="6" t="n"/>
      <c r="AN2" s="6" t="n"/>
      <c r="AO2" s="6" t="n"/>
      <c r="AP2" s="6" t="n"/>
    </row>
    <row r="3" ht="15.75" customHeight="1" s="154" thickBot="1">
      <c r="A3" s="18" t="inlineStr">
        <is>
          <t>Mês</t>
        </is>
      </c>
      <c r="B3" s="19" t="inlineStr">
        <is>
          <t>EHH0002</t>
        </is>
      </c>
      <c r="C3" s="19" t="inlineStr">
        <is>
          <t>EHH0003</t>
        </is>
      </c>
      <c r="D3" s="19" t="inlineStr">
        <is>
          <t>EHH0004</t>
        </is>
      </c>
      <c r="E3" s="19" t="inlineStr">
        <is>
          <t>EHH0006</t>
        </is>
      </c>
      <c r="F3" s="19" t="inlineStr">
        <is>
          <t>EHH0007</t>
        </is>
      </c>
      <c r="G3" s="19" t="inlineStr">
        <is>
          <t>EHH0008</t>
        </is>
      </c>
      <c r="H3" s="19" t="inlineStr">
        <is>
          <t>EHH0009</t>
        </is>
      </c>
      <c r="I3" s="19" t="inlineStr">
        <is>
          <t>EHH0015</t>
        </is>
      </c>
      <c r="J3" s="19" t="inlineStr">
        <is>
          <t>EHH0019</t>
        </is>
      </c>
      <c r="K3" s="19" t="inlineStr">
        <is>
          <t>EHH0036</t>
        </is>
      </c>
      <c r="L3" s="19" t="inlineStr">
        <is>
          <t>EHH0037</t>
        </is>
      </c>
      <c r="M3" s="19" t="inlineStr">
        <is>
          <t>EHH0038</t>
        </is>
      </c>
      <c r="N3" s="19" t="inlineStr">
        <is>
          <t>EHH0039</t>
        </is>
      </c>
      <c r="O3" s="19" t="inlineStr">
        <is>
          <t>EHH0040</t>
        </is>
      </c>
      <c r="P3" s="19" t="inlineStr">
        <is>
          <t>EHH0044</t>
        </is>
      </c>
      <c r="Q3" s="20" t="inlineStr">
        <is>
          <t>EHH0046</t>
        </is>
      </c>
      <c r="R3" s="163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14" t="n"/>
      <c r="AI3" s="6" t="n"/>
      <c r="AJ3" s="6" t="n"/>
      <c r="AK3" s="6" t="n"/>
      <c r="AL3" s="6" t="n"/>
      <c r="AM3" s="6" t="n"/>
      <c r="AN3" s="6" t="n"/>
      <c r="AO3" s="6" t="n"/>
      <c r="AP3" s="6" t="n"/>
    </row>
    <row r="4">
      <c r="A4" s="27" t="inlineStr">
        <is>
          <t>2025-01</t>
        </is>
      </c>
      <c r="B4" s="28" t="n">
        <v>1145.4</v>
      </c>
      <c r="C4" s="28" t="n">
        <v>4573.73</v>
      </c>
      <c r="D4" s="28" t="n">
        <v>806.5599999999999</v>
      </c>
      <c r="E4" s="28" t="n">
        <v>1600</v>
      </c>
      <c r="F4" s="28" t="n">
        <v>1640</v>
      </c>
      <c r="G4" s="28" t="n">
        <v>3598.45</v>
      </c>
      <c r="H4" s="28" t="n">
        <v>0</v>
      </c>
      <c r="I4" s="28" t="n">
        <v>89.90000000000001</v>
      </c>
      <c r="J4" s="28" t="n">
        <v>2372.74</v>
      </c>
      <c r="K4" s="28" t="n">
        <v>5936.93</v>
      </c>
      <c r="L4" s="28" t="n">
        <v>4405.97</v>
      </c>
      <c r="M4" s="28" t="n">
        <v>12977.51</v>
      </c>
      <c r="N4" s="28" t="n">
        <v>3694.11</v>
      </c>
      <c r="O4" s="28" t="n">
        <v>12977.24</v>
      </c>
      <c r="P4" s="28" t="n">
        <v>11319.24</v>
      </c>
      <c r="Q4" s="29" t="n">
        <v>2024.17</v>
      </c>
      <c r="R4" s="163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14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>
      <c r="A5" s="22" t="inlineStr">
        <is>
          <t>2025-02</t>
        </is>
      </c>
      <c r="B5" s="21" t="n">
        <v>230</v>
      </c>
      <c r="C5" s="21" t="n">
        <v>9620.440000000001</v>
      </c>
      <c r="D5" s="21" t="n">
        <v>0</v>
      </c>
      <c r="E5" s="21" t="n">
        <v>2988.19</v>
      </c>
      <c r="F5" s="21" t="n">
        <v>0</v>
      </c>
      <c r="G5" s="21" t="n">
        <v>4222.28</v>
      </c>
      <c r="H5" s="21" t="n">
        <v>0</v>
      </c>
      <c r="I5" s="21" t="n">
        <v>0</v>
      </c>
      <c r="J5" s="21" t="n">
        <v>1798</v>
      </c>
      <c r="K5" s="21" t="n">
        <v>11960.77</v>
      </c>
      <c r="L5" s="21" t="n">
        <v>2229.5</v>
      </c>
      <c r="M5" s="21" t="n">
        <v>9990.92</v>
      </c>
      <c r="N5" s="21" t="n">
        <v>640.7</v>
      </c>
      <c r="O5" s="21" t="n">
        <v>5839.82</v>
      </c>
      <c r="P5" s="21" t="n">
        <v>8041.02</v>
      </c>
      <c r="Q5" s="23" t="n">
        <v>1600</v>
      </c>
      <c r="R5" s="163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14" t="n"/>
      <c r="AI5" s="6" t="n"/>
      <c r="AJ5" s="6" t="n"/>
      <c r="AK5" s="6" t="n"/>
      <c r="AL5" s="6" t="n"/>
      <c r="AM5" s="6" t="n"/>
      <c r="AN5" s="6" t="n"/>
      <c r="AO5" s="6" t="n"/>
      <c r="AP5" s="6" t="n"/>
    </row>
    <row r="6">
      <c r="A6" s="22" t="inlineStr">
        <is>
          <t>2025-03</t>
        </is>
      </c>
      <c r="B6" s="21" t="n">
        <v>0</v>
      </c>
      <c r="C6" s="21" t="n">
        <v>357.5</v>
      </c>
      <c r="D6" s="21" t="n">
        <v>2891</v>
      </c>
      <c r="E6" s="21" t="n">
        <v>0</v>
      </c>
      <c r="F6" s="21" t="n">
        <v>0</v>
      </c>
      <c r="G6" s="21" t="n">
        <v>6105</v>
      </c>
      <c r="H6" s="21" t="n">
        <v>0</v>
      </c>
      <c r="I6" s="21" t="n">
        <v>0</v>
      </c>
      <c r="J6" s="21" t="n">
        <v>20448.6</v>
      </c>
      <c r="K6" s="21" t="n">
        <v>3739.17</v>
      </c>
      <c r="L6" s="21" t="n">
        <v>1711.78</v>
      </c>
      <c r="M6" s="21" t="n">
        <v>19986.79</v>
      </c>
      <c r="N6" s="21" t="n">
        <v>3364</v>
      </c>
      <c r="O6" s="21" t="n">
        <v>14731.73</v>
      </c>
      <c r="P6" s="21" t="n">
        <v>12830.86</v>
      </c>
      <c r="Q6" s="23" t="n">
        <v>0</v>
      </c>
      <c r="R6" s="163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14" t="n"/>
      <c r="AI6" s="6" t="n"/>
      <c r="AJ6" s="6" t="n"/>
      <c r="AK6" s="6" t="n"/>
      <c r="AL6" s="6" t="n"/>
      <c r="AM6" s="6" t="n"/>
      <c r="AN6" s="6" t="n"/>
      <c r="AO6" s="6" t="n"/>
      <c r="AP6" s="6" t="n"/>
    </row>
    <row r="7">
      <c r="A7" s="22" t="inlineStr">
        <is>
          <t>2025-04</t>
        </is>
      </c>
      <c r="B7" s="21" t="n">
        <v>1862.1</v>
      </c>
      <c r="C7" s="21" t="n">
        <v>597.6</v>
      </c>
      <c r="D7" s="21" t="n">
        <v>1402.1</v>
      </c>
      <c r="E7" s="21" t="n">
        <v>0</v>
      </c>
      <c r="F7" s="21" t="n">
        <v>0</v>
      </c>
      <c r="G7" s="21" t="n">
        <v>6496.280000000001</v>
      </c>
      <c r="H7" s="21" t="n">
        <v>0</v>
      </c>
      <c r="I7" s="21" t="n">
        <v>0</v>
      </c>
      <c r="J7" s="21" t="n">
        <v>7929.19</v>
      </c>
      <c r="K7" s="21" t="n">
        <v>9131.719999999999</v>
      </c>
      <c r="L7" s="21" t="n">
        <v>6106</v>
      </c>
      <c r="M7" s="21" t="n">
        <v>19667.77</v>
      </c>
      <c r="N7" s="21" t="n">
        <v>20750.79</v>
      </c>
      <c r="O7" s="21" t="n">
        <v>6790.42</v>
      </c>
      <c r="P7" s="21" t="n">
        <v>34949.44</v>
      </c>
      <c r="Q7" s="23" t="n">
        <v>294.7</v>
      </c>
      <c r="R7" s="163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14" t="n"/>
      <c r="AI7" s="6" t="n"/>
      <c r="AJ7" s="6" t="n"/>
      <c r="AK7" s="6" t="n"/>
      <c r="AL7" s="6" t="n"/>
      <c r="AM7" s="6" t="n"/>
      <c r="AN7" s="6" t="n"/>
      <c r="AO7" s="6" t="n"/>
      <c r="AP7" s="6" t="n"/>
    </row>
    <row r="8">
      <c r="A8" s="22" t="inlineStr">
        <is>
          <t>2025-05</t>
        </is>
      </c>
      <c r="B8" s="21" t="n">
        <v>0</v>
      </c>
      <c r="C8" s="21" t="n">
        <v>0</v>
      </c>
      <c r="D8" s="21" t="n">
        <v>7856.059999999999</v>
      </c>
      <c r="E8" s="21" t="n">
        <v>166.44</v>
      </c>
      <c r="F8" s="21" t="n">
        <v>6039.51</v>
      </c>
      <c r="G8" s="21" t="n">
        <v>8886.57</v>
      </c>
      <c r="H8" s="21" t="n">
        <v>1233.99</v>
      </c>
      <c r="I8" s="21" t="n">
        <v>1916.57</v>
      </c>
      <c r="J8" s="21" t="n">
        <v>615.5700000000001</v>
      </c>
      <c r="K8" s="21" t="n">
        <v>7961.65</v>
      </c>
      <c r="L8" s="21" t="n">
        <v>3786.52</v>
      </c>
      <c r="M8" s="21" t="n">
        <v>7190.99</v>
      </c>
      <c r="N8" s="21" t="n">
        <v>4462.11</v>
      </c>
      <c r="O8" s="21" t="n">
        <v>13185.87</v>
      </c>
      <c r="P8" s="21" t="n">
        <v>20844.79</v>
      </c>
      <c r="Q8" s="23" t="n">
        <v>11867.39</v>
      </c>
      <c r="R8" s="163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14" t="n"/>
      <c r="AI8" s="6" t="n"/>
      <c r="AJ8" s="6" t="n"/>
      <c r="AK8" s="6" t="n"/>
      <c r="AL8" s="6" t="n"/>
      <c r="AM8" s="6" t="n"/>
      <c r="AN8" s="6" t="n"/>
      <c r="AO8" s="6" t="n"/>
      <c r="AP8" s="6" t="n"/>
    </row>
    <row r="9">
      <c r="A9" s="22" t="inlineStr">
        <is>
          <t>2025-06</t>
        </is>
      </c>
      <c r="B9" s="21" t="n">
        <v>0</v>
      </c>
      <c r="C9" s="21" t="n">
        <v>0</v>
      </c>
      <c r="D9" s="21" t="n">
        <v>4004.68</v>
      </c>
      <c r="E9" s="21" t="n">
        <v>2344.98</v>
      </c>
      <c r="F9" s="21" t="n">
        <v>17452.39</v>
      </c>
      <c r="G9" s="21" t="n">
        <v>2196.06</v>
      </c>
      <c r="H9" s="21" t="n">
        <v>1037.37</v>
      </c>
      <c r="I9" s="21" t="n">
        <v>0</v>
      </c>
      <c r="J9" s="21" t="n">
        <v>21500</v>
      </c>
      <c r="K9" s="21" t="n">
        <v>5669.63</v>
      </c>
      <c r="L9" s="21" t="n">
        <v>2799.6</v>
      </c>
      <c r="M9" s="21" t="n">
        <v>14015.22</v>
      </c>
      <c r="N9" s="21" t="n">
        <v>5896.84</v>
      </c>
      <c r="O9" s="21" t="n">
        <v>9123.67</v>
      </c>
      <c r="P9" s="21" t="n">
        <v>7142.04</v>
      </c>
      <c r="Q9" s="23" t="n">
        <v>0</v>
      </c>
      <c r="R9" s="163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14" t="n"/>
      <c r="AI9" s="6" t="n"/>
      <c r="AJ9" s="6" t="n"/>
      <c r="AK9" s="6" t="n"/>
      <c r="AL9" s="6" t="n"/>
      <c r="AM9" s="6" t="n"/>
      <c r="AN9" s="6" t="n"/>
      <c r="AO9" s="6" t="n"/>
      <c r="AP9" s="6" t="n"/>
    </row>
    <row r="10">
      <c r="A10" s="22" t="inlineStr">
        <is>
          <t>2025-07</t>
        </is>
      </c>
      <c r="B10" s="21" t="n">
        <v>0</v>
      </c>
      <c r="C10" s="21" t="n">
        <v>0</v>
      </c>
      <c r="D10" s="21" t="n">
        <v>1224.46</v>
      </c>
      <c r="E10" s="21" t="n">
        <v>367.46</v>
      </c>
      <c r="F10" s="21" t="n">
        <v>8896.83</v>
      </c>
      <c r="G10" s="21" t="n">
        <v>5461.51</v>
      </c>
      <c r="H10" s="21" t="n">
        <v>7679.15</v>
      </c>
      <c r="I10" s="21" t="n">
        <v>27509.69</v>
      </c>
      <c r="J10" s="21" t="n">
        <v>1930</v>
      </c>
      <c r="K10" s="21" t="n">
        <v>8120.81</v>
      </c>
      <c r="L10" s="21" t="n">
        <v>0</v>
      </c>
      <c r="M10" s="21" t="n">
        <v>16360.43</v>
      </c>
      <c r="N10" s="21" t="n">
        <v>4563.14</v>
      </c>
      <c r="O10" s="21" t="n">
        <v>16135.78</v>
      </c>
      <c r="P10" s="21" t="n">
        <v>1337.08</v>
      </c>
      <c r="Q10" s="23" t="n">
        <v>0</v>
      </c>
      <c r="R10" s="163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14" t="n"/>
      <c r="AI10" s="6" t="n"/>
      <c r="AJ10" s="6" t="n"/>
      <c r="AK10" s="6" t="n"/>
      <c r="AL10" s="6" t="n"/>
      <c r="AM10" s="6" t="n"/>
      <c r="AN10" s="6" t="n"/>
      <c r="AO10" s="6" t="n"/>
      <c r="AP10" s="6" t="n"/>
    </row>
    <row r="11">
      <c r="A11" s="22" t="inlineStr">
        <is>
          <t>2025-08</t>
        </is>
      </c>
      <c r="B11" s="21" t="n">
        <v>3031.18</v>
      </c>
      <c r="C11" s="21" t="n">
        <v>0</v>
      </c>
      <c r="D11" s="21" t="n">
        <v>1866.88</v>
      </c>
      <c r="E11" s="21" t="n">
        <v>1174.63</v>
      </c>
      <c r="F11" s="21" t="n">
        <v>18992.34</v>
      </c>
      <c r="G11" s="21" t="n">
        <v>18956.41</v>
      </c>
      <c r="H11" s="21" t="n">
        <v>14810.33</v>
      </c>
      <c r="I11" s="21" t="n">
        <v>3743.85</v>
      </c>
      <c r="J11" s="21" t="n">
        <v>907.2</v>
      </c>
      <c r="K11" s="21" t="n">
        <v>9397.59</v>
      </c>
      <c r="L11" s="21" t="n">
        <v>0</v>
      </c>
      <c r="M11" s="21" t="n">
        <v>17892.78</v>
      </c>
      <c r="N11" s="21" t="n">
        <v>6531.93</v>
      </c>
      <c r="O11" s="21" t="n">
        <v>10595.37</v>
      </c>
      <c r="P11" s="21" t="n">
        <v>4096.95</v>
      </c>
      <c r="Q11" s="23" t="n">
        <v>0</v>
      </c>
      <c r="R11" s="163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14" t="n"/>
      <c r="AI11" s="6" t="n"/>
      <c r="AJ11" s="6" t="n"/>
      <c r="AK11" s="6" t="n"/>
      <c r="AL11" s="6" t="n"/>
      <c r="AM11" s="6" t="n"/>
      <c r="AN11" s="6" t="n"/>
      <c r="AO11" s="6" t="n"/>
      <c r="AP11" s="6" t="n"/>
    </row>
    <row r="12">
      <c r="A12" s="22" t="inlineStr">
        <is>
          <t>2025-09</t>
        </is>
      </c>
      <c r="B12" s="21" t="n">
        <v>3299.52</v>
      </c>
      <c r="C12" s="21" t="n">
        <v>0</v>
      </c>
      <c r="D12" s="21" t="n">
        <v>13133.52</v>
      </c>
      <c r="E12" s="21" t="n">
        <v>2664.92</v>
      </c>
      <c r="F12" s="21" t="n">
        <v>8381.889999999999</v>
      </c>
      <c r="G12" s="21" t="n">
        <v>5221.809999999999</v>
      </c>
      <c r="H12" s="21" t="n">
        <v>12859.71</v>
      </c>
      <c r="I12" s="21" t="n">
        <v>123.37</v>
      </c>
      <c r="J12" s="21" t="n">
        <v>3911.13</v>
      </c>
      <c r="K12" s="21" t="n">
        <v>8032.02</v>
      </c>
      <c r="L12" s="21" t="n">
        <v>0</v>
      </c>
      <c r="M12" s="21" t="n">
        <v>18385.18</v>
      </c>
      <c r="N12" s="21" t="n">
        <v>15290.55</v>
      </c>
      <c r="O12" s="21" t="n">
        <v>10003.3</v>
      </c>
      <c r="P12" s="21" t="n">
        <v>78025.17</v>
      </c>
      <c r="Q12" s="23" t="n">
        <v>1184.02</v>
      </c>
      <c r="R12" s="163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14" t="n"/>
      <c r="AI12" s="6" t="n"/>
      <c r="AJ12" s="6" t="n"/>
      <c r="AK12" s="6" t="n"/>
      <c r="AL12" s="6" t="n"/>
      <c r="AM12" s="6" t="n"/>
      <c r="AN12" s="6" t="n"/>
      <c r="AO12" s="6" t="n"/>
      <c r="AP12" s="6" t="n"/>
    </row>
    <row r="13">
      <c r="A13" s="22" t="inlineStr">
        <is>
          <t>2025-10</t>
        </is>
      </c>
      <c r="B13" s="21" t="n">
        <v>6923.6</v>
      </c>
      <c r="C13" s="21" t="n">
        <v>1064.74</v>
      </c>
      <c r="D13" s="21" t="n">
        <v>2975</v>
      </c>
      <c r="E13" s="21" t="n">
        <v>1925.82</v>
      </c>
      <c r="F13" s="21" t="n">
        <v>13074.39</v>
      </c>
      <c r="G13" s="21" t="n">
        <v>11676.47</v>
      </c>
      <c r="H13" s="21" t="n">
        <v>8050.38</v>
      </c>
      <c r="I13" s="21" t="n">
        <v>2784.54</v>
      </c>
      <c r="J13" s="21" t="n">
        <v>9541</v>
      </c>
      <c r="K13" s="21" t="n">
        <v>12020.6</v>
      </c>
      <c r="L13" s="21" t="n">
        <v>278</v>
      </c>
      <c r="M13" s="21" t="n">
        <v>12732.19</v>
      </c>
      <c r="N13" s="21" t="n">
        <v>12036.57</v>
      </c>
      <c r="O13" s="21" t="n">
        <v>15273.65</v>
      </c>
      <c r="P13" s="21" t="n">
        <v>20995.46</v>
      </c>
      <c r="Q13" s="23" t="n">
        <v>2639.5</v>
      </c>
      <c r="R13" s="163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14" t="n"/>
      <c r="AI13" s="6" t="n"/>
      <c r="AJ13" s="6" t="n"/>
      <c r="AK13" s="6" t="n"/>
      <c r="AL13" s="6" t="n"/>
      <c r="AM13" s="6" t="n"/>
      <c r="AN13" s="6" t="n"/>
      <c r="AO13" s="6" t="n"/>
      <c r="AP13" s="6" t="n"/>
    </row>
    <row r="14">
      <c r="A14" s="22" t="inlineStr">
        <is>
          <t>2025-11</t>
        </is>
      </c>
      <c r="B14" s="21" t="n">
        <v>0</v>
      </c>
      <c r="C14" s="21" t="n">
        <v>1896.6</v>
      </c>
      <c r="D14" s="21" t="n">
        <v>32376.9</v>
      </c>
      <c r="E14" s="21" t="n">
        <v>350</v>
      </c>
      <c r="F14" s="21" t="n">
        <v>6473.68</v>
      </c>
      <c r="G14" s="21" t="n">
        <v>1459.66</v>
      </c>
      <c r="H14" s="21" t="n">
        <v>447.2</v>
      </c>
      <c r="I14" s="21" t="n">
        <v>4628.84</v>
      </c>
      <c r="J14" s="21" t="n">
        <v>14515.29</v>
      </c>
      <c r="K14" s="21" t="n">
        <v>12843.22</v>
      </c>
      <c r="L14" s="21" t="n">
        <v>1690.6</v>
      </c>
      <c r="M14" s="21" t="n">
        <v>8795.02</v>
      </c>
      <c r="N14" s="21" t="n">
        <v>4497.72</v>
      </c>
      <c r="O14" s="21" t="n">
        <v>8338.970000000001</v>
      </c>
      <c r="P14" s="21" t="n">
        <v>13683.59</v>
      </c>
      <c r="Q14" s="23" t="n">
        <v>0</v>
      </c>
      <c r="R14" s="163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14" t="n"/>
      <c r="AI14" s="6" t="n"/>
      <c r="AJ14" s="6" t="n"/>
      <c r="AK14" s="6" t="n"/>
      <c r="AL14" s="6" t="n"/>
      <c r="AM14" s="6" t="n"/>
      <c r="AN14" s="6" t="n"/>
      <c r="AO14" s="6" t="n"/>
      <c r="AP14" s="6" t="n"/>
    </row>
    <row r="15">
      <c r="A15" s="22" t="inlineStr">
        <is>
          <t>2025-12</t>
        </is>
      </c>
      <c r="B15" s="21" t="n">
        <v>0</v>
      </c>
      <c r="C15" s="21" t="n">
        <v>0</v>
      </c>
      <c r="D15" s="21" t="n">
        <v>11464.06</v>
      </c>
      <c r="E15" s="21" t="n">
        <v>179.38</v>
      </c>
      <c r="F15" s="21" t="n">
        <v>1415.71</v>
      </c>
      <c r="G15" s="21" t="n">
        <v>6320.68</v>
      </c>
      <c r="H15" s="21" t="n">
        <v>7153.18</v>
      </c>
      <c r="I15" s="21" t="n">
        <v>2961.15</v>
      </c>
      <c r="J15" s="21" t="n">
        <v>742.86</v>
      </c>
      <c r="K15" s="21" t="n">
        <v>3192.08</v>
      </c>
      <c r="L15" s="21" t="n">
        <v>2961.14</v>
      </c>
      <c r="M15" s="21" t="n">
        <v>8890.809999999999</v>
      </c>
      <c r="N15" s="21" t="n">
        <v>2394.5</v>
      </c>
      <c r="O15" s="21" t="n">
        <v>2285.59</v>
      </c>
      <c r="P15" s="21" t="n">
        <v>2670.86</v>
      </c>
      <c r="Q15" s="23" t="n">
        <v>0</v>
      </c>
      <c r="R15" s="163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14" t="n"/>
      <c r="AI15" s="6" t="n"/>
      <c r="AJ15" s="6" t="n"/>
      <c r="AK15" s="6" t="n"/>
      <c r="AL15" s="6" t="n"/>
      <c r="AM15" s="6" t="n"/>
      <c r="AN15" s="6" t="n"/>
      <c r="AO15" s="6" t="n"/>
      <c r="AP15" s="6" t="n"/>
    </row>
    <row r="16">
      <c r="A16" s="22" t="inlineStr">
        <is>
          <t>2026-01</t>
        </is>
      </c>
      <c r="B16" s="21" t="n">
        <v>0</v>
      </c>
      <c r="C16" s="21" t="n">
        <v>155.36</v>
      </c>
      <c r="D16" s="21" t="n">
        <v>5762.059999999999</v>
      </c>
      <c r="E16" s="21" t="n">
        <v>108</v>
      </c>
      <c r="F16" s="21" t="n">
        <v>102.26</v>
      </c>
      <c r="G16" s="21" t="n">
        <v>0</v>
      </c>
      <c r="H16" s="21" t="n">
        <v>1072.76</v>
      </c>
      <c r="I16" s="21" t="n">
        <v>1001.77</v>
      </c>
      <c r="J16" s="21" t="n">
        <v>39109.73</v>
      </c>
      <c r="K16" s="21" t="n">
        <v>574.9299999999999</v>
      </c>
      <c r="L16" s="21" t="n">
        <v>1661.42</v>
      </c>
      <c r="M16" s="21" t="n">
        <v>2940.53</v>
      </c>
      <c r="N16" s="21" t="n">
        <v>2315.75</v>
      </c>
      <c r="O16" s="21" t="n">
        <v>612.76</v>
      </c>
      <c r="P16" s="21" t="n">
        <v>836.41</v>
      </c>
      <c r="Q16" s="23" t="n">
        <v>0</v>
      </c>
      <c r="R16" s="163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14" t="n"/>
      <c r="AI16" s="6" t="n"/>
      <c r="AJ16" s="6" t="n"/>
      <c r="AK16" s="6" t="n"/>
      <c r="AL16" s="6" t="n"/>
      <c r="AM16" s="6" t="n"/>
      <c r="AN16" s="6" t="n"/>
      <c r="AO16" s="6" t="n"/>
      <c r="AP16" s="6" t="n"/>
    </row>
    <row r="17">
      <c r="A17" s="22" t="inlineStr">
        <is>
          <t>2026-02</t>
        </is>
      </c>
      <c r="B17" s="21" t="n">
        <v>6122.83</v>
      </c>
      <c r="C17" s="21" t="n">
        <v>1261.29</v>
      </c>
      <c r="D17" s="21" t="n">
        <v>3119.38</v>
      </c>
      <c r="E17" s="21" t="n">
        <v>0</v>
      </c>
      <c r="F17" s="21" t="n">
        <v>7001.82</v>
      </c>
      <c r="G17" s="21" t="n">
        <v>4686.059999999999</v>
      </c>
      <c r="H17" s="21" t="n">
        <v>8644.77</v>
      </c>
      <c r="I17" s="21" t="n">
        <v>2030.96</v>
      </c>
      <c r="J17" s="21" t="n">
        <v>8836.6</v>
      </c>
      <c r="K17" s="21" t="n">
        <v>1261.29</v>
      </c>
      <c r="L17" s="21" t="n">
        <v>1458</v>
      </c>
      <c r="M17" s="21" t="n">
        <v>0</v>
      </c>
      <c r="N17" s="21" t="n">
        <v>1109.25</v>
      </c>
      <c r="O17" s="21" t="n">
        <v>4325.75</v>
      </c>
      <c r="P17" s="21" t="n">
        <v>8593.77</v>
      </c>
      <c r="Q17" s="23" t="n">
        <v>675.03</v>
      </c>
      <c r="R17" s="163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14" t="n"/>
      <c r="AI17" s="6" t="n"/>
      <c r="AJ17" s="6" t="n"/>
      <c r="AK17" s="6" t="n"/>
      <c r="AL17" s="6" t="n"/>
      <c r="AM17" s="6" t="n"/>
      <c r="AN17" s="6" t="n"/>
      <c r="AO17" s="6" t="n"/>
      <c r="AP17" s="6" t="n"/>
    </row>
    <row r="18" ht="15.75" customHeight="1" s="154" thickBot="1">
      <c r="A18" s="24" t="inlineStr">
        <is>
          <t>2026-03</t>
        </is>
      </c>
      <c r="B18" s="25" t="n">
        <v>1779.77</v>
      </c>
      <c r="C18" s="25" t="n">
        <v>463.26</v>
      </c>
      <c r="D18" s="25" t="n">
        <v>6001.23</v>
      </c>
      <c r="E18" s="25" t="n">
        <v>8533.110000000001</v>
      </c>
      <c r="F18" s="25" t="n">
        <v>1574.56</v>
      </c>
      <c r="G18" s="25" t="n">
        <v>1590</v>
      </c>
      <c r="H18" s="25" t="n">
        <v>12662.5</v>
      </c>
      <c r="I18" s="25" t="n">
        <v>5334.440000000001</v>
      </c>
      <c r="J18" s="25" t="n">
        <v>2311.63</v>
      </c>
      <c r="K18" s="25" t="n">
        <v>4659.77</v>
      </c>
      <c r="L18" s="25" t="n">
        <v>5334.45</v>
      </c>
      <c r="M18" s="25" t="n">
        <v>718.64</v>
      </c>
      <c r="N18" s="25" t="n">
        <v>1196.66</v>
      </c>
      <c r="O18" s="25" t="n">
        <v>5289</v>
      </c>
      <c r="P18" s="25" t="n">
        <v>6511.059999999999</v>
      </c>
      <c r="Q18" s="26" t="n">
        <v>0</v>
      </c>
      <c r="R18" s="163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14" t="n"/>
      <c r="AI18" s="6" t="n"/>
      <c r="AJ18" s="6" t="n"/>
      <c r="AK18" s="6" t="n"/>
      <c r="AL18" s="6" t="n"/>
      <c r="AM18" s="6" t="n"/>
      <c r="AN18" s="6" t="n"/>
      <c r="AO18" s="6" t="n"/>
      <c r="AP18" s="6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14" t="n"/>
      <c r="AI19" s="6" t="n"/>
      <c r="AJ19" s="6" t="n"/>
      <c r="AK19" s="6" t="n"/>
      <c r="AL19" s="6" t="n"/>
      <c r="AM19" s="6" t="n"/>
      <c r="AN19" s="6" t="n"/>
      <c r="AO19" s="6" t="n"/>
      <c r="A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14" t="n"/>
      <c r="AI20" s="6" t="n"/>
      <c r="AJ20" s="6" t="n"/>
      <c r="AK20" s="6" t="n"/>
      <c r="AL20" s="6" t="n"/>
      <c r="AM20" s="6" t="n"/>
      <c r="AN20" s="6" t="n"/>
      <c r="AO20" s="6" t="n"/>
      <c r="AP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14" t="n"/>
      <c r="AI21" s="6" t="n"/>
      <c r="AJ21" s="6" t="n"/>
      <c r="AK21" s="6" t="n"/>
      <c r="AL21" s="6" t="n"/>
      <c r="AM21" s="6" t="n"/>
      <c r="AN21" s="6" t="n"/>
      <c r="AO21" s="6" t="n"/>
      <c r="AP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14" t="n"/>
      <c r="AI22" s="6" t="n"/>
      <c r="AJ22" s="6" t="n"/>
      <c r="AK22" s="6" t="n"/>
      <c r="AL22" s="6" t="n"/>
      <c r="AM22" s="6" t="n"/>
      <c r="AN22" s="6" t="n"/>
      <c r="AO22" s="6" t="n"/>
      <c r="AP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14" t="n"/>
      <c r="AI23" s="6" t="n"/>
      <c r="AJ23" s="6" t="n"/>
      <c r="AK23" s="6" t="n"/>
      <c r="AL23" s="6" t="n"/>
      <c r="AM23" s="6" t="n"/>
      <c r="AN23" s="6" t="n"/>
      <c r="AO23" s="6" t="n"/>
      <c r="AP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14" t="n"/>
      <c r="AI24" s="6" t="n"/>
      <c r="AJ24" s="6" t="n"/>
      <c r="AK24" s="6" t="n"/>
      <c r="AL24" s="6" t="n"/>
      <c r="AM24" s="6" t="n"/>
      <c r="AN24" s="6" t="n"/>
      <c r="AO24" s="6" t="n"/>
      <c r="AP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14" t="n"/>
      <c r="AI25" s="6" t="n"/>
      <c r="AJ25" s="6" t="n"/>
      <c r="AK25" s="6" t="n"/>
      <c r="AL25" s="6" t="n"/>
      <c r="AM25" s="6" t="n"/>
      <c r="AN25" s="6" t="n"/>
      <c r="AO25" s="6" t="n"/>
      <c r="AP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14" t="n"/>
      <c r="AI26" s="6" t="n"/>
      <c r="AJ26" s="6" t="n"/>
      <c r="AK26" s="6" t="n"/>
      <c r="AL26" s="6" t="n"/>
      <c r="AM26" s="6" t="n"/>
      <c r="AN26" s="6" t="n"/>
      <c r="AO26" s="6" t="n"/>
      <c r="AP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14" t="n"/>
      <c r="AI27" s="6" t="n"/>
      <c r="AJ27" s="6" t="n"/>
      <c r="AK27" s="6" t="n"/>
      <c r="AL27" s="6" t="n"/>
      <c r="AM27" s="6" t="n"/>
      <c r="AN27" s="6" t="n"/>
      <c r="AO27" s="6" t="n"/>
      <c r="AP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14" t="n"/>
      <c r="AI28" s="6" t="n"/>
      <c r="AJ28" s="6" t="n"/>
      <c r="AK28" s="6" t="n"/>
      <c r="AL28" s="6" t="n"/>
      <c r="AM28" s="6" t="n"/>
      <c r="AN28" s="6" t="n"/>
      <c r="AO28" s="6" t="n"/>
      <c r="AP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14" t="n"/>
      <c r="AI29" s="6" t="n"/>
      <c r="AJ29" s="6" t="n"/>
      <c r="AK29" s="6" t="n"/>
      <c r="AL29" s="6" t="n"/>
      <c r="AM29" s="6" t="n"/>
      <c r="AN29" s="6" t="n"/>
      <c r="AO29" s="6" t="n"/>
      <c r="AP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14" t="n"/>
      <c r="AI30" s="6" t="n"/>
      <c r="AJ30" s="6" t="n"/>
      <c r="AK30" s="6" t="n"/>
      <c r="AL30" s="6" t="n"/>
      <c r="AM30" s="6" t="n"/>
      <c r="AN30" s="6" t="n"/>
      <c r="AO30" s="6" t="n"/>
      <c r="AP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14" t="n"/>
      <c r="AI31" s="6" t="n"/>
      <c r="AJ31" s="6" t="n"/>
      <c r="AK31" s="6" t="n"/>
      <c r="AL31" s="6" t="n"/>
      <c r="AM31" s="6" t="n"/>
      <c r="AN31" s="6" t="n"/>
      <c r="AO31" s="6" t="n"/>
      <c r="AP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14" t="n"/>
      <c r="AI32" s="6" t="n"/>
      <c r="AJ32" s="6" t="n"/>
      <c r="AK32" s="6" t="n"/>
      <c r="AL32" s="6" t="n"/>
      <c r="AM32" s="6" t="n"/>
      <c r="AN32" s="6" t="n"/>
      <c r="AO32" s="6" t="n"/>
      <c r="AP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14" t="n"/>
      <c r="AI33" s="6" t="n"/>
      <c r="AJ33" s="6" t="n"/>
      <c r="AK33" s="6" t="n"/>
      <c r="AL33" s="6" t="n"/>
      <c r="AM33" s="6" t="n"/>
      <c r="AN33" s="6" t="n"/>
      <c r="AO33" s="6" t="n"/>
      <c r="AP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14" t="n"/>
      <c r="AI34" s="6" t="n"/>
      <c r="AJ34" s="6" t="n"/>
      <c r="AK34" s="6" t="n"/>
      <c r="AL34" s="6" t="n"/>
      <c r="AM34" s="6" t="n"/>
      <c r="AN34" s="6" t="n"/>
      <c r="AO34" s="6" t="n"/>
      <c r="AP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14" t="n"/>
      <c r="AI35" s="6" t="n"/>
      <c r="AJ35" s="6" t="n"/>
      <c r="AK35" s="6" t="n"/>
      <c r="AL35" s="6" t="n"/>
      <c r="AM35" s="6" t="n"/>
      <c r="AN35" s="6" t="n"/>
      <c r="AO35" s="6" t="n"/>
      <c r="AP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14" t="n"/>
      <c r="AI36" s="6" t="n"/>
      <c r="AJ36" s="6" t="n"/>
      <c r="AK36" s="6" t="n"/>
      <c r="AL36" s="6" t="n"/>
      <c r="AM36" s="6" t="n"/>
      <c r="AN36" s="6" t="n"/>
      <c r="AO36" s="6" t="n"/>
      <c r="AP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14" t="n"/>
      <c r="AI37" s="6" t="n"/>
      <c r="AJ37" s="6" t="n"/>
      <c r="AK37" s="6" t="n"/>
      <c r="AL37" s="6" t="n"/>
      <c r="AM37" s="6" t="n"/>
      <c r="AN37" s="6" t="n"/>
      <c r="AO37" s="6" t="n"/>
      <c r="AP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14" t="n"/>
      <c r="AI38" s="6" t="n"/>
      <c r="AJ38" s="6" t="n"/>
      <c r="AK38" s="6" t="n"/>
      <c r="AL38" s="6" t="n"/>
      <c r="AM38" s="6" t="n"/>
      <c r="AN38" s="6" t="n"/>
      <c r="AO38" s="6" t="n"/>
      <c r="AP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V32" sqref="V32"/>
    </sheetView>
  </sheetViews>
  <sheetFormatPr baseColWidth="8" defaultRowHeight="15"/>
  <cols>
    <col width="9" customWidth="1" style="154" min="1" max="1"/>
    <col width="13.28515625" customWidth="1" style="156" min="2" max="2"/>
    <col width="11.85546875" customWidth="1" style="154" min="3" max="3"/>
    <col width="12" customWidth="1" style="154" min="4" max="4"/>
  </cols>
  <sheetData>
    <row r="1" ht="15.75" customHeight="1" s="154" thickBot="1">
      <c r="A1" s="6" t="n"/>
      <c r="B1" s="43" t="n"/>
      <c r="C1" s="42" t="n"/>
      <c r="D1" s="163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</row>
    <row r="2" ht="15.75" customHeight="1" s="154" thickBot="1">
      <c r="A2" s="37" t="n"/>
      <c r="B2" s="44" t="inlineStr">
        <is>
          <t>mes_nf</t>
        </is>
      </c>
      <c r="C2" s="40" t="inlineStr">
        <is>
          <t>HYUNDAI</t>
        </is>
      </c>
      <c r="D2" s="41" t="inlineStr">
        <is>
          <t>LIEBHERR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</row>
    <row r="3">
      <c r="A3" s="37" t="n"/>
      <c r="B3" s="45" t="inlineStr">
        <is>
          <t>2025-01</t>
        </is>
      </c>
      <c r="C3" s="193" t="n">
        <v>4322.621875</v>
      </c>
      <c r="D3" s="194" t="n">
        <v>2960.812857142857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</row>
    <row r="4">
      <c r="A4" s="14" t="n"/>
      <c r="B4" s="46" t="inlineStr">
        <is>
          <t>2025-02</t>
        </is>
      </c>
      <c r="C4" s="195" t="n">
        <v>3697.6025</v>
      </c>
      <c r="D4" s="196" t="n">
        <v>2604.99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</row>
    <row r="5">
      <c r="A5" s="38" t="n"/>
      <c r="B5" s="46" t="inlineStr">
        <is>
          <t>2025-03</t>
        </is>
      </c>
      <c r="C5" s="195" t="n">
        <v>5385.401875</v>
      </c>
      <c r="D5" s="196" t="n">
        <v>2187.701428571429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</row>
    <row r="6">
      <c r="A6" s="38" t="n"/>
      <c r="B6" s="47" t="inlineStr">
        <is>
          <t>2025-04</t>
        </is>
      </c>
      <c r="C6" s="197" t="n">
        <v>7248.631875</v>
      </c>
      <c r="D6" s="196" t="n">
        <v>3980.387142857143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</row>
    <row r="7">
      <c r="A7" s="38" t="n"/>
      <c r="B7" s="47" t="inlineStr">
        <is>
          <t>2025-05</t>
        </is>
      </c>
      <c r="C7" s="197" t="n">
        <v>6000.876875</v>
      </c>
      <c r="D7" s="196" t="n">
        <v>2647.767142857143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>
      <c r="A8" s="38" t="n"/>
      <c r="B8" s="47" t="inlineStr">
        <is>
          <t>2025-06</t>
        </is>
      </c>
      <c r="C8" s="197" t="n">
        <v>5823.905</v>
      </c>
      <c r="D8" s="196" t="n">
        <v>6951.374285714286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</row>
    <row r="9">
      <c r="A9" s="38" t="n"/>
      <c r="B9" s="47" t="inlineStr">
        <is>
          <t>2025-07</t>
        </is>
      </c>
      <c r="C9" s="197" t="n">
        <v>6224.14625</v>
      </c>
      <c r="D9" s="196" t="n">
        <v>7570.985714285714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</row>
    <row r="10">
      <c r="A10" s="38" t="n"/>
      <c r="B10" s="47" t="inlineStr">
        <is>
          <t>2025-08</t>
        </is>
      </c>
      <c r="C10" s="197" t="n">
        <v>6999.84</v>
      </c>
      <c r="D10" s="196" t="n">
        <v>38645.76857142857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</row>
    <row r="11">
      <c r="A11" s="38" t="n"/>
      <c r="B11" s="47" t="inlineStr">
        <is>
          <t>2025-09</t>
        </is>
      </c>
      <c r="C11" s="197" t="n">
        <v>11282.256875</v>
      </c>
      <c r="D11" s="196" t="n">
        <v>10434.79714285714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</row>
    <row r="12">
      <c r="A12" s="38" t="n"/>
      <c r="B12" s="47" t="inlineStr">
        <is>
          <t>2025-10</t>
        </is>
      </c>
      <c r="C12" s="197" t="n">
        <v>8374.494375</v>
      </c>
      <c r="D12" s="196" t="n">
        <v>10797.59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</row>
    <row r="13">
      <c r="A13" s="38" t="n"/>
      <c r="B13" s="47" t="inlineStr">
        <is>
          <t>2025-11</t>
        </is>
      </c>
      <c r="C13" s="197" t="n">
        <v>6999.830625000001</v>
      </c>
      <c r="D13" s="196" t="n">
        <v>11124.55714285714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</row>
    <row r="14">
      <c r="A14" s="38" t="n"/>
      <c r="B14" s="47" t="inlineStr">
        <is>
          <t>2025-12</t>
        </is>
      </c>
      <c r="C14" s="197" t="n">
        <v>3289.5</v>
      </c>
      <c r="D14" s="196" t="n">
        <v>4927.62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</row>
    <row r="15">
      <c r="A15" s="38" t="n"/>
      <c r="B15" s="47" t="inlineStr">
        <is>
          <t>2026-01</t>
        </is>
      </c>
      <c r="C15" s="197" t="n">
        <v>3515.85875</v>
      </c>
      <c r="D15" s="196" t="n">
        <v>6774.86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</row>
    <row r="16">
      <c r="A16" s="39" t="n"/>
      <c r="B16" s="47" t="inlineStr">
        <is>
          <t>2026-02</t>
        </is>
      </c>
      <c r="C16" s="197" t="n">
        <v>3695.425</v>
      </c>
      <c r="D16" s="196" t="n">
        <v>4016.612857142857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</row>
    <row r="17" ht="15.75" customHeight="1" s="154" thickBot="1">
      <c r="A17" s="17" t="n"/>
      <c r="B17" s="48" t="inlineStr">
        <is>
          <t>2026-03</t>
        </is>
      </c>
      <c r="C17" s="198" t="n">
        <v>3997.505</v>
      </c>
      <c r="D17" s="199" t="n">
        <v>8445.974285714286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</row>
    <row r="18">
      <c r="A18" s="6" t="n"/>
      <c r="B18" s="49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</row>
    <row r="19">
      <c r="A19" s="6" t="n"/>
      <c r="B19" s="49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</row>
    <row r="20">
      <c r="A20" s="6" t="n"/>
      <c r="B20" s="49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</row>
    <row r="21">
      <c r="A21" s="6" t="n"/>
      <c r="B21" s="49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</row>
    <row r="22">
      <c r="A22" s="6" t="n"/>
      <c r="B22" s="49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</row>
    <row r="23">
      <c r="A23" s="6" t="n"/>
      <c r="B23" s="49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</row>
    <row r="24">
      <c r="A24" s="6" t="n"/>
      <c r="B24" s="49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</row>
    <row r="25">
      <c r="A25" s="6" t="n"/>
      <c r="B25" s="49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</row>
    <row r="26">
      <c r="A26" s="6" t="n"/>
      <c r="B26" s="49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</row>
    <row r="27">
      <c r="A27" s="6" t="n"/>
      <c r="B27" s="49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</row>
    <row r="28">
      <c r="A28" s="6" t="n"/>
      <c r="B28" s="49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</row>
    <row r="29">
      <c r="A29" s="6" t="n"/>
      <c r="B29" s="49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</row>
    <row r="30">
      <c r="A30" s="6" t="n"/>
      <c r="B30" s="49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</row>
    <row r="31">
      <c r="A31" s="6" t="n"/>
      <c r="B31" s="49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</row>
    <row r="32">
      <c r="A32" s="6" t="n"/>
      <c r="B32" s="49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</row>
    <row r="33">
      <c r="A33" s="6" t="n"/>
      <c r="B33" s="49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</row>
    <row r="34">
      <c r="A34" s="6" t="n"/>
      <c r="B34" s="49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</row>
    <row r="35">
      <c r="A35" s="6" t="n"/>
      <c r="B35" s="49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</row>
    <row r="36">
      <c r="A36" s="6" t="n"/>
      <c r="B36" s="49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</row>
    <row r="37">
      <c r="A37" s="6" t="n"/>
      <c r="B37" s="49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</row>
    <row r="38">
      <c r="A38" s="6" t="n"/>
      <c r="B38" s="49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</row>
    <row r="39">
      <c r="A39" s="6" t="n"/>
      <c r="B39" s="49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</row>
    <row r="40">
      <c r="A40" s="6" t="n"/>
      <c r="B40" s="49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</row>
    <row r="41">
      <c r="A41" s="6" t="n"/>
      <c r="B41" s="49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</row>
    <row r="42">
      <c r="A42" s="6" t="n"/>
      <c r="B42" s="49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</row>
    <row r="43">
      <c r="A43" s="6" t="n"/>
      <c r="B43" s="49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</row>
    <row r="44">
      <c r="A44" s="6" t="n"/>
      <c r="B44" s="49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</row>
    <row r="45">
      <c r="A45" s="6" t="n"/>
      <c r="B45" s="49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</row>
    <row r="46">
      <c r="A46" s="6" t="n"/>
      <c r="B46" s="49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</row>
    <row r="47">
      <c r="A47" s="6" t="n"/>
      <c r="B47" s="49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</row>
    <row r="48">
      <c r="A48" s="6" t="n"/>
      <c r="B48" s="49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</row>
    <row r="49">
      <c r="A49" s="6" t="n"/>
      <c r="B49" s="49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</row>
    <row r="50">
      <c r="A50" s="6" t="n"/>
      <c r="B50" s="49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</row>
    <row r="51">
      <c r="A51" s="6" t="n"/>
      <c r="B51" s="49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</row>
    <row r="52">
      <c r="A52" s="6" t="n"/>
      <c r="B52" s="49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</row>
    <row r="53">
      <c r="A53" s="6" t="n"/>
      <c r="B53" s="49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</row>
    <row r="54">
      <c r="A54" s="6" t="n"/>
      <c r="B54" s="49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</row>
    <row r="55">
      <c r="A55" s="6" t="n"/>
      <c r="B55" s="49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</row>
    <row r="56">
      <c r="A56" s="6" t="n"/>
      <c r="B56" s="49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</row>
    <row r="57">
      <c r="A57" s="6" t="n"/>
      <c r="B57" s="49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</row>
    <row r="58">
      <c r="A58" s="6" t="n"/>
      <c r="B58" s="49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</row>
    <row r="59">
      <c r="A59" s="6" t="n"/>
      <c r="B59" s="49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</row>
    <row r="60">
      <c r="A60" s="6" t="n"/>
      <c r="B60" s="49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</row>
    <row r="61">
      <c r="A61" s="6" t="n"/>
      <c r="B61" s="49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</row>
    <row r="62">
      <c r="A62" s="6" t="n"/>
      <c r="B62" s="49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</row>
    <row r="63">
      <c r="A63" s="6" t="n"/>
      <c r="B63" s="49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</row>
    <row r="64">
      <c r="A64" s="6" t="n"/>
      <c r="B64" s="49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</row>
    <row r="65">
      <c r="A65" s="6" t="n"/>
      <c r="B65" s="49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</row>
    <row r="66">
      <c r="A66" s="6" t="n"/>
      <c r="B66" s="49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</row>
    <row r="67">
      <c r="A67" s="6" t="n"/>
      <c r="B67" s="49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</row>
    <row r="68">
      <c r="A68" s="6" t="n"/>
      <c r="B68" s="49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</row>
    <row r="69">
      <c r="A69" s="6" t="n"/>
      <c r="B69" s="49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</row>
    <row r="70">
      <c r="A70" s="6" t="n"/>
      <c r="B70" s="49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</row>
    <row r="71">
      <c r="A71" s="6" t="n"/>
      <c r="B71" s="49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</row>
    <row r="72">
      <c r="A72" s="6" t="n"/>
      <c r="B72" s="49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</row>
    <row r="73">
      <c r="A73" s="6" t="n"/>
      <c r="B73" s="49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</row>
    <row r="74">
      <c r="A74" s="6" t="n"/>
      <c r="B74" s="49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</row>
    <row r="75">
      <c r="A75" s="6" t="n"/>
      <c r="B75" s="49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</row>
    <row r="76">
      <c r="A76" s="6" t="n"/>
      <c r="B76" s="49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</row>
    <row r="77">
      <c r="A77" s="6" t="n"/>
      <c r="B77" s="49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</row>
    <row r="78">
      <c r="A78" s="6" t="n"/>
      <c r="B78" s="49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</row>
    <row r="79">
      <c r="A79" s="6" t="n"/>
      <c r="B79" s="49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</row>
    <row r="80">
      <c r="A80" s="6" t="n"/>
      <c r="B80" s="49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</row>
    <row r="81">
      <c r="A81" s="6" t="n"/>
      <c r="B81" s="49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</row>
    <row r="82">
      <c r="A82" s="6" t="n"/>
      <c r="B82" s="49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</row>
    <row r="83">
      <c r="A83" s="6" t="n"/>
      <c r="B83" s="49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</row>
    <row r="84">
      <c r="A84" s="6" t="n"/>
      <c r="B84" s="49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</row>
    <row r="85">
      <c r="A85" s="6" t="n"/>
      <c r="B85" s="49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</row>
    <row r="86">
      <c r="A86" s="6" t="n"/>
      <c r="B86" s="49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</row>
    <row r="87">
      <c r="A87" s="6" t="n"/>
      <c r="B87" s="49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</row>
    <row r="88">
      <c r="A88" s="6" t="n"/>
      <c r="B88" s="49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</row>
    <row r="89">
      <c r="A89" s="6" t="n"/>
      <c r="B89" s="49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</row>
    <row r="90">
      <c r="A90" s="6" t="n"/>
      <c r="B90" s="49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</row>
    <row r="91">
      <c r="A91" s="6" t="n"/>
      <c r="B91" s="49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</row>
    <row r="92">
      <c r="A92" s="6" t="n"/>
      <c r="B92" s="49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</row>
    <row r="93">
      <c r="A93" s="6" t="n"/>
      <c r="B93" s="49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</row>
    <row r="94">
      <c r="A94" s="6" t="n"/>
      <c r="B94" s="49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</row>
    <row r="95">
      <c r="A95" s="6" t="n"/>
      <c r="B95" s="49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</row>
    <row r="96">
      <c r="A96" s="6" t="n"/>
      <c r="B96" s="49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</row>
    <row r="97">
      <c r="A97" s="6" t="n"/>
      <c r="B97" s="49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</row>
    <row r="98">
      <c r="A98" s="6" t="n"/>
      <c r="B98" s="49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</row>
    <row r="99">
      <c r="A99" s="6" t="n"/>
      <c r="B99" s="49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</row>
    <row r="100">
      <c r="A100" s="6" t="n"/>
      <c r="B100" s="49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</row>
    <row r="101">
      <c r="A101" s="6" t="n"/>
      <c r="B101" s="49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</row>
    <row r="102">
      <c r="A102" s="6" t="n"/>
      <c r="B102" s="49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</row>
    <row r="103">
      <c r="A103" s="6" t="n"/>
      <c r="B103" s="49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</row>
    <row r="104">
      <c r="A104" s="6" t="n"/>
      <c r="B104" s="49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</row>
    <row r="105">
      <c r="A105" s="6" t="n"/>
      <c r="B105" s="49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</row>
    <row r="106">
      <c r="A106" s="6" t="n"/>
      <c r="B106" s="49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</row>
    <row r="107">
      <c r="A107" s="6" t="n"/>
      <c r="B107" s="49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</row>
    <row r="108">
      <c r="A108" s="6" t="n"/>
      <c r="B108" s="49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</row>
    <row r="109">
      <c r="A109" s="6" t="n"/>
      <c r="B109" s="49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</row>
    <row r="110">
      <c r="A110" s="6" t="n"/>
      <c r="B110" s="49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</row>
    <row r="111">
      <c r="A111" s="6" t="n"/>
      <c r="B111" s="49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</row>
    <row r="112">
      <c r="A112" s="6" t="n"/>
      <c r="B112" s="49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</row>
    <row r="113">
      <c r="A113" s="6" t="n"/>
      <c r="B113" s="49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</row>
    <row r="114">
      <c r="A114" s="6" t="n"/>
      <c r="B114" s="49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</row>
    <row r="115">
      <c r="A115" s="6" t="n"/>
      <c r="B115" s="49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</row>
    <row r="116">
      <c r="A116" s="6" t="n"/>
      <c r="B116" s="49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</row>
    <row r="117">
      <c r="A117" s="6" t="n"/>
      <c r="B117" s="49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</row>
    <row r="118">
      <c r="A118" s="6" t="n"/>
      <c r="B118" s="49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</row>
    <row r="119">
      <c r="A119" s="6" t="n"/>
      <c r="B119" s="49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</row>
    <row r="120">
      <c r="A120" s="6" t="n"/>
      <c r="B120" s="49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</row>
    <row r="121">
      <c r="A121" s="6" t="n"/>
      <c r="B121" s="49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</row>
    <row r="122">
      <c r="A122" s="6" t="n"/>
      <c r="B122" s="49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</row>
    <row r="123">
      <c r="A123" s="6" t="n"/>
      <c r="B123" s="49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</row>
    <row r="124">
      <c r="A124" s="6" t="n"/>
      <c r="B124" s="49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</row>
    <row r="125">
      <c r="A125" s="6" t="n"/>
      <c r="B125" s="49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</row>
    <row r="126">
      <c r="A126" s="6" t="n"/>
      <c r="B126" s="49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</row>
    <row r="127">
      <c r="A127" s="6" t="n"/>
      <c r="B127" s="49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</row>
    <row r="128">
      <c r="A128" s="6" t="n"/>
      <c r="B128" s="49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</row>
    <row r="129">
      <c r="A129" s="6" t="n"/>
      <c r="B129" s="49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</row>
    <row r="130">
      <c r="A130" s="6" t="n"/>
      <c r="B130" s="49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</row>
    <row r="131">
      <c r="A131" s="6" t="n"/>
      <c r="B131" s="49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</row>
    <row r="132">
      <c r="A132" s="6" t="n"/>
      <c r="B132" s="49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</row>
    <row r="133">
      <c r="A133" s="6" t="n"/>
      <c r="B133" s="49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</row>
    <row r="134">
      <c r="A134" s="6" t="n"/>
      <c r="B134" s="49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</row>
    <row r="135">
      <c r="A135" s="6" t="n"/>
      <c r="B135" s="49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</row>
    <row r="136">
      <c r="A136" s="6" t="n"/>
      <c r="B136" s="49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</row>
    <row r="137">
      <c r="A137" s="6" t="n"/>
      <c r="B137" s="49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</row>
    <row r="138">
      <c r="A138" s="6" t="n"/>
      <c r="B138" s="49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</row>
    <row r="139">
      <c r="A139" s="6" t="n"/>
      <c r="B139" s="49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</row>
    <row r="140">
      <c r="A140" s="6" t="n"/>
      <c r="B140" s="49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</row>
    <row r="141">
      <c r="A141" s="6" t="n"/>
      <c r="B141" s="49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</row>
    <row r="142">
      <c r="A142" s="6" t="n"/>
      <c r="B142" s="49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</row>
    <row r="143">
      <c r="A143" s="6" t="n"/>
      <c r="B143" s="49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</row>
    <row r="144">
      <c r="A144" s="6" t="n"/>
      <c r="B144" s="49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</row>
    <row r="145">
      <c r="A145" s="6" t="n"/>
      <c r="B145" s="49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</row>
    <row r="146">
      <c r="A146" s="6" t="n"/>
      <c r="B146" s="49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</row>
    <row r="147">
      <c r="A147" s="6" t="n"/>
      <c r="B147" s="49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</row>
    <row r="148">
      <c r="A148" s="6" t="n"/>
      <c r="B148" s="49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</row>
    <row r="149">
      <c r="A149" s="6" t="n"/>
      <c r="B149" s="49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</row>
    <row r="150">
      <c r="A150" s="6" t="n"/>
      <c r="B150" s="49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J25" sqref="J25"/>
    </sheetView>
  </sheetViews>
  <sheetFormatPr baseColWidth="8" defaultRowHeight="15"/>
  <cols>
    <col width="22" customWidth="1" style="154" min="1" max="1"/>
    <col width="10" customWidth="1" style="154" min="2" max="2"/>
    <col width="9" customWidth="1" style="154" min="3" max="3"/>
    <col width="21" customWidth="1" style="154" min="4" max="4"/>
    <col width="20" customWidth="1" style="154" min="5" max="5"/>
    <col width="15.140625" customWidth="1" style="154" min="6" max="6"/>
  </cols>
  <sheetData>
    <row r="1">
      <c r="A1" s="164" t="inlineStr">
        <is>
          <t>Parque completo. Inserir → Tabela Dinâmica → Slicer em Máquina para escolher quais linhas ver.</t>
        </is>
      </c>
    </row>
    <row r="3">
      <c r="A3" t="inlineStr">
        <is>
          <t>Mês</t>
        </is>
      </c>
      <c r="B3" t="inlineStr">
        <is>
          <t>Marca</t>
        </is>
      </c>
      <c r="C3" t="inlineStr">
        <is>
          <t>Máquina</t>
        </is>
      </c>
      <c r="D3" t="inlineStr">
        <is>
          <t>Local</t>
        </is>
      </c>
      <c r="E3" t="inlineStr">
        <is>
          <t>Gasto</t>
        </is>
      </c>
    </row>
    <row r="4">
      <c r="A4" t="inlineStr">
        <is>
          <t>2025-01</t>
        </is>
      </c>
      <c r="B4" t="inlineStr">
        <is>
          <t>HYUNDAI</t>
        </is>
      </c>
      <c r="C4" t="inlineStr">
        <is>
          <t>EHH0002</t>
        </is>
      </c>
      <c r="D4" t="inlineStr">
        <is>
          <t>Maringá</t>
        </is>
      </c>
      <c r="E4" s="5" t="n">
        <v>1145.4</v>
      </c>
    </row>
    <row r="5">
      <c r="A5" t="inlineStr">
        <is>
          <t>2025-02</t>
        </is>
      </c>
      <c r="B5" t="inlineStr">
        <is>
          <t>HYUNDAI</t>
        </is>
      </c>
      <c r="C5" t="inlineStr">
        <is>
          <t>EHH0002</t>
        </is>
      </c>
      <c r="D5" t="inlineStr">
        <is>
          <t>Maringá</t>
        </is>
      </c>
      <c r="E5" s="5" t="n">
        <v>230</v>
      </c>
    </row>
    <row r="6">
      <c r="A6" t="inlineStr">
        <is>
          <t>2025-04</t>
        </is>
      </c>
      <c r="B6" t="inlineStr">
        <is>
          <t>HYUNDAI</t>
        </is>
      </c>
      <c r="C6" t="inlineStr">
        <is>
          <t>EHH0002</t>
        </is>
      </c>
      <c r="D6" t="inlineStr">
        <is>
          <t>Maringá</t>
        </is>
      </c>
      <c r="E6" s="5" t="n">
        <v>1862.1</v>
      </c>
    </row>
    <row r="7">
      <c r="A7" t="inlineStr">
        <is>
          <t>2025-08</t>
        </is>
      </c>
      <c r="B7" t="inlineStr">
        <is>
          <t>HYUNDAI</t>
        </is>
      </c>
      <c r="C7" t="inlineStr">
        <is>
          <t>EHH0002</t>
        </is>
      </c>
      <c r="D7" t="inlineStr">
        <is>
          <t>Maringá</t>
        </is>
      </c>
      <c r="E7" s="5" t="n">
        <v>3031.18</v>
      </c>
    </row>
    <row r="8">
      <c r="A8" t="inlineStr">
        <is>
          <t>2025-09</t>
        </is>
      </c>
      <c r="B8" t="inlineStr">
        <is>
          <t>HYUNDAI</t>
        </is>
      </c>
      <c r="C8" t="inlineStr">
        <is>
          <t>EHH0002</t>
        </is>
      </c>
      <c r="D8" t="inlineStr">
        <is>
          <t>Maringá</t>
        </is>
      </c>
      <c r="E8" s="5" t="n">
        <v>3299.52</v>
      </c>
    </row>
    <row r="9">
      <c r="A9" t="inlineStr">
        <is>
          <t>2025-10</t>
        </is>
      </c>
      <c r="B9" t="inlineStr">
        <is>
          <t>HYUNDAI</t>
        </is>
      </c>
      <c r="C9" t="inlineStr">
        <is>
          <t>EHH0002</t>
        </is>
      </c>
      <c r="D9" t="inlineStr">
        <is>
          <t>Maringá</t>
        </is>
      </c>
      <c r="E9" s="5" t="n">
        <v>6923.6</v>
      </c>
    </row>
    <row r="10">
      <c r="A10" t="inlineStr">
        <is>
          <t>2026-02</t>
        </is>
      </c>
      <c r="B10" t="inlineStr">
        <is>
          <t>HYUNDAI</t>
        </is>
      </c>
      <c r="C10" t="inlineStr">
        <is>
          <t>EHH0002</t>
        </is>
      </c>
      <c r="D10" t="inlineStr">
        <is>
          <t>Maringá</t>
        </is>
      </c>
      <c r="E10" s="5" t="n">
        <v>6122.83</v>
      </c>
    </row>
    <row r="11">
      <c r="A11" t="inlineStr">
        <is>
          <t>2026-03</t>
        </is>
      </c>
      <c r="B11" t="inlineStr">
        <is>
          <t>HYUNDAI</t>
        </is>
      </c>
      <c r="C11" t="inlineStr">
        <is>
          <t>EHH0002</t>
        </is>
      </c>
      <c r="D11" t="inlineStr">
        <is>
          <t>Maringá</t>
        </is>
      </c>
      <c r="E11" s="5" t="n">
        <v>1779.77</v>
      </c>
    </row>
    <row r="12">
      <c r="A12" t="inlineStr">
        <is>
          <t>2025-01</t>
        </is>
      </c>
      <c r="B12" t="inlineStr">
        <is>
          <t>HYUNDAI</t>
        </is>
      </c>
      <c r="C12" t="inlineStr">
        <is>
          <t>EHH0003</t>
        </is>
      </c>
      <c r="D12" t="inlineStr">
        <is>
          <t>Tupy</t>
        </is>
      </c>
      <c r="E12" s="5" t="n">
        <v>4573.73</v>
      </c>
    </row>
    <row r="13">
      <c r="A13" t="inlineStr">
        <is>
          <t>2025-02</t>
        </is>
      </c>
      <c r="B13" t="inlineStr">
        <is>
          <t>HYUNDAI</t>
        </is>
      </c>
      <c r="C13" t="inlineStr">
        <is>
          <t>EHH0003</t>
        </is>
      </c>
      <c r="D13" t="inlineStr">
        <is>
          <t>Tupy</t>
        </is>
      </c>
      <c r="E13" s="5" t="n">
        <v>9620.440000000001</v>
      </c>
    </row>
    <row r="14">
      <c r="A14" t="inlineStr">
        <is>
          <t>2025-03</t>
        </is>
      </c>
      <c r="B14" t="inlineStr">
        <is>
          <t>HYUNDAI</t>
        </is>
      </c>
      <c r="C14" t="inlineStr">
        <is>
          <t>EHH0003</t>
        </is>
      </c>
      <c r="D14" t="inlineStr">
        <is>
          <t>Tupy</t>
        </is>
      </c>
      <c r="E14" s="5" t="n">
        <v>357.5</v>
      </c>
    </row>
    <row r="15">
      <c r="A15" t="inlineStr">
        <is>
          <t>2025-04</t>
        </is>
      </c>
      <c r="B15" t="inlineStr">
        <is>
          <t>HYUNDAI</t>
        </is>
      </c>
      <c r="C15" t="inlineStr">
        <is>
          <t>EHH0003</t>
        </is>
      </c>
      <c r="D15" t="inlineStr">
        <is>
          <t>Tupy</t>
        </is>
      </c>
      <c r="E15" s="5" t="n">
        <v>597.6</v>
      </c>
    </row>
    <row r="16">
      <c r="A16" t="inlineStr">
        <is>
          <t>2025-10</t>
        </is>
      </c>
      <c r="B16" t="inlineStr">
        <is>
          <t>HYUNDAI</t>
        </is>
      </c>
      <c r="C16" t="inlineStr">
        <is>
          <t>EHH0003</t>
        </is>
      </c>
      <c r="D16" t="inlineStr">
        <is>
          <t>Tupy</t>
        </is>
      </c>
      <c r="E16" s="5" t="n">
        <v>1064.74</v>
      </c>
    </row>
    <row r="17">
      <c r="A17" t="inlineStr">
        <is>
          <t>2025-11</t>
        </is>
      </c>
      <c r="B17" t="inlineStr">
        <is>
          <t>HYUNDAI</t>
        </is>
      </c>
      <c r="C17" t="inlineStr">
        <is>
          <t>EHH0003</t>
        </is>
      </c>
      <c r="D17" t="inlineStr">
        <is>
          <t>Tupy</t>
        </is>
      </c>
      <c r="E17" s="5" t="n">
        <v>1896.6</v>
      </c>
    </row>
    <row r="18">
      <c r="A18" t="inlineStr">
        <is>
          <t>2026-01</t>
        </is>
      </c>
      <c r="B18" t="inlineStr">
        <is>
          <t>HYUNDAI</t>
        </is>
      </c>
      <c r="C18" t="inlineStr">
        <is>
          <t>EHH0003</t>
        </is>
      </c>
      <c r="D18" t="inlineStr">
        <is>
          <t>Tupy</t>
        </is>
      </c>
      <c r="E18" s="5" t="n">
        <v>155.36</v>
      </c>
    </row>
    <row r="19">
      <c r="A19" t="inlineStr">
        <is>
          <t>2026-02</t>
        </is>
      </c>
      <c r="B19" t="inlineStr">
        <is>
          <t>HYUNDAI</t>
        </is>
      </c>
      <c r="C19" t="inlineStr">
        <is>
          <t>EHH0003</t>
        </is>
      </c>
      <c r="D19" t="inlineStr">
        <is>
          <t>Tupy</t>
        </is>
      </c>
      <c r="E19" s="5" t="n">
        <v>1261.29</v>
      </c>
    </row>
    <row r="20">
      <c r="A20" t="inlineStr">
        <is>
          <t>2026-03</t>
        </is>
      </c>
      <c r="B20" t="inlineStr">
        <is>
          <t>HYUNDAI</t>
        </is>
      </c>
      <c r="C20" t="inlineStr">
        <is>
          <t>EHH0003</t>
        </is>
      </c>
      <c r="D20" t="inlineStr">
        <is>
          <t>Tupy</t>
        </is>
      </c>
      <c r="E20" s="5" t="n">
        <v>463.26</v>
      </c>
    </row>
    <row r="21">
      <c r="A21" t="inlineStr">
        <is>
          <t>2025-01</t>
        </is>
      </c>
      <c r="B21" t="inlineStr">
        <is>
          <t>HYUNDAI</t>
        </is>
      </c>
      <c r="C21" t="inlineStr">
        <is>
          <t>EHH0004</t>
        </is>
      </c>
      <c r="D21" t="inlineStr">
        <is>
          <t>Maringá</t>
        </is>
      </c>
      <c r="E21" s="5" t="n">
        <v>806.5599999999999</v>
      </c>
    </row>
    <row r="22">
      <c r="A22" t="inlineStr">
        <is>
          <t>2025-03</t>
        </is>
      </c>
      <c r="B22" t="inlineStr">
        <is>
          <t>HYUNDAI</t>
        </is>
      </c>
      <c r="C22" t="inlineStr">
        <is>
          <t>EHH0004</t>
        </is>
      </c>
      <c r="D22" t="inlineStr">
        <is>
          <t>Maringá</t>
        </is>
      </c>
      <c r="E22" s="5" t="n">
        <v>2891</v>
      </c>
    </row>
    <row r="23">
      <c r="A23" t="inlineStr">
        <is>
          <t>2025-04</t>
        </is>
      </c>
      <c r="B23" t="inlineStr">
        <is>
          <t>HYUNDAI</t>
        </is>
      </c>
      <c r="C23" t="inlineStr">
        <is>
          <t>EHH0004</t>
        </is>
      </c>
      <c r="D23" t="inlineStr">
        <is>
          <t>Maringá</t>
        </is>
      </c>
      <c r="E23" s="5" t="n">
        <v>1402.1</v>
      </c>
    </row>
    <row r="24">
      <c r="A24" t="inlineStr">
        <is>
          <t>2025-05</t>
        </is>
      </c>
      <c r="B24" t="inlineStr">
        <is>
          <t>HYUNDAI</t>
        </is>
      </c>
      <c r="C24" t="inlineStr">
        <is>
          <t>EHH0004</t>
        </is>
      </c>
      <c r="D24" t="inlineStr">
        <is>
          <t>Maringá</t>
        </is>
      </c>
      <c r="E24" s="5" t="n">
        <v>7856.059999999999</v>
      </c>
    </row>
    <row r="25">
      <c r="A25" t="inlineStr">
        <is>
          <t>2025-06</t>
        </is>
      </c>
      <c r="B25" t="inlineStr">
        <is>
          <t>HYUNDAI</t>
        </is>
      </c>
      <c r="C25" t="inlineStr">
        <is>
          <t>EHH0004</t>
        </is>
      </c>
      <c r="D25" t="inlineStr">
        <is>
          <t>Maringá</t>
        </is>
      </c>
      <c r="E25" s="5" t="n">
        <v>4004.68</v>
      </c>
    </row>
    <row r="26">
      <c r="A26" t="inlineStr">
        <is>
          <t>2025-07</t>
        </is>
      </c>
      <c r="B26" t="inlineStr">
        <is>
          <t>HYUNDAI</t>
        </is>
      </c>
      <c r="C26" t="inlineStr">
        <is>
          <t>EHH0004</t>
        </is>
      </c>
      <c r="D26" t="inlineStr">
        <is>
          <t>Maringá</t>
        </is>
      </c>
      <c r="E26" s="5" t="n">
        <v>1224.46</v>
      </c>
    </row>
    <row r="27">
      <c r="A27" t="inlineStr">
        <is>
          <t>2025-08</t>
        </is>
      </c>
      <c r="B27" t="inlineStr">
        <is>
          <t>HYUNDAI</t>
        </is>
      </c>
      <c r="C27" t="inlineStr">
        <is>
          <t>EHH0004</t>
        </is>
      </c>
      <c r="D27" t="inlineStr">
        <is>
          <t>Maringá</t>
        </is>
      </c>
      <c r="E27" s="5" t="n">
        <v>1866.88</v>
      </c>
    </row>
    <row r="28">
      <c r="A28" t="inlineStr">
        <is>
          <t>2025-09</t>
        </is>
      </c>
      <c r="B28" t="inlineStr">
        <is>
          <t>HYUNDAI</t>
        </is>
      </c>
      <c r="C28" t="inlineStr">
        <is>
          <t>EHH0004</t>
        </is>
      </c>
      <c r="D28" t="inlineStr">
        <is>
          <t>Maringá</t>
        </is>
      </c>
      <c r="E28" s="5" t="n">
        <v>13133.52</v>
      </c>
    </row>
    <row r="29">
      <c r="A29" t="inlineStr">
        <is>
          <t>2025-10</t>
        </is>
      </c>
      <c r="B29" t="inlineStr">
        <is>
          <t>HYUNDAI</t>
        </is>
      </c>
      <c r="C29" t="inlineStr">
        <is>
          <t>EHH0004</t>
        </is>
      </c>
      <c r="D29" t="inlineStr">
        <is>
          <t>Maringá</t>
        </is>
      </c>
      <c r="E29" s="5" t="n">
        <v>2975</v>
      </c>
    </row>
    <row r="30">
      <c r="A30" t="inlineStr">
        <is>
          <t>2025-11</t>
        </is>
      </c>
      <c r="B30" t="inlineStr">
        <is>
          <t>HYUNDAI</t>
        </is>
      </c>
      <c r="C30" t="inlineStr">
        <is>
          <t>EHH0004</t>
        </is>
      </c>
      <c r="D30" t="inlineStr">
        <is>
          <t>Maringá</t>
        </is>
      </c>
      <c r="E30" s="5" t="n">
        <v>32376.9</v>
      </c>
    </row>
    <row r="31">
      <c r="A31" t="inlineStr">
        <is>
          <t>2025-12</t>
        </is>
      </c>
      <c r="B31" t="inlineStr">
        <is>
          <t>HYUNDAI</t>
        </is>
      </c>
      <c r="C31" t="inlineStr">
        <is>
          <t>EHH0004</t>
        </is>
      </c>
      <c r="D31" t="inlineStr">
        <is>
          <t>Maringá</t>
        </is>
      </c>
      <c r="E31" s="5" t="n">
        <v>11464.06</v>
      </c>
    </row>
    <row r="32">
      <c r="A32" t="inlineStr">
        <is>
          <t>2026-01</t>
        </is>
      </c>
      <c r="B32" t="inlineStr">
        <is>
          <t>HYUNDAI</t>
        </is>
      </c>
      <c r="C32" t="inlineStr">
        <is>
          <t>EHH0004</t>
        </is>
      </c>
      <c r="D32" t="inlineStr">
        <is>
          <t>Maringá</t>
        </is>
      </c>
      <c r="E32" s="5" t="n">
        <v>5762.059999999999</v>
      </c>
    </row>
    <row r="33">
      <c r="A33" t="inlineStr">
        <is>
          <t>2026-02</t>
        </is>
      </c>
      <c r="B33" t="inlineStr">
        <is>
          <t>HYUNDAI</t>
        </is>
      </c>
      <c r="C33" t="inlineStr">
        <is>
          <t>EHH0004</t>
        </is>
      </c>
      <c r="D33" t="inlineStr">
        <is>
          <t>Maringá</t>
        </is>
      </c>
      <c r="E33" s="5" t="n">
        <v>3119.38</v>
      </c>
    </row>
    <row r="34">
      <c r="A34" t="inlineStr">
        <is>
          <t>2026-03</t>
        </is>
      </c>
      <c r="B34" t="inlineStr">
        <is>
          <t>HYUNDAI</t>
        </is>
      </c>
      <c r="C34" t="inlineStr">
        <is>
          <t>EHH0004</t>
        </is>
      </c>
      <c r="D34" t="inlineStr">
        <is>
          <t>Maringá</t>
        </is>
      </c>
      <c r="E34" s="5" t="n">
        <v>6001.23</v>
      </c>
    </row>
    <row r="35">
      <c r="A35" t="inlineStr">
        <is>
          <t>2025-01</t>
        </is>
      </c>
      <c r="B35" t="inlineStr">
        <is>
          <t>HYUNDAI</t>
        </is>
      </c>
      <c r="C35" t="inlineStr">
        <is>
          <t>EHH0006</t>
        </is>
      </c>
      <c r="D35" t="inlineStr">
        <is>
          <t>Prudente</t>
        </is>
      </c>
      <c r="E35" s="5" t="n">
        <v>1600</v>
      </c>
    </row>
    <row r="36">
      <c r="A36" t="inlineStr">
        <is>
          <t>2025-02</t>
        </is>
      </c>
      <c r="B36" t="inlineStr">
        <is>
          <t>HYUNDAI</t>
        </is>
      </c>
      <c r="C36" t="inlineStr">
        <is>
          <t>EHH0006</t>
        </is>
      </c>
      <c r="D36" t="inlineStr">
        <is>
          <t>Prudente</t>
        </is>
      </c>
      <c r="E36" s="5" t="n">
        <v>2988.19</v>
      </c>
    </row>
    <row r="37">
      <c r="A37" t="inlineStr">
        <is>
          <t>2025-05</t>
        </is>
      </c>
      <c r="B37" t="inlineStr">
        <is>
          <t>HYUNDAI</t>
        </is>
      </c>
      <c r="C37" t="inlineStr">
        <is>
          <t>EHH0006</t>
        </is>
      </c>
      <c r="D37" t="inlineStr">
        <is>
          <t>Prudente</t>
        </is>
      </c>
      <c r="E37" s="5" t="n">
        <v>166.44</v>
      </c>
    </row>
    <row r="38">
      <c r="A38" t="inlineStr">
        <is>
          <t>2025-06</t>
        </is>
      </c>
      <c r="B38" t="inlineStr">
        <is>
          <t>HYUNDAI</t>
        </is>
      </c>
      <c r="C38" t="inlineStr">
        <is>
          <t>EHH0006</t>
        </is>
      </c>
      <c r="D38" t="inlineStr">
        <is>
          <t>Prudente</t>
        </is>
      </c>
      <c r="E38" s="5" t="n">
        <v>2344.98</v>
      </c>
    </row>
    <row r="39">
      <c r="A39" t="inlineStr">
        <is>
          <t>2025-07</t>
        </is>
      </c>
      <c r="B39" t="inlineStr">
        <is>
          <t>HYUNDAI</t>
        </is>
      </c>
      <c r="C39" t="inlineStr">
        <is>
          <t>EHH0006</t>
        </is>
      </c>
      <c r="D39" t="inlineStr">
        <is>
          <t>Prudente</t>
        </is>
      </c>
      <c r="E39" s="5" t="n">
        <v>367.46</v>
      </c>
    </row>
    <row r="40">
      <c r="A40" t="inlineStr">
        <is>
          <t>2025-08</t>
        </is>
      </c>
      <c r="B40" t="inlineStr">
        <is>
          <t>HYUNDAI</t>
        </is>
      </c>
      <c r="C40" t="inlineStr">
        <is>
          <t>EHH0006</t>
        </is>
      </c>
      <c r="D40" t="inlineStr">
        <is>
          <t>Prudente</t>
        </is>
      </c>
      <c r="E40" s="5" t="n">
        <v>1174.63</v>
      </c>
    </row>
    <row r="41">
      <c r="A41" t="inlineStr">
        <is>
          <t>2025-09</t>
        </is>
      </c>
      <c r="B41" t="inlineStr">
        <is>
          <t>HYUNDAI</t>
        </is>
      </c>
      <c r="C41" t="inlineStr">
        <is>
          <t>EHH0006</t>
        </is>
      </c>
      <c r="D41" t="inlineStr">
        <is>
          <t>Prudente</t>
        </is>
      </c>
      <c r="E41" s="5" t="n">
        <v>2664.92</v>
      </c>
    </row>
    <row r="42">
      <c r="A42" t="inlineStr">
        <is>
          <t>2025-10</t>
        </is>
      </c>
      <c r="B42" t="inlineStr">
        <is>
          <t>HYUNDAI</t>
        </is>
      </c>
      <c r="C42" t="inlineStr">
        <is>
          <t>EHH0006</t>
        </is>
      </c>
      <c r="D42" t="inlineStr">
        <is>
          <t>Prudente</t>
        </is>
      </c>
      <c r="E42" s="5" t="n">
        <v>1925.82</v>
      </c>
    </row>
    <row r="43">
      <c r="A43" t="inlineStr">
        <is>
          <t>2025-11</t>
        </is>
      </c>
      <c r="B43" t="inlineStr">
        <is>
          <t>HYUNDAI</t>
        </is>
      </c>
      <c r="C43" t="inlineStr">
        <is>
          <t>EHH0006</t>
        </is>
      </c>
      <c r="D43" t="inlineStr">
        <is>
          <t>Prudente</t>
        </is>
      </c>
      <c r="E43" s="5" t="n">
        <v>350</v>
      </c>
    </row>
    <row r="44">
      <c r="A44" t="inlineStr">
        <is>
          <t>2025-12</t>
        </is>
      </c>
      <c r="B44" t="inlineStr">
        <is>
          <t>HYUNDAI</t>
        </is>
      </c>
      <c r="C44" t="inlineStr">
        <is>
          <t>EHH0006</t>
        </is>
      </c>
      <c r="D44" t="inlineStr">
        <is>
          <t>Prudente</t>
        </is>
      </c>
      <c r="E44" s="5" t="n">
        <v>179.38</v>
      </c>
    </row>
    <row r="45">
      <c r="A45" t="inlineStr">
        <is>
          <t>2026-01</t>
        </is>
      </c>
      <c r="B45" t="inlineStr">
        <is>
          <t>HYUNDAI</t>
        </is>
      </c>
      <c r="C45" t="inlineStr">
        <is>
          <t>EHH0006</t>
        </is>
      </c>
      <c r="D45" t="inlineStr">
        <is>
          <t>Prudente</t>
        </is>
      </c>
      <c r="E45" s="5" t="n">
        <v>108</v>
      </c>
    </row>
    <row r="46">
      <c r="A46" t="inlineStr">
        <is>
          <t>2026-03</t>
        </is>
      </c>
      <c r="B46" t="inlineStr">
        <is>
          <t>HYUNDAI</t>
        </is>
      </c>
      <c r="C46" t="inlineStr">
        <is>
          <t>EHH0006</t>
        </is>
      </c>
      <c r="D46" t="inlineStr">
        <is>
          <t>Prudente</t>
        </is>
      </c>
      <c r="E46" s="5" t="n">
        <v>8533.110000000001</v>
      </c>
    </row>
    <row r="47">
      <c r="A47" t="inlineStr">
        <is>
          <t>2025-01</t>
        </is>
      </c>
      <c r="B47" t="inlineStr">
        <is>
          <t>HYUNDAI</t>
        </is>
      </c>
      <c r="C47" t="inlineStr">
        <is>
          <t>EHH0007</t>
        </is>
      </c>
      <c r="D47" t="inlineStr">
        <is>
          <t>Matheus</t>
        </is>
      </c>
      <c r="E47" s="5" t="n">
        <v>1640</v>
      </c>
    </row>
    <row r="48">
      <c r="A48" t="inlineStr">
        <is>
          <t>2025-05</t>
        </is>
      </c>
      <c r="B48" t="inlineStr">
        <is>
          <t>HYUNDAI</t>
        </is>
      </c>
      <c r="C48" t="inlineStr">
        <is>
          <t>EHH0007</t>
        </is>
      </c>
      <c r="D48" t="inlineStr">
        <is>
          <t>Matheus</t>
        </is>
      </c>
      <c r="E48" s="5" t="n">
        <v>6039.51</v>
      </c>
    </row>
    <row r="49">
      <c r="A49" t="inlineStr">
        <is>
          <t>2025-06</t>
        </is>
      </c>
      <c r="B49" t="inlineStr">
        <is>
          <t>HYUNDAI</t>
        </is>
      </c>
      <c r="C49" t="inlineStr">
        <is>
          <t>EHH0007</t>
        </is>
      </c>
      <c r="D49" t="inlineStr">
        <is>
          <t>Matheus</t>
        </is>
      </c>
      <c r="E49" s="5" t="n">
        <v>17452.39</v>
      </c>
    </row>
    <row r="50">
      <c r="A50" t="inlineStr">
        <is>
          <t>2025-07</t>
        </is>
      </c>
      <c r="B50" t="inlineStr">
        <is>
          <t>HYUNDAI</t>
        </is>
      </c>
      <c r="C50" t="inlineStr">
        <is>
          <t>EHH0007</t>
        </is>
      </c>
      <c r="D50" t="inlineStr">
        <is>
          <t>Matheus</t>
        </is>
      </c>
      <c r="E50" s="5" t="n">
        <v>8896.83</v>
      </c>
    </row>
    <row r="51">
      <c r="A51" t="inlineStr">
        <is>
          <t>2025-08</t>
        </is>
      </c>
      <c r="B51" t="inlineStr">
        <is>
          <t>HYUNDAI</t>
        </is>
      </c>
      <c r="C51" t="inlineStr">
        <is>
          <t>EHH0007</t>
        </is>
      </c>
      <c r="D51" t="inlineStr">
        <is>
          <t>Matheus</t>
        </is>
      </c>
      <c r="E51" s="5" t="n">
        <v>18992.34</v>
      </c>
    </row>
    <row r="52">
      <c r="A52" t="inlineStr">
        <is>
          <t>2025-09</t>
        </is>
      </c>
      <c r="B52" t="inlineStr">
        <is>
          <t>HYUNDAI</t>
        </is>
      </c>
      <c r="C52" t="inlineStr">
        <is>
          <t>EHH0007</t>
        </is>
      </c>
      <c r="D52" t="inlineStr">
        <is>
          <t>Matheus</t>
        </is>
      </c>
      <c r="E52" s="5" t="n">
        <v>8381.889999999999</v>
      </c>
    </row>
    <row r="53">
      <c r="A53" t="inlineStr">
        <is>
          <t>2025-10</t>
        </is>
      </c>
      <c r="B53" t="inlineStr">
        <is>
          <t>HYUNDAI</t>
        </is>
      </c>
      <c r="C53" t="inlineStr">
        <is>
          <t>EHH0007</t>
        </is>
      </c>
      <c r="D53" t="inlineStr">
        <is>
          <t>Matheus</t>
        </is>
      </c>
      <c r="E53" s="5" t="n">
        <v>13074.39</v>
      </c>
    </row>
    <row r="54">
      <c r="A54" t="inlineStr">
        <is>
          <t>2025-11</t>
        </is>
      </c>
      <c r="B54" t="inlineStr">
        <is>
          <t>HYUNDAI</t>
        </is>
      </c>
      <c r="C54" t="inlineStr">
        <is>
          <t>EHH0007</t>
        </is>
      </c>
      <c r="D54" t="inlineStr">
        <is>
          <t>Matheus</t>
        </is>
      </c>
      <c r="E54" s="5" t="n">
        <v>6473.68</v>
      </c>
    </row>
    <row r="55">
      <c r="A55" t="inlineStr">
        <is>
          <t>2025-12</t>
        </is>
      </c>
      <c r="B55" t="inlineStr">
        <is>
          <t>HYUNDAI</t>
        </is>
      </c>
      <c r="C55" t="inlineStr">
        <is>
          <t>EHH0007</t>
        </is>
      </c>
      <c r="D55" t="inlineStr">
        <is>
          <t>Matheus</t>
        </is>
      </c>
      <c r="E55" s="5" t="n">
        <v>1415.71</v>
      </c>
    </row>
    <row r="56">
      <c r="A56" t="inlineStr">
        <is>
          <t>2026-01</t>
        </is>
      </c>
      <c r="B56" t="inlineStr">
        <is>
          <t>HYUNDAI</t>
        </is>
      </c>
      <c r="C56" t="inlineStr">
        <is>
          <t>EHH0007</t>
        </is>
      </c>
      <c r="D56" t="inlineStr">
        <is>
          <t>Matheus</t>
        </is>
      </c>
      <c r="E56" s="5" t="n">
        <v>102.26</v>
      </c>
    </row>
    <row r="57">
      <c r="A57" t="inlineStr">
        <is>
          <t>2026-02</t>
        </is>
      </c>
      <c r="B57" t="inlineStr">
        <is>
          <t>HYUNDAI</t>
        </is>
      </c>
      <c r="C57" t="inlineStr">
        <is>
          <t>EHH0007</t>
        </is>
      </c>
      <c r="D57" t="inlineStr">
        <is>
          <t>Matheus</t>
        </is>
      </c>
      <c r="E57" s="5" t="n">
        <v>7001.82</v>
      </c>
    </row>
    <row r="58">
      <c r="A58" t="inlineStr">
        <is>
          <t>2026-03</t>
        </is>
      </c>
      <c r="B58" t="inlineStr">
        <is>
          <t>HYUNDAI</t>
        </is>
      </c>
      <c r="C58" t="inlineStr">
        <is>
          <t>EHH0007</t>
        </is>
      </c>
      <c r="D58" t="inlineStr">
        <is>
          <t>Matheus</t>
        </is>
      </c>
      <c r="E58" s="5" t="n">
        <v>1574.56</v>
      </c>
    </row>
    <row r="59">
      <c r="A59" t="inlineStr">
        <is>
          <t>2025-01</t>
        </is>
      </c>
      <c r="B59" t="inlineStr">
        <is>
          <t>HYUNDAI</t>
        </is>
      </c>
      <c r="C59" t="inlineStr">
        <is>
          <t>EHH0008</t>
        </is>
      </c>
      <c r="D59" t="inlineStr">
        <is>
          <t>Londrina</t>
        </is>
      </c>
      <c r="E59" s="5" t="n">
        <v>3598.45</v>
      </c>
    </row>
    <row r="60">
      <c r="A60" t="inlineStr">
        <is>
          <t>2025-02</t>
        </is>
      </c>
      <c r="B60" t="inlineStr">
        <is>
          <t>HYUNDAI</t>
        </is>
      </c>
      <c r="C60" t="inlineStr">
        <is>
          <t>EHH0008</t>
        </is>
      </c>
      <c r="D60" t="inlineStr">
        <is>
          <t>Londrina</t>
        </is>
      </c>
      <c r="E60" s="5" t="n">
        <v>4222.28</v>
      </c>
    </row>
    <row r="61">
      <c r="A61" t="inlineStr">
        <is>
          <t>2025-03</t>
        </is>
      </c>
      <c r="B61" t="inlineStr">
        <is>
          <t>HYUNDAI</t>
        </is>
      </c>
      <c r="C61" t="inlineStr">
        <is>
          <t>EHH0008</t>
        </is>
      </c>
      <c r="D61" t="inlineStr">
        <is>
          <t>Londrina</t>
        </is>
      </c>
      <c r="E61" s="5" t="n">
        <v>6105</v>
      </c>
    </row>
    <row r="62">
      <c r="A62" t="inlineStr">
        <is>
          <t>2025-04</t>
        </is>
      </c>
      <c r="B62" t="inlineStr">
        <is>
          <t>HYUNDAI</t>
        </is>
      </c>
      <c r="C62" t="inlineStr">
        <is>
          <t>EHH0008</t>
        </is>
      </c>
      <c r="D62" t="inlineStr">
        <is>
          <t>Londrina</t>
        </is>
      </c>
      <c r="E62" s="5" t="n">
        <v>6496.280000000001</v>
      </c>
    </row>
    <row r="63">
      <c r="A63" t="inlineStr">
        <is>
          <t>2025-05</t>
        </is>
      </c>
      <c r="B63" t="inlineStr">
        <is>
          <t>HYUNDAI</t>
        </is>
      </c>
      <c r="C63" t="inlineStr">
        <is>
          <t>EHH0008</t>
        </is>
      </c>
      <c r="D63" t="inlineStr">
        <is>
          <t>Londrina</t>
        </is>
      </c>
      <c r="E63" s="5" t="n">
        <v>8886.57</v>
      </c>
    </row>
    <row r="64">
      <c r="A64" t="inlineStr">
        <is>
          <t>2025-06</t>
        </is>
      </c>
      <c r="B64" t="inlineStr">
        <is>
          <t>HYUNDAI</t>
        </is>
      </c>
      <c r="C64" t="inlineStr">
        <is>
          <t>EHH0008</t>
        </is>
      </c>
      <c r="D64" t="inlineStr">
        <is>
          <t>Londrina</t>
        </is>
      </c>
      <c r="E64" s="5" t="n">
        <v>2196.06</v>
      </c>
    </row>
    <row r="65">
      <c r="A65" t="inlineStr">
        <is>
          <t>2025-07</t>
        </is>
      </c>
      <c r="B65" t="inlineStr">
        <is>
          <t>HYUNDAI</t>
        </is>
      </c>
      <c r="C65" t="inlineStr">
        <is>
          <t>EHH0008</t>
        </is>
      </c>
      <c r="D65" t="inlineStr">
        <is>
          <t>Londrina</t>
        </is>
      </c>
      <c r="E65" s="5" t="n">
        <v>5461.51</v>
      </c>
    </row>
    <row r="66">
      <c r="A66" t="inlineStr">
        <is>
          <t>2025-08</t>
        </is>
      </c>
      <c r="B66" t="inlineStr">
        <is>
          <t>HYUNDAI</t>
        </is>
      </c>
      <c r="C66" t="inlineStr">
        <is>
          <t>EHH0008</t>
        </is>
      </c>
      <c r="D66" t="inlineStr">
        <is>
          <t>Londrina</t>
        </is>
      </c>
      <c r="E66" s="5" t="n">
        <v>18956.41</v>
      </c>
    </row>
    <row r="67">
      <c r="A67" t="inlineStr">
        <is>
          <t>2025-09</t>
        </is>
      </c>
      <c r="B67" t="inlineStr">
        <is>
          <t>HYUNDAI</t>
        </is>
      </c>
      <c r="C67" t="inlineStr">
        <is>
          <t>EHH0008</t>
        </is>
      </c>
      <c r="D67" t="inlineStr">
        <is>
          <t>Londrina</t>
        </is>
      </c>
      <c r="E67" s="5" t="n">
        <v>5221.809999999999</v>
      </c>
    </row>
    <row r="68">
      <c r="A68" t="inlineStr">
        <is>
          <t>2025-10</t>
        </is>
      </c>
      <c r="B68" t="inlineStr">
        <is>
          <t>HYUNDAI</t>
        </is>
      </c>
      <c r="C68" t="inlineStr">
        <is>
          <t>EHH0008</t>
        </is>
      </c>
      <c r="D68" t="inlineStr">
        <is>
          <t>Londrina</t>
        </is>
      </c>
      <c r="E68" s="5" t="n">
        <v>11676.47</v>
      </c>
    </row>
    <row r="69">
      <c r="A69" t="inlineStr">
        <is>
          <t>2025-11</t>
        </is>
      </c>
      <c r="B69" t="inlineStr">
        <is>
          <t>HYUNDAI</t>
        </is>
      </c>
      <c r="C69" t="inlineStr">
        <is>
          <t>EHH0008</t>
        </is>
      </c>
      <c r="D69" t="inlineStr">
        <is>
          <t>Londrina</t>
        </is>
      </c>
      <c r="E69" s="5" t="n">
        <v>1459.66</v>
      </c>
    </row>
    <row r="70">
      <c r="A70" t="inlineStr">
        <is>
          <t>2025-12</t>
        </is>
      </c>
      <c r="B70" t="inlineStr">
        <is>
          <t>HYUNDAI</t>
        </is>
      </c>
      <c r="C70" t="inlineStr">
        <is>
          <t>EHH0008</t>
        </is>
      </c>
      <c r="D70" t="inlineStr">
        <is>
          <t>Londrina</t>
        </is>
      </c>
      <c r="E70" s="5" t="n">
        <v>6320.68</v>
      </c>
    </row>
    <row r="71">
      <c r="A71" t="inlineStr">
        <is>
          <t>2026-02</t>
        </is>
      </c>
      <c r="B71" t="inlineStr">
        <is>
          <t>HYUNDAI</t>
        </is>
      </c>
      <c r="C71" t="inlineStr">
        <is>
          <t>EHH0008</t>
        </is>
      </c>
      <c r="D71" t="inlineStr">
        <is>
          <t>Londrina</t>
        </is>
      </c>
      <c r="E71" s="5" t="n">
        <v>4686.059999999999</v>
      </c>
    </row>
    <row r="72">
      <c r="A72" t="inlineStr">
        <is>
          <t>2026-03</t>
        </is>
      </c>
      <c r="B72" t="inlineStr">
        <is>
          <t>HYUNDAI</t>
        </is>
      </c>
      <c r="C72" t="inlineStr">
        <is>
          <t>EHH0008</t>
        </is>
      </c>
      <c r="D72" t="inlineStr">
        <is>
          <t>Londrina</t>
        </is>
      </c>
      <c r="E72" s="5" t="n">
        <v>1590</v>
      </c>
    </row>
    <row r="73">
      <c r="A73" t="inlineStr">
        <is>
          <t>2025-05</t>
        </is>
      </c>
      <c r="B73" t="inlineStr">
        <is>
          <t>HYUNDAI</t>
        </is>
      </c>
      <c r="C73" t="inlineStr">
        <is>
          <t>EHH0009</t>
        </is>
      </c>
      <c r="D73" t="inlineStr">
        <is>
          <t>Prudente</t>
        </is>
      </c>
      <c r="E73" s="5" t="n">
        <v>1233.99</v>
      </c>
    </row>
    <row r="74">
      <c r="A74" t="inlineStr">
        <is>
          <t>2025-06</t>
        </is>
      </c>
      <c r="B74" t="inlineStr">
        <is>
          <t>HYUNDAI</t>
        </is>
      </c>
      <c r="C74" t="inlineStr">
        <is>
          <t>EHH0009</t>
        </is>
      </c>
      <c r="D74" t="inlineStr">
        <is>
          <t>Prudente</t>
        </is>
      </c>
      <c r="E74" s="5" t="n">
        <v>1037.37</v>
      </c>
    </row>
    <row r="75">
      <c r="A75" t="inlineStr">
        <is>
          <t>2025-07</t>
        </is>
      </c>
      <c r="B75" t="inlineStr">
        <is>
          <t>HYUNDAI</t>
        </is>
      </c>
      <c r="C75" t="inlineStr">
        <is>
          <t>EHH0009</t>
        </is>
      </c>
      <c r="D75" t="inlineStr">
        <is>
          <t>Prudente</t>
        </is>
      </c>
      <c r="E75" s="5" t="n">
        <v>7679.15</v>
      </c>
    </row>
    <row r="76">
      <c r="A76" t="inlineStr">
        <is>
          <t>2025-08</t>
        </is>
      </c>
      <c r="B76" t="inlineStr">
        <is>
          <t>HYUNDAI</t>
        </is>
      </c>
      <c r="C76" t="inlineStr">
        <is>
          <t>EHH0009</t>
        </is>
      </c>
      <c r="D76" t="inlineStr">
        <is>
          <t>Prudente</t>
        </is>
      </c>
      <c r="E76" s="5" t="n">
        <v>14810.33</v>
      </c>
    </row>
    <row r="77">
      <c r="A77" t="inlineStr">
        <is>
          <t>2025-09</t>
        </is>
      </c>
      <c r="B77" t="inlineStr">
        <is>
          <t>HYUNDAI</t>
        </is>
      </c>
      <c r="C77" t="inlineStr">
        <is>
          <t>EHH0009</t>
        </is>
      </c>
      <c r="D77" t="inlineStr">
        <is>
          <t>Prudente</t>
        </is>
      </c>
      <c r="E77" s="5" t="n">
        <v>12859.71</v>
      </c>
    </row>
    <row r="78">
      <c r="A78" t="inlineStr">
        <is>
          <t>2025-10</t>
        </is>
      </c>
      <c r="B78" t="inlineStr">
        <is>
          <t>HYUNDAI</t>
        </is>
      </c>
      <c r="C78" t="inlineStr">
        <is>
          <t>EHH0009</t>
        </is>
      </c>
      <c r="D78" t="inlineStr">
        <is>
          <t>Prudente</t>
        </is>
      </c>
      <c r="E78" s="5" t="n">
        <v>8050.38</v>
      </c>
    </row>
    <row r="79">
      <c r="A79" t="inlineStr">
        <is>
          <t>2025-11</t>
        </is>
      </c>
      <c r="B79" t="inlineStr">
        <is>
          <t>HYUNDAI</t>
        </is>
      </c>
      <c r="C79" t="inlineStr">
        <is>
          <t>EHH0009</t>
        </is>
      </c>
      <c r="D79" t="inlineStr">
        <is>
          <t>Prudente</t>
        </is>
      </c>
      <c r="E79" s="5" t="n">
        <v>447.2</v>
      </c>
    </row>
    <row r="80">
      <c r="A80" t="inlineStr">
        <is>
          <t>2025-12</t>
        </is>
      </c>
      <c r="B80" t="inlineStr">
        <is>
          <t>HYUNDAI</t>
        </is>
      </c>
      <c r="C80" t="inlineStr">
        <is>
          <t>EHH0009</t>
        </is>
      </c>
      <c r="D80" t="inlineStr">
        <is>
          <t>Prudente</t>
        </is>
      </c>
      <c r="E80" s="5" t="n">
        <v>7153.18</v>
      </c>
    </row>
    <row r="81">
      <c r="A81" t="inlineStr">
        <is>
          <t>2026-01</t>
        </is>
      </c>
      <c r="B81" t="inlineStr">
        <is>
          <t>HYUNDAI</t>
        </is>
      </c>
      <c r="C81" t="inlineStr">
        <is>
          <t>EHH0009</t>
        </is>
      </c>
      <c r="D81" t="inlineStr">
        <is>
          <t>Prudente</t>
        </is>
      </c>
      <c r="E81" s="5" t="n">
        <v>1072.76</v>
      </c>
    </row>
    <row r="82">
      <c r="A82" t="inlineStr">
        <is>
          <t>2026-02</t>
        </is>
      </c>
      <c r="B82" t="inlineStr">
        <is>
          <t>HYUNDAI</t>
        </is>
      </c>
      <c r="C82" t="inlineStr">
        <is>
          <t>EHH0009</t>
        </is>
      </c>
      <c r="D82" t="inlineStr">
        <is>
          <t>Prudente</t>
        </is>
      </c>
      <c r="E82" s="5" t="n">
        <v>8644.77</v>
      </c>
    </row>
    <row r="83">
      <c r="A83" t="inlineStr">
        <is>
          <t>2026-03</t>
        </is>
      </c>
      <c r="B83" t="inlineStr">
        <is>
          <t>HYUNDAI</t>
        </is>
      </c>
      <c r="C83" t="inlineStr">
        <is>
          <t>EHH0009</t>
        </is>
      </c>
      <c r="D83" t="inlineStr">
        <is>
          <t>Prudente</t>
        </is>
      </c>
      <c r="E83" s="5" t="n">
        <v>12662.5</v>
      </c>
    </row>
    <row r="84">
      <c r="A84" t="inlineStr">
        <is>
          <t>2025-01</t>
        </is>
      </c>
      <c r="B84" t="inlineStr">
        <is>
          <t>HYUNDAI</t>
        </is>
      </c>
      <c r="C84" t="inlineStr">
        <is>
          <t>EHH0015</t>
        </is>
      </c>
      <c r="D84" t="inlineStr">
        <is>
          <t>Ambar</t>
        </is>
      </c>
      <c r="E84" s="5" t="n">
        <v>89.90000000000001</v>
      </c>
    </row>
    <row r="85">
      <c r="A85" t="inlineStr">
        <is>
          <t>2025-05</t>
        </is>
      </c>
      <c r="B85" t="inlineStr">
        <is>
          <t>HYUNDAI</t>
        </is>
      </c>
      <c r="C85" t="inlineStr">
        <is>
          <t>EHH0015</t>
        </is>
      </c>
      <c r="D85" t="inlineStr">
        <is>
          <t>Ambar</t>
        </is>
      </c>
      <c r="E85" s="5" t="n">
        <v>1916.57</v>
      </c>
    </row>
    <row r="86">
      <c r="A86" t="inlineStr">
        <is>
          <t>2025-07</t>
        </is>
      </c>
      <c r="B86" t="inlineStr">
        <is>
          <t>HYUNDAI</t>
        </is>
      </c>
      <c r="C86" t="inlineStr">
        <is>
          <t>EHH0015</t>
        </is>
      </c>
      <c r="D86" t="inlineStr">
        <is>
          <t>Ambar</t>
        </is>
      </c>
      <c r="E86" s="5" t="n">
        <v>27509.69</v>
      </c>
    </row>
    <row r="87">
      <c r="A87" t="inlineStr">
        <is>
          <t>2025-08</t>
        </is>
      </c>
      <c r="B87" t="inlineStr">
        <is>
          <t>HYUNDAI</t>
        </is>
      </c>
      <c r="C87" t="inlineStr">
        <is>
          <t>EHH0015</t>
        </is>
      </c>
      <c r="D87" t="inlineStr">
        <is>
          <t>Ambar</t>
        </is>
      </c>
      <c r="E87" s="5" t="n">
        <v>3743.85</v>
      </c>
    </row>
    <row r="88">
      <c r="A88" t="inlineStr">
        <is>
          <t>2025-09</t>
        </is>
      </c>
      <c r="B88" t="inlineStr">
        <is>
          <t>HYUNDAI</t>
        </is>
      </c>
      <c r="C88" t="inlineStr">
        <is>
          <t>EHH0015</t>
        </is>
      </c>
      <c r="D88" t="inlineStr">
        <is>
          <t>Ambar</t>
        </is>
      </c>
      <c r="E88" s="5" t="n">
        <v>123.37</v>
      </c>
    </row>
    <row r="89">
      <c r="A89" t="inlineStr">
        <is>
          <t>2025-10</t>
        </is>
      </c>
      <c r="B89" t="inlineStr">
        <is>
          <t>HYUNDAI</t>
        </is>
      </c>
      <c r="C89" t="inlineStr">
        <is>
          <t>EHH0015</t>
        </is>
      </c>
      <c r="D89" t="inlineStr">
        <is>
          <t>Ambar</t>
        </is>
      </c>
      <c r="E89" s="5" t="n">
        <v>2784.54</v>
      </c>
    </row>
    <row r="90">
      <c r="A90" t="inlineStr">
        <is>
          <t>2025-11</t>
        </is>
      </c>
      <c r="B90" t="inlineStr">
        <is>
          <t>HYUNDAI</t>
        </is>
      </c>
      <c r="C90" t="inlineStr">
        <is>
          <t>EHH0015</t>
        </is>
      </c>
      <c r="D90" t="inlineStr">
        <is>
          <t>Ambar</t>
        </is>
      </c>
      <c r="E90" s="5" t="n">
        <v>4628.84</v>
      </c>
    </row>
    <row r="91">
      <c r="A91" t="inlineStr">
        <is>
          <t>2025-12</t>
        </is>
      </c>
      <c r="B91" t="inlineStr">
        <is>
          <t>HYUNDAI</t>
        </is>
      </c>
      <c r="C91" t="inlineStr">
        <is>
          <t>EHH0015</t>
        </is>
      </c>
      <c r="D91" t="inlineStr">
        <is>
          <t>Ambar</t>
        </is>
      </c>
      <c r="E91" s="5" t="n">
        <v>2961.15</v>
      </c>
    </row>
    <row r="92">
      <c r="A92" t="inlineStr">
        <is>
          <t>2026-01</t>
        </is>
      </c>
      <c r="B92" t="inlineStr">
        <is>
          <t>HYUNDAI</t>
        </is>
      </c>
      <c r="C92" t="inlineStr">
        <is>
          <t>EHH0015</t>
        </is>
      </c>
      <c r="D92" t="inlineStr">
        <is>
          <t>Ambar</t>
        </is>
      </c>
      <c r="E92" s="5" t="n">
        <v>1001.77</v>
      </c>
    </row>
    <row r="93">
      <c r="A93" t="inlineStr">
        <is>
          <t>2026-02</t>
        </is>
      </c>
      <c r="B93" t="inlineStr">
        <is>
          <t>HYUNDAI</t>
        </is>
      </c>
      <c r="C93" t="inlineStr">
        <is>
          <t>EHH0015</t>
        </is>
      </c>
      <c r="D93" t="inlineStr">
        <is>
          <t>Ambar</t>
        </is>
      </c>
      <c r="E93" s="5" t="n">
        <v>2030.96</v>
      </c>
    </row>
    <row r="94">
      <c r="A94" t="inlineStr">
        <is>
          <t>2026-03</t>
        </is>
      </c>
      <c r="B94" t="inlineStr">
        <is>
          <t>HYUNDAI</t>
        </is>
      </c>
      <c r="C94" t="inlineStr">
        <is>
          <t>EHH0015</t>
        </is>
      </c>
      <c r="D94" t="inlineStr">
        <is>
          <t>Ambar</t>
        </is>
      </c>
      <c r="E94" s="5" t="n">
        <v>5334.440000000001</v>
      </c>
    </row>
    <row r="95">
      <c r="A95" t="inlineStr">
        <is>
          <t>2025-01</t>
        </is>
      </c>
      <c r="B95" t="inlineStr">
        <is>
          <t>HYUNDAI</t>
        </is>
      </c>
      <c r="C95" t="inlineStr">
        <is>
          <t>EHH0019</t>
        </is>
      </c>
      <c r="D95" t="inlineStr">
        <is>
          <t>Ambar</t>
        </is>
      </c>
      <c r="E95" s="5" t="n">
        <v>2372.74</v>
      </c>
    </row>
    <row r="96">
      <c r="A96" t="inlineStr">
        <is>
          <t>2025-02</t>
        </is>
      </c>
      <c r="B96" t="inlineStr">
        <is>
          <t>HYUNDAI</t>
        </is>
      </c>
      <c r="C96" t="inlineStr">
        <is>
          <t>EHH0019</t>
        </is>
      </c>
      <c r="D96" t="inlineStr">
        <is>
          <t>Ambar</t>
        </is>
      </c>
      <c r="E96" s="5" t="n">
        <v>1798</v>
      </c>
    </row>
    <row r="97">
      <c r="A97" t="inlineStr">
        <is>
          <t>2025-03</t>
        </is>
      </c>
      <c r="B97" t="inlineStr">
        <is>
          <t>HYUNDAI</t>
        </is>
      </c>
      <c r="C97" t="inlineStr">
        <is>
          <t>EHH0019</t>
        </is>
      </c>
      <c r="D97" t="inlineStr">
        <is>
          <t>Ambar</t>
        </is>
      </c>
      <c r="E97" s="5" t="n">
        <v>20448.6</v>
      </c>
    </row>
    <row r="98">
      <c r="A98" t="inlineStr">
        <is>
          <t>2025-04</t>
        </is>
      </c>
      <c r="B98" t="inlineStr">
        <is>
          <t>HYUNDAI</t>
        </is>
      </c>
      <c r="C98" t="inlineStr">
        <is>
          <t>EHH0019</t>
        </is>
      </c>
      <c r="D98" t="inlineStr">
        <is>
          <t>Ambar</t>
        </is>
      </c>
      <c r="E98" s="5" t="n">
        <v>7929.19</v>
      </c>
    </row>
    <row r="99">
      <c r="A99" t="inlineStr">
        <is>
          <t>2025-05</t>
        </is>
      </c>
      <c r="B99" t="inlineStr">
        <is>
          <t>HYUNDAI</t>
        </is>
      </c>
      <c r="C99" t="inlineStr">
        <is>
          <t>EHH0019</t>
        </is>
      </c>
      <c r="D99" t="inlineStr">
        <is>
          <t>Ambar</t>
        </is>
      </c>
      <c r="E99" s="5" t="n">
        <v>615.5700000000001</v>
      </c>
    </row>
    <row r="100">
      <c r="A100" t="inlineStr">
        <is>
          <t>2025-06</t>
        </is>
      </c>
      <c r="B100" t="inlineStr">
        <is>
          <t>HYUNDAI</t>
        </is>
      </c>
      <c r="C100" t="inlineStr">
        <is>
          <t>EHH0019</t>
        </is>
      </c>
      <c r="D100" t="inlineStr">
        <is>
          <t>Ambar</t>
        </is>
      </c>
      <c r="E100" s="5" t="n">
        <v>21500</v>
      </c>
    </row>
    <row r="101">
      <c r="A101" t="inlineStr">
        <is>
          <t>2025-07</t>
        </is>
      </c>
      <c r="B101" t="inlineStr">
        <is>
          <t>HYUNDAI</t>
        </is>
      </c>
      <c r="C101" t="inlineStr">
        <is>
          <t>EHH0019</t>
        </is>
      </c>
      <c r="D101" t="inlineStr">
        <is>
          <t>Ambar</t>
        </is>
      </c>
      <c r="E101" s="5" t="n">
        <v>1930</v>
      </c>
    </row>
    <row r="102">
      <c r="A102" t="inlineStr">
        <is>
          <t>2025-08</t>
        </is>
      </c>
      <c r="B102" t="inlineStr">
        <is>
          <t>HYUNDAI</t>
        </is>
      </c>
      <c r="C102" t="inlineStr">
        <is>
          <t>EHH0019</t>
        </is>
      </c>
      <c r="D102" t="inlineStr">
        <is>
          <t>Ambar</t>
        </is>
      </c>
      <c r="E102" s="5" t="n">
        <v>907.2</v>
      </c>
    </row>
    <row r="103">
      <c r="A103" t="inlineStr">
        <is>
          <t>2025-09</t>
        </is>
      </c>
      <c r="B103" t="inlineStr">
        <is>
          <t>HYUNDAI</t>
        </is>
      </c>
      <c r="C103" t="inlineStr">
        <is>
          <t>EHH0019</t>
        </is>
      </c>
      <c r="D103" t="inlineStr">
        <is>
          <t>Ambar</t>
        </is>
      </c>
      <c r="E103" s="5" t="n">
        <v>3911.13</v>
      </c>
    </row>
    <row r="104">
      <c r="A104" t="inlineStr">
        <is>
          <t>2025-10</t>
        </is>
      </c>
      <c r="B104" t="inlineStr">
        <is>
          <t>HYUNDAI</t>
        </is>
      </c>
      <c r="C104" t="inlineStr">
        <is>
          <t>EHH0019</t>
        </is>
      </c>
      <c r="D104" t="inlineStr">
        <is>
          <t>Ambar</t>
        </is>
      </c>
      <c r="E104" s="5" t="n">
        <v>9541</v>
      </c>
    </row>
    <row r="105">
      <c r="A105" t="inlineStr">
        <is>
          <t>2025-11</t>
        </is>
      </c>
      <c r="B105" t="inlineStr">
        <is>
          <t>HYUNDAI</t>
        </is>
      </c>
      <c r="C105" t="inlineStr">
        <is>
          <t>EHH0019</t>
        </is>
      </c>
      <c r="D105" t="inlineStr">
        <is>
          <t>Ambar</t>
        </is>
      </c>
      <c r="E105" s="5" t="n">
        <v>14515.29</v>
      </c>
    </row>
    <row r="106">
      <c r="A106" t="inlineStr">
        <is>
          <t>2025-12</t>
        </is>
      </c>
      <c r="B106" t="inlineStr">
        <is>
          <t>HYUNDAI</t>
        </is>
      </c>
      <c r="C106" t="inlineStr">
        <is>
          <t>EHH0019</t>
        </is>
      </c>
      <c r="D106" t="inlineStr">
        <is>
          <t>Ambar</t>
        </is>
      </c>
      <c r="E106" s="5" t="n">
        <v>742.86</v>
      </c>
    </row>
    <row r="107">
      <c r="A107" t="inlineStr">
        <is>
          <t>2026-01</t>
        </is>
      </c>
      <c r="B107" t="inlineStr">
        <is>
          <t>HYUNDAI</t>
        </is>
      </c>
      <c r="C107" t="inlineStr">
        <is>
          <t>EHH0019</t>
        </is>
      </c>
      <c r="D107" t="inlineStr">
        <is>
          <t>Ambar</t>
        </is>
      </c>
      <c r="E107" s="5" t="n">
        <v>39109.73</v>
      </c>
    </row>
    <row r="108">
      <c r="A108" t="inlineStr">
        <is>
          <t>2026-02</t>
        </is>
      </c>
      <c r="B108" t="inlineStr">
        <is>
          <t>HYUNDAI</t>
        </is>
      </c>
      <c r="C108" t="inlineStr">
        <is>
          <t>EHH0019</t>
        </is>
      </c>
      <c r="D108" t="inlineStr">
        <is>
          <t>Ambar</t>
        </is>
      </c>
      <c r="E108" s="5" t="n">
        <v>8836.6</v>
      </c>
    </row>
    <row r="109">
      <c r="A109" t="inlineStr">
        <is>
          <t>2026-03</t>
        </is>
      </c>
      <c r="B109" t="inlineStr">
        <is>
          <t>HYUNDAI</t>
        </is>
      </c>
      <c r="C109" t="inlineStr">
        <is>
          <t>EHH0019</t>
        </is>
      </c>
      <c r="D109" t="inlineStr">
        <is>
          <t>Ambar</t>
        </is>
      </c>
      <c r="E109" s="5" t="n">
        <v>2311.63</v>
      </c>
    </row>
    <row r="110">
      <c r="A110" t="inlineStr">
        <is>
          <t>2025-01</t>
        </is>
      </c>
      <c r="B110" t="inlineStr">
        <is>
          <t>HYUNDAI</t>
        </is>
      </c>
      <c r="C110" t="inlineStr">
        <is>
          <t>EHH0036</t>
        </is>
      </c>
      <c r="D110" t="inlineStr">
        <is>
          <t>Dourados</t>
        </is>
      </c>
      <c r="E110" s="5" t="n">
        <v>5936.93</v>
      </c>
    </row>
    <row r="111">
      <c r="A111" t="inlineStr">
        <is>
          <t>2025-02</t>
        </is>
      </c>
      <c r="B111" t="inlineStr">
        <is>
          <t>HYUNDAI</t>
        </is>
      </c>
      <c r="C111" t="inlineStr">
        <is>
          <t>EHH0036</t>
        </is>
      </c>
      <c r="D111" t="inlineStr">
        <is>
          <t>Dourados</t>
        </is>
      </c>
      <c r="E111" s="5" t="n">
        <v>11960.77</v>
      </c>
    </row>
    <row r="112">
      <c r="A112" t="inlineStr">
        <is>
          <t>2025-03</t>
        </is>
      </c>
      <c r="B112" t="inlineStr">
        <is>
          <t>HYUNDAI</t>
        </is>
      </c>
      <c r="C112" t="inlineStr">
        <is>
          <t>EHH0036</t>
        </is>
      </c>
      <c r="D112" t="inlineStr">
        <is>
          <t>Dourados</t>
        </is>
      </c>
      <c r="E112" s="5" t="n">
        <v>3739.17</v>
      </c>
    </row>
    <row r="113">
      <c r="A113" t="inlineStr">
        <is>
          <t>2025-04</t>
        </is>
      </c>
      <c r="B113" t="inlineStr">
        <is>
          <t>HYUNDAI</t>
        </is>
      </c>
      <c r="C113" t="inlineStr">
        <is>
          <t>EHH0036</t>
        </is>
      </c>
      <c r="D113" t="inlineStr">
        <is>
          <t>Dourados</t>
        </is>
      </c>
      <c r="E113" s="5" t="n">
        <v>9131.719999999999</v>
      </c>
    </row>
    <row r="114">
      <c r="A114" t="inlineStr">
        <is>
          <t>2025-05</t>
        </is>
      </c>
      <c r="B114" t="inlineStr">
        <is>
          <t>HYUNDAI</t>
        </is>
      </c>
      <c r="C114" t="inlineStr">
        <is>
          <t>EHH0036</t>
        </is>
      </c>
      <c r="D114" t="inlineStr">
        <is>
          <t>Dourados</t>
        </is>
      </c>
      <c r="E114" s="5" t="n">
        <v>7961.65</v>
      </c>
    </row>
    <row r="115">
      <c r="A115" t="inlineStr">
        <is>
          <t>2025-06</t>
        </is>
      </c>
      <c r="B115" t="inlineStr">
        <is>
          <t>HYUNDAI</t>
        </is>
      </c>
      <c r="C115" t="inlineStr">
        <is>
          <t>EHH0036</t>
        </is>
      </c>
      <c r="D115" t="inlineStr">
        <is>
          <t>Dourados</t>
        </is>
      </c>
      <c r="E115" s="5" t="n">
        <v>5669.63</v>
      </c>
    </row>
    <row r="116">
      <c r="A116" t="inlineStr">
        <is>
          <t>2025-07</t>
        </is>
      </c>
      <c r="B116" t="inlineStr">
        <is>
          <t>HYUNDAI</t>
        </is>
      </c>
      <c r="C116" t="inlineStr">
        <is>
          <t>EHH0036</t>
        </is>
      </c>
      <c r="D116" t="inlineStr">
        <is>
          <t>Dourados</t>
        </is>
      </c>
      <c r="E116" s="5" t="n">
        <v>8120.81</v>
      </c>
    </row>
    <row r="117">
      <c r="A117" t="inlineStr">
        <is>
          <t>2025-08</t>
        </is>
      </c>
      <c r="B117" t="inlineStr">
        <is>
          <t>HYUNDAI</t>
        </is>
      </c>
      <c r="C117" t="inlineStr">
        <is>
          <t>EHH0036</t>
        </is>
      </c>
      <c r="D117" t="inlineStr">
        <is>
          <t>Dourados</t>
        </is>
      </c>
      <c r="E117" s="5" t="n">
        <v>9397.59</v>
      </c>
    </row>
    <row r="118">
      <c r="A118" t="inlineStr">
        <is>
          <t>2025-09</t>
        </is>
      </c>
      <c r="B118" t="inlineStr">
        <is>
          <t>HYUNDAI</t>
        </is>
      </c>
      <c r="C118" t="inlineStr">
        <is>
          <t>EHH0036</t>
        </is>
      </c>
      <c r="D118" t="inlineStr">
        <is>
          <t>Dourados</t>
        </is>
      </c>
      <c r="E118" s="5" t="n">
        <v>8032.02</v>
      </c>
    </row>
    <row r="119">
      <c r="A119" t="inlineStr">
        <is>
          <t>2025-10</t>
        </is>
      </c>
      <c r="B119" t="inlineStr">
        <is>
          <t>HYUNDAI</t>
        </is>
      </c>
      <c r="C119" t="inlineStr">
        <is>
          <t>EHH0036</t>
        </is>
      </c>
      <c r="D119" t="inlineStr">
        <is>
          <t>Dourados</t>
        </is>
      </c>
      <c r="E119" s="5" t="n">
        <v>12020.6</v>
      </c>
    </row>
    <row r="120">
      <c r="A120" t="inlineStr">
        <is>
          <t>2025-11</t>
        </is>
      </c>
      <c r="B120" t="inlineStr">
        <is>
          <t>HYUNDAI</t>
        </is>
      </c>
      <c r="C120" t="inlineStr">
        <is>
          <t>EHH0036</t>
        </is>
      </c>
      <c r="D120" t="inlineStr">
        <is>
          <t>Dourados</t>
        </is>
      </c>
      <c r="E120" s="5" t="n">
        <v>12843.22</v>
      </c>
    </row>
    <row r="121">
      <c r="A121" t="inlineStr">
        <is>
          <t>2025-12</t>
        </is>
      </c>
      <c r="B121" t="inlineStr">
        <is>
          <t>HYUNDAI</t>
        </is>
      </c>
      <c r="C121" t="inlineStr">
        <is>
          <t>EHH0036</t>
        </is>
      </c>
      <c r="D121" t="inlineStr">
        <is>
          <t>Dourados</t>
        </is>
      </c>
      <c r="E121" s="5" t="n">
        <v>3192.08</v>
      </c>
    </row>
    <row r="122">
      <c r="A122" t="inlineStr">
        <is>
          <t>2026-01</t>
        </is>
      </c>
      <c r="B122" t="inlineStr">
        <is>
          <t>HYUNDAI</t>
        </is>
      </c>
      <c r="C122" t="inlineStr">
        <is>
          <t>EHH0036</t>
        </is>
      </c>
      <c r="D122" t="inlineStr">
        <is>
          <t>Dourados</t>
        </is>
      </c>
      <c r="E122" s="5" t="n">
        <v>574.9299999999999</v>
      </c>
    </row>
    <row r="123">
      <c r="A123" t="inlineStr">
        <is>
          <t>2026-02</t>
        </is>
      </c>
      <c r="B123" t="inlineStr">
        <is>
          <t>HYUNDAI</t>
        </is>
      </c>
      <c r="C123" t="inlineStr">
        <is>
          <t>EHH0036</t>
        </is>
      </c>
      <c r="D123" t="inlineStr">
        <is>
          <t>Dourados</t>
        </is>
      </c>
      <c r="E123" s="5" t="n">
        <v>1261.29</v>
      </c>
    </row>
    <row r="124">
      <c r="A124" t="inlineStr">
        <is>
          <t>2026-03</t>
        </is>
      </c>
      <c r="B124" t="inlineStr">
        <is>
          <t>HYUNDAI</t>
        </is>
      </c>
      <c r="C124" t="inlineStr">
        <is>
          <t>EHH0036</t>
        </is>
      </c>
      <c r="D124" t="inlineStr">
        <is>
          <t>Dourados</t>
        </is>
      </c>
      <c r="E124" s="5" t="n">
        <v>4659.77</v>
      </c>
    </row>
    <row r="125">
      <c r="A125" t="inlineStr">
        <is>
          <t>2025-01</t>
        </is>
      </c>
      <c r="B125" t="inlineStr">
        <is>
          <t>HYUNDAI</t>
        </is>
      </c>
      <c r="C125" t="inlineStr">
        <is>
          <t>EHH0037</t>
        </is>
      </c>
      <c r="D125" t="inlineStr">
        <is>
          <t>Multi Aço</t>
        </is>
      </c>
      <c r="E125" s="5" t="n">
        <v>4405.97</v>
      </c>
    </row>
    <row r="126">
      <c r="A126" t="inlineStr">
        <is>
          <t>2025-02</t>
        </is>
      </c>
      <c r="B126" t="inlineStr">
        <is>
          <t>HYUNDAI</t>
        </is>
      </c>
      <c r="C126" t="inlineStr">
        <is>
          <t>EHH0037</t>
        </is>
      </c>
      <c r="D126" t="inlineStr">
        <is>
          <t>Multi Aço</t>
        </is>
      </c>
      <c r="E126" s="5" t="n">
        <v>2229.5</v>
      </c>
    </row>
    <row r="127">
      <c r="A127" t="inlineStr">
        <is>
          <t>2025-03</t>
        </is>
      </c>
      <c r="B127" t="inlineStr">
        <is>
          <t>HYUNDAI</t>
        </is>
      </c>
      <c r="C127" t="inlineStr">
        <is>
          <t>EHH0037</t>
        </is>
      </c>
      <c r="D127" t="inlineStr">
        <is>
          <t>Multi Aço</t>
        </is>
      </c>
      <c r="E127" s="5" t="n">
        <v>1711.78</v>
      </c>
    </row>
    <row r="128">
      <c r="A128" t="inlineStr">
        <is>
          <t>2025-04</t>
        </is>
      </c>
      <c r="B128" t="inlineStr">
        <is>
          <t>HYUNDAI</t>
        </is>
      </c>
      <c r="C128" t="inlineStr">
        <is>
          <t>EHH0037</t>
        </is>
      </c>
      <c r="D128" t="inlineStr">
        <is>
          <t>Multi Aço</t>
        </is>
      </c>
      <c r="E128" s="5" t="n">
        <v>6106</v>
      </c>
    </row>
    <row r="129">
      <c r="A129" t="inlineStr">
        <is>
          <t>2025-05</t>
        </is>
      </c>
      <c r="B129" t="inlineStr">
        <is>
          <t>HYUNDAI</t>
        </is>
      </c>
      <c r="C129" t="inlineStr">
        <is>
          <t>EHH0037</t>
        </is>
      </c>
      <c r="D129" t="inlineStr">
        <is>
          <t>Multi Aço</t>
        </is>
      </c>
      <c r="E129" s="5" t="n">
        <v>3786.52</v>
      </c>
    </row>
    <row r="130">
      <c r="A130" t="inlineStr">
        <is>
          <t>2025-06</t>
        </is>
      </c>
      <c r="B130" t="inlineStr">
        <is>
          <t>HYUNDAI</t>
        </is>
      </c>
      <c r="C130" t="inlineStr">
        <is>
          <t>EHH0037</t>
        </is>
      </c>
      <c r="D130" t="inlineStr">
        <is>
          <t>Multi Aço</t>
        </is>
      </c>
      <c r="E130" s="5" t="n">
        <v>2799.6</v>
      </c>
    </row>
    <row r="131">
      <c r="A131" t="inlineStr">
        <is>
          <t>2025-10</t>
        </is>
      </c>
      <c r="B131" t="inlineStr">
        <is>
          <t>HYUNDAI</t>
        </is>
      </c>
      <c r="C131" t="inlineStr">
        <is>
          <t>EHH0037</t>
        </is>
      </c>
      <c r="D131" t="inlineStr">
        <is>
          <t>Multi Aço</t>
        </is>
      </c>
      <c r="E131" s="5" t="n">
        <v>278</v>
      </c>
    </row>
    <row r="132">
      <c r="A132" t="inlineStr">
        <is>
          <t>2025-11</t>
        </is>
      </c>
      <c r="B132" t="inlineStr">
        <is>
          <t>HYUNDAI</t>
        </is>
      </c>
      <c r="C132" t="inlineStr">
        <is>
          <t>EHH0037</t>
        </is>
      </c>
      <c r="D132" t="inlineStr">
        <is>
          <t>Multi Aço</t>
        </is>
      </c>
      <c r="E132" s="5" t="n">
        <v>1690.6</v>
      </c>
    </row>
    <row r="133">
      <c r="A133" t="inlineStr">
        <is>
          <t>2025-12</t>
        </is>
      </c>
      <c r="B133" t="inlineStr">
        <is>
          <t>HYUNDAI</t>
        </is>
      </c>
      <c r="C133" t="inlineStr">
        <is>
          <t>EHH0037</t>
        </is>
      </c>
      <c r="D133" t="inlineStr">
        <is>
          <t>Multi Aço</t>
        </is>
      </c>
      <c r="E133" s="5" t="n">
        <v>2961.14</v>
      </c>
    </row>
    <row r="134">
      <c r="A134" t="inlineStr">
        <is>
          <t>2026-01</t>
        </is>
      </c>
      <c r="B134" t="inlineStr">
        <is>
          <t>HYUNDAI</t>
        </is>
      </c>
      <c r="C134" t="inlineStr">
        <is>
          <t>EHH0037</t>
        </is>
      </c>
      <c r="D134" t="inlineStr">
        <is>
          <t>Multi Aço</t>
        </is>
      </c>
      <c r="E134" s="5" t="n">
        <v>1661.42</v>
      </c>
    </row>
    <row r="135">
      <c r="A135" t="inlineStr">
        <is>
          <t>2026-02</t>
        </is>
      </c>
      <c r="B135" t="inlineStr">
        <is>
          <t>HYUNDAI</t>
        </is>
      </c>
      <c r="C135" t="inlineStr">
        <is>
          <t>EHH0037</t>
        </is>
      </c>
      <c r="D135" t="inlineStr">
        <is>
          <t>Multi Aço</t>
        </is>
      </c>
      <c r="E135" s="5" t="n">
        <v>1458</v>
      </c>
    </row>
    <row r="136">
      <c r="A136" t="inlineStr">
        <is>
          <t>2026-03</t>
        </is>
      </c>
      <c r="B136" t="inlineStr">
        <is>
          <t>HYUNDAI</t>
        </is>
      </c>
      <c r="C136" t="inlineStr">
        <is>
          <t>EHH0037</t>
        </is>
      </c>
      <c r="D136" t="inlineStr">
        <is>
          <t>Multi Aço</t>
        </is>
      </c>
      <c r="E136" s="5" t="n">
        <v>5334.45</v>
      </c>
    </row>
    <row r="137">
      <c r="A137" t="inlineStr">
        <is>
          <t>2025-01</t>
        </is>
      </c>
      <c r="B137" t="inlineStr">
        <is>
          <t>HYUNDAI</t>
        </is>
      </c>
      <c r="C137" t="inlineStr">
        <is>
          <t>EHH0038</t>
        </is>
      </c>
      <c r="D137" t="inlineStr">
        <is>
          <t>Campo Grande</t>
        </is>
      </c>
      <c r="E137" s="5" t="n">
        <v>12977.51</v>
      </c>
    </row>
    <row r="138">
      <c r="A138" t="inlineStr">
        <is>
          <t>2025-02</t>
        </is>
      </c>
      <c r="B138" t="inlineStr">
        <is>
          <t>HYUNDAI</t>
        </is>
      </c>
      <c r="C138" t="inlineStr">
        <is>
          <t>EHH0038</t>
        </is>
      </c>
      <c r="D138" t="inlineStr">
        <is>
          <t>Campo Grande</t>
        </is>
      </c>
      <c r="E138" s="5" t="n">
        <v>9990.92</v>
      </c>
    </row>
    <row r="139">
      <c r="A139" t="inlineStr">
        <is>
          <t>2025-03</t>
        </is>
      </c>
      <c r="B139" t="inlineStr">
        <is>
          <t>HYUNDAI</t>
        </is>
      </c>
      <c r="C139" t="inlineStr">
        <is>
          <t>EHH0038</t>
        </is>
      </c>
      <c r="D139" t="inlineStr">
        <is>
          <t>Campo Grande</t>
        </is>
      </c>
      <c r="E139" s="5" t="n">
        <v>19986.79</v>
      </c>
    </row>
    <row r="140">
      <c r="A140" t="inlineStr">
        <is>
          <t>2025-04</t>
        </is>
      </c>
      <c r="B140" t="inlineStr">
        <is>
          <t>HYUNDAI</t>
        </is>
      </c>
      <c r="C140" t="inlineStr">
        <is>
          <t>EHH0038</t>
        </is>
      </c>
      <c r="D140" t="inlineStr">
        <is>
          <t>Campo Grande</t>
        </is>
      </c>
      <c r="E140" s="5" t="n">
        <v>19667.77</v>
      </c>
    </row>
    <row r="141">
      <c r="A141" t="inlineStr">
        <is>
          <t>2025-05</t>
        </is>
      </c>
      <c r="B141" t="inlineStr">
        <is>
          <t>HYUNDAI</t>
        </is>
      </c>
      <c r="C141" t="inlineStr">
        <is>
          <t>EHH0038</t>
        </is>
      </c>
      <c r="D141" t="inlineStr">
        <is>
          <t>Campo Grande</t>
        </is>
      </c>
      <c r="E141" s="5" t="n">
        <v>7190.99</v>
      </c>
    </row>
    <row r="142">
      <c r="A142" t="inlineStr">
        <is>
          <t>2025-06</t>
        </is>
      </c>
      <c r="B142" t="inlineStr">
        <is>
          <t>HYUNDAI</t>
        </is>
      </c>
      <c r="C142" t="inlineStr">
        <is>
          <t>EHH0038</t>
        </is>
      </c>
      <c r="D142" t="inlineStr">
        <is>
          <t>Campo Grande</t>
        </is>
      </c>
      <c r="E142" s="5" t="n">
        <v>14015.22</v>
      </c>
    </row>
    <row r="143">
      <c r="A143" t="inlineStr">
        <is>
          <t>2025-07</t>
        </is>
      </c>
      <c r="B143" t="inlineStr">
        <is>
          <t>HYUNDAI</t>
        </is>
      </c>
      <c r="C143" t="inlineStr">
        <is>
          <t>EHH0038</t>
        </is>
      </c>
      <c r="D143" t="inlineStr">
        <is>
          <t>Campo Grande</t>
        </is>
      </c>
      <c r="E143" s="5" t="n">
        <v>16360.43</v>
      </c>
    </row>
    <row r="144">
      <c r="A144" t="inlineStr">
        <is>
          <t>2025-08</t>
        </is>
      </c>
      <c r="B144" t="inlineStr">
        <is>
          <t>HYUNDAI</t>
        </is>
      </c>
      <c r="C144" t="inlineStr">
        <is>
          <t>EHH0038</t>
        </is>
      </c>
      <c r="D144" t="inlineStr">
        <is>
          <t>Campo Grande</t>
        </is>
      </c>
      <c r="E144" s="5" t="n">
        <v>17892.78</v>
      </c>
    </row>
    <row r="145">
      <c r="A145" t="inlineStr">
        <is>
          <t>2025-09</t>
        </is>
      </c>
      <c r="B145" t="inlineStr">
        <is>
          <t>HYUNDAI</t>
        </is>
      </c>
      <c r="C145" t="inlineStr">
        <is>
          <t>EHH0038</t>
        </is>
      </c>
      <c r="D145" t="inlineStr">
        <is>
          <t>Campo Grande</t>
        </is>
      </c>
      <c r="E145" s="5" t="n">
        <v>18385.18</v>
      </c>
    </row>
    <row r="146">
      <c r="A146" t="inlineStr">
        <is>
          <t>2025-10</t>
        </is>
      </c>
      <c r="B146" t="inlineStr">
        <is>
          <t>HYUNDAI</t>
        </is>
      </c>
      <c r="C146" t="inlineStr">
        <is>
          <t>EHH0038</t>
        </is>
      </c>
      <c r="D146" t="inlineStr">
        <is>
          <t>Campo Grande</t>
        </is>
      </c>
      <c r="E146" s="5" t="n">
        <v>12732.19</v>
      </c>
    </row>
    <row r="147">
      <c r="A147" t="inlineStr">
        <is>
          <t>2025-11</t>
        </is>
      </c>
      <c r="B147" t="inlineStr">
        <is>
          <t>HYUNDAI</t>
        </is>
      </c>
      <c r="C147" t="inlineStr">
        <is>
          <t>EHH0038</t>
        </is>
      </c>
      <c r="D147" t="inlineStr">
        <is>
          <t>Campo Grande</t>
        </is>
      </c>
      <c r="E147" s="5" t="n">
        <v>8795.02</v>
      </c>
    </row>
    <row r="148">
      <c r="A148" t="inlineStr">
        <is>
          <t>2025-12</t>
        </is>
      </c>
      <c r="B148" t="inlineStr">
        <is>
          <t>HYUNDAI</t>
        </is>
      </c>
      <c r="C148" t="inlineStr">
        <is>
          <t>EHH0038</t>
        </is>
      </c>
      <c r="D148" t="inlineStr">
        <is>
          <t>Campo Grande</t>
        </is>
      </c>
      <c r="E148" s="5" t="n">
        <v>8890.809999999999</v>
      </c>
    </row>
    <row r="149">
      <c r="A149" t="inlineStr">
        <is>
          <t>2026-01</t>
        </is>
      </c>
      <c r="B149" t="inlineStr">
        <is>
          <t>HYUNDAI</t>
        </is>
      </c>
      <c r="C149" t="inlineStr">
        <is>
          <t>EHH0038</t>
        </is>
      </c>
      <c r="D149" t="inlineStr">
        <is>
          <t>Campo Grande</t>
        </is>
      </c>
      <c r="E149" s="5" t="n">
        <v>2940.53</v>
      </c>
    </row>
    <row r="150">
      <c r="A150" t="inlineStr">
        <is>
          <t>2026-03</t>
        </is>
      </c>
      <c r="B150" t="inlineStr">
        <is>
          <t>HYUNDAI</t>
        </is>
      </c>
      <c r="C150" t="inlineStr">
        <is>
          <t>EHH0038</t>
        </is>
      </c>
      <c r="D150" t="inlineStr">
        <is>
          <t>Campo Grande</t>
        </is>
      </c>
      <c r="E150" s="5" t="n">
        <v>718.64</v>
      </c>
    </row>
    <row r="151">
      <c r="A151" t="inlineStr">
        <is>
          <t>2025-01</t>
        </is>
      </c>
      <c r="B151" t="inlineStr">
        <is>
          <t>HYUNDAI</t>
        </is>
      </c>
      <c r="C151" t="inlineStr">
        <is>
          <t>EHH0039</t>
        </is>
      </c>
      <c r="D151" t="inlineStr">
        <is>
          <t>Maringá</t>
        </is>
      </c>
      <c r="E151" s="5" t="n">
        <v>3694.11</v>
      </c>
    </row>
    <row r="152">
      <c r="A152" t="inlineStr">
        <is>
          <t>2025-02</t>
        </is>
      </c>
      <c r="B152" t="inlineStr">
        <is>
          <t>HYUNDAI</t>
        </is>
      </c>
      <c r="C152" t="inlineStr">
        <is>
          <t>EHH0039</t>
        </is>
      </c>
      <c r="D152" t="inlineStr">
        <is>
          <t>Maringá</t>
        </is>
      </c>
      <c r="E152" s="5" t="n">
        <v>640.7</v>
      </c>
    </row>
    <row r="153">
      <c r="A153" t="inlineStr">
        <is>
          <t>2025-03</t>
        </is>
      </c>
      <c r="B153" t="inlineStr">
        <is>
          <t>HYUNDAI</t>
        </is>
      </c>
      <c r="C153" t="inlineStr">
        <is>
          <t>EHH0039</t>
        </is>
      </c>
      <c r="D153" t="inlineStr">
        <is>
          <t>Maringá</t>
        </is>
      </c>
      <c r="E153" s="5" t="n">
        <v>3364</v>
      </c>
    </row>
    <row r="154">
      <c r="A154" t="inlineStr">
        <is>
          <t>2025-04</t>
        </is>
      </c>
      <c r="B154" t="inlineStr">
        <is>
          <t>HYUNDAI</t>
        </is>
      </c>
      <c r="C154" t="inlineStr">
        <is>
          <t>EHH0039</t>
        </is>
      </c>
      <c r="D154" t="inlineStr">
        <is>
          <t>Maringá</t>
        </is>
      </c>
      <c r="E154" s="5" t="n">
        <v>20750.79</v>
      </c>
    </row>
    <row r="155">
      <c r="A155" t="inlineStr">
        <is>
          <t>2025-05</t>
        </is>
      </c>
      <c r="B155" t="inlineStr">
        <is>
          <t>HYUNDAI</t>
        </is>
      </c>
      <c r="C155" t="inlineStr">
        <is>
          <t>EHH0039</t>
        </is>
      </c>
      <c r="D155" t="inlineStr">
        <is>
          <t>Maringá</t>
        </is>
      </c>
      <c r="E155" s="5" t="n">
        <v>4462.11</v>
      </c>
    </row>
    <row r="156">
      <c r="A156" t="inlineStr">
        <is>
          <t>2025-06</t>
        </is>
      </c>
      <c r="B156" t="inlineStr">
        <is>
          <t>HYUNDAI</t>
        </is>
      </c>
      <c r="C156" t="inlineStr">
        <is>
          <t>EHH0039</t>
        </is>
      </c>
      <c r="D156" t="inlineStr">
        <is>
          <t>Maringá</t>
        </is>
      </c>
      <c r="E156" s="5" t="n">
        <v>5896.84</v>
      </c>
    </row>
    <row r="157">
      <c r="A157" t="inlineStr">
        <is>
          <t>2025-07</t>
        </is>
      </c>
      <c r="B157" t="inlineStr">
        <is>
          <t>HYUNDAI</t>
        </is>
      </c>
      <c r="C157" t="inlineStr">
        <is>
          <t>EHH0039</t>
        </is>
      </c>
      <c r="D157" t="inlineStr">
        <is>
          <t>Maringá</t>
        </is>
      </c>
      <c r="E157" s="5" t="n">
        <v>4563.14</v>
      </c>
    </row>
    <row r="158">
      <c r="A158" t="inlineStr">
        <is>
          <t>2025-08</t>
        </is>
      </c>
      <c r="B158" t="inlineStr">
        <is>
          <t>HYUNDAI</t>
        </is>
      </c>
      <c r="C158" t="inlineStr">
        <is>
          <t>EHH0039</t>
        </is>
      </c>
      <c r="D158" t="inlineStr">
        <is>
          <t>Maringá</t>
        </is>
      </c>
      <c r="E158" s="5" t="n">
        <v>6531.93</v>
      </c>
    </row>
    <row r="159">
      <c r="A159" t="inlineStr">
        <is>
          <t>2025-09</t>
        </is>
      </c>
      <c r="B159" t="inlineStr">
        <is>
          <t>HYUNDAI</t>
        </is>
      </c>
      <c r="C159" t="inlineStr">
        <is>
          <t>EHH0039</t>
        </is>
      </c>
      <c r="D159" t="inlineStr">
        <is>
          <t>Maringá</t>
        </is>
      </c>
      <c r="E159" s="5" t="n">
        <v>15290.55</v>
      </c>
    </row>
    <row r="160">
      <c r="A160" t="inlineStr">
        <is>
          <t>2025-10</t>
        </is>
      </c>
      <c r="B160" t="inlineStr">
        <is>
          <t>HYUNDAI</t>
        </is>
      </c>
      <c r="C160" t="inlineStr">
        <is>
          <t>EHH0039</t>
        </is>
      </c>
      <c r="D160" t="inlineStr">
        <is>
          <t>Maringá</t>
        </is>
      </c>
      <c r="E160" s="5" t="n">
        <v>12036.57</v>
      </c>
    </row>
    <row r="161">
      <c r="A161" t="inlineStr">
        <is>
          <t>2025-11</t>
        </is>
      </c>
      <c r="B161" t="inlineStr">
        <is>
          <t>HYUNDAI</t>
        </is>
      </c>
      <c r="C161" t="inlineStr">
        <is>
          <t>EHH0039</t>
        </is>
      </c>
      <c r="D161" t="inlineStr">
        <is>
          <t>Maringá</t>
        </is>
      </c>
      <c r="E161" s="5" t="n">
        <v>4497.72</v>
      </c>
    </row>
    <row r="162">
      <c r="A162" t="inlineStr">
        <is>
          <t>2025-12</t>
        </is>
      </c>
      <c r="B162" t="inlineStr">
        <is>
          <t>HYUNDAI</t>
        </is>
      </c>
      <c r="C162" t="inlineStr">
        <is>
          <t>EHH0039</t>
        </is>
      </c>
      <c r="D162" t="inlineStr">
        <is>
          <t>Maringá</t>
        </is>
      </c>
      <c r="E162" s="5" t="n">
        <v>2394.5</v>
      </c>
    </row>
    <row r="163">
      <c r="A163" t="inlineStr">
        <is>
          <t>2026-01</t>
        </is>
      </c>
      <c r="B163" t="inlineStr">
        <is>
          <t>HYUNDAI</t>
        </is>
      </c>
      <c r="C163" t="inlineStr">
        <is>
          <t>EHH0039</t>
        </is>
      </c>
      <c r="D163" t="inlineStr">
        <is>
          <t>Maringá</t>
        </is>
      </c>
      <c r="E163" s="5" t="n">
        <v>2315.75</v>
      </c>
    </row>
    <row r="164">
      <c r="A164" t="inlineStr">
        <is>
          <t>2026-02</t>
        </is>
      </c>
      <c r="B164" t="inlineStr">
        <is>
          <t>HYUNDAI</t>
        </is>
      </c>
      <c r="C164" t="inlineStr">
        <is>
          <t>EHH0039</t>
        </is>
      </c>
      <c r="D164" t="inlineStr">
        <is>
          <t>Maringá</t>
        </is>
      </c>
      <c r="E164" s="5" t="n">
        <v>1109.25</v>
      </c>
    </row>
    <row r="165">
      <c r="A165" t="inlineStr">
        <is>
          <t>2026-03</t>
        </is>
      </c>
      <c r="B165" t="inlineStr">
        <is>
          <t>HYUNDAI</t>
        </is>
      </c>
      <c r="C165" t="inlineStr">
        <is>
          <t>EHH0039</t>
        </is>
      </c>
      <c r="D165" t="inlineStr">
        <is>
          <t>Maringá</t>
        </is>
      </c>
      <c r="E165" s="5" t="n">
        <v>1196.66</v>
      </c>
    </row>
    <row r="166">
      <c r="A166" t="inlineStr">
        <is>
          <t>2025-01</t>
        </is>
      </c>
      <c r="B166" t="inlineStr">
        <is>
          <t>HYUNDAI</t>
        </is>
      </c>
      <c r="C166" t="inlineStr">
        <is>
          <t>EHH0040</t>
        </is>
      </c>
      <c r="D166" t="inlineStr">
        <is>
          <t>Londrina</t>
        </is>
      </c>
      <c r="E166" s="5" t="n">
        <v>12977.24</v>
      </c>
    </row>
    <row r="167">
      <c r="A167" t="inlineStr">
        <is>
          <t>2025-02</t>
        </is>
      </c>
      <c r="B167" t="inlineStr">
        <is>
          <t>HYUNDAI</t>
        </is>
      </c>
      <c r="C167" t="inlineStr">
        <is>
          <t>EHH0040</t>
        </is>
      </c>
      <c r="D167" t="inlineStr">
        <is>
          <t>Londrina</t>
        </is>
      </c>
      <c r="E167" s="5" t="n">
        <v>5839.82</v>
      </c>
    </row>
    <row r="168">
      <c r="A168" t="inlineStr">
        <is>
          <t>2025-03</t>
        </is>
      </c>
      <c r="B168" t="inlineStr">
        <is>
          <t>HYUNDAI</t>
        </is>
      </c>
      <c r="C168" t="inlineStr">
        <is>
          <t>EHH0040</t>
        </is>
      </c>
      <c r="D168" t="inlineStr">
        <is>
          <t>Londrina</t>
        </is>
      </c>
      <c r="E168" s="5" t="n">
        <v>14731.73</v>
      </c>
    </row>
    <row r="169">
      <c r="A169" t="inlineStr">
        <is>
          <t>2025-04</t>
        </is>
      </c>
      <c r="B169" t="inlineStr">
        <is>
          <t>HYUNDAI</t>
        </is>
      </c>
      <c r="C169" t="inlineStr">
        <is>
          <t>EHH0040</t>
        </is>
      </c>
      <c r="D169" t="inlineStr">
        <is>
          <t>Londrina</t>
        </is>
      </c>
      <c r="E169" s="5" t="n">
        <v>6790.42</v>
      </c>
    </row>
    <row r="170">
      <c r="A170" t="inlineStr">
        <is>
          <t>2025-05</t>
        </is>
      </c>
      <c r="B170" t="inlineStr">
        <is>
          <t>HYUNDAI</t>
        </is>
      </c>
      <c r="C170" t="inlineStr">
        <is>
          <t>EHH0040</t>
        </is>
      </c>
      <c r="D170" t="inlineStr">
        <is>
          <t>Londrina</t>
        </is>
      </c>
      <c r="E170" s="5" t="n">
        <v>13185.87</v>
      </c>
    </row>
    <row r="171">
      <c r="A171" t="inlineStr">
        <is>
          <t>2025-06</t>
        </is>
      </c>
      <c r="B171" t="inlineStr">
        <is>
          <t>HYUNDAI</t>
        </is>
      </c>
      <c r="C171" t="inlineStr">
        <is>
          <t>EHH0040</t>
        </is>
      </c>
      <c r="D171" t="inlineStr">
        <is>
          <t>Londrina</t>
        </is>
      </c>
      <c r="E171" s="5" t="n">
        <v>9123.67</v>
      </c>
    </row>
    <row r="172">
      <c r="A172" t="inlineStr">
        <is>
          <t>2025-07</t>
        </is>
      </c>
      <c r="B172" t="inlineStr">
        <is>
          <t>HYUNDAI</t>
        </is>
      </c>
      <c r="C172" t="inlineStr">
        <is>
          <t>EHH0040</t>
        </is>
      </c>
      <c r="D172" t="inlineStr">
        <is>
          <t>Londrina</t>
        </is>
      </c>
      <c r="E172" s="5" t="n">
        <v>16135.78</v>
      </c>
    </row>
    <row r="173">
      <c r="A173" t="inlineStr">
        <is>
          <t>2025-08</t>
        </is>
      </c>
      <c r="B173" t="inlineStr">
        <is>
          <t>HYUNDAI</t>
        </is>
      </c>
      <c r="C173" t="inlineStr">
        <is>
          <t>EHH0040</t>
        </is>
      </c>
      <c r="D173" t="inlineStr">
        <is>
          <t>Londrina</t>
        </is>
      </c>
      <c r="E173" s="5" t="n">
        <v>10595.37</v>
      </c>
    </row>
    <row r="174">
      <c r="A174" t="inlineStr">
        <is>
          <t>2025-09</t>
        </is>
      </c>
      <c r="B174" t="inlineStr">
        <is>
          <t>HYUNDAI</t>
        </is>
      </c>
      <c r="C174" t="inlineStr">
        <is>
          <t>EHH0040</t>
        </is>
      </c>
      <c r="D174" t="inlineStr">
        <is>
          <t>Londrina</t>
        </is>
      </c>
      <c r="E174" s="5" t="n">
        <v>10003.3</v>
      </c>
    </row>
    <row r="175">
      <c r="A175" t="inlineStr">
        <is>
          <t>2025-10</t>
        </is>
      </c>
      <c r="B175" t="inlineStr">
        <is>
          <t>HYUNDAI</t>
        </is>
      </c>
      <c r="C175" t="inlineStr">
        <is>
          <t>EHH0040</t>
        </is>
      </c>
      <c r="D175" t="inlineStr">
        <is>
          <t>Londrina</t>
        </is>
      </c>
      <c r="E175" s="5" t="n">
        <v>15273.65</v>
      </c>
    </row>
    <row r="176">
      <c r="A176" t="inlineStr">
        <is>
          <t>2025-11</t>
        </is>
      </c>
      <c r="B176" t="inlineStr">
        <is>
          <t>HYUNDAI</t>
        </is>
      </c>
      <c r="C176" t="inlineStr">
        <is>
          <t>EHH0040</t>
        </is>
      </c>
      <c r="D176" t="inlineStr">
        <is>
          <t>Londrina</t>
        </is>
      </c>
      <c r="E176" s="5" t="n">
        <v>8338.970000000001</v>
      </c>
    </row>
    <row r="177">
      <c r="A177" t="inlineStr">
        <is>
          <t>2025-12</t>
        </is>
      </c>
      <c r="B177" t="inlineStr">
        <is>
          <t>HYUNDAI</t>
        </is>
      </c>
      <c r="C177" t="inlineStr">
        <is>
          <t>EHH0040</t>
        </is>
      </c>
      <c r="D177" t="inlineStr">
        <is>
          <t>Londrina</t>
        </is>
      </c>
      <c r="E177" s="5" t="n">
        <v>2285.59</v>
      </c>
    </row>
    <row r="178">
      <c r="A178" t="inlineStr">
        <is>
          <t>2026-01</t>
        </is>
      </c>
      <c r="B178" t="inlineStr">
        <is>
          <t>HYUNDAI</t>
        </is>
      </c>
      <c r="C178" t="inlineStr">
        <is>
          <t>EHH0040</t>
        </is>
      </c>
      <c r="D178" t="inlineStr">
        <is>
          <t>Londrina</t>
        </is>
      </c>
      <c r="E178" s="5" t="n">
        <v>612.76</v>
      </c>
    </row>
    <row r="179">
      <c r="A179" t="inlineStr">
        <is>
          <t>2026-02</t>
        </is>
      </c>
      <c r="B179" t="inlineStr">
        <is>
          <t>HYUNDAI</t>
        </is>
      </c>
      <c r="C179" t="inlineStr">
        <is>
          <t>EHH0040</t>
        </is>
      </c>
      <c r="D179" t="inlineStr">
        <is>
          <t>Londrina</t>
        </is>
      </c>
      <c r="E179" s="5" t="n">
        <v>4325.75</v>
      </c>
    </row>
    <row r="180">
      <c r="A180" t="inlineStr">
        <is>
          <t>2026-03</t>
        </is>
      </c>
      <c r="B180" t="inlineStr">
        <is>
          <t>HYUNDAI</t>
        </is>
      </c>
      <c r="C180" t="inlineStr">
        <is>
          <t>EHH0040</t>
        </is>
      </c>
      <c r="D180" t="inlineStr">
        <is>
          <t>Londrina</t>
        </is>
      </c>
      <c r="E180" s="5" t="n">
        <v>5289</v>
      </c>
    </row>
    <row r="181">
      <c r="A181" t="inlineStr">
        <is>
          <t>2025-01</t>
        </is>
      </c>
      <c r="B181" t="inlineStr">
        <is>
          <t>HYUNDAI</t>
        </is>
      </c>
      <c r="C181" t="inlineStr">
        <is>
          <t>EHH0044</t>
        </is>
      </c>
      <c r="D181" t="inlineStr">
        <is>
          <t>Dourados</t>
        </is>
      </c>
      <c r="E181" s="5" t="n">
        <v>11319.24</v>
      </c>
    </row>
    <row r="182">
      <c r="A182" t="inlineStr">
        <is>
          <t>2025-02</t>
        </is>
      </c>
      <c r="B182" t="inlineStr">
        <is>
          <t>HYUNDAI</t>
        </is>
      </c>
      <c r="C182" t="inlineStr">
        <is>
          <t>EHH0044</t>
        </is>
      </c>
      <c r="D182" t="inlineStr">
        <is>
          <t>Dourados</t>
        </is>
      </c>
      <c r="E182" s="5" t="n">
        <v>8041.02</v>
      </c>
    </row>
    <row r="183">
      <c r="A183" t="inlineStr">
        <is>
          <t>2025-03</t>
        </is>
      </c>
      <c r="B183" t="inlineStr">
        <is>
          <t>HYUNDAI</t>
        </is>
      </c>
      <c r="C183" t="inlineStr">
        <is>
          <t>EHH0044</t>
        </is>
      </c>
      <c r="D183" t="inlineStr">
        <is>
          <t>Dourados</t>
        </is>
      </c>
      <c r="E183" s="5" t="n">
        <v>12830.86</v>
      </c>
    </row>
    <row r="184">
      <c r="A184" t="inlineStr">
        <is>
          <t>2025-04</t>
        </is>
      </c>
      <c r="B184" t="inlineStr">
        <is>
          <t>HYUNDAI</t>
        </is>
      </c>
      <c r="C184" t="inlineStr">
        <is>
          <t>EHH0044</t>
        </is>
      </c>
      <c r="D184" t="inlineStr">
        <is>
          <t>Dourados</t>
        </is>
      </c>
      <c r="E184" s="5" t="n">
        <v>34949.44</v>
      </c>
    </row>
    <row r="185">
      <c r="A185" t="inlineStr">
        <is>
          <t>2025-05</t>
        </is>
      </c>
      <c r="B185" t="inlineStr">
        <is>
          <t>HYUNDAI</t>
        </is>
      </c>
      <c r="C185" t="inlineStr">
        <is>
          <t>EHH0044</t>
        </is>
      </c>
      <c r="D185" t="inlineStr">
        <is>
          <t>Dourados</t>
        </is>
      </c>
      <c r="E185" s="5" t="n">
        <v>20844.79</v>
      </c>
    </row>
    <row r="186">
      <c r="A186" t="inlineStr">
        <is>
          <t>2025-06</t>
        </is>
      </c>
      <c r="B186" t="inlineStr">
        <is>
          <t>HYUNDAI</t>
        </is>
      </c>
      <c r="C186" t="inlineStr">
        <is>
          <t>EHH0044</t>
        </is>
      </c>
      <c r="D186" t="inlineStr">
        <is>
          <t>Dourados</t>
        </is>
      </c>
      <c r="E186" s="5" t="n">
        <v>7142.04</v>
      </c>
    </row>
    <row r="187">
      <c r="A187" t="inlineStr">
        <is>
          <t>2025-07</t>
        </is>
      </c>
      <c r="B187" t="inlineStr">
        <is>
          <t>HYUNDAI</t>
        </is>
      </c>
      <c r="C187" t="inlineStr">
        <is>
          <t>EHH0044</t>
        </is>
      </c>
      <c r="D187" t="inlineStr">
        <is>
          <t>Dourados</t>
        </is>
      </c>
      <c r="E187" s="5" t="n">
        <v>1337.08</v>
      </c>
    </row>
    <row r="188">
      <c r="A188" t="inlineStr">
        <is>
          <t>2025-08</t>
        </is>
      </c>
      <c r="B188" t="inlineStr">
        <is>
          <t>HYUNDAI</t>
        </is>
      </c>
      <c r="C188" t="inlineStr">
        <is>
          <t>EHH0044</t>
        </is>
      </c>
      <c r="D188" t="inlineStr">
        <is>
          <t>Dourados</t>
        </is>
      </c>
      <c r="E188" s="5" t="n">
        <v>4096.95</v>
      </c>
    </row>
    <row r="189">
      <c r="A189" t="inlineStr">
        <is>
          <t>2025-09</t>
        </is>
      </c>
      <c r="B189" t="inlineStr">
        <is>
          <t>HYUNDAI</t>
        </is>
      </c>
      <c r="C189" t="inlineStr">
        <is>
          <t>EHH0044</t>
        </is>
      </c>
      <c r="D189" t="inlineStr">
        <is>
          <t>Dourados</t>
        </is>
      </c>
      <c r="E189" s="5" t="n">
        <v>78025.17</v>
      </c>
    </row>
    <row r="190">
      <c r="A190" t="inlineStr">
        <is>
          <t>2025-10</t>
        </is>
      </c>
      <c r="B190" t="inlineStr">
        <is>
          <t>HYUNDAI</t>
        </is>
      </c>
      <c r="C190" t="inlineStr">
        <is>
          <t>EHH0044</t>
        </is>
      </c>
      <c r="D190" t="inlineStr">
        <is>
          <t>Dourados</t>
        </is>
      </c>
      <c r="E190" s="5" t="n">
        <v>20995.46</v>
      </c>
    </row>
    <row r="191">
      <c r="A191" t="inlineStr">
        <is>
          <t>2025-11</t>
        </is>
      </c>
      <c r="B191" t="inlineStr">
        <is>
          <t>HYUNDAI</t>
        </is>
      </c>
      <c r="C191" t="inlineStr">
        <is>
          <t>EHH0044</t>
        </is>
      </c>
      <c r="D191" t="inlineStr">
        <is>
          <t>Dourados</t>
        </is>
      </c>
      <c r="E191" s="5" t="n">
        <v>13683.59</v>
      </c>
    </row>
    <row r="192">
      <c r="A192" t="inlineStr">
        <is>
          <t>2025-12</t>
        </is>
      </c>
      <c r="B192" t="inlineStr">
        <is>
          <t>HYUNDAI</t>
        </is>
      </c>
      <c r="C192" t="inlineStr">
        <is>
          <t>EHH0044</t>
        </is>
      </c>
      <c r="D192" t="inlineStr">
        <is>
          <t>Dourados</t>
        </is>
      </c>
      <c r="E192" s="5" t="n">
        <v>2670.86</v>
      </c>
    </row>
    <row r="193">
      <c r="A193" t="inlineStr">
        <is>
          <t>2026-01</t>
        </is>
      </c>
      <c r="B193" t="inlineStr">
        <is>
          <t>HYUNDAI</t>
        </is>
      </c>
      <c r="C193" t="inlineStr">
        <is>
          <t>EHH0044</t>
        </is>
      </c>
      <c r="D193" t="inlineStr">
        <is>
          <t>Dourados</t>
        </is>
      </c>
      <c r="E193" s="5" t="n">
        <v>836.41</v>
      </c>
    </row>
    <row r="194">
      <c r="A194" t="inlineStr">
        <is>
          <t>2026-02</t>
        </is>
      </c>
      <c r="B194" t="inlineStr">
        <is>
          <t>HYUNDAI</t>
        </is>
      </c>
      <c r="C194" t="inlineStr">
        <is>
          <t>EHH0044</t>
        </is>
      </c>
      <c r="D194" t="inlineStr">
        <is>
          <t>Dourados</t>
        </is>
      </c>
      <c r="E194" s="5" t="n">
        <v>8593.77</v>
      </c>
    </row>
    <row r="195">
      <c r="A195" t="inlineStr">
        <is>
          <t>2026-03</t>
        </is>
      </c>
      <c r="B195" t="inlineStr">
        <is>
          <t>HYUNDAI</t>
        </is>
      </c>
      <c r="C195" t="inlineStr">
        <is>
          <t>EHH0044</t>
        </is>
      </c>
      <c r="D195" t="inlineStr">
        <is>
          <t>Dourados</t>
        </is>
      </c>
      <c r="E195" s="5" t="n">
        <v>6511.059999999999</v>
      </c>
    </row>
    <row r="196">
      <c r="A196" t="inlineStr">
        <is>
          <t>2025-01</t>
        </is>
      </c>
      <c r="B196" t="inlineStr">
        <is>
          <t>HYUNDAI</t>
        </is>
      </c>
      <c r="C196" t="inlineStr">
        <is>
          <t>EHH0046</t>
        </is>
      </c>
      <c r="D196" t="inlineStr">
        <is>
          <t>Campo Grande</t>
        </is>
      </c>
      <c r="E196" s="5" t="n">
        <v>2024.17</v>
      </c>
    </row>
    <row r="197">
      <c r="A197" t="inlineStr">
        <is>
          <t>2025-02</t>
        </is>
      </c>
      <c r="B197" t="inlineStr">
        <is>
          <t>HYUNDAI</t>
        </is>
      </c>
      <c r="C197" t="inlineStr">
        <is>
          <t>EHH0046</t>
        </is>
      </c>
      <c r="D197" t="inlineStr">
        <is>
          <t>Campo Grande</t>
        </is>
      </c>
      <c r="E197" s="5" t="n">
        <v>1600</v>
      </c>
    </row>
    <row r="198">
      <c r="A198" t="inlineStr">
        <is>
          <t>2025-04</t>
        </is>
      </c>
      <c r="B198" t="inlineStr">
        <is>
          <t>HYUNDAI</t>
        </is>
      </c>
      <c r="C198" t="inlineStr">
        <is>
          <t>EHH0046</t>
        </is>
      </c>
      <c r="D198" t="inlineStr">
        <is>
          <t>Campo Grande</t>
        </is>
      </c>
      <c r="E198" s="5" t="n">
        <v>294.7</v>
      </c>
    </row>
    <row r="199">
      <c r="A199" t="inlineStr">
        <is>
          <t>2025-05</t>
        </is>
      </c>
      <c r="B199" t="inlineStr">
        <is>
          <t>HYUNDAI</t>
        </is>
      </c>
      <c r="C199" t="inlineStr">
        <is>
          <t>EHH0046</t>
        </is>
      </c>
      <c r="D199" t="inlineStr">
        <is>
          <t>Campo Grande</t>
        </is>
      </c>
      <c r="E199" s="5" t="n">
        <v>11867.39</v>
      </c>
    </row>
    <row r="200">
      <c r="A200" t="inlineStr">
        <is>
          <t>2025-09</t>
        </is>
      </c>
      <c r="B200" t="inlineStr">
        <is>
          <t>HYUNDAI</t>
        </is>
      </c>
      <c r="C200" t="inlineStr">
        <is>
          <t>EHH0046</t>
        </is>
      </c>
      <c r="D200" t="inlineStr">
        <is>
          <t>Campo Grande</t>
        </is>
      </c>
      <c r="E200" s="5" t="n">
        <v>1184.02</v>
      </c>
    </row>
    <row r="201">
      <c r="A201" t="inlineStr">
        <is>
          <t>2025-10</t>
        </is>
      </c>
      <c r="B201" t="inlineStr">
        <is>
          <t>HYUNDAI</t>
        </is>
      </c>
      <c r="C201" t="inlineStr">
        <is>
          <t>EHH0046</t>
        </is>
      </c>
      <c r="D201" t="inlineStr">
        <is>
          <t>Campo Grande</t>
        </is>
      </c>
      <c r="E201" s="5" t="n">
        <v>2639.5</v>
      </c>
    </row>
    <row r="202">
      <c r="A202" t="inlineStr">
        <is>
          <t>2026-02</t>
        </is>
      </c>
      <c r="B202" t="inlineStr">
        <is>
          <t>HYUNDAI</t>
        </is>
      </c>
      <c r="C202" t="inlineStr">
        <is>
          <t>EHH0046</t>
        </is>
      </c>
      <c r="D202" t="inlineStr">
        <is>
          <t>Campo Grande</t>
        </is>
      </c>
      <c r="E202" s="5" t="n">
        <v>675.03</v>
      </c>
    </row>
    <row r="203">
      <c r="A203" t="inlineStr">
        <is>
          <t>2025-02</t>
        </is>
      </c>
      <c r="B203" t="inlineStr">
        <is>
          <t>LIEBHERR</t>
        </is>
      </c>
      <c r="C203" t="inlineStr">
        <is>
          <t>EHL0013</t>
        </is>
      </c>
      <c r="D203" t="inlineStr">
        <is>
          <t>Pátio de Manutenção</t>
        </is>
      </c>
      <c r="E203" s="5" t="n">
        <v>148.73</v>
      </c>
    </row>
    <row r="204">
      <c r="A204" t="inlineStr">
        <is>
          <t>2025-06</t>
        </is>
      </c>
      <c r="B204" t="inlineStr">
        <is>
          <t>LIEBHERR</t>
        </is>
      </c>
      <c r="C204" t="inlineStr">
        <is>
          <t>EHL0013</t>
        </is>
      </c>
      <c r="D204" t="inlineStr">
        <is>
          <t>Pátio de Manutenção</t>
        </is>
      </c>
      <c r="E204" s="5" t="n">
        <v>1802</v>
      </c>
    </row>
    <row r="205">
      <c r="A205" t="inlineStr">
        <is>
          <t>2025-08</t>
        </is>
      </c>
      <c r="B205" t="inlineStr">
        <is>
          <t>LIEBHERR</t>
        </is>
      </c>
      <c r="C205" t="inlineStr">
        <is>
          <t>EHL0013</t>
        </is>
      </c>
      <c r="D205" t="inlineStr">
        <is>
          <t>Pátio de Manutenção</t>
        </is>
      </c>
      <c r="E205" s="5" t="n">
        <v>712.98</v>
      </c>
    </row>
    <row r="206">
      <c r="A206" t="inlineStr">
        <is>
          <t>2025-09</t>
        </is>
      </c>
      <c r="B206" t="inlineStr">
        <is>
          <t>LIEBHERR</t>
        </is>
      </c>
      <c r="C206" t="inlineStr">
        <is>
          <t>EHL0013</t>
        </is>
      </c>
      <c r="D206" t="inlineStr">
        <is>
          <t>Pátio de Manutenção</t>
        </is>
      </c>
      <c r="E206" s="5" t="n">
        <v>8662.65</v>
      </c>
    </row>
    <row r="207">
      <c r="A207" t="inlineStr">
        <is>
          <t>2025-11</t>
        </is>
      </c>
      <c r="B207" t="inlineStr">
        <is>
          <t>LIEBHERR</t>
        </is>
      </c>
      <c r="C207" t="inlineStr">
        <is>
          <t>EHL0013</t>
        </is>
      </c>
      <c r="D207" t="inlineStr">
        <is>
          <t>Pátio de Manutenção</t>
        </is>
      </c>
      <c r="E207" s="5" t="n">
        <v>416.19</v>
      </c>
    </row>
    <row r="208">
      <c r="A208" t="inlineStr">
        <is>
          <t>2026-01</t>
        </is>
      </c>
      <c r="B208" t="inlineStr">
        <is>
          <t>LIEBHERR</t>
        </is>
      </c>
      <c r="C208" t="inlineStr">
        <is>
          <t>EHL0013</t>
        </is>
      </c>
      <c r="D208" t="inlineStr">
        <is>
          <t>Pátio de Manutenção</t>
        </is>
      </c>
      <c r="E208" s="5" t="n">
        <v>1350</v>
      </c>
    </row>
    <row r="209">
      <c r="A209" t="inlineStr">
        <is>
          <t>2026-03</t>
        </is>
      </c>
      <c r="B209" t="inlineStr">
        <is>
          <t>LIEBHERR</t>
        </is>
      </c>
      <c r="C209" t="inlineStr">
        <is>
          <t>EHL0013</t>
        </is>
      </c>
      <c r="D209" t="inlineStr">
        <is>
          <t>Pátio de Manutenção</t>
        </is>
      </c>
      <c r="E209" s="5" t="n">
        <v>1330.02</v>
      </c>
    </row>
    <row r="210">
      <c r="A210" t="inlineStr">
        <is>
          <t>2025-02</t>
        </is>
      </c>
      <c r="B210" t="inlineStr">
        <is>
          <t>LIEBHERR</t>
        </is>
      </c>
      <c r="C210" t="inlineStr">
        <is>
          <t>EHL0014</t>
        </is>
      </c>
      <c r="D210" t="inlineStr">
        <is>
          <t>Pátio de Manutenção</t>
        </is>
      </c>
      <c r="E210" s="5" t="n">
        <v>725.02</v>
      </c>
    </row>
    <row r="211">
      <c r="A211" t="inlineStr">
        <is>
          <t>2025-06</t>
        </is>
      </c>
      <c r="B211" t="inlineStr">
        <is>
          <t>LIEBHERR</t>
        </is>
      </c>
      <c r="C211" t="inlineStr">
        <is>
          <t>EHL0014</t>
        </is>
      </c>
      <c r="D211" t="inlineStr">
        <is>
          <t>Pátio de Manutenção</t>
        </is>
      </c>
      <c r="E211" s="5" t="n">
        <v>11810.46</v>
      </c>
    </row>
    <row r="212">
      <c r="A212" t="inlineStr">
        <is>
          <t>2025-07</t>
        </is>
      </c>
      <c r="B212" t="inlineStr">
        <is>
          <t>LIEBHERR</t>
        </is>
      </c>
      <c r="C212" t="inlineStr">
        <is>
          <t>EHL0014</t>
        </is>
      </c>
      <c r="D212" t="inlineStr">
        <is>
          <t>Pátio de Manutenção</t>
        </is>
      </c>
      <c r="E212" s="5" t="n">
        <v>21756.44</v>
      </c>
    </row>
    <row r="213">
      <c r="A213" t="inlineStr">
        <is>
          <t>2025-08</t>
        </is>
      </c>
      <c r="B213" t="inlineStr">
        <is>
          <t>LIEBHERR</t>
        </is>
      </c>
      <c r="C213" t="inlineStr">
        <is>
          <t>EHL0014</t>
        </is>
      </c>
      <c r="D213" t="inlineStr">
        <is>
          <t>Pátio de Manutenção</t>
        </is>
      </c>
      <c r="E213" s="5" t="n">
        <v>15920.79</v>
      </c>
    </row>
    <row r="214">
      <c r="A214" t="inlineStr">
        <is>
          <t>2025-09</t>
        </is>
      </c>
      <c r="B214" t="inlineStr">
        <is>
          <t>LIEBHERR</t>
        </is>
      </c>
      <c r="C214" t="inlineStr">
        <is>
          <t>EHL0014</t>
        </is>
      </c>
      <c r="D214" t="inlineStr">
        <is>
          <t>Pátio de Manutenção</t>
        </is>
      </c>
      <c r="E214" s="5" t="n">
        <v>17999.3</v>
      </c>
    </row>
    <row r="215">
      <c r="A215" t="inlineStr">
        <is>
          <t>2025-10</t>
        </is>
      </c>
      <c r="B215" t="inlineStr">
        <is>
          <t>LIEBHERR</t>
        </is>
      </c>
      <c r="C215" t="inlineStr">
        <is>
          <t>EHL0014</t>
        </is>
      </c>
      <c r="D215" t="inlineStr">
        <is>
          <t>Pátio de Manutenção</t>
        </is>
      </c>
      <c r="E215" s="5" t="n">
        <v>6642.1</v>
      </c>
    </row>
    <row r="216">
      <c r="A216" t="inlineStr">
        <is>
          <t>2025-11</t>
        </is>
      </c>
      <c r="B216" t="inlineStr">
        <is>
          <t>LIEBHERR</t>
        </is>
      </c>
      <c r="C216" t="inlineStr">
        <is>
          <t>EHL0014</t>
        </is>
      </c>
      <c r="D216" t="inlineStr">
        <is>
          <t>Pátio de Manutenção</t>
        </is>
      </c>
      <c r="E216" s="5" t="n">
        <v>3786.56</v>
      </c>
    </row>
    <row r="217">
      <c r="A217" t="inlineStr">
        <is>
          <t>2025-12</t>
        </is>
      </c>
      <c r="B217" t="inlineStr">
        <is>
          <t>LIEBHERR</t>
        </is>
      </c>
      <c r="C217" t="inlineStr">
        <is>
          <t>EHL0014</t>
        </is>
      </c>
      <c r="D217" t="inlineStr">
        <is>
          <t>Pátio de Manutenção</t>
        </is>
      </c>
      <c r="E217" s="5" t="n">
        <v>2100</v>
      </c>
    </row>
    <row r="218">
      <c r="A218" t="inlineStr">
        <is>
          <t>2026-01</t>
        </is>
      </c>
      <c r="B218" t="inlineStr">
        <is>
          <t>LIEBHERR</t>
        </is>
      </c>
      <c r="C218" t="inlineStr">
        <is>
          <t>EHL0014</t>
        </is>
      </c>
      <c r="D218" t="inlineStr">
        <is>
          <t>Pátio de Manutenção</t>
        </is>
      </c>
      <c r="E218" s="5" t="n">
        <v>15341.26</v>
      </c>
    </row>
    <row r="219">
      <c r="A219" t="inlineStr">
        <is>
          <t>2026-02</t>
        </is>
      </c>
      <c r="B219" t="inlineStr">
        <is>
          <t>LIEBHERR</t>
        </is>
      </c>
      <c r="C219" t="inlineStr">
        <is>
          <t>EHL0014</t>
        </is>
      </c>
      <c r="D219" t="inlineStr">
        <is>
          <t>Pátio de Manutenção</t>
        </is>
      </c>
      <c r="E219" s="5" t="n">
        <v>4759.73</v>
      </c>
    </row>
    <row r="220">
      <c r="A220" t="inlineStr">
        <is>
          <t>2026-03</t>
        </is>
      </c>
      <c r="B220" t="inlineStr">
        <is>
          <t>LIEBHERR</t>
        </is>
      </c>
      <c r="C220" t="inlineStr">
        <is>
          <t>EHL0014</t>
        </is>
      </c>
      <c r="D220" t="inlineStr">
        <is>
          <t>Pátio de Manutenção</t>
        </is>
      </c>
      <c r="E220" s="5" t="n">
        <v>12220.17</v>
      </c>
    </row>
    <row r="221">
      <c r="A221" t="inlineStr">
        <is>
          <t>2025-01</t>
        </is>
      </c>
      <c r="B221" t="inlineStr">
        <is>
          <t>LIEBHERR</t>
        </is>
      </c>
      <c r="C221" t="inlineStr">
        <is>
          <t>EHL0028</t>
        </is>
      </c>
      <c r="D221" t="inlineStr">
        <is>
          <t>Prudente</t>
        </is>
      </c>
      <c r="E221" s="5" t="n">
        <v>6906.09</v>
      </c>
    </row>
    <row r="222">
      <c r="A222" t="inlineStr">
        <is>
          <t>2025-02</t>
        </is>
      </c>
      <c r="B222" t="inlineStr">
        <is>
          <t>LIEBHERR</t>
        </is>
      </c>
      <c r="C222" t="inlineStr">
        <is>
          <t>EHL0028</t>
        </is>
      </c>
      <c r="D222" t="inlineStr">
        <is>
          <t>Prudente</t>
        </is>
      </c>
      <c r="E222" s="5" t="n">
        <v>6116.29</v>
      </c>
    </row>
    <row r="223">
      <c r="A223" t="inlineStr">
        <is>
          <t>2025-03</t>
        </is>
      </c>
      <c r="B223" t="inlineStr">
        <is>
          <t>LIEBHERR</t>
        </is>
      </c>
      <c r="C223" t="inlineStr">
        <is>
          <t>EHL0028</t>
        </is>
      </c>
      <c r="D223" t="inlineStr">
        <is>
          <t>Prudente</t>
        </is>
      </c>
      <c r="E223" s="5" t="n">
        <v>14853.72</v>
      </c>
    </row>
    <row r="224">
      <c r="A224" t="inlineStr">
        <is>
          <t>2025-04</t>
        </is>
      </c>
      <c r="B224" t="inlineStr">
        <is>
          <t>LIEBHERR</t>
        </is>
      </c>
      <c r="C224" t="inlineStr">
        <is>
          <t>EHL0028</t>
        </is>
      </c>
      <c r="D224" t="inlineStr">
        <is>
          <t>Prudente</t>
        </is>
      </c>
      <c r="E224" s="5" t="n">
        <v>14632.4</v>
      </c>
    </row>
    <row r="225">
      <c r="A225" t="inlineStr">
        <is>
          <t>2025-05</t>
        </is>
      </c>
      <c r="B225" t="inlineStr">
        <is>
          <t>LIEBHERR</t>
        </is>
      </c>
      <c r="C225" t="inlineStr">
        <is>
          <t>EHL0028</t>
        </is>
      </c>
      <c r="D225" t="inlineStr">
        <is>
          <t>Prudente</t>
        </is>
      </c>
      <c r="E225" s="5" t="n">
        <v>15628.97</v>
      </c>
    </row>
    <row r="226">
      <c r="A226" t="inlineStr">
        <is>
          <t>2025-06</t>
        </is>
      </c>
      <c r="B226" t="inlineStr">
        <is>
          <t>LIEBHERR</t>
        </is>
      </c>
      <c r="C226" t="inlineStr">
        <is>
          <t>EHL0028</t>
        </is>
      </c>
      <c r="D226" t="inlineStr">
        <is>
          <t>Prudente</t>
        </is>
      </c>
      <c r="E226" s="5" t="n">
        <v>11391.19</v>
      </c>
    </row>
    <row r="227">
      <c r="A227" t="inlineStr">
        <is>
          <t>2025-07</t>
        </is>
      </c>
      <c r="B227" t="inlineStr">
        <is>
          <t>LIEBHERR</t>
        </is>
      </c>
      <c r="C227" t="inlineStr">
        <is>
          <t>EHL0028</t>
        </is>
      </c>
      <c r="D227" t="inlineStr">
        <is>
          <t>Prudente</t>
        </is>
      </c>
      <c r="E227" s="5" t="n">
        <v>12700.01</v>
      </c>
    </row>
    <row r="228">
      <c r="A228" t="inlineStr">
        <is>
          <t>2025-08</t>
        </is>
      </c>
      <c r="B228" t="inlineStr">
        <is>
          <t>LIEBHERR</t>
        </is>
      </c>
      <c r="C228" t="inlineStr">
        <is>
          <t>EHL0028</t>
        </is>
      </c>
      <c r="D228" t="inlineStr">
        <is>
          <t>Prudente</t>
        </is>
      </c>
      <c r="E228" s="5" t="n">
        <v>58750.48</v>
      </c>
    </row>
    <row r="229">
      <c r="A229" t="inlineStr">
        <is>
          <t>2025-09</t>
        </is>
      </c>
      <c r="B229" t="inlineStr">
        <is>
          <t>LIEBHERR</t>
        </is>
      </c>
      <c r="C229" t="inlineStr">
        <is>
          <t>EHL0028</t>
        </is>
      </c>
      <c r="D229" t="inlineStr">
        <is>
          <t>Prudente</t>
        </is>
      </c>
      <c r="E229" s="5" t="n">
        <v>22867.67</v>
      </c>
    </row>
    <row r="230">
      <c r="A230" t="inlineStr">
        <is>
          <t>2025-10</t>
        </is>
      </c>
      <c r="B230" t="inlineStr">
        <is>
          <t>LIEBHERR</t>
        </is>
      </c>
      <c r="C230" t="inlineStr">
        <is>
          <t>EHL0028</t>
        </is>
      </c>
      <c r="D230" t="inlineStr">
        <is>
          <t>Prudente</t>
        </is>
      </c>
      <c r="E230" s="5" t="n">
        <v>34785.93</v>
      </c>
    </row>
    <row r="231">
      <c r="A231" t="inlineStr">
        <is>
          <t>2025-11</t>
        </is>
      </c>
      <c r="B231" t="inlineStr">
        <is>
          <t>LIEBHERR</t>
        </is>
      </c>
      <c r="C231" t="inlineStr">
        <is>
          <t>EHL0028</t>
        </is>
      </c>
      <c r="D231" t="inlineStr">
        <is>
          <t>Prudente</t>
        </is>
      </c>
      <c r="E231" s="5" t="n">
        <v>13971.43</v>
      </c>
    </row>
    <row r="232">
      <c r="A232" t="inlineStr">
        <is>
          <t>2025-12</t>
        </is>
      </c>
      <c r="B232" t="inlineStr">
        <is>
          <t>LIEBHERR</t>
        </is>
      </c>
      <c r="C232" t="inlineStr">
        <is>
          <t>EHL0028</t>
        </is>
      </c>
      <c r="D232" t="inlineStr">
        <is>
          <t>Prudente</t>
        </is>
      </c>
      <c r="E232" s="5" t="n">
        <v>11113.35</v>
      </c>
    </row>
    <row r="233">
      <c r="A233" t="inlineStr">
        <is>
          <t>2026-01</t>
        </is>
      </c>
      <c r="B233" t="inlineStr">
        <is>
          <t>LIEBHERR</t>
        </is>
      </c>
      <c r="C233" t="inlineStr">
        <is>
          <t>EHL0028</t>
        </is>
      </c>
      <c r="D233" t="inlineStr">
        <is>
          <t>Prudente</t>
        </is>
      </c>
      <c r="E233" s="5" t="n">
        <v>5297.05</v>
      </c>
    </row>
    <row r="234">
      <c r="A234" t="inlineStr">
        <is>
          <t>2026-02</t>
        </is>
      </c>
      <c r="B234" t="inlineStr">
        <is>
          <t>LIEBHERR</t>
        </is>
      </c>
      <c r="C234" t="inlineStr">
        <is>
          <t>EHL0028</t>
        </is>
      </c>
      <c r="D234" t="inlineStr">
        <is>
          <t>Prudente</t>
        </is>
      </c>
      <c r="E234" s="5" t="n">
        <v>14963.59</v>
      </c>
    </row>
    <row r="235">
      <c r="A235" t="inlineStr">
        <is>
          <t>2026-03</t>
        </is>
      </c>
      <c r="B235" t="inlineStr">
        <is>
          <t>LIEBHERR</t>
        </is>
      </c>
      <c r="C235" t="inlineStr">
        <is>
          <t>EHL0028</t>
        </is>
      </c>
      <c r="D235" t="inlineStr">
        <is>
          <t>Prudente</t>
        </is>
      </c>
      <c r="E235" s="5" t="n">
        <v>7348.3</v>
      </c>
    </row>
    <row r="236">
      <c r="A236" t="inlineStr">
        <is>
          <t>2025-01</t>
        </is>
      </c>
      <c r="B236" t="inlineStr">
        <is>
          <t>LIEBHERR</t>
        </is>
      </c>
      <c r="C236" t="inlineStr">
        <is>
          <t>EHL0041</t>
        </is>
      </c>
      <c r="D236" t="inlineStr">
        <is>
          <t>Tupy</t>
        </is>
      </c>
      <c r="E236" s="5" t="n">
        <v>7763.690000000001</v>
      </c>
    </row>
    <row r="237">
      <c r="A237" t="inlineStr">
        <is>
          <t>2025-02</t>
        </is>
      </c>
      <c r="B237" t="inlineStr">
        <is>
          <t>LIEBHERR</t>
        </is>
      </c>
      <c r="C237" t="inlineStr">
        <is>
          <t>EHL0041</t>
        </is>
      </c>
      <c r="D237" t="inlineStr">
        <is>
          <t>Tupy</t>
        </is>
      </c>
      <c r="E237" s="5" t="n">
        <v>1599.7</v>
      </c>
    </row>
    <row r="238">
      <c r="A238" t="inlineStr">
        <is>
          <t>2025-03</t>
        </is>
      </c>
      <c r="B238" t="inlineStr">
        <is>
          <t>LIEBHERR</t>
        </is>
      </c>
      <c r="C238" t="inlineStr">
        <is>
          <t>EHL0041</t>
        </is>
      </c>
      <c r="D238" t="inlineStr">
        <is>
          <t>Tupy</t>
        </is>
      </c>
      <c r="E238" s="5" t="n">
        <v>214.52</v>
      </c>
    </row>
    <row r="239">
      <c r="A239" t="inlineStr">
        <is>
          <t>2025-04</t>
        </is>
      </c>
      <c r="B239" t="inlineStr">
        <is>
          <t>LIEBHERR</t>
        </is>
      </c>
      <c r="C239" t="inlineStr">
        <is>
          <t>EHL0041</t>
        </is>
      </c>
      <c r="D239" t="inlineStr">
        <is>
          <t>Tupy</t>
        </is>
      </c>
      <c r="E239" s="5" t="n">
        <v>8204.85</v>
      </c>
    </row>
    <row r="240">
      <c r="A240" t="inlineStr">
        <is>
          <t>2025-06</t>
        </is>
      </c>
      <c r="B240" t="inlineStr">
        <is>
          <t>LIEBHERR</t>
        </is>
      </c>
      <c r="C240" t="inlineStr">
        <is>
          <t>EHL0041</t>
        </is>
      </c>
      <c r="D240" t="inlineStr">
        <is>
          <t>Tupy</t>
        </is>
      </c>
      <c r="E240" s="5" t="n">
        <v>7571.15</v>
      </c>
    </row>
    <row r="241">
      <c r="A241" t="inlineStr">
        <is>
          <t>2025-07</t>
        </is>
      </c>
      <c r="B241" t="inlineStr">
        <is>
          <t>LIEBHERR</t>
        </is>
      </c>
      <c r="C241" t="inlineStr">
        <is>
          <t>EHL0041</t>
        </is>
      </c>
      <c r="D241" t="inlineStr">
        <is>
          <t>Tupy</t>
        </is>
      </c>
      <c r="E241" s="5" t="n">
        <v>1549.97</v>
      </c>
    </row>
    <row r="242">
      <c r="A242" t="inlineStr">
        <is>
          <t>2025-08</t>
        </is>
      </c>
      <c r="B242" t="inlineStr">
        <is>
          <t>LIEBHERR</t>
        </is>
      </c>
      <c r="C242" t="inlineStr">
        <is>
          <t>EHL0041</t>
        </is>
      </c>
      <c r="D242" t="inlineStr">
        <is>
          <t>Tupy</t>
        </is>
      </c>
      <c r="E242" s="5" t="n">
        <v>660</v>
      </c>
    </row>
    <row r="243">
      <c r="A243" t="inlineStr">
        <is>
          <t>2025-09</t>
        </is>
      </c>
      <c r="B243" t="inlineStr">
        <is>
          <t>LIEBHERR</t>
        </is>
      </c>
      <c r="C243" t="inlineStr">
        <is>
          <t>EHL0041</t>
        </is>
      </c>
      <c r="D243" t="inlineStr">
        <is>
          <t>Tupy</t>
        </is>
      </c>
      <c r="E243" s="5" t="n">
        <v>3129.67</v>
      </c>
    </row>
    <row r="244">
      <c r="A244" t="inlineStr">
        <is>
          <t>2025-10</t>
        </is>
      </c>
      <c r="B244" t="inlineStr">
        <is>
          <t>LIEBHERR</t>
        </is>
      </c>
      <c r="C244" t="inlineStr">
        <is>
          <t>EHL0041</t>
        </is>
      </c>
      <c r="D244" t="inlineStr">
        <is>
          <t>Tupy</t>
        </is>
      </c>
      <c r="E244" s="5" t="n">
        <v>6245.9</v>
      </c>
    </row>
    <row r="245">
      <c r="A245" t="inlineStr">
        <is>
          <t>2025-12</t>
        </is>
      </c>
      <c r="B245" t="inlineStr">
        <is>
          <t>LIEBHERR</t>
        </is>
      </c>
      <c r="C245" t="inlineStr">
        <is>
          <t>EHL0041</t>
        </is>
      </c>
      <c r="D245" t="inlineStr">
        <is>
          <t>Tupy</t>
        </is>
      </c>
      <c r="E245" s="5" t="n">
        <v>3088</v>
      </c>
    </row>
    <row r="246">
      <c r="A246" t="inlineStr">
        <is>
          <t>2026-01</t>
        </is>
      </c>
      <c r="B246" t="inlineStr">
        <is>
          <t>LIEBHERR</t>
        </is>
      </c>
      <c r="C246" t="inlineStr">
        <is>
          <t>EHL0041</t>
        </is>
      </c>
      <c r="D246" t="inlineStr">
        <is>
          <t>Tupy</t>
        </is>
      </c>
      <c r="E246" s="5" t="n">
        <v>5112.08</v>
      </c>
    </row>
    <row r="247">
      <c r="A247" t="inlineStr">
        <is>
          <t>2026-02</t>
        </is>
      </c>
      <c r="B247" t="inlineStr">
        <is>
          <t>LIEBHERR</t>
        </is>
      </c>
      <c r="C247" t="inlineStr">
        <is>
          <t>EHL0041</t>
        </is>
      </c>
      <c r="D247" t="inlineStr">
        <is>
          <t>Tupy</t>
        </is>
      </c>
      <c r="E247" s="5" t="n">
        <v>2461.27</v>
      </c>
    </row>
    <row r="248">
      <c r="A248" t="inlineStr">
        <is>
          <t>2026-03</t>
        </is>
      </c>
      <c r="B248" t="inlineStr">
        <is>
          <t>LIEBHERR</t>
        </is>
      </c>
      <c r="C248" t="inlineStr">
        <is>
          <t>EHL0041</t>
        </is>
      </c>
      <c r="D248" t="inlineStr">
        <is>
          <t>Tupy</t>
        </is>
      </c>
      <c r="E248" s="5" t="n">
        <v>669</v>
      </c>
    </row>
    <row r="249">
      <c r="A249" t="inlineStr">
        <is>
          <t>2025-06</t>
        </is>
      </c>
      <c r="B249" t="inlineStr">
        <is>
          <t>LIEBHERR</t>
        </is>
      </c>
      <c r="C249" t="inlineStr">
        <is>
          <t>EHL0042</t>
        </is>
      </c>
      <c r="D249" t="inlineStr">
        <is>
          <t>Dourados</t>
        </is>
      </c>
      <c r="E249" s="5" t="n">
        <v>1664.79</v>
      </c>
    </row>
    <row r="250">
      <c r="A250" t="inlineStr">
        <is>
          <t>2025-07</t>
        </is>
      </c>
      <c r="B250" t="inlineStr">
        <is>
          <t>LIEBHERR</t>
        </is>
      </c>
      <c r="C250" t="inlineStr">
        <is>
          <t>EHL0042</t>
        </is>
      </c>
      <c r="D250" t="inlineStr">
        <is>
          <t>Dourados</t>
        </is>
      </c>
      <c r="E250" s="5" t="n">
        <v>5566.56</v>
      </c>
    </row>
    <row r="251">
      <c r="A251" t="inlineStr">
        <is>
          <t>2025-08</t>
        </is>
      </c>
      <c r="B251" t="inlineStr">
        <is>
          <t>LIEBHERR</t>
        </is>
      </c>
      <c r="C251" t="inlineStr">
        <is>
          <t>EHL0042</t>
        </is>
      </c>
      <c r="D251" t="inlineStr">
        <is>
          <t>Dourados</t>
        </is>
      </c>
      <c r="E251" s="5" t="n">
        <v>6520.91</v>
      </c>
    </row>
    <row r="252">
      <c r="A252" t="inlineStr">
        <is>
          <t>2025-09</t>
        </is>
      </c>
      <c r="B252" t="inlineStr">
        <is>
          <t>LIEBHERR</t>
        </is>
      </c>
      <c r="C252" t="inlineStr">
        <is>
          <t>EHL0042</t>
        </is>
      </c>
      <c r="D252" t="inlineStr">
        <is>
          <t>Dourados</t>
        </is>
      </c>
      <c r="E252" s="5" t="n">
        <v>5009.63</v>
      </c>
    </row>
    <row r="253">
      <c r="A253" t="inlineStr">
        <is>
          <t>2025-10</t>
        </is>
      </c>
      <c r="B253" t="inlineStr">
        <is>
          <t>LIEBHERR</t>
        </is>
      </c>
      <c r="C253" t="inlineStr">
        <is>
          <t>EHL0042</t>
        </is>
      </c>
      <c r="D253" t="inlineStr">
        <is>
          <t>Dourados</t>
        </is>
      </c>
      <c r="E253" s="5" t="n">
        <v>9517.289999999999</v>
      </c>
    </row>
    <row r="254">
      <c r="A254" t="inlineStr">
        <is>
          <t>2025-11</t>
        </is>
      </c>
      <c r="B254" t="inlineStr">
        <is>
          <t>LIEBHERR</t>
        </is>
      </c>
      <c r="C254" t="inlineStr">
        <is>
          <t>EHL0042</t>
        </is>
      </c>
      <c r="D254" t="inlineStr">
        <is>
          <t>Dourados</t>
        </is>
      </c>
      <c r="E254" s="5" t="n">
        <v>32862.85</v>
      </c>
    </row>
    <row r="255">
      <c r="A255" t="inlineStr">
        <is>
          <t>2025-12</t>
        </is>
      </c>
      <c r="B255" t="inlineStr">
        <is>
          <t>LIEBHERR</t>
        </is>
      </c>
      <c r="C255" t="inlineStr">
        <is>
          <t>EHL0042</t>
        </is>
      </c>
      <c r="D255" t="inlineStr">
        <is>
          <t>Dourados</t>
        </is>
      </c>
      <c r="E255" s="5" t="n">
        <v>14006.72</v>
      </c>
    </row>
    <row r="256">
      <c r="A256" t="inlineStr">
        <is>
          <t>2026-01</t>
        </is>
      </c>
      <c r="B256" t="inlineStr">
        <is>
          <t>LIEBHERR</t>
        </is>
      </c>
      <c r="C256" t="inlineStr">
        <is>
          <t>EHL0042</t>
        </is>
      </c>
      <c r="D256" t="inlineStr">
        <is>
          <t>Dourados</t>
        </is>
      </c>
      <c r="E256" s="5" t="n">
        <v>2056.6</v>
      </c>
    </row>
    <row r="257">
      <c r="A257" t="inlineStr">
        <is>
          <t>2026-02</t>
        </is>
      </c>
      <c r="B257" t="inlineStr">
        <is>
          <t>LIEBHERR</t>
        </is>
      </c>
      <c r="C257" t="inlineStr">
        <is>
          <t>EHL0042</t>
        </is>
      </c>
      <c r="D257" t="inlineStr">
        <is>
          <t>Dourados</t>
        </is>
      </c>
      <c r="E257" s="5" t="n">
        <v>2060.05</v>
      </c>
    </row>
    <row r="258">
      <c r="A258" t="inlineStr">
        <is>
          <t>2026-03</t>
        </is>
      </c>
      <c r="B258" t="inlineStr">
        <is>
          <t>LIEBHERR</t>
        </is>
      </c>
      <c r="C258" t="inlineStr">
        <is>
          <t>EHL0042</t>
        </is>
      </c>
      <c r="D258" t="inlineStr">
        <is>
          <t>Dourados</t>
        </is>
      </c>
      <c r="E258" s="5" t="n">
        <v>13555.88</v>
      </c>
    </row>
    <row r="259">
      <c r="A259" t="inlineStr">
        <is>
          <t>2025-01</t>
        </is>
      </c>
      <c r="B259" t="inlineStr">
        <is>
          <t>LIEBHERR</t>
        </is>
      </c>
      <c r="C259" t="inlineStr">
        <is>
          <t>EHL0043</t>
        </is>
      </c>
      <c r="D259" t="inlineStr">
        <is>
          <t>Maringá</t>
        </is>
      </c>
      <c r="E259" s="5" t="n">
        <v>6055.91</v>
      </c>
    </row>
    <row r="260">
      <c r="A260" t="inlineStr">
        <is>
          <t>2025-02</t>
        </is>
      </c>
      <c r="B260" t="inlineStr">
        <is>
          <t>LIEBHERR</t>
        </is>
      </c>
      <c r="C260" t="inlineStr">
        <is>
          <t>EHL0043</t>
        </is>
      </c>
      <c r="D260" t="inlineStr">
        <is>
          <t>Maringá</t>
        </is>
      </c>
      <c r="E260" s="5" t="n">
        <v>9645.190000000001</v>
      </c>
    </row>
    <row r="261">
      <c r="A261" t="inlineStr">
        <is>
          <t>2025-03</t>
        </is>
      </c>
      <c r="B261" t="inlineStr">
        <is>
          <t>LIEBHERR</t>
        </is>
      </c>
      <c r="C261" t="inlineStr">
        <is>
          <t>EHL0043</t>
        </is>
      </c>
      <c r="D261" t="inlineStr">
        <is>
          <t>Maringá</t>
        </is>
      </c>
      <c r="E261" s="5" t="n">
        <v>245.67</v>
      </c>
    </row>
    <row r="262">
      <c r="A262" t="inlineStr">
        <is>
          <t>2025-04</t>
        </is>
      </c>
      <c r="B262" t="inlineStr">
        <is>
          <t>LIEBHERR</t>
        </is>
      </c>
      <c r="C262" t="inlineStr">
        <is>
          <t>EHL0043</t>
        </is>
      </c>
      <c r="D262" t="inlineStr">
        <is>
          <t>Maringá</t>
        </is>
      </c>
      <c r="E262" s="5" t="n">
        <v>5025.46</v>
      </c>
    </row>
    <row r="263">
      <c r="A263" t="inlineStr">
        <is>
          <t>2025-05</t>
        </is>
      </c>
      <c r="B263" t="inlineStr">
        <is>
          <t>LIEBHERR</t>
        </is>
      </c>
      <c r="C263" t="inlineStr">
        <is>
          <t>EHL0043</t>
        </is>
      </c>
      <c r="D263" t="inlineStr">
        <is>
          <t>Maringá</t>
        </is>
      </c>
      <c r="E263" s="5" t="n">
        <v>2905.4</v>
      </c>
    </row>
    <row r="264">
      <c r="A264" t="inlineStr">
        <is>
          <t>2025-06</t>
        </is>
      </c>
      <c r="B264" t="inlineStr">
        <is>
          <t>LIEBHERR</t>
        </is>
      </c>
      <c r="C264" t="inlineStr">
        <is>
          <t>EHL0043</t>
        </is>
      </c>
      <c r="D264" t="inlineStr">
        <is>
          <t>Maringá</t>
        </is>
      </c>
      <c r="E264" s="5" t="n">
        <v>14420.03</v>
      </c>
    </row>
    <row r="265">
      <c r="A265" t="inlineStr">
        <is>
          <t>2025-07</t>
        </is>
      </c>
      <c r="B265" t="inlineStr">
        <is>
          <t>LIEBHERR</t>
        </is>
      </c>
      <c r="C265" t="inlineStr">
        <is>
          <t>EHL0043</t>
        </is>
      </c>
      <c r="D265" t="inlineStr">
        <is>
          <t>Maringá</t>
        </is>
      </c>
      <c r="E265" s="5" t="n">
        <v>11423.92</v>
      </c>
    </row>
    <row r="266">
      <c r="A266" t="inlineStr">
        <is>
          <t>2025-08</t>
        </is>
      </c>
      <c r="B266" t="inlineStr">
        <is>
          <t>LIEBHERR</t>
        </is>
      </c>
      <c r="C266" t="inlineStr">
        <is>
          <t>EHL0043</t>
        </is>
      </c>
      <c r="D266" t="inlineStr">
        <is>
          <t>Maringá</t>
        </is>
      </c>
      <c r="E266" s="5" t="n">
        <v>187955.22</v>
      </c>
    </row>
    <row r="267">
      <c r="A267" t="inlineStr">
        <is>
          <t>2025-09</t>
        </is>
      </c>
      <c r="B267" t="inlineStr">
        <is>
          <t>LIEBHERR</t>
        </is>
      </c>
      <c r="C267" t="inlineStr">
        <is>
          <t>EHL0043</t>
        </is>
      </c>
      <c r="D267" t="inlineStr">
        <is>
          <t>Maringá</t>
        </is>
      </c>
      <c r="E267" s="5" t="n">
        <v>15374.66</v>
      </c>
    </row>
    <row r="268">
      <c r="A268" t="inlineStr">
        <is>
          <t>2025-10</t>
        </is>
      </c>
      <c r="B268" t="inlineStr">
        <is>
          <t>LIEBHERR</t>
        </is>
      </c>
      <c r="C268" t="inlineStr">
        <is>
          <t>EHL0043</t>
        </is>
      </c>
      <c r="D268" t="inlineStr">
        <is>
          <t>Maringá</t>
        </is>
      </c>
      <c r="E268" s="5" t="n">
        <v>18391.91</v>
      </c>
    </row>
    <row r="269">
      <c r="A269" t="inlineStr">
        <is>
          <t>2025-11</t>
        </is>
      </c>
      <c r="B269" t="inlineStr">
        <is>
          <t>LIEBHERR</t>
        </is>
      </c>
      <c r="C269" t="inlineStr">
        <is>
          <t>EHL0043</t>
        </is>
      </c>
      <c r="D269" t="inlineStr">
        <is>
          <t>Maringá</t>
        </is>
      </c>
      <c r="E269" s="5" t="n">
        <v>26434.87</v>
      </c>
    </row>
    <row r="270">
      <c r="A270" t="inlineStr">
        <is>
          <t>2025-12</t>
        </is>
      </c>
      <c r="B270" t="inlineStr">
        <is>
          <t>LIEBHERR</t>
        </is>
      </c>
      <c r="C270" t="inlineStr">
        <is>
          <t>EHL0043</t>
        </is>
      </c>
      <c r="D270" t="inlineStr">
        <is>
          <t>Maringá</t>
        </is>
      </c>
      <c r="E270" s="5" t="n">
        <v>4185.27</v>
      </c>
    </row>
    <row r="271">
      <c r="A271" t="inlineStr">
        <is>
          <t>2026-01</t>
        </is>
      </c>
      <c r="B271" t="inlineStr">
        <is>
          <t>LIEBHERR</t>
        </is>
      </c>
      <c r="C271" t="inlineStr">
        <is>
          <t>EHL0043</t>
        </is>
      </c>
      <c r="D271" t="inlineStr">
        <is>
          <t>Maringá</t>
        </is>
      </c>
      <c r="E271" s="5" t="n">
        <v>18267.03</v>
      </c>
    </row>
    <row r="272">
      <c r="A272" t="inlineStr">
        <is>
          <t>2026-02</t>
        </is>
      </c>
      <c r="B272" t="inlineStr">
        <is>
          <t>LIEBHERR</t>
        </is>
      </c>
      <c r="C272" t="inlineStr">
        <is>
          <t>EHL0043</t>
        </is>
      </c>
      <c r="D272" t="inlineStr">
        <is>
          <t>Maringá</t>
        </is>
      </c>
      <c r="E272" s="5" t="n">
        <v>3871.65</v>
      </c>
    </row>
    <row r="273">
      <c r="A273" t="inlineStr">
        <is>
          <t>2026-03</t>
        </is>
      </c>
      <c r="B273" t="inlineStr">
        <is>
          <t>LIEBHERR</t>
        </is>
      </c>
      <c r="C273" t="inlineStr">
        <is>
          <t>EHL0043</t>
        </is>
      </c>
      <c r="D273" t="inlineStr">
        <is>
          <t>Maringá</t>
        </is>
      </c>
      <c r="E273" s="5" t="n">
        <v>23998.45</v>
      </c>
    </row>
    <row r="274">
      <c r="A274" t="inlineStr">
        <is>
          <t>2025-11</t>
        </is>
      </c>
      <c r="B274" t="inlineStr">
        <is>
          <t>LIEBHERR</t>
        </is>
      </c>
      <c r="C274" t="inlineStr">
        <is>
          <t>EHL0070</t>
        </is>
      </c>
      <c r="D274" t="inlineStr">
        <is>
          <t>Maringá</t>
        </is>
      </c>
      <c r="E274" s="5" t="n">
        <v>400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282"/>
  <sheetViews>
    <sheetView topLeftCell="C1" zoomScale="85" zoomScaleNormal="85" workbookViewId="0">
      <selection activeCell="AB28" sqref="AB28"/>
    </sheetView>
  </sheetViews>
  <sheetFormatPr baseColWidth="8" defaultRowHeight="15"/>
  <cols>
    <col width="15.5703125" customWidth="1" style="154" min="1" max="2"/>
    <col width="12.140625" customWidth="1" style="154" min="3" max="3"/>
    <col width="11" customWidth="1" style="154" min="7" max="7"/>
    <col width="13.28515625" customWidth="1" style="154" min="9" max="9"/>
    <col width="3.42578125" customWidth="1" style="154" min="10" max="10"/>
    <col width="11.85546875" customWidth="1" style="154" min="13" max="13"/>
    <col width="5.140625" customWidth="1" style="154" min="14" max="14"/>
    <col width="10.85546875" customWidth="1" style="154" min="15" max="15"/>
    <col width="6" customWidth="1" style="154" min="19" max="19"/>
    <col width="9.42578125" customWidth="1" style="154" min="20" max="20"/>
  </cols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</row>
    <row r="2">
      <c r="A2" s="6" t="n"/>
      <c r="B2" s="6" t="n"/>
      <c r="C2" s="6" t="n"/>
      <c r="D2" s="6" t="n"/>
      <c r="E2" s="9" t="inlineStr">
        <is>
          <t>01 volume por ano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9" t="inlineStr">
        <is>
          <t>02 mix contas pct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9" t="inlineStr">
        <is>
          <t>03 volume por conta</t>
        </is>
      </c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inlineStr">
        <is>
          <t>gasto / hora hyundai</t>
        </is>
      </c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9" t="inlineStr">
        <is>
          <t>04 serie mensal 2025</t>
        </is>
      </c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9" t="inlineStr">
        <is>
          <t>04 serie mensal 2026</t>
        </is>
      </c>
      <c r="V25" s="6" t="n"/>
      <c r="W25" s="6" t="n"/>
      <c r="X25" s="6" t="n"/>
      <c r="Y25" s="6" t="n"/>
      <c r="Z25" s="6" t="n"/>
      <c r="AA25" s="6" t="n"/>
      <c r="AB25" s="6" t="n">
        <v>220</v>
      </c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inlineStr">
        <is>
          <t>13/h (exemplo)</t>
        </is>
      </c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inlineStr">
        <is>
          <t>pelo disel q a gente compra o que as máquinas gastaram e a representação percentual desse gasto</t>
        </is>
      </c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N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</row>
    <row r="46">
      <c r="A46" s="6" t="n"/>
      <c r="B46" s="6" t="n"/>
      <c r="C46" s="6" t="n"/>
      <c r="D46" s="9" t="inlineStr">
        <is>
          <t>05 top maquinas 2025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9" t="inlineStr">
        <is>
          <t>05 top maquinas 2026</t>
        </is>
      </c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AA46" s="9" t="inlineStr">
        <is>
          <t>05 top maquinas Geral</t>
        </is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9" t="inlineStr">
        <is>
          <t>06 mes maquinas liebherr</t>
        </is>
      </c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9" t="inlineStr">
        <is>
          <t>06 mes maquinas hyundai</t>
        </is>
      </c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47"/>
  <sheetViews>
    <sheetView workbookViewId="0">
      <selection activeCell="C21" sqref="C21"/>
    </sheetView>
  </sheetViews>
  <sheetFormatPr baseColWidth="8" defaultRowHeight="15"/>
  <cols>
    <col width="18" customWidth="1" style="154" min="1" max="1"/>
    <col width="9" customWidth="1" style="154" min="2" max="2"/>
    <col width="18" customWidth="1" style="154" min="3" max="3"/>
    <col width="10" customWidth="1" style="154" min="4" max="4"/>
    <col width="9" customWidth="1" style="154" min="5" max="5"/>
    <col width="18" customWidth="1" style="154" min="6" max="7"/>
    <col width="14" customWidth="1" style="154" min="8" max="8"/>
    <col width="18" customWidth="1" style="154" min="9" max="9"/>
    <col width="11" customWidth="1" style="154" min="10" max="10"/>
    <col width="13" customWidth="1" style="154" min="11" max="11"/>
    <col width="2" customWidth="1" style="154" min="12" max="12"/>
  </cols>
  <sheetData>
    <row r="1">
      <c r="A1" s="165" t="inlineStr">
        <is>
          <t>Selecione qualquer célula → Inserir → Tabela Dinâmica. Sugestão: Linhas Local &gt; Marca &gt; Máquina | Colunas Ano | Valores Média de Gasto_Abs (ou soma).</t>
        </is>
      </c>
    </row>
    <row r="3">
      <c r="A3" t="inlineStr">
        <is>
          <t>Ano</t>
        </is>
      </c>
      <c r="B3" t="inlineStr">
        <is>
          <t>Mês</t>
        </is>
      </c>
      <c r="C3" t="inlineStr">
        <is>
          <t>Local</t>
        </is>
      </c>
      <c r="D3" t="inlineStr">
        <is>
          <t>Marca</t>
        </is>
      </c>
      <c r="E3" t="inlineStr">
        <is>
          <t>Máquina</t>
        </is>
      </c>
      <c r="F3" t="inlineStr">
        <is>
          <t>Divisão</t>
        </is>
      </c>
      <c r="G3" t="inlineStr">
        <is>
          <t>Filial_SAGI</t>
        </is>
      </c>
      <c r="H3" t="inlineStr">
        <is>
          <t>Conta_Código</t>
        </is>
      </c>
      <c r="I3" t="inlineStr">
        <is>
          <t>Conta</t>
        </is>
      </c>
      <c r="J3" t="inlineStr">
        <is>
          <t>Gasto_Abs</t>
        </is>
      </c>
      <c r="K3" t="inlineStr">
        <is>
          <t>Valor_Conta</t>
        </is>
      </c>
    </row>
    <row r="4">
      <c r="A4" t="n">
        <v>2025</v>
      </c>
      <c r="B4" t="inlineStr">
        <is>
          <t>2025-01</t>
        </is>
      </c>
      <c r="C4" t="inlineStr">
        <is>
          <t>AM-BAR</t>
        </is>
      </c>
      <c r="D4" t="inlineStr">
        <is>
          <t>HYUNDAI</t>
        </is>
      </c>
      <c r="E4" t="inlineStr">
        <is>
          <t>EHH0015</t>
        </is>
      </c>
      <c r="F4" t="inlineStr">
        <is>
          <t>EKIPA LOCACOES E SERV G&amp;S</t>
        </is>
      </c>
      <c r="G4" t="inlineStr">
        <is>
          <t>G&amp;G MATRIZ</t>
        </is>
      </c>
      <c r="H4" t="inlineStr">
        <is>
          <t>7.1.18</t>
        </is>
      </c>
      <c r="I4" t="inlineStr">
        <is>
          <t>FRETES E CARRETOS</t>
        </is>
      </c>
      <c r="J4" t="n">
        <v>89.90000000000001</v>
      </c>
      <c r="K4" t="n">
        <v>89.90000000000001</v>
      </c>
    </row>
    <row r="5">
      <c r="A5" t="n">
        <v>2025</v>
      </c>
      <c r="B5" t="inlineStr">
        <is>
          <t>2025-05</t>
        </is>
      </c>
      <c r="C5" t="inlineStr">
        <is>
          <t>AM-BAR</t>
        </is>
      </c>
      <c r="D5" t="inlineStr">
        <is>
          <t>HYUNDAI</t>
        </is>
      </c>
      <c r="E5" t="inlineStr">
        <is>
          <t>EHH0015</t>
        </is>
      </c>
      <c r="F5" t="inlineStr">
        <is>
          <t>EKIPA LOCACOES E SERV G&amp;S</t>
        </is>
      </c>
      <c r="G5" t="inlineStr">
        <is>
          <t>G&amp;G MATRIZ</t>
        </is>
      </c>
      <c r="H5" t="inlineStr">
        <is>
          <t>7.1.1</t>
        </is>
      </c>
      <c r="I5" t="inlineStr">
        <is>
          <t>PEÇAS DE MANUTENÇÃO</t>
        </is>
      </c>
      <c r="J5" t="n">
        <v>147.01</v>
      </c>
      <c r="K5" t="n">
        <v>147.01</v>
      </c>
    </row>
    <row r="6">
      <c r="A6" t="n">
        <v>2025</v>
      </c>
      <c r="B6" t="inlineStr">
        <is>
          <t>2025-05</t>
        </is>
      </c>
      <c r="C6" t="inlineStr">
        <is>
          <t>AM-BAR</t>
        </is>
      </c>
      <c r="D6" t="inlineStr">
        <is>
          <t>HYUNDAI</t>
        </is>
      </c>
      <c r="E6" t="inlineStr">
        <is>
          <t>EHH0015</t>
        </is>
      </c>
      <c r="F6" t="inlineStr">
        <is>
          <t>EKIPA LOCACOES E SERV G&amp;S</t>
        </is>
      </c>
      <c r="G6" t="inlineStr">
        <is>
          <t>G&amp;G MATRIZ</t>
        </is>
      </c>
      <c r="H6" t="inlineStr">
        <is>
          <t>7.1.1</t>
        </is>
      </c>
      <c r="I6" t="inlineStr">
        <is>
          <t>PEÇAS DE MANUTENÇÃO</t>
        </is>
      </c>
      <c r="J6" t="n">
        <v>122.7</v>
      </c>
      <c r="K6" t="n">
        <v>122.7</v>
      </c>
    </row>
    <row r="7">
      <c r="A7" t="n">
        <v>2025</v>
      </c>
      <c r="B7" t="inlineStr">
        <is>
          <t>2025-05</t>
        </is>
      </c>
      <c r="C7" t="inlineStr">
        <is>
          <t>AM-BAR</t>
        </is>
      </c>
      <c r="D7" t="inlineStr">
        <is>
          <t>HYUNDAI</t>
        </is>
      </c>
      <c r="E7" t="inlineStr">
        <is>
          <t>EHH0015</t>
        </is>
      </c>
      <c r="F7" t="inlineStr">
        <is>
          <t>EKIPA LOCACOES E SERV G&amp;S</t>
        </is>
      </c>
      <c r="G7" t="inlineStr">
        <is>
          <t>G&amp;G MATRIZ</t>
        </is>
      </c>
      <c r="H7" t="inlineStr">
        <is>
          <t>7.1.1</t>
        </is>
      </c>
      <c r="I7" t="inlineStr">
        <is>
          <t>PEÇAS DE MANUTENÇÃO</t>
        </is>
      </c>
      <c r="J7" t="n">
        <v>93.09999999999999</v>
      </c>
      <c r="K7" t="n">
        <v>93.09999999999999</v>
      </c>
    </row>
    <row r="8">
      <c r="A8" t="n">
        <v>2025</v>
      </c>
      <c r="B8" t="inlineStr">
        <is>
          <t>2025-05</t>
        </is>
      </c>
      <c r="C8" t="inlineStr">
        <is>
          <t>AM-BAR</t>
        </is>
      </c>
      <c r="D8" t="inlineStr">
        <is>
          <t>HYUNDAI</t>
        </is>
      </c>
      <c r="E8" t="inlineStr">
        <is>
          <t>EHH0015</t>
        </is>
      </c>
      <c r="F8" t="inlineStr">
        <is>
          <t>EKIPA LOCACOES E SERV G&amp;S</t>
        </is>
      </c>
      <c r="G8" t="inlineStr">
        <is>
          <t>G&amp;G MATRIZ</t>
        </is>
      </c>
      <c r="H8" t="inlineStr">
        <is>
          <t>7.1.1</t>
        </is>
      </c>
      <c r="I8" t="inlineStr">
        <is>
          <t>PEÇAS DE MANUTENÇÃO</t>
        </is>
      </c>
      <c r="J8" t="n">
        <v>180.5</v>
      </c>
      <c r="K8" t="n">
        <v>180.5</v>
      </c>
    </row>
    <row r="9">
      <c r="A9" t="n">
        <v>2025</v>
      </c>
      <c r="B9" t="inlineStr">
        <is>
          <t>2025-05</t>
        </is>
      </c>
      <c r="C9" t="inlineStr">
        <is>
          <t>AM-BAR</t>
        </is>
      </c>
      <c r="D9" t="inlineStr">
        <is>
          <t>HYUNDAI</t>
        </is>
      </c>
      <c r="E9" t="inlineStr">
        <is>
          <t>EHH0015</t>
        </is>
      </c>
      <c r="F9" t="inlineStr">
        <is>
          <t>EKIPA LOCACOES E SERV G&amp;S</t>
        </is>
      </c>
      <c r="G9" t="inlineStr">
        <is>
          <t>G&amp;G MATRIZ</t>
        </is>
      </c>
      <c r="H9" t="inlineStr">
        <is>
          <t>7.1.1</t>
        </is>
      </c>
      <c r="I9" t="inlineStr">
        <is>
          <t>PEÇAS DE MANUTENÇÃO</t>
        </is>
      </c>
      <c r="J9" t="n">
        <v>40.85</v>
      </c>
      <c r="K9" t="n">
        <v>40.85</v>
      </c>
    </row>
    <row r="10">
      <c r="A10" t="n">
        <v>2025</v>
      </c>
      <c r="B10" t="inlineStr">
        <is>
          <t>2025-05</t>
        </is>
      </c>
      <c r="C10" t="inlineStr">
        <is>
          <t>AM-BAR</t>
        </is>
      </c>
      <c r="D10" t="inlineStr">
        <is>
          <t>HYUNDAI</t>
        </is>
      </c>
      <c r="E10" t="inlineStr">
        <is>
          <t>EHH0015</t>
        </is>
      </c>
      <c r="F10" t="inlineStr">
        <is>
          <t>EKIPA LOCACOES E SERV G&amp;S</t>
        </is>
      </c>
      <c r="G10" t="inlineStr">
        <is>
          <t>G&amp;G MATRIZ</t>
        </is>
      </c>
      <c r="H10" t="inlineStr">
        <is>
          <t>7.1.1</t>
        </is>
      </c>
      <c r="I10" t="inlineStr">
        <is>
          <t>PEÇAS DE MANUTENÇÃO</t>
        </is>
      </c>
      <c r="J10" t="n">
        <v>250.33</v>
      </c>
      <c r="K10" t="n">
        <v>250.33</v>
      </c>
    </row>
    <row r="11">
      <c r="A11" t="n">
        <v>2025</v>
      </c>
      <c r="B11" t="inlineStr">
        <is>
          <t>2025-05</t>
        </is>
      </c>
      <c r="C11" t="inlineStr">
        <is>
          <t>AM-BAR</t>
        </is>
      </c>
      <c r="D11" t="inlineStr">
        <is>
          <t>HYUNDAI</t>
        </is>
      </c>
      <c r="E11" t="inlineStr">
        <is>
          <t>EHH0015</t>
        </is>
      </c>
      <c r="F11" t="inlineStr">
        <is>
          <t>EKIPA LOCACOES E SERV G&amp;S</t>
        </is>
      </c>
      <c r="G11" t="inlineStr">
        <is>
          <t>G&amp;G MATRIZ</t>
        </is>
      </c>
      <c r="H11" t="inlineStr">
        <is>
          <t>7.1.1</t>
        </is>
      </c>
      <c r="I11" t="inlineStr">
        <is>
          <t>PEÇAS DE MANUTENÇÃO</t>
        </is>
      </c>
      <c r="J11" t="n">
        <v>117.98</v>
      </c>
      <c r="K11" t="n">
        <v>117.98</v>
      </c>
    </row>
    <row r="12">
      <c r="A12" t="n">
        <v>2025</v>
      </c>
      <c r="B12" t="inlineStr">
        <is>
          <t>2025-05</t>
        </is>
      </c>
      <c r="C12" t="inlineStr">
        <is>
          <t>AM-BAR</t>
        </is>
      </c>
      <c r="D12" t="inlineStr">
        <is>
          <t>HYUNDAI</t>
        </is>
      </c>
      <c r="E12" t="inlineStr">
        <is>
          <t>EHH0015</t>
        </is>
      </c>
      <c r="F12" t="inlineStr">
        <is>
          <t>EKIPA LOCACOES E SERV G&amp;S</t>
        </is>
      </c>
      <c r="G12" t="inlineStr">
        <is>
          <t>G&amp;G MATRIZ</t>
        </is>
      </c>
      <c r="H12" t="inlineStr">
        <is>
          <t>7.1.1</t>
        </is>
      </c>
      <c r="I12" t="inlineStr">
        <is>
          <t>PEÇAS DE MANUTENÇÃO</t>
        </is>
      </c>
      <c r="J12" t="n">
        <v>189.05</v>
      </c>
      <c r="K12" t="n">
        <v>189.05</v>
      </c>
    </row>
    <row r="13">
      <c r="A13" t="n">
        <v>2025</v>
      </c>
      <c r="B13" t="inlineStr">
        <is>
          <t>2025-05</t>
        </is>
      </c>
      <c r="C13" t="inlineStr">
        <is>
          <t>AM-BAR</t>
        </is>
      </c>
      <c r="D13" t="inlineStr">
        <is>
          <t>HYUNDAI</t>
        </is>
      </c>
      <c r="E13" t="inlineStr">
        <is>
          <t>EHH0015</t>
        </is>
      </c>
      <c r="F13" t="inlineStr">
        <is>
          <t>EKIPA LOCACOES E SERV G&amp;S</t>
        </is>
      </c>
      <c r="G13" t="inlineStr">
        <is>
          <t>G&amp;G MATRIZ</t>
        </is>
      </c>
      <c r="H13" t="inlineStr">
        <is>
          <t>7.1.1</t>
        </is>
      </c>
      <c r="I13" t="inlineStr">
        <is>
          <t>PEÇAS DE MANUTENÇÃO</t>
        </is>
      </c>
      <c r="J13" t="n">
        <v>177.36</v>
      </c>
      <c r="K13" t="n">
        <v>177.36</v>
      </c>
    </row>
    <row r="14">
      <c r="A14" t="n">
        <v>2025</v>
      </c>
      <c r="B14" t="inlineStr">
        <is>
          <t>2025-05</t>
        </is>
      </c>
      <c r="C14" t="inlineStr">
        <is>
          <t>AM-BAR</t>
        </is>
      </c>
      <c r="D14" t="inlineStr">
        <is>
          <t>HYUNDAI</t>
        </is>
      </c>
      <c r="E14" t="inlineStr">
        <is>
          <t>EHH0015</t>
        </is>
      </c>
      <c r="F14" t="inlineStr">
        <is>
          <t>EKIPA LOCACOES E SERV G&amp;S</t>
        </is>
      </c>
      <c r="G14" t="inlineStr">
        <is>
          <t>G&amp;G MATRIZ</t>
        </is>
      </c>
      <c r="H14" t="inlineStr">
        <is>
          <t>7.1.1</t>
        </is>
      </c>
      <c r="I14" t="inlineStr">
        <is>
          <t>PEÇAS DE MANUTENÇÃO</t>
        </is>
      </c>
      <c r="J14" t="n">
        <v>246.26</v>
      </c>
      <c r="K14" t="n">
        <v>246.26</v>
      </c>
    </row>
    <row r="15">
      <c r="A15" t="n">
        <v>2025</v>
      </c>
      <c r="B15" t="inlineStr">
        <is>
          <t>2025-05</t>
        </is>
      </c>
      <c r="C15" t="inlineStr">
        <is>
          <t>AM-BAR</t>
        </is>
      </c>
      <c r="D15" t="inlineStr">
        <is>
          <t>HYUNDAI</t>
        </is>
      </c>
      <c r="E15" t="inlineStr">
        <is>
          <t>EHH0015</t>
        </is>
      </c>
      <c r="F15" t="inlineStr">
        <is>
          <t>EKIPA LOCACOES E SERV G&amp;S</t>
        </is>
      </c>
      <c r="G15" t="inlineStr">
        <is>
          <t>G&amp;G MATRIZ</t>
        </is>
      </c>
      <c r="H15" t="inlineStr">
        <is>
          <t>7.1.1</t>
        </is>
      </c>
      <c r="I15" t="inlineStr">
        <is>
          <t>PEÇAS DE MANUTENÇÃO</t>
        </is>
      </c>
      <c r="J15" t="n">
        <v>59.85</v>
      </c>
      <c r="K15" t="n">
        <v>59.85</v>
      </c>
    </row>
    <row r="16">
      <c r="A16" t="n">
        <v>2025</v>
      </c>
      <c r="B16" t="inlineStr">
        <is>
          <t>2025-05</t>
        </is>
      </c>
      <c r="C16" t="inlineStr">
        <is>
          <t>AM-BAR</t>
        </is>
      </c>
      <c r="D16" t="inlineStr">
        <is>
          <t>HYUNDAI</t>
        </is>
      </c>
      <c r="E16" t="inlineStr">
        <is>
          <t>EHH0015</t>
        </is>
      </c>
      <c r="F16" t="inlineStr">
        <is>
          <t>EKIPA LOCACOES E SERV G&amp;S</t>
        </is>
      </c>
      <c r="G16" t="inlineStr">
        <is>
          <t>G&amp;G MATRIZ</t>
        </is>
      </c>
      <c r="H16" t="inlineStr">
        <is>
          <t>7.1.1</t>
        </is>
      </c>
      <c r="I16" t="inlineStr">
        <is>
          <t>PEÇAS DE MANUTENÇÃO</t>
        </is>
      </c>
      <c r="J16" t="n">
        <v>103.48</v>
      </c>
      <c r="K16" t="n">
        <v>103.48</v>
      </c>
    </row>
    <row r="17">
      <c r="A17" t="n">
        <v>2025</v>
      </c>
      <c r="B17" t="inlineStr">
        <is>
          <t>2025-05</t>
        </is>
      </c>
      <c r="C17" t="inlineStr">
        <is>
          <t>AM-BAR</t>
        </is>
      </c>
      <c r="D17" t="inlineStr">
        <is>
          <t>HYUNDAI</t>
        </is>
      </c>
      <c r="E17" t="inlineStr">
        <is>
          <t>EHH0015</t>
        </is>
      </c>
      <c r="F17" t="inlineStr">
        <is>
          <t>EKIPA LOCACOES E SERV G&amp;S</t>
        </is>
      </c>
      <c r="G17" t="inlineStr">
        <is>
          <t>G&amp;G MATRIZ</t>
        </is>
      </c>
      <c r="H17" t="inlineStr">
        <is>
          <t>7.1.1</t>
        </is>
      </c>
      <c r="I17" t="inlineStr">
        <is>
          <t>PEÇAS DE MANUTENÇÃO</t>
        </is>
      </c>
      <c r="J17" t="n">
        <v>188.1</v>
      </c>
      <c r="K17" t="n">
        <v>188.1</v>
      </c>
    </row>
    <row r="18">
      <c r="A18" t="n">
        <v>2025</v>
      </c>
      <c r="B18" t="inlineStr">
        <is>
          <t>2025-07</t>
        </is>
      </c>
      <c r="C18" t="inlineStr">
        <is>
          <t>AM-BAR</t>
        </is>
      </c>
      <c r="D18" t="inlineStr">
        <is>
          <t>HYUNDAI</t>
        </is>
      </c>
      <c r="E18" t="inlineStr">
        <is>
          <t>EHH0015</t>
        </is>
      </c>
      <c r="F18" t="inlineStr">
        <is>
          <t>EKIPA LOCACOES E SERV G&amp;S</t>
        </is>
      </c>
      <c r="G18" t="inlineStr">
        <is>
          <t>G&amp;S PRUDENTE</t>
        </is>
      </c>
      <c r="H18" t="inlineStr">
        <is>
          <t>7.1.2</t>
        </is>
      </c>
      <c r="I18" t="inlineStr">
        <is>
          <t>MANUTENÇÃO DE VEÍCULOS/MAQUINAS</t>
        </is>
      </c>
      <c r="J18" t="n">
        <v>6995</v>
      </c>
      <c r="K18" t="n">
        <v>-6995</v>
      </c>
    </row>
    <row r="19">
      <c r="A19" t="n">
        <v>2025</v>
      </c>
      <c r="B19" t="inlineStr">
        <is>
          <t>2025-07</t>
        </is>
      </c>
      <c r="C19" t="inlineStr">
        <is>
          <t>AM-BAR</t>
        </is>
      </c>
      <c r="D19" t="inlineStr">
        <is>
          <t>HYUNDAI</t>
        </is>
      </c>
      <c r="E19" t="inlineStr">
        <is>
          <t>EHH0015</t>
        </is>
      </c>
      <c r="F19" t="inlineStr">
        <is>
          <t>EKIPA LOCACOES E SERV G&amp;S</t>
        </is>
      </c>
      <c r="G19" t="inlineStr">
        <is>
          <t>G&amp;S PRUDENTE</t>
        </is>
      </c>
      <c r="H19" t="inlineStr">
        <is>
          <t>7.1.2</t>
        </is>
      </c>
      <c r="I19" t="inlineStr">
        <is>
          <t>MANUTENÇÃO DE VEÍCULOS/MAQUINAS</t>
        </is>
      </c>
      <c r="J19" t="n">
        <v>6995</v>
      </c>
      <c r="K19" t="n">
        <v>-6995</v>
      </c>
    </row>
    <row r="20">
      <c r="A20" t="n">
        <v>2025</v>
      </c>
      <c r="B20" t="inlineStr">
        <is>
          <t>2025-07</t>
        </is>
      </c>
      <c r="C20" t="inlineStr">
        <is>
          <t>AM-BAR</t>
        </is>
      </c>
      <c r="D20" t="inlineStr">
        <is>
          <t>HYUNDAI</t>
        </is>
      </c>
      <c r="E20" t="inlineStr">
        <is>
          <t>EHH0015</t>
        </is>
      </c>
      <c r="F20" t="inlineStr">
        <is>
          <t>EKIPA LOCACOES E SERV G&amp;S</t>
        </is>
      </c>
      <c r="G20" t="inlineStr">
        <is>
          <t>G&amp;S PRUDENTE</t>
        </is>
      </c>
      <c r="H20" t="inlineStr">
        <is>
          <t>7.1.2</t>
        </is>
      </c>
      <c r="I20" t="inlineStr">
        <is>
          <t>MANUTENÇÃO DE VEÍCULOS/MAQUINAS</t>
        </is>
      </c>
      <c r="J20" t="n">
        <v>273.42</v>
      </c>
      <c r="K20" t="n">
        <v>-273.42</v>
      </c>
    </row>
    <row r="21">
      <c r="A21" t="n">
        <v>2025</v>
      </c>
      <c r="B21" t="inlineStr">
        <is>
          <t>2025-07</t>
        </is>
      </c>
      <c r="C21" t="inlineStr">
        <is>
          <t>AM-BAR</t>
        </is>
      </c>
      <c r="D21" t="inlineStr">
        <is>
          <t>HYUNDAI</t>
        </is>
      </c>
      <c r="E21" t="inlineStr">
        <is>
          <t>EHH0015</t>
        </is>
      </c>
      <c r="F21" t="inlineStr">
        <is>
          <t>EKIPA LOCACOES E SERV G&amp;S</t>
        </is>
      </c>
      <c r="G21" t="inlineStr">
        <is>
          <t>G&amp;S PRUDENTE</t>
        </is>
      </c>
      <c r="H21" t="inlineStr">
        <is>
          <t>7.1.2</t>
        </is>
      </c>
      <c r="I21" t="inlineStr">
        <is>
          <t>MANUTENÇÃO DE VEÍCULOS/MAQUINAS</t>
        </is>
      </c>
      <c r="J21" t="n">
        <v>7500</v>
      </c>
      <c r="K21" t="n">
        <v>-7500</v>
      </c>
    </row>
    <row r="22">
      <c r="A22" t="n">
        <v>2025</v>
      </c>
      <c r="B22" t="inlineStr">
        <is>
          <t>2025-07</t>
        </is>
      </c>
      <c r="C22" t="inlineStr">
        <is>
          <t>AM-BAR</t>
        </is>
      </c>
      <c r="D22" t="inlineStr">
        <is>
          <t>HYUNDAI</t>
        </is>
      </c>
      <c r="E22" t="inlineStr">
        <is>
          <t>EHH0015</t>
        </is>
      </c>
      <c r="F22" t="inlineStr">
        <is>
          <t>EKIPA LOCACOES E SERV G&amp;S</t>
        </is>
      </c>
      <c r="G22" t="inlineStr">
        <is>
          <t>G&amp;S PRUDENTE</t>
        </is>
      </c>
      <c r="H22" t="inlineStr">
        <is>
          <t>7.1.2</t>
        </is>
      </c>
      <c r="I22" t="inlineStr">
        <is>
          <t>MANUTENÇÃO DE VEÍCULOS/MAQUINAS</t>
        </is>
      </c>
      <c r="J22" t="n">
        <v>3100</v>
      </c>
      <c r="K22" t="n">
        <v>-3100</v>
      </c>
    </row>
    <row r="23">
      <c r="A23" t="n">
        <v>2025</v>
      </c>
      <c r="B23" t="inlineStr">
        <is>
          <t>2025-07</t>
        </is>
      </c>
      <c r="C23" t="inlineStr">
        <is>
          <t>AM-BAR</t>
        </is>
      </c>
      <c r="D23" t="inlineStr">
        <is>
          <t>HYUNDAI</t>
        </is>
      </c>
      <c r="E23" t="inlineStr">
        <is>
          <t>EHH0015</t>
        </is>
      </c>
      <c r="F23" t="inlineStr">
        <is>
          <t>EKIPA LOCACOES E SERV G&amp;S</t>
        </is>
      </c>
      <c r="G23" t="inlineStr">
        <is>
          <t>G&amp;S PRUDENTE</t>
        </is>
      </c>
      <c r="H23" t="inlineStr">
        <is>
          <t>7.1.2</t>
        </is>
      </c>
      <c r="I23" t="inlineStr">
        <is>
          <t>MANUTENÇÃO DE VEÍCULOS/MAQUINAS</t>
        </is>
      </c>
      <c r="J23" t="n">
        <v>1018</v>
      </c>
      <c r="K23" t="n">
        <v>-1018</v>
      </c>
    </row>
    <row r="24">
      <c r="A24" t="n">
        <v>2025</v>
      </c>
      <c r="B24" t="inlineStr">
        <is>
          <t>2025-07</t>
        </is>
      </c>
      <c r="C24" t="inlineStr">
        <is>
          <t>AM-BAR</t>
        </is>
      </c>
      <c r="D24" t="inlineStr">
        <is>
          <t>HYUNDAI</t>
        </is>
      </c>
      <c r="E24" t="inlineStr">
        <is>
          <t>EHH0015</t>
        </is>
      </c>
      <c r="F24" t="inlineStr">
        <is>
          <t>EKIPA LOCACOES E SERV G&amp;S</t>
        </is>
      </c>
      <c r="G24" t="inlineStr">
        <is>
          <t>G&amp;S PRUDENTE</t>
        </is>
      </c>
      <c r="H24" t="inlineStr">
        <is>
          <t>7.1.2</t>
        </is>
      </c>
      <c r="I24" t="inlineStr">
        <is>
          <t>MANUTENÇÃO DE VEÍCULOS/MAQUINAS</t>
        </is>
      </c>
      <c r="J24" t="n">
        <v>542</v>
      </c>
      <c r="K24" t="n">
        <v>-542</v>
      </c>
    </row>
    <row r="25">
      <c r="A25" t="n">
        <v>2025</v>
      </c>
      <c r="B25" t="inlineStr">
        <is>
          <t>2025-07</t>
        </is>
      </c>
      <c r="C25" t="inlineStr">
        <is>
          <t>AM-BAR</t>
        </is>
      </c>
      <c r="D25" t="inlineStr">
        <is>
          <t>HYUNDAI</t>
        </is>
      </c>
      <c r="E25" t="inlineStr">
        <is>
          <t>EHH0015</t>
        </is>
      </c>
      <c r="F25" t="inlineStr">
        <is>
          <t>EKIPA LOCACOES E SERV G&amp;S</t>
        </is>
      </c>
      <c r="G25" t="inlineStr">
        <is>
          <t>G&amp;S PRUDENTE</t>
        </is>
      </c>
      <c r="H25" t="inlineStr">
        <is>
          <t>7.1.2</t>
        </is>
      </c>
      <c r="I25" t="inlineStr">
        <is>
          <t>MANUTENÇÃO DE VEÍCULOS/MAQUINAS</t>
        </is>
      </c>
      <c r="J25" t="n">
        <v>543</v>
      </c>
      <c r="K25" t="n">
        <v>-543</v>
      </c>
    </row>
    <row r="26">
      <c r="A26" t="n">
        <v>2025</v>
      </c>
      <c r="B26" t="inlineStr">
        <is>
          <t>2025-07</t>
        </is>
      </c>
      <c r="C26" t="inlineStr">
        <is>
          <t>AM-BAR</t>
        </is>
      </c>
      <c r="D26" t="inlineStr">
        <is>
          <t>HYUNDAI</t>
        </is>
      </c>
      <c r="E26" t="inlineStr">
        <is>
          <t>EHH0015</t>
        </is>
      </c>
      <c r="F26" t="inlineStr">
        <is>
          <t>EKIPA LOCACOES E SERV G&amp;S</t>
        </is>
      </c>
      <c r="G26" t="inlineStr">
        <is>
          <t>G&amp;S PRUDENTE</t>
        </is>
      </c>
      <c r="H26" t="inlineStr">
        <is>
          <t>7.1.2</t>
        </is>
      </c>
      <c r="I26" t="inlineStr">
        <is>
          <t>MANUTENÇÃO DE VEÍCULOS/MAQUINAS</t>
        </is>
      </c>
      <c r="J26" t="n">
        <v>543.27</v>
      </c>
      <c r="K26" t="n">
        <v>-543.27</v>
      </c>
    </row>
    <row r="27">
      <c r="A27" t="n">
        <v>2025</v>
      </c>
      <c r="B27" t="inlineStr">
        <is>
          <t>2025-08</t>
        </is>
      </c>
      <c r="C27" t="inlineStr">
        <is>
          <t>AM-BAR</t>
        </is>
      </c>
      <c r="D27" t="inlineStr">
        <is>
          <t>HYUNDAI</t>
        </is>
      </c>
      <c r="E27" t="inlineStr">
        <is>
          <t>EHH0015</t>
        </is>
      </c>
      <c r="F27" t="inlineStr">
        <is>
          <t>EKIPA LOCACOES E SERV G&amp;S</t>
        </is>
      </c>
      <c r="G27" t="inlineStr">
        <is>
          <t>G3S CAMPO GRANDE</t>
        </is>
      </c>
      <c r="H27" t="inlineStr">
        <is>
          <t>7.1.1</t>
        </is>
      </c>
      <c r="I27" t="inlineStr">
        <is>
          <t>PEÇAS DE MANUTENÇÃO</t>
        </is>
      </c>
      <c r="J27" t="n">
        <v>43.85</v>
      </c>
      <c r="K27" t="n">
        <v>-43.85</v>
      </c>
    </row>
    <row r="28">
      <c r="A28" t="n">
        <v>2025</v>
      </c>
      <c r="B28" t="inlineStr">
        <is>
          <t>2025-08</t>
        </is>
      </c>
      <c r="C28" t="inlineStr">
        <is>
          <t>AM-BAR</t>
        </is>
      </c>
      <c r="D28" t="inlineStr">
        <is>
          <t>HYUNDAI</t>
        </is>
      </c>
      <c r="E28" t="inlineStr">
        <is>
          <t>EHH0015</t>
        </is>
      </c>
      <c r="F28" t="inlineStr">
        <is>
          <t>EKIPA LOCACOES E SERV G&amp;S</t>
        </is>
      </c>
      <c r="G28" t="inlineStr">
        <is>
          <t>G&amp;S PRUDENTE</t>
        </is>
      </c>
      <c r="H28" t="inlineStr">
        <is>
          <t>7.1.2</t>
        </is>
      </c>
      <c r="I28" t="inlineStr">
        <is>
          <t>MANUTENÇÃO DE VEÍCULOS/MAQUINAS</t>
        </is>
      </c>
      <c r="J28" t="n">
        <v>3700</v>
      </c>
      <c r="K28" t="n">
        <v>-3700</v>
      </c>
    </row>
    <row r="29">
      <c r="A29" t="n">
        <v>2025</v>
      </c>
      <c r="B29" t="inlineStr">
        <is>
          <t>2025-09</t>
        </is>
      </c>
      <c r="C29" t="inlineStr">
        <is>
          <t>AM-BAR</t>
        </is>
      </c>
      <c r="D29" t="inlineStr">
        <is>
          <t>HYUNDAI</t>
        </is>
      </c>
      <c r="E29" t="inlineStr">
        <is>
          <t>EHH0015</t>
        </is>
      </c>
      <c r="F29" t="inlineStr">
        <is>
          <t>EKIPA LOCACOES E SERV G&amp;S</t>
        </is>
      </c>
      <c r="G29" t="inlineStr">
        <is>
          <t>G&amp;S PRUDENTE</t>
        </is>
      </c>
      <c r="H29" t="inlineStr">
        <is>
          <t>7.1.2</t>
        </is>
      </c>
      <c r="I29" t="inlineStr">
        <is>
          <t>MANUTENÇÃO DE VEÍCULOS/MAQUINAS</t>
        </is>
      </c>
      <c r="J29" t="n">
        <v>123.37</v>
      </c>
      <c r="K29" t="n">
        <v>-123.37</v>
      </c>
    </row>
    <row r="30">
      <c r="A30" t="n">
        <v>2025</v>
      </c>
      <c r="B30" t="inlineStr">
        <is>
          <t>2025-10</t>
        </is>
      </c>
      <c r="C30" t="inlineStr">
        <is>
          <t>AM-BAR</t>
        </is>
      </c>
      <c r="D30" t="inlineStr">
        <is>
          <t>HYUNDAI</t>
        </is>
      </c>
      <c r="E30" t="inlineStr">
        <is>
          <t>EHH0015</t>
        </is>
      </c>
      <c r="F30" t="inlineStr">
        <is>
          <t>EKIPA LOCACOES E SERV G&amp;S</t>
        </is>
      </c>
      <c r="G30" t="inlineStr">
        <is>
          <t>G&amp;S PRUDENTE</t>
        </is>
      </c>
      <c r="H30" t="inlineStr">
        <is>
          <t>7.1.2</t>
        </is>
      </c>
      <c r="I30" t="inlineStr">
        <is>
          <t>MANUTENÇÃO DE VEÍCULOS/MAQUINAS</t>
        </is>
      </c>
      <c r="J30" t="n">
        <v>198.8</v>
      </c>
      <c r="K30" t="n">
        <v>-198.8</v>
      </c>
    </row>
    <row r="31">
      <c r="A31" t="n">
        <v>2025</v>
      </c>
      <c r="B31" t="inlineStr">
        <is>
          <t>2025-10</t>
        </is>
      </c>
      <c r="C31" t="inlineStr">
        <is>
          <t>AM-BAR</t>
        </is>
      </c>
      <c r="D31" t="inlineStr">
        <is>
          <t>HYUNDAI</t>
        </is>
      </c>
      <c r="E31" t="inlineStr">
        <is>
          <t>EHH0015</t>
        </is>
      </c>
      <c r="F31" t="inlineStr">
        <is>
          <t>EKIPA LOCACOES E SERV G&amp;S</t>
        </is>
      </c>
      <c r="G31" t="inlineStr">
        <is>
          <t>G3S CAMPO GRANDE</t>
        </is>
      </c>
      <c r="H31" t="inlineStr">
        <is>
          <t>7.1.1</t>
        </is>
      </c>
      <c r="I31" t="inlineStr">
        <is>
          <t>PEÇAS DE MANUTENÇÃO</t>
        </is>
      </c>
      <c r="J31" t="n">
        <v>74</v>
      </c>
      <c r="K31" t="n">
        <v>-74</v>
      </c>
    </row>
    <row r="32">
      <c r="A32" t="n">
        <v>2025</v>
      </c>
      <c r="B32" t="inlineStr">
        <is>
          <t>2025-10</t>
        </is>
      </c>
      <c r="C32" t="inlineStr">
        <is>
          <t>AM-BAR</t>
        </is>
      </c>
      <c r="D32" t="inlineStr">
        <is>
          <t>HYUNDAI</t>
        </is>
      </c>
      <c r="E32" t="inlineStr">
        <is>
          <t>EHH0015</t>
        </is>
      </c>
      <c r="F32" t="inlineStr">
        <is>
          <t>EKIPA LOCACOES E SERV G&amp;S</t>
        </is>
      </c>
      <c r="G32" t="inlineStr">
        <is>
          <t>G3S CAMPO GRANDE</t>
        </is>
      </c>
      <c r="H32" t="inlineStr">
        <is>
          <t>7.1.2</t>
        </is>
      </c>
      <c r="I32" t="inlineStr">
        <is>
          <t>MANUTENÇÃO DE VEÍCULOS/MAQUINAS</t>
        </is>
      </c>
      <c r="J32" t="n">
        <v>521</v>
      </c>
      <c r="K32" t="n">
        <v>-521</v>
      </c>
    </row>
    <row r="33">
      <c r="A33" t="n">
        <v>2025</v>
      </c>
      <c r="B33" t="inlineStr">
        <is>
          <t>2025-10</t>
        </is>
      </c>
      <c r="C33" t="inlineStr">
        <is>
          <t>AM-BAR</t>
        </is>
      </c>
      <c r="D33" t="inlineStr">
        <is>
          <t>HYUNDAI</t>
        </is>
      </c>
      <c r="E33" t="inlineStr">
        <is>
          <t>EHH0015</t>
        </is>
      </c>
      <c r="F33" t="inlineStr">
        <is>
          <t>EKIPA LOCACOES E SERV G&amp;S</t>
        </is>
      </c>
      <c r="G33" t="inlineStr">
        <is>
          <t>G&amp;S PRUDENTE</t>
        </is>
      </c>
      <c r="H33" t="inlineStr">
        <is>
          <t>7.1.2</t>
        </is>
      </c>
      <c r="I33" t="inlineStr">
        <is>
          <t>MANUTENÇÃO DE VEÍCULOS/MAQUINAS</t>
        </is>
      </c>
      <c r="J33" t="n">
        <v>664</v>
      </c>
      <c r="K33" t="n">
        <v>-664</v>
      </c>
    </row>
    <row r="34">
      <c r="A34" t="n">
        <v>2025</v>
      </c>
      <c r="B34" t="inlineStr">
        <is>
          <t>2025-10</t>
        </is>
      </c>
      <c r="C34" t="inlineStr">
        <is>
          <t>AM-BAR</t>
        </is>
      </c>
      <c r="D34" t="inlineStr">
        <is>
          <t>HYUNDAI</t>
        </is>
      </c>
      <c r="E34" t="inlineStr">
        <is>
          <t>EHH0015</t>
        </is>
      </c>
      <c r="F34" t="inlineStr">
        <is>
          <t>EKIPA LOCACOES E SERV G&amp;S</t>
        </is>
      </c>
      <c r="G34" t="inlineStr">
        <is>
          <t>G&amp;S PRUDENTE</t>
        </is>
      </c>
      <c r="H34" t="inlineStr">
        <is>
          <t>7.1.2</t>
        </is>
      </c>
      <c r="I34" t="inlineStr">
        <is>
          <t>MANUTENÇÃO DE VEÍCULOS/MAQUINAS</t>
        </is>
      </c>
      <c r="J34" t="n">
        <v>663.74</v>
      </c>
      <c r="K34" t="n">
        <v>-663.74</v>
      </c>
    </row>
    <row r="35">
      <c r="A35" t="n">
        <v>2025</v>
      </c>
      <c r="B35" t="inlineStr">
        <is>
          <t>2025-10</t>
        </is>
      </c>
      <c r="C35" t="inlineStr">
        <is>
          <t>AM-BAR</t>
        </is>
      </c>
      <c r="D35" t="inlineStr">
        <is>
          <t>HYUNDAI</t>
        </is>
      </c>
      <c r="E35" t="inlineStr">
        <is>
          <t>EHH0015</t>
        </is>
      </c>
      <c r="F35" t="inlineStr">
        <is>
          <t>EKIPA LOCACOES E SERV G&amp;S</t>
        </is>
      </c>
      <c r="G35" t="inlineStr">
        <is>
          <t>G&amp;S PRUDENTE</t>
        </is>
      </c>
      <c r="H35" t="inlineStr">
        <is>
          <t>7.1.2</t>
        </is>
      </c>
      <c r="I35" t="inlineStr">
        <is>
          <t>MANUTENÇÃO DE VEÍCULOS/MAQUINAS</t>
        </is>
      </c>
      <c r="J35" t="n">
        <v>663</v>
      </c>
      <c r="K35" t="n">
        <v>-663</v>
      </c>
    </row>
    <row r="36">
      <c r="A36" t="n">
        <v>2025</v>
      </c>
      <c r="B36" t="inlineStr">
        <is>
          <t>2025-11</t>
        </is>
      </c>
      <c r="C36" t="inlineStr">
        <is>
          <t>AM-BAR</t>
        </is>
      </c>
      <c r="D36" t="inlineStr">
        <is>
          <t>HYUNDAI</t>
        </is>
      </c>
      <c r="E36" t="inlineStr">
        <is>
          <t>EHH0015</t>
        </is>
      </c>
      <c r="F36" t="inlineStr">
        <is>
          <t>EKIPA LOCACOES E SERV G&amp;S</t>
        </is>
      </c>
      <c r="G36" t="inlineStr">
        <is>
          <t>G&amp;S PRUDENTE</t>
        </is>
      </c>
      <c r="H36" t="inlineStr">
        <is>
          <t>7.1.2</t>
        </is>
      </c>
      <c r="I36" t="inlineStr">
        <is>
          <t>MANUTENÇÃO DE VEÍCULOS/MAQUINAS</t>
        </is>
      </c>
      <c r="J36" t="n">
        <v>1360</v>
      </c>
      <c r="K36" t="n">
        <v>-1360</v>
      </c>
    </row>
    <row r="37">
      <c r="A37" t="n">
        <v>2025</v>
      </c>
      <c r="B37" t="inlineStr">
        <is>
          <t>2025-11</t>
        </is>
      </c>
      <c r="C37" t="inlineStr">
        <is>
          <t>AM-BAR</t>
        </is>
      </c>
      <c r="D37" t="inlineStr">
        <is>
          <t>HYUNDAI</t>
        </is>
      </c>
      <c r="E37" t="inlineStr">
        <is>
          <t>EHH0015</t>
        </is>
      </c>
      <c r="F37" t="inlineStr">
        <is>
          <t>EKIPA LOCACOES E SERV G&amp;S</t>
        </is>
      </c>
      <c r="G37" t="inlineStr">
        <is>
          <t>G&amp;S PRUDENTE</t>
        </is>
      </c>
      <c r="H37" t="inlineStr">
        <is>
          <t>7.1.2</t>
        </is>
      </c>
      <c r="I37" t="inlineStr">
        <is>
          <t>MANUTENÇÃO DE VEÍCULOS/MAQUINAS</t>
        </is>
      </c>
      <c r="J37" t="n">
        <v>1088</v>
      </c>
      <c r="K37" t="n">
        <v>-1088</v>
      </c>
    </row>
    <row r="38">
      <c r="A38" t="n">
        <v>2025</v>
      </c>
      <c r="B38" t="inlineStr">
        <is>
          <t>2025-11</t>
        </is>
      </c>
      <c r="C38" t="inlineStr">
        <is>
          <t>AM-BAR</t>
        </is>
      </c>
      <c r="D38" t="inlineStr">
        <is>
          <t>HYUNDAI</t>
        </is>
      </c>
      <c r="E38" t="inlineStr">
        <is>
          <t>EHH0015</t>
        </is>
      </c>
      <c r="F38" t="inlineStr">
        <is>
          <t>EKIPA LOCACOES E SERV G&amp;S</t>
        </is>
      </c>
      <c r="G38" t="inlineStr">
        <is>
          <t>G3S CAMPO GRANDE</t>
        </is>
      </c>
      <c r="H38" t="inlineStr">
        <is>
          <t>7.1.2</t>
        </is>
      </c>
      <c r="I38" t="inlineStr">
        <is>
          <t>MANUTENÇÃO DE VEÍCULOS/MAQUINAS</t>
        </is>
      </c>
      <c r="J38" t="n">
        <v>214.28</v>
      </c>
      <c r="K38" t="n">
        <v>-214.28</v>
      </c>
    </row>
    <row r="39">
      <c r="A39" t="n">
        <v>2025</v>
      </c>
      <c r="B39" t="inlineStr">
        <is>
          <t>2025-11</t>
        </is>
      </c>
      <c r="C39" t="inlineStr">
        <is>
          <t>AM-BAR</t>
        </is>
      </c>
      <c r="D39" t="inlineStr">
        <is>
          <t>HYUNDAI</t>
        </is>
      </c>
      <c r="E39" t="inlineStr">
        <is>
          <t>EHH0015</t>
        </is>
      </c>
      <c r="F39" t="inlineStr">
        <is>
          <t>EKIPA LOCACOES E SERV G&amp;S</t>
        </is>
      </c>
      <c r="G39" t="inlineStr">
        <is>
          <t>G&amp;S PRUDENTE</t>
        </is>
      </c>
      <c r="H39" t="inlineStr">
        <is>
          <t>7.1.2</t>
        </is>
      </c>
      <c r="I39" t="inlineStr">
        <is>
          <t>MANUTENÇÃO DE VEÍCULOS/MAQUINAS</t>
        </is>
      </c>
      <c r="J39" t="n">
        <v>1690.6</v>
      </c>
      <c r="K39" t="n">
        <v>-1690.6</v>
      </c>
    </row>
    <row r="40">
      <c r="A40" t="n">
        <v>2025</v>
      </c>
      <c r="B40" t="inlineStr">
        <is>
          <t>2025-11</t>
        </is>
      </c>
      <c r="C40" t="inlineStr">
        <is>
          <t>AM-BAR</t>
        </is>
      </c>
      <c r="D40" t="inlineStr">
        <is>
          <t>HYUNDAI</t>
        </is>
      </c>
      <c r="E40" t="inlineStr">
        <is>
          <t>EHH0015</t>
        </is>
      </c>
      <c r="F40" t="inlineStr">
        <is>
          <t>EKIPA LOCACOES E SERV G&amp;S</t>
        </is>
      </c>
      <c r="G40" t="inlineStr">
        <is>
          <t>G&amp;S PRUDENTE</t>
        </is>
      </c>
      <c r="H40" t="inlineStr">
        <is>
          <t>7.1.18</t>
        </is>
      </c>
      <c r="I40" t="inlineStr">
        <is>
          <t>FRETES E CARRETOS</t>
        </is>
      </c>
      <c r="J40" t="n">
        <v>257.39</v>
      </c>
      <c r="K40" t="n">
        <v>-257.39</v>
      </c>
    </row>
    <row r="41">
      <c r="A41" t="n">
        <v>2025</v>
      </c>
      <c r="B41" t="inlineStr">
        <is>
          <t>2025-11</t>
        </is>
      </c>
      <c r="C41" t="inlineStr">
        <is>
          <t>AM-BAR</t>
        </is>
      </c>
      <c r="D41" t="inlineStr">
        <is>
          <t>HYUNDAI</t>
        </is>
      </c>
      <c r="E41" t="inlineStr">
        <is>
          <t>EHH0015</t>
        </is>
      </c>
      <c r="F41" t="inlineStr">
        <is>
          <t>EKIPA LOCACOES E SERV G&amp;S</t>
        </is>
      </c>
      <c r="G41" t="inlineStr">
        <is>
          <t>G3S CAMPO GRANDE</t>
        </is>
      </c>
      <c r="H41" t="inlineStr">
        <is>
          <t>7.1.4</t>
        </is>
      </c>
      <c r="I41" t="inlineStr">
        <is>
          <t>COMBUSTÍVEL - DIESEL (POSTO)</t>
        </is>
      </c>
      <c r="J41" t="n">
        <v>6.2</v>
      </c>
      <c r="K41" t="n">
        <v>-6.2</v>
      </c>
    </row>
    <row r="42">
      <c r="A42" t="n">
        <v>2025</v>
      </c>
      <c r="B42" t="inlineStr">
        <is>
          <t>2025-11</t>
        </is>
      </c>
      <c r="C42" t="inlineStr">
        <is>
          <t>AM-BAR</t>
        </is>
      </c>
      <c r="D42" t="inlineStr">
        <is>
          <t>HYUNDAI</t>
        </is>
      </c>
      <c r="E42" t="inlineStr">
        <is>
          <t>EHH0015</t>
        </is>
      </c>
      <c r="F42" t="inlineStr">
        <is>
          <t>EKIPA LOCACOES E SERV G&amp;S</t>
        </is>
      </c>
      <c r="G42" t="inlineStr">
        <is>
          <t>G3S CAMPO GRANDE</t>
        </is>
      </c>
      <c r="H42" t="inlineStr">
        <is>
          <t>7.1.1</t>
        </is>
      </c>
      <c r="I42" t="inlineStr">
        <is>
          <t>PEÇAS DE MANUTENÇÃO</t>
        </is>
      </c>
      <c r="J42" t="n">
        <v>0.44</v>
      </c>
      <c r="K42" t="n">
        <v>-0.44</v>
      </c>
    </row>
    <row r="43">
      <c r="A43" t="n">
        <v>2025</v>
      </c>
      <c r="B43" t="inlineStr">
        <is>
          <t>2025-11</t>
        </is>
      </c>
      <c r="C43" t="inlineStr">
        <is>
          <t>AM-BAR</t>
        </is>
      </c>
      <c r="D43" t="inlineStr">
        <is>
          <t>HYUNDAI</t>
        </is>
      </c>
      <c r="E43" t="inlineStr">
        <is>
          <t>EHH0015</t>
        </is>
      </c>
      <c r="F43" t="inlineStr">
        <is>
          <t>EKIPA LOCACOES E SERV G&amp;S</t>
        </is>
      </c>
      <c r="G43" t="inlineStr">
        <is>
          <t>G3S CAMPO GRANDE</t>
        </is>
      </c>
      <c r="H43" t="inlineStr">
        <is>
          <t>7.1.2</t>
        </is>
      </c>
      <c r="I43" t="inlineStr">
        <is>
          <t>MANUTENÇÃO DE VEÍCULOS/MAQUINAS</t>
        </is>
      </c>
      <c r="J43" t="n">
        <v>11.93</v>
      </c>
      <c r="K43" t="n">
        <v>-11.93</v>
      </c>
    </row>
    <row r="44">
      <c r="A44" t="n">
        <v>2025</v>
      </c>
      <c r="B44" t="inlineStr">
        <is>
          <t>2025-12</t>
        </is>
      </c>
      <c r="C44" t="inlineStr">
        <is>
          <t>AM-BAR</t>
        </is>
      </c>
      <c r="D44" t="inlineStr">
        <is>
          <t>HYUNDAI</t>
        </is>
      </c>
      <c r="E44" t="inlineStr">
        <is>
          <t>EHH0015</t>
        </is>
      </c>
      <c r="F44" t="inlineStr">
        <is>
          <t>EKIPA LOCACOES E SERV G&amp;S</t>
        </is>
      </c>
      <c r="G44" t="inlineStr">
        <is>
          <t>G&amp;S PRUDENTE</t>
        </is>
      </c>
      <c r="H44" t="inlineStr">
        <is>
          <t>7.1.2</t>
        </is>
      </c>
      <c r="I44" t="inlineStr">
        <is>
          <t>MANUTENÇÃO DE VEÍCULOS/MAQUINAS</t>
        </is>
      </c>
      <c r="J44" t="n">
        <v>2146.15</v>
      </c>
      <c r="K44" t="n">
        <v>-2146.15</v>
      </c>
    </row>
    <row r="45">
      <c r="A45" t="n">
        <v>2025</v>
      </c>
      <c r="B45" t="inlineStr">
        <is>
          <t>2025-12</t>
        </is>
      </c>
      <c r="C45" t="inlineStr">
        <is>
          <t>AM-BAR</t>
        </is>
      </c>
      <c r="D45" t="inlineStr">
        <is>
          <t>HYUNDAI</t>
        </is>
      </c>
      <c r="E45" t="inlineStr">
        <is>
          <t>EHH0015</t>
        </is>
      </c>
      <c r="F45" t="inlineStr">
        <is>
          <t>EKIPA LOCACOES E SERV G&amp;S</t>
        </is>
      </c>
      <c r="G45" t="inlineStr">
        <is>
          <t>G&amp;S PRUDENTE</t>
        </is>
      </c>
      <c r="H45" t="inlineStr">
        <is>
          <t>7.1.2</t>
        </is>
      </c>
      <c r="I45" t="inlineStr">
        <is>
          <t>MANUTENÇÃO DE VEÍCULOS/MAQUINAS</t>
        </is>
      </c>
      <c r="J45" t="n">
        <v>815</v>
      </c>
      <c r="K45" t="n">
        <v>-815</v>
      </c>
    </row>
    <row r="46">
      <c r="A46" t="n">
        <v>2026</v>
      </c>
      <c r="B46" t="inlineStr">
        <is>
          <t>2026-01</t>
        </is>
      </c>
      <c r="C46" t="inlineStr">
        <is>
          <t>AM-BAR</t>
        </is>
      </c>
      <c r="D46" t="inlineStr">
        <is>
          <t>HYUNDAI</t>
        </is>
      </c>
      <c r="E46" t="inlineStr">
        <is>
          <t>EHH0015</t>
        </is>
      </c>
      <c r="F46" t="inlineStr">
        <is>
          <t>EKIPA LOCACOES E SERV G&amp;S</t>
        </is>
      </c>
      <c r="G46" t="inlineStr">
        <is>
          <t>G&amp;S PRUDENTE</t>
        </is>
      </c>
      <c r="H46" t="inlineStr">
        <is>
          <t>7.1.2</t>
        </is>
      </c>
      <c r="I46" t="inlineStr">
        <is>
          <t>MANUTENÇÃO DE VEÍCULOS/MAQUINAS</t>
        </is>
      </c>
      <c r="J46" t="n">
        <v>145.8</v>
      </c>
      <c r="K46" t="n">
        <v>-145.8</v>
      </c>
    </row>
    <row r="47">
      <c r="A47" t="n">
        <v>2026</v>
      </c>
      <c r="B47" t="inlineStr">
        <is>
          <t>2026-01</t>
        </is>
      </c>
      <c r="C47" t="inlineStr">
        <is>
          <t>AM-BAR</t>
        </is>
      </c>
      <c r="D47" t="inlineStr">
        <is>
          <t>HYUNDAI</t>
        </is>
      </c>
      <c r="E47" t="inlineStr">
        <is>
          <t>EHH0015</t>
        </is>
      </c>
      <c r="F47" t="inlineStr">
        <is>
          <t>EKIPA LOCACOES E SERV G&amp;S</t>
        </is>
      </c>
      <c r="G47" t="inlineStr">
        <is>
          <t>G&amp;S PRUDENTE</t>
        </is>
      </c>
      <c r="H47" t="inlineStr">
        <is>
          <t>7.1.2</t>
        </is>
      </c>
      <c r="I47" t="inlineStr">
        <is>
          <t>MANUTENÇÃO DE VEÍCULOS/MAQUINAS</t>
        </is>
      </c>
      <c r="J47" t="n">
        <v>39</v>
      </c>
      <c r="K47" t="n">
        <v>-39</v>
      </c>
    </row>
    <row r="48">
      <c r="A48" t="n">
        <v>2026</v>
      </c>
      <c r="B48" t="inlineStr">
        <is>
          <t>2026-01</t>
        </is>
      </c>
      <c r="C48" t="inlineStr">
        <is>
          <t>AM-BAR</t>
        </is>
      </c>
      <c r="D48" t="inlineStr">
        <is>
          <t>HYUNDAI</t>
        </is>
      </c>
      <c r="E48" t="inlineStr">
        <is>
          <t>EHH0015</t>
        </is>
      </c>
      <c r="F48" t="inlineStr">
        <is>
          <t>EKIPA LOCACOES E SERV G&amp;S</t>
        </is>
      </c>
      <c r="G48" t="inlineStr">
        <is>
          <t>G&amp;S PRUDENTE</t>
        </is>
      </c>
      <c r="H48" t="inlineStr">
        <is>
          <t>7.1.2</t>
        </is>
      </c>
      <c r="I48" t="inlineStr">
        <is>
          <t>MANUTENÇÃO DE VEÍCULOS/MAQUINAS</t>
        </is>
      </c>
      <c r="J48" t="n">
        <v>816.97</v>
      </c>
      <c r="K48" t="n">
        <v>-816.97</v>
      </c>
    </row>
    <row r="49">
      <c r="A49" t="n">
        <v>2026</v>
      </c>
      <c r="B49" t="inlineStr">
        <is>
          <t>2026-02</t>
        </is>
      </c>
      <c r="C49" t="inlineStr">
        <is>
          <t>AM-BAR</t>
        </is>
      </c>
      <c r="D49" t="inlineStr">
        <is>
          <t>HYUNDAI</t>
        </is>
      </c>
      <c r="E49" t="inlineStr">
        <is>
          <t>EHH0015</t>
        </is>
      </c>
      <c r="F49" t="inlineStr">
        <is>
          <t>EKIPA LOCACOES E SERV G&amp;S</t>
        </is>
      </c>
      <c r="G49" t="inlineStr">
        <is>
          <t>G&amp;S PRUDENTE</t>
        </is>
      </c>
      <c r="H49" t="inlineStr">
        <is>
          <t>7.1.2</t>
        </is>
      </c>
      <c r="I49" t="inlineStr">
        <is>
          <t>MANUTENÇÃO DE VEÍCULOS/MAQUINAS</t>
        </is>
      </c>
      <c r="J49" t="n">
        <v>992</v>
      </c>
      <c r="K49" t="n">
        <v>-992</v>
      </c>
    </row>
    <row r="50">
      <c r="A50" t="n">
        <v>2026</v>
      </c>
      <c r="B50" t="inlineStr">
        <is>
          <t>2026-02</t>
        </is>
      </c>
      <c r="C50" t="inlineStr">
        <is>
          <t>AM-BAR</t>
        </is>
      </c>
      <c r="D50" t="inlineStr">
        <is>
          <t>HYUNDAI</t>
        </is>
      </c>
      <c r="E50" t="inlineStr">
        <is>
          <t>EHH0015</t>
        </is>
      </c>
      <c r="F50" t="inlineStr">
        <is>
          <t>EKIPA LOCACOES E SERV G&amp;S</t>
        </is>
      </c>
      <c r="G50" t="inlineStr">
        <is>
          <t>G&amp;S PRUDENTE</t>
        </is>
      </c>
      <c r="H50" t="inlineStr">
        <is>
          <t>7.1.2</t>
        </is>
      </c>
      <c r="I50" t="inlineStr">
        <is>
          <t>MANUTENÇÃO DE VEÍCULOS/MAQUINAS</t>
        </is>
      </c>
      <c r="J50" t="n">
        <v>1038.96</v>
      </c>
      <c r="K50" t="n">
        <v>-1038.96</v>
      </c>
    </row>
    <row r="51">
      <c r="A51" t="n">
        <v>2026</v>
      </c>
      <c r="B51" t="inlineStr">
        <is>
          <t>2026-03</t>
        </is>
      </c>
      <c r="C51" t="inlineStr">
        <is>
          <t>AM-BAR</t>
        </is>
      </c>
      <c r="D51" t="inlineStr">
        <is>
          <t>HYUNDAI</t>
        </is>
      </c>
      <c r="E51" t="inlineStr">
        <is>
          <t>EHH0015</t>
        </is>
      </c>
      <c r="F51" t="inlineStr">
        <is>
          <t>EKIPA LOCACOES E SERV G&amp;S</t>
        </is>
      </c>
      <c r="G51" t="inlineStr">
        <is>
          <t>G&amp;S PRUDENTE</t>
        </is>
      </c>
      <c r="H51" t="inlineStr">
        <is>
          <t>7.1.2</t>
        </is>
      </c>
      <c r="I51" t="inlineStr">
        <is>
          <t>MANUTENÇÃO DE VEÍCULOS/MAQUINAS</t>
        </is>
      </c>
      <c r="J51" t="n">
        <v>115</v>
      </c>
      <c r="K51" t="n">
        <v>-115</v>
      </c>
    </row>
    <row r="52">
      <c r="A52" t="n">
        <v>2026</v>
      </c>
      <c r="B52" t="inlineStr">
        <is>
          <t>2026-03</t>
        </is>
      </c>
      <c r="C52" t="inlineStr">
        <is>
          <t>AM-BAR</t>
        </is>
      </c>
      <c r="D52" t="inlineStr">
        <is>
          <t>HYUNDAI</t>
        </is>
      </c>
      <c r="E52" t="inlineStr">
        <is>
          <t>EHH0015</t>
        </is>
      </c>
      <c r="F52" t="inlineStr">
        <is>
          <t>EKIPA LOCACOES E SERV G&amp;S</t>
        </is>
      </c>
      <c r="G52" t="inlineStr">
        <is>
          <t>G&amp;S PRUDENTE</t>
        </is>
      </c>
      <c r="H52" t="inlineStr">
        <is>
          <t>7.1.2</t>
        </is>
      </c>
      <c r="I52" t="inlineStr">
        <is>
          <t>MANUTENÇÃO DE VEÍCULOS/MAQUINAS</t>
        </is>
      </c>
      <c r="J52" t="n">
        <v>680</v>
      </c>
      <c r="K52" t="n">
        <v>-680</v>
      </c>
    </row>
    <row r="53">
      <c r="A53" t="n">
        <v>2026</v>
      </c>
      <c r="B53" t="inlineStr">
        <is>
          <t>2026-03</t>
        </is>
      </c>
      <c r="C53" t="inlineStr">
        <is>
          <t>AM-BAR</t>
        </is>
      </c>
      <c r="D53" t="inlineStr">
        <is>
          <t>HYUNDAI</t>
        </is>
      </c>
      <c r="E53" t="inlineStr">
        <is>
          <t>EHH0015</t>
        </is>
      </c>
      <c r="F53" t="inlineStr">
        <is>
          <t>EKIPA LOCACOES E SERV G&amp;S</t>
        </is>
      </c>
      <c r="G53" t="inlineStr">
        <is>
          <t>G&amp;S PRUDENTE</t>
        </is>
      </c>
      <c r="H53" t="inlineStr">
        <is>
          <t>7.1.2</t>
        </is>
      </c>
      <c r="I53" t="inlineStr">
        <is>
          <t>MANUTENÇÃO DE VEÍCULOS/MAQUINAS</t>
        </is>
      </c>
      <c r="J53" t="n">
        <v>1904.42</v>
      </c>
      <c r="K53" t="n">
        <v>-1904.42</v>
      </c>
    </row>
    <row r="54">
      <c r="A54" t="n">
        <v>2026</v>
      </c>
      <c r="B54" t="inlineStr">
        <is>
          <t>2026-03</t>
        </is>
      </c>
      <c r="C54" t="inlineStr">
        <is>
          <t>AM-BAR</t>
        </is>
      </c>
      <c r="D54" t="inlineStr">
        <is>
          <t>HYUNDAI</t>
        </is>
      </c>
      <c r="E54" t="inlineStr">
        <is>
          <t>EHH0015</t>
        </is>
      </c>
      <c r="F54" t="inlineStr">
        <is>
          <t>EKIPA LOCACOES E SERV G&amp;S</t>
        </is>
      </c>
      <c r="G54" t="inlineStr">
        <is>
          <t>G&amp;S PRUDENTE</t>
        </is>
      </c>
      <c r="H54" t="inlineStr">
        <is>
          <t>7.1.2</t>
        </is>
      </c>
      <c r="I54" t="inlineStr">
        <is>
          <t>MANUTENÇÃO DE VEÍCULOS/MAQUINAS</t>
        </is>
      </c>
      <c r="J54" t="n">
        <v>1809.42</v>
      </c>
      <c r="K54" t="n">
        <v>-1809.42</v>
      </c>
    </row>
    <row r="55">
      <c r="A55" t="n">
        <v>2026</v>
      </c>
      <c r="B55" t="inlineStr">
        <is>
          <t>2026-03</t>
        </is>
      </c>
      <c r="C55" t="inlineStr">
        <is>
          <t>AM-BAR</t>
        </is>
      </c>
      <c r="D55" t="inlineStr">
        <is>
          <t>HYUNDAI</t>
        </is>
      </c>
      <c r="E55" t="inlineStr">
        <is>
          <t>EHH0015</t>
        </is>
      </c>
      <c r="F55" t="inlineStr">
        <is>
          <t>EKIPA LOCACOES E SERV G&amp;S</t>
        </is>
      </c>
      <c r="G55" t="inlineStr">
        <is>
          <t>G&amp;S PRUDENTE</t>
        </is>
      </c>
      <c r="H55" t="inlineStr">
        <is>
          <t>7.1.2</t>
        </is>
      </c>
      <c r="I55" t="inlineStr">
        <is>
          <t>MANUTENÇÃO DE VEÍCULOS/MAQUINAS</t>
        </is>
      </c>
      <c r="J55" t="n">
        <v>825.6</v>
      </c>
      <c r="K55" t="n">
        <v>-825.6</v>
      </c>
    </row>
    <row r="56">
      <c r="A56" t="n">
        <v>2025</v>
      </c>
      <c r="B56" t="inlineStr">
        <is>
          <t>2025-01</t>
        </is>
      </c>
      <c r="C56" t="inlineStr">
        <is>
          <t>AM-BAR</t>
        </is>
      </c>
      <c r="D56" t="inlineStr">
        <is>
          <t>HYUNDAI</t>
        </is>
      </c>
      <c r="E56" t="inlineStr">
        <is>
          <t>EHH0019</t>
        </is>
      </c>
      <c r="F56" t="inlineStr">
        <is>
          <t>EKIPA LOCACOES E SERV G&amp;S</t>
        </is>
      </c>
      <c r="G56" t="inlineStr">
        <is>
          <t>G&amp;G MATRIZ</t>
        </is>
      </c>
      <c r="H56" t="inlineStr">
        <is>
          <t>7.1.18</t>
        </is>
      </c>
      <c r="I56" t="inlineStr">
        <is>
          <t>FRETES E CARRETOS</t>
        </is>
      </c>
      <c r="J56" t="n">
        <v>89.89</v>
      </c>
      <c r="K56" t="n">
        <v>89.89</v>
      </c>
    </row>
    <row r="57">
      <c r="A57" t="n">
        <v>2025</v>
      </c>
      <c r="B57" t="inlineStr">
        <is>
          <t>2025-01</t>
        </is>
      </c>
      <c r="C57" t="inlineStr">
        <is>
          <t>AM-BAR</t>
        </is>
      </c>
      <c r="D57" t="inlineStr">
        <is>
          <t>HYUNDAI</t>
        </is>
      </c>
      <c r="E57" t="inlineStr">
        <is>
          <t>EHH0019</t>
        </is>
      </c>
      <c r="F57" t="inlineStr">
        <is>
          <t>EKIPA LOCACOES E SERV G&amp;S</t>
        </is>
      </c>
      <c r="G57" t="inlineStr">
        <is>
          <t>G&amp;G MATRIZ</t>
        </is>
      </c>
      <c r="H57" t="inlineStr">
        <is>
          <t>7.1.2</t>
        </is>
      </c>
      <c r="I57" t="inlineStr">
        <is>
          <t>MANUTENÇÃO DE VEÍCULOS/MAQUINAS</t>
        </is>
      </c>
      <c r="J57" t="n">
        <v>2282.85</v>
      </c>
      <c r="K57" t="n">
        <v>2282.85</v>
      </c>
    </row>
    <row r="58">
      <c r="A58" t="n">
        <v>2025</v>
      </c>
      <c r="B58" t="inlineStr">
        <is>
          <t>2025-02</t>
        </is>
      </c>
      <c r="C58" t="inlineStr">
        <is>
          <t>AM-BAR</t>
        </is>
      </c>
      <c r="D58" t="inlineStr">
        <is>
          <t>HYUNDAI</t>
        </is>
      </c>
      <c r="E58" t="inlineStr">
        <is>
          <t>EHH0019</t>
        </is>
      </c>
      <c r="F58" t="inlineStr">
        <is>
          <t>EKIPA LOCACOES E SERV G&amp;S</t>
        </is>
      </c>
      <c r="G58" t="inlineStr">
        <is>
          <t>G&amp;G MATRIZ</t>
        </is>
      </c>
      <c r="H58" t="inlineStr">
        <is>
          <t>7.1.1</t>
        </is>
      </c>
      <c r="I58" t="inlineStr">
        <is>
          <t>PEÇAS DE MANUTENÇÃO</t>
        </is>
      </c>
      <c r="J58" t="n">
        <v>1798</v>
      </c>
      <c r="K58" t="n">
        <v>1798</v>
      </c>
    </row>
    <row r="59">
      <c r="A59" t="n">
        <v>2025</v>
      </c>
      <c r="B59" t="inlineStr">
        <is>
          <t>2025-03</t>
        </is>
      </c>
      <c r="C59" t="inlineStr">
        <is>
          <t>AM-BAR</t>
        </is>
      </c>
      <c r="D59" t="inlineStr">
        <is>
          <t>HYUNDAI</t>
        </is>
      </c>
      <c r="E59" t="inlineStr">
        <is>
          <t>EHH0019</t>
        </is>
      </c>
      <c r="F59" t="inlineStr">
        <is>
          <t>EKIPA LOCACOES E SERV G&amp;S</t>
        </is>
      </c>
      <c r="G59" t="inlineStr">
        <is>
          <t>G&amp;G MATRIZ</t>
        </is>
      </c>
      <c r="H59" t="inlineStr">
        <is>
          <t>7.1.1</t>
        </is>
      </c>
      <c r="I59" t="inlineStr">
        <is>
          <t>PEÇAS DE MANUTENÇÃO</t>
        </is>
      </c>
      <c r="J59" t="n">
        <v>2567.34</v>
      </c>
      <c r="K59" t="n">
        <v>2567.34</v>
      </c>
    </row>
    <row r="60">
      <c r="A60" t="n">
        <v>2025</v>
      </c>
      <c r="B60" t="inlineStr">
        <is>
          <t>2025-03</t>
        </is>
      </c>
      <c r="C60" t="inlineStr">
        <is>
          <t>AM-BAR</t>
        </is>
      </c>
      <c r="D60" t="inlineStr">
        <is>
          <t>HYUNDAI</t>
        </is>
      </c>
      <c r="E60" t="inlineStr">
        <is>
          <t>EHH0019</t>
        </is>
      </c>
      <c r="F60" t="inlineStr">
        <is>
          <t>EKIPA LOCACOES E SERV G&amp;S</t>
        </is>
      </c>
      <c r="G60" t="inlineStr">
        <is>
          <t>G&amp;G MATRIZ</t>
        </is>
      </c>
      <c r="H60" t="inlineStr">
        <is>
          <t>7.1.1</t>
        </is>
      </c>
      <c r="I60" t="inlineStr">
        <is>
          <t>PEÇAS DE MANUTENÇÃO</t>
        </is>
      </c>
      <c r="J60" t="n">
        <v>171.2</v>
      </c>
      <c r="K60" t="n">
        <v>171.2</v>
      </c>
    </row>
    <row r="61">
      <c r="A61" t="n">
        <v>2025</v>
      </c>
      <c r="B61" t="inlineStr">
        <is>
          <t>2025-03</t>
        </is>
      </c>
      <c r="C61" t="inlineStr">
        <is>
          <t>AM-BAR</t>
        </is>
      </c>
      <c r="D61" t="inlineStr">
        <is>
          <t>HYUNDAI</t>
        </is>
      </c>
      <c r="E61" t="inlineStr">
        <is>
          <t>EHH0019</t>
        </is>
      </c>
      <c r="F61" t="inlineStr">
        <is>
          <t>EKIPA LOCACOES E SERV G&amp;S</t>
        </is>
      </c>
      <c r="G61" t="inlineStr">
        <is>
          <t>G&amp;G MATRIZ</t>
        </is>
      </c>
      <c r="H61" t="inlineStr">
        <is>
          <t>7.1.1</t>
        </is>
      </c>
      <c r="I61" t="inlineStr">
        <is>
          <t>PEÇAS DE MANUTENÇÃO</t>
        </is>
      </c>
      <c r="J61" t="n">
        <v>17430.26</v>
      </c>
      <c r="K61" t="n">
        <v>17430.26</v>
      </c>
    </row>
    <row r="62">
      <c r="A62" t="n">
        <v>2025</v>
      </c>
      <c r="B62" t="inlineStr">
        <is>
          <t>2025-03</t>
        </is>
      </c>
      <c r="C62" t="inlineStr">
        <is>
          <t>AM-BAR</t>
        </is>
      </c>
      <c r="D62" t="inlineStr">
        <is>
          <t>HYUNDAI</t>
        </is>
      </c>
      <c r="E62" t="inlineStr">
        <is>
          <t>EHH0019</t>
        </is>
      </c>
      <c r="F62" t="inlineStr">
        <is>
          <t>EKIPA LOCACOES E SERV G&amp;S</t>
        </is>
      </c>
      <c r="G62" t="inlineStr">
        <is>
          <t>G&amp;G MATRIZ</t>
        </is>
      </c>
      <c r="H62" t="inlineStr">
        <is>
          <t>7.1.1</t>
        </is>
      </c>
      <c r="I62" t="inlineStr">
        <is>
          <t>PEÇAS DE MANUTENÇÃO</t>
        </is>
      </c>
      <c r="J62" t="n">
        <v>279.8</v>
      </c>
      <c r="K62" t="n">
        <v>279.8</v>
      </c>
    </row>
    <row r="63">
      <c r="A63" t="n">
        <v>2025</v>
      </c>
      <c r="B63" t="inlineStr">
        <is>
          <t>2025-04</t>
        </is>
      </c>
      <c r="C63" t="inlineStr">
        <is>
          <t>AM-BAR</t>
        </is>
      </c>
      <c r="D63" t="inlineStr">
        <is>
          <t>HYUNDAI</t>
        </is>
      </c>
      <c r="E63" t="inlineStr">
        <is>
          <t>EHH0019</t>
        </is>
      </c>
      <c r="F63" t="inlineStr">
        <is>
          <t>EKIPA LOCACOES E SERV G&amp;S</t>
        </is>
      </c>
      <c r="G63" t="inlineStr">
        <is>
          <t>G&amp;G MATRIZ</t>
        </is>
      </c>
      <c r="H63" t="inlineStr">
        <is>
          <t>7.1.1</t>
        </is>
      </c>
      <c r="I63" t="inlineStr">
        <is>
          <t>PEÇAS DE MANUTENÇÃO</t>
        </is>
      </c>
      <c r="J63" t="n">
        <v>1604.83</v>
      </c>
      <c r="K63" t="n">
        <v>1604.83</v>
      </c>
    </row>
    <row r="64">
      <c r="A64" t="n">
        <v>2025</v>
      </c>
      <c r="B64" t="inlineStr">
        <is>
          <t>2025-04</t>
        </is>
      </c>
      <c r="C64" t="inlineStr">
        <is>
          <t>AM-BAR</t>
        </is>
      </c>
      <c r="D64" t="inlineStr">
        <is>
          <t>HYUNDAI</t>
        </is>
      </c>
      <c r="E64" t="inlineStr">
        <is>
          <t>EHH0019</t>
        </is>
      </c>
      <c r="F64" t="inlineStr">
        <is>
          <t>EKIPA LOCACOES E SERV G&amp;S</t>
        </is>
      </c>
      <c r="G64" t="inlineStr">
        <is>
          <t>G&amp;G MARINGA</t>
        </is>
      </c>
      <c r="H64" t="inlineStr">
        <is>
          <t>7.1.4</t>
        </is>
      </c>
      <c r="I64" t="inlineStr">
        <is>
          <t>COMBUSTÍVEL - DIESEL (POSTO)</t>
        </is>
      </c>
      <c r="J64" t="n">
        <v>3850</v>
      </c>
      <c r="K64" t="n">
        <v>3850</v>
      </c>
    </row>
    <row r="65">
      <c r="A65" t="n">
        <v>2025</v>
      </c>
      <c r="B65" t="inlineStr">
        <is>
          <t>2025-04</t>
        </is>
      </c>
      <c r="C65" t="inlineStr">
        <is>
          <t>AM-BAR</t>
        </is>
      </c>
      <c r="D65" t="inlineStr">
        <is>
          <t>HYUNDAI</t>
        </is>
      </c>
      <c r="E65" t="inlineStr">
        <is>
          <t>EHH0019</t>
        </is>
      </c>
      <c r="F65" t="inlineStr">
        <is>
          <t>EKIPA LOCACOES E SERV G&amp;S</t>
        </is>
      </c>
      <c r="G65" t="inlineStr">
        <is>
          <t>G&amp;G MATRIZ</t>
        </is>
      </c>
      <c r="H65" t="inlineStr">
        <is>
          <t>7.1.2</t>
        </is>
      </c>
      <c r="I65" t="inlineStr">
        <is>
          <t>MANUTENÇÃO DE VEÍCULOS/MAQUINAS</t>
        </is>
      </c>
      <c r="J65" t="n">
        <v>420</v>
      </c>
      <c r="K65" t="n">
        <v>420</v>
      </c>
    </row>
    <row r="66">
      <c r="A66" t="n">
        <v>2025</v>
      </c>
      <c r="B66" t="inlineStr">
        <is>
          <t>2025-04</t>
        </is>
      </c>
      <c r="C66" t="inlineStr">
        <is>
          <t>AM-BAR</t>
        </is>
      </c>
      <c r="D66" t="inlineStr">
        <is>
          <t>HYUNDAI</t>
        </is>
      </c>
      <c r="E66" t="inlineStr">
        <is>
          <t>EHH0019</t>
        </is>
      </c>
      <c r="F66" t="inlineStr">
        <is>
          <t>EKIPA LOCACOES E SERV G&amp;S</t>
        </is>
      </c>
      <c r="G66" t="inlineStr">
        <is>
          <t>G&amp;G MATRIZ</t>
        </is>
      </c>
      <c r="H66" t="inlineStr">
        <is>
          <t>7.1.1</t>
        </is>
      </c>
      <c r="I66" t="inlineStr">
        <is>
          <t>PEÇAS DE MANUTENÇÃO</t>
        </is>
      </c>
      <c r="J66" t="n">
        <v>1826.36</v>
      </c>
      <c r="K66" t="n">
        <v>1826.36</v>
      </c>
    </row>
    <row r="67">
      <c r="A67" t="n">
        <v>2025</v>
      </c>
      <c r="B67" t="inlineStr">
        <is>
          <t>2025-04</t>
        </is>
      </c>
      <c r="C67" t="inlineStr">
        <is>
          <t>AM-BAR</t>
        </is>
      </c>
      <c r="D67" t="inlineStr">
        <is>
          <t>HYUNDAI</t>
        </is>
      </c>
      <c r="E67" t="inlineStr">
        <is>
          <t>EHH0019</t>
        </is>
      </c>
      <c r="F67" t="inlineStr">
        <is>
          <t>EKIPA LOCACOES E SERV G&amp;S</t>
        </is>
      </c>
      <c r="G67" t="inlineStr">
        <is>
          <t>G&amp;G MATRIZ</t>
        </is>
      </c>
      <c r="H67" t="inlineStr">
        <is>
          <t>7.1.1</t>
        </is>
      </c>
      <c r="I67" t="inlineStr">
        <is>
          <t>PEÇAS DE MANUTENÇÃO</t>
        </is>
      </c>
      <c r="J67" t="n">
        <v>228</v>
      </c>
      <c r="K67" t="n">
        <v>228</v>
      </c>
    </row>
    <row r="68">
      <c r="A68" t="n">
        <v>2025</v>
      </c>
      <c r="B68" t="inlineStr">
        <is>
          <t>2025-05</t>
        </is>
      </c>
      <c r="C68" t="inlineStr">
        <is>
          <t>AM-BAR</t>
        </is>
      </c>
      <c r="D68" t="inlineStr">
        <is>
          <t>HYUNDAI</t>
        </is>
      </c>
      <c r="E68" t="inlineStr">
        <is>
          <t>EHH0019</t>
        </is>
      </c>
      <c r="F68" t="inlineStr">
        <is>
          <t>EKIPA LOCACOES E SERV G&amp;S</t>
        </is>
      </c>
      <c r="G68" t="inlineStr">
        <is>
          <t>G&amp;G MATRIZ</t>
        </is>
      </c>
      <c r="H68" t="inlineStr">
        <is>
          <t>7.1.1</t>
        </is>
      </c>
      <c r="I68" t="inlineStr">
        <is>
          <t>PEÇAS DE MANUTENÇÃO</t>
        </is>
      </c>
      <c r="J68" t="n">
        <v>232.71</v>
      </c>
      <c r="K68" t="n">
        <v>232.71</v>
      </c>
    </row>
    <row r="69">
      <c r="A69" t="n">
        <v>2025</v>
      </c>
      <c r="B69" t="inlineStr">
        <is>
          <t>2025-05</t>
        </is>
      </c>
      <c r="C69" t="inlineStr">
        <is>
          <t>AM-BAR</t>
        </is>
      </c>
      <c r="D69" t="inlineStr">
        <is>
          <t>HYUNDAI</t>
        </is>
      </c>
      <c r="E69" t="inlineStr">
        <is>
          <t>EHH0019</t>
        </is>
      </c>
      <c r="F69" t="inlineStr">
        <is>
          <t>EKIPA LOCACOES E SERV G&amp;S</t>
        </is>
      </c>
      <c r="G69" t="inlineStr">
        <is>
          <t>G&amp;G MATRIZ</t>
        </is>
      </c>
      <c r="H69" t="inlineStr">
        <is>
          <t>7.1.1</t>
        </is>
      </c>
      <c r="I69" t="inlineStr">
        <is>
          <t>PEÇAS DE MANUTENÇÃO</t>
        </is>
      </c>
      <c r="J69" t="n">
        <v>382.86</v>
      </c>
      <c r="K69" t="n">
        <v>382.86</v>
      </c>
    </row>
    <row r="70">
      <c r="A70" t="n">
        <v>2025</v>
      </c>
      <c r="B70" t="inlineStr">
        <is>
          <t>2025-06</t>
        </is>
      </c>
      <c r="C70" t="inlineStr">
        <is>
          <t>AM-BAR</t>
        </is>
      </c>
      <c r="D70" t="inlineStr">
        <is>
          <t>HYUNDAI</t>
        </is>
      </c>
      <c r="E70" t="inlineStr">
        <is>
          <t>EHH0019</t>
        </is>
      </c>
      <c r="F70" t="inlineStr">
        <is>
          <t>EKIPA LOCACOES E SERV G&amp;S</t>
        </is>
      </c>
      <c r="G70" t="inlineStr">
        <is>
          <t>G&amp;S PRUDENTE</t>
        </is>
      </c>
      <c r="H70" t="inlineStr">
        <is>
          <t>7.1.18</t>
        </is>
      </c>
      <c r="I70" t="inlineStr">
        <is>
          <t>FRETES E CARRETOS</t>
        </is>
      </c>
      <c r="J70" t="n">
        <v>21500</v>
      </c>
      <c r="K70" t="n">
        <v>-21500</v>
      </c>
    </row>
    <row r="71">
      <c r="A71" t="n">
        <v>2025</v>
      </c>
      <c r="B71" t="inlineStr">
        <is>
          <t>2025-07</t>
        </is>
      </c>
      <c r="C71" t="inlineStr">
        <is>
          <t>AM-BAR</t>
        </is>
      </c>
      <c r="D71" t="inlineStr">
        <is>
          <t>HYUNDAI</t>
        </is>
      </c>
      <c r="E71" t="inlineStr">
        <is>
          <t>EHH0019</t>
        </is>
      </c>
      <c r="F71" t="inlineStr">
        <is>
          <t>EKIPA LOCACOES E SERV G&amp;S</t>
        </is>
      </c>
      <c r="G71" t="inlineStr">
        <is>
          <t>G&amp;S PRUDENTE</t>
        </is>
      </c>
      <c r="H71" t="inlineStr">
        <is>
          <t>7.1.2</t>
        </is>
      </c>
      <c r="I71" t="inlineStr">
        <is>
          <t>MANUTENÇÃO DE VEÍCULOS/MAQUINAS</t>
        </is>
      </c>
      <c r="J71" t="n">
        <v>1930</v>
      </c>
      <c r="K71" t="n">
        <v>-1930</v>
      </c>
    </row>
    <row r="72">
      <c r="A72" t="n">
        <v>2025</v>
      </c>
      <c r="B72" t="inlineStr">
        <is>
          <t>2025-08</t>
        </is>
      </c>
      <c r="C72" t="inlineStr">
        <is>
          <t>AM-BAR</t>
        </is>
      </c>
      <c r="D72" t="inlineStr">
        <is>
          <t>HYUNDAI</t>
        </is>
      </c>
      <c r="E72" t="inlineStr">
        <is>
          <t>EHH0019</t>
        </is>
      </c>
      <c r="F72" t="inlineStr">
        <is>
          <t>EKIPA LOCACOES E SERV G&amp;S</t>
        </is>
      </c>
      <c r="G72" t="inlineStr">
        <is>
          <t>G&amp;S PRUDENTE</t>
        </is>
      </c>
      <c r="H72" t="inlineStr">
        <is>
          <t>7.1.18</t>
        </is>
      </c>
      <c r="I72" t="inlineStr">
        <is>
          <t>FRETES E CARRETOS</t>
        </is>
      </c>
      <c r="J72" t="n">
        <v>107.2</v>
      </c>
      <c r="K72" t="n">
        <v>-107.2</v>
      </c>
    </row>
    <row r="73">
      <c r="A73" t="n">
        <v>2025</v>
      </c>
      <c r="B73" t="inlineStr">
        <is>
          <t>2025-08</t>
        </is>
      </c>
      <c r="C73" t="inlineStr">
        <is>
          <t>AM-BAR</t>
        </is>
      </c>
      <c r="D73" t="inlineStr">
        <is>
          <t>HYUNDAI</t>
        </is>
      </c>
      <c r="E73" t="inlineStr">
        <is>
          <t>EHH0019</t>
        </is>
      </c>
      <c r="F73" t="inlineStr">
        <is>
          <t>EKIPA LOCACOES E SERV G&amp;S</t>
        </is>
      </c>
      <c r="G73" t="inlineStr">
        <is>
          <t>G&amp;S PRUDENTE</t>
        </is>
      </c>
      <c r="H73" t="inlineStr">
        <is>
          <t>7.1.2</t>
        </is>
      </c>
      <c r="I73" t="inlineStr">
        <is>
          <t>MANUTENÇÃO DE VEÍCULOS/MAQUINAS</t>
        </is>
      </c>
      <c r="J73" t="n">
        <v>800</v>
      </c>
      <c r="K73" t="n">
        <v>-800</v>
      </c>
    </row>
    <row r="74">
      <c r="A74" t="n">
        <v>2025</v>
      </c>
      <c r="B74" t="inlineStr">
        <is>
          <t>2025-09</t>
        </is>
      </c>
      <c r="C74" t="inlineStr">
        <is>
          <t>AM-BAR</t>
        </is>
      </c>
      <c r="D74" t="inlineStr">
        <is>
          <t>HYUNDAI</t>
        </is>
      </c>
      <c r="E74" t="inlineStr">
        <is>
          <t>EHH0019</t>
        </is>
      </c>
      <c r="F74" t="inlineStr">
        <is>
          <t>EKIPA LOCACOES E SERV G&amp;S</t>
        </is>
      </c>
      <c r="G74" t="inlineStr">
        <is>
          <t>G&amp;S PRUDENTE</t>
        </is>
      </c>
      <c r="H74" t="inlineStr">
        <is>
          <t>7.1.2</t>
        </is>
      </c>
      <c r="I74" t="inlineStr">
        <is>
          <t>MANUTENÇÃO DE VEÍCULOS/MAQUINAS</t>
        </is>
      </c>
      <c r="J74" t="n">
        <v>550</v>
      </c>
      <c r="K74" t="n">
        <v>-550</v>
      </c>
    </row>
    <row r="75">
      <c r="A75" t="n">
        <v>2025</v>
      </c>
      <c r="B75" t="inlineStr">
        <is>
          <t>2025-09</t>
        </is>
      </c>
      <c r="C75" t="inlineStr">
        <is>
          <t>AM-BAR</t>
        </is>
      </c>
      <c r="D75" t="inlineStr">
        <is>
          <t>HYUNDAI</t>
        </is>
      </c>
      <c r="E75" t="inlineStr">
        <is>
          <t>EHH0019</t>
        </is>
      </c>
      <c r="F75" t="inlineStr">
        <is>
          <t>EKIPA LOCACOES E SERV G&amp;S</t>
        </is>
      </c>
      <c r="G75" t="inlineStr">
        <is>
          <t>G&amp;S PRUDENTE</t>
        </is>
      </c>
      <c r="H75" t="inlineStr">
        <is>
          <t>7.1.2</t>
        </is>
      </c>
      <c r="I75" t="inlineStr">
        <is>
          <t>MANUTENÇÃO DE VEÍCULOS/MAQUINAS</t>
        </is>
      </c>
      <c r="J75" t="n">
        <v>2939.7</v>
      </c>
      <c r="K75" t="n">
        <v>-2939.7</v>
      </c>
    </row>
    <row r="76">
      <c r="A76" t="n">
        <v>2025</v>
      </c>
      <c r="B76" t="inlineStr">
        <is>
          <t>2025-09</t>
        </is>
      </c>
      <c r="C76" t="inlineStr">
        <is>
          <t>AM-BAR</t>
        </is>
      </c>
      <c r="D76" t="inlineStr">
        <is>
          <t>HYUNDAI</t>
        </is>
      </c>
      <c r="E76" t="inlineStr">
        <is>
          <t>EHH0019</t>
        </is>
      </c>
      <c r="F76" t="inlineStr">
        <is>
          <t>EKIPA LOCACOES E SERV G&amp;S</t>
        </is>
      </c>
      <c r="G76" t="inlineStr">
        <is>
          <t>G&amp;S PRUDENTE</t>
        </is>
      </c>
      <c r="H76" t="inlineStr">
        <is>
          <t>7.1.2</t>
        </is>
      </c>
      <c r="I76" t="inlineStr">
        <is>
          <t>MANUTENÇÃO DE VEÍCULOS/MAQUINAS</t>
        </is>
      </c>
      <c r="J76" t="n">
        <v>421.43</v>
      </c>
      <c r="K76" t="n">
        <v>-421.43</v>
      </c>
    </row>
    <row r="77">
      <c r="A77" t="n">
        <v>2025</v>
      </c>
      <c r="B77" t="inlineStr">
        <is>
          <t>2025-10</t>
        </is>
      </c>
      <c r="C77" t="inlineStr">
        <is>
          <t>AM-BAR</t>
        </is>
      </c>
      <c r="D77" t="inlineStr">
        <is>
          <t>HYUNDAI</t>
        </is>
      </c>
      <c r="E77" t="inlineStr">
        <is>
          <t>EHH0019</t>
        </is>
      </c>
      <c r="F77" t="inlineStr">
        <is>
          <t>EKIPA LOCACOES E SERV G&amp;S</t>
        </is>
      </c>
      <c r="G77" t="inlineStr">
        <is>
          <t>G&amp;S PRUDENTE</t>
        </is>
      </c>
      <c r="H77" t="inlineStr">
        <is>
          <t>7.1.2</t>
        </is>
      </c>
      <c r="I77" t="inlineStr">
        <is>
          <t>MANUTENÇÃO DE VEÍCULOS/MAQUINAS</t>
        </is>
      </c>
      <c r="J77" t="n">
        <v>1872.5</v>
      </c>
      <c r="K77" t="n">
        <v>-1872.5</v>
      </c>
    </row>
    <row r="78">
      <c r="A78" t="n">
        <v>2025</v>
      </c>
      <c r="B78" t="inlineStr">
        <is>
          <t>2025-10</t>
        </is>
      </c>
      <c r="C78" t="inlineStr">
        <is>
          <t>AM-BAR</t>
        </is>
      </c>
      <c r="D78" t="inlineStr">
        <is>
          <t>HYUNDAI</t>
        </is>
      </c>
      <c r="E78" t="inlineStr">
        <is>
          <t>EHH0019</t>
        </is>
      </c>
      <c r="F78" t="inlineStr">
        <is>
          <t>EKIPA LOCACOES E SERV G&amp;S</t>
        </is>
      </c>
      <c r="G78" t="inlineStr">
        <is>
          <t>G&amp;S PRUDENTE</t>
        </is>
      </c>
      <c r="H78" t="inlineStr">
        <is>
          <t>7.1.2</t>
        </is>
      </c>
      <c r="I78" t="inlineStr">
        <is>
          <t>MANUTENÇÃO DE VEÍCULOS/MAQUINAS</t>
        </is>
      </c>
      <c r="J78" t="n">
        <v>2898</v>
      </c>
      <c r="K78" t="n">
        <v>-2898</v>
      </c>
    </row>
    <row r="79">
      <c r="A79" t="n">
        <v>2025</v>
      </c>
      <c r="B79" t="inlineStr">
        <is>
          <t>2025-10</t>
        </is>
      </c>
      <c r="C79" t="inlineStr">
        <is>
          <t>AM-BAR</t>
        </is>
      </c>
      <c r="D79" t="inlineStr">
        <is>
          <t>HYUNDAI</t>
        </is>
      </c>
      <c r="E79" t="inlineStr">
        <is>
          <t>EHH0019</t>
        </is>
      </c>
      <c r="F79" t="inlineStr">
        <is>
          <t>EKIPA LOCACOES E SERV G&amp;S</t>
        </is>
      </c>
      <c r="G79" t="inlineStr">
        <is>
          <t>G&amp;S PRUDENTE</t>
        </is>
      </c>
      <c r="H79" t="inlineStr">
        <is>
          <t>7.1.2</t>
        </is>
      </c>
      <c r="I79" t="inlineStr">
        <is>
          <t>MANUTENÇÃO DE VEÍCULOS/MAQUINAS</t>
        </is>
      </c>
      <c r="J79" t="n">
        <v>1872.5</v>
      </c>
      <c r="K79" t="n">
        <v>-1872.5</v>
      </c>
    </row>
    <row r="80">
      <c r="A80" t="n">
        <v>2025</v>
      </c>
      <c r="B80" t="inlineStr">
        <is>
          <t>2025-10</t>
        </is>
      </c>
      <c r="C80" t="inlineStr">
        <is>
          <t>AM-BAR</t>
        </is>
      </c>
      <c r="D80" t="inlineStr">
        <is>
          <t>HYUNDAI</t>
        </is>
      </c>
      <c r="E80" t="inlineStr">
        <is>
          <t>EHH0019</t>
        </is>
      </c>
      <c r="F80" t="inlineStr">
        <is>
          <t>EKIPA LOCACOES E SERV G&amp;S</t>
        </is>
      </c>
      <c r="G80" t="inlineStr">
        <is>
          <t>G&amp;S PRUDENTE</t>
        </is>
      </c>
      <c r="H80" t="inlineStr">
        <is>
          <t>7.1.2</t>
        </is>
      </c>
      <c r="I80" t="inlineStr">
        <is>
          <t>MANUTENÇÃO DE VEÍCULOS/MAQUINAS</t>
        </is>
      </c>
      <c r="J80" t="n">
        <v>2898</v>
      </c>
      <c r="K80" t="n">
        <v>-2898</v>
      </c>
    </row>
    <row r="81">
      <c r="A81" t="n">
        <v>2025</v>
      </c>
      <c r="B81" t="inlineStr">
        <is>
          <t>2025-11</t>
        </is>
      </c>
      <c r="C81" t="inlineStr">
        <is>
          <t>AM-BAR</t>
        </is>
      </c>
      <c r="D81" t="inlineStr">
        <is>
          <t>HYUNDAI</t>
        </is>
      </c>
      <c r="E81" t="inlineStr">
        <is>
          <t>EHH0019</t>
        </is>
      </c>
      <c r="F81" t="inlineStr">
        <is>
          <t>EKIPA LOCACOES E SERV G&amp;S</t>
        </is>
      </c>
      <c r="G81" t="inlineStr">
        <is>
          <t>G&amp;S PRUDENTE</t>
        </is>
      </c>
      <c r="H81" t="inlineStr">
        <is>
          <t>7.1.2</t>
        </is>
      </c>
      <c r="I81" t="inlineStr">
        <is>
          <t>MANUTENÇÃO DE VEÍCULOS/MAQUINAS</t>
        </is>
      </c>
      <c r="J81" t="n">
        <v>2275</v>
      </c>
      <c r="K81" t="n">
        <v>-2275</v>
      </c>
    </row>
    <row r="82">
      <c r="A82" t="n">
        <v>2025</v>
      </c>
      <c r="B82" t="inlineStr">
        <is>
          <t>2025-11</t>
        </is>
      </c>
      <c r="C82" t="inlineStr">
        <is>
          <t>AM-BAR</t>
        </is>
      </c>
      <c r="D82" t="inlineStr">
        <is>
          <t>HYUNDAI</t>
        </is>
      </c>
      <c r="E82" t="inlineStr">
        <is>
          <t>EHH0019</t>
        </is>
      </c>
      <c r="F82" t="inlineStr">
        <is>
          <t>EKIPA LOCACOES E SERV G&amp;S</t>
        </is>
      </c>
      <c r="G82" t="inlineStr">
        <is>
          <t>G&amp;S PRUDENTE</t>
        </is>
      </c>
      <c r="H82" t="inlineStr">
        <is>
          <t>7.1.2</t>
        </is>
      </c>
      <c r="I82" t="inlineStr">
        <is>
          <t>MANUTENÇÃO DE VEÍCULOS/MAQUINAS</t>
        </is>
      </c>
      <c r="J82" t="n">
        <v>500</v>
      </c>
      <c r="K82" t="n">
        <v>-500</v>
      </c>
    </row>
    <row r="83">
      <c r="A83" t="n">
        <v>2025</v>
      </c>
      <c r="B83" t="inlineStr">
        <is>
          <t>2025-11</t>
        </is>
      </c>
      <c r="C83" t="inlineStr">
        <is>
          <t>AM-BAR</t>
        </is>
      </c>
      <c r="D83" t="inlineStr">
        <is>
          <t>HYUNDAI</t>
        </is>
      </c>
      <c r="E83" t="inlineStr">
        <is>
          <t>EHH0019</t>
        </is>
      </c>
      <c r="F83" t="inlineStr">
        <is>
          <t>EKIPA LOCACOES E SERV G&amp;S</t>
        </is>
      </c>
      <c r="G83" t="inlineStr">
        <is>
          <t>G&amp;S PRUDENTE</t>
        </is>
      </c>
      <c r="H83" t="inlineStr">
        <is>
          <t>7.1.2</t>
        </is>
      </c>
      <c r="I83" t="inlineStr">
        <is>
          <t>MANUTENÇÃO DE VEÍCULOS/MAQUINAS</t>
        </is>
      </c>
      <c r="J83" t="n">
        <v>5400</v>
      </c>
      <c r="K83" t="n">
        <v>-5400</v>
      </c>
    </row>
    <row r="84">
      <c r="A84" t="n">
        <v>2025</v>
      </c>
      <c r="B84" t="inlineStr">
        <is>
          <t>2025-11</t>
        </is>
      </c>
      <c r="C84" t="inlineStr">
        <is>
          <t>AM-BAR</t>
        </is>
      </c>
      <c r="D84" t="inlineStr">
        <is>
          <t>HYUNDAI</t>
        </is>
      </c>
      <c r="E84" t="inlineStr">
        <is>
          <t>EHH0019</t>
        </is>
      </c>
      <c r="F84" t="inlineStr">
        <is>
          <t>EKIPA LOCACOES E SERV G&amp;S</t>
        </is>
      </c>
      <c r="G84" t="inlineStr">
        <is>
          <t>G&amp;S PRUDENTE</t>
        </is>
      </c>
      <c r="H84" t="inlineStr">
        <is>
          <t>7.1.2</t>
        </is>
      </c>
      <c r="I84" t="inlineStr">
        <is>
          <t>MANUTENÇÃO DE VEÍCULOS/MAQUINAS</t>
        </is>
      </c>
      <c r="J84" t="n">
        <v>6200</v>
      </c>
      <c r="K84" t="n">
        <v>-6200</v>
      </c>
    </row>
    <row r="85">
      <c r="A85" t="n">
        <v>2025</v>
      </c>
      <c r="B85" t="inlineStr">
        <is>
          <t>2025-11</t>
        </is>
      </c>
      <c r="C85" t="inlineStr">
        <is>
          <t>AM-BAR</t>
        </is>
      </c>
      <c r="D85" t="inlineStr">
        <is>
          <t>HYUNDAI</t>
        </is>
      </c>
      <c r="E85" t="inlineStr">
        <is>
          <t>EHH0019</t>
        </is>
      </c>
      <c r="F85" t="inlineStr">
        <is>
          <t>EKIPA LOCACOES E SERV G&amp;S</t>
        </is>
      </c>
      <c r="G85" t="inlineStr">
        <is>
          <t>G&amp;S PRUDENTE</t>
        </is>
      </c>
      <c r="H85" t="inlineStr">
        <is>
          <t>7.1.2</t>
        </is>
      </c>
      <c r="I85" t="inlineStr">
        <is>
          <t>MANUTENÇÃO DE VEÍCULOS/MAQUINAS</t>
        </is>
      </c>
      <c r="J85" t="n">
        <v>140.29</v>
      </c>
      <c r="K85" t="n">
        <v>-140.29</v>
      </c>
    </row>
    <row r="86">
      <c r="A86" t="n">
        <v>2025</v>
      </c>
      <c r="B86" t="inlineStr">
        <is>
          <t>2025-12</t>
        </is>
      </c>
      <c r="C86" t="inlineStr">
        <is>
          <t>AM-BAR</t>
        </is>
      </c>
      <c r="D86" t="inlineStr">
        <is>
          <t>HYUNDAI</t>
        </is>
      </c>
      <c r="E86" t="inlineStr">
        <is>
          <t>EHH0019</t>
        </is>
      </c>
      <c r="F86" t="inlineStr">
        <is>
          <t>EKIPA LOCACOES E SERV G&amp;S</t>
        </is>
      </c>
      <c r="G86" t="inlineStr">
        <is>
          <t>G&amp;S PRUDENTE</t>
        </is>
      </c>
      <c r="H86" t="inlineStr">
        <is>
          <t>7.1.2</t>
        </is>
      </c>
      <c r="I86" t="inlineStr">
        <is>
          <t>MANUTENÇÃO DE VEÍCULOS/MAQUINAS</t>
        </is>
      </c>
      <c r="J86" t="n">
        <v>742.86</v>
      </c>
      <c r="K86" t="n">
        <v>-742.86</v>
      </c>
    </row>
    <row r="87">
      <c r="A87" t="n">
        <v>2026</v>
      </c>
      <c r="B87" t="inlineStr">
        <is>
          <t>2026-01</t>
        </is>
      </c>
      <c r="C87" t="inlineStr">
        <is>
          <t>AM-BAR</t>
        </is>
      </c>
      <c r="D87" t="inlineStr">
        <is>
          <t>HYUNDAI</t>
        </is>
      </c>
      <c r="E87" t="inlineStr">
        <is>
          <t>EHH0019</t>
        </is>
      </c>
      <c r="F87" t="inlineStr">
        <is>
          <t>EKIPA LOCACOES E SERV G&amp;S</t>
        </is>
      </c>
      <c r="G87" t="inlineStr">
        <is>
          <t>G&amp;S PRUDENTE</t>
        </is>
      </c>
      <c r="H87" t="inlineStr">
        <is>
          <t>7.1.2</t>
        </is>
      </c>
      <c r="I87" t="inlineStr">
        <is>
          <t>MANUTENÇÃO DE VEÍCULOS/MAQUINAS</t>
        </is>
      </c>
      <c r="J87" t="n">
        <v>12400</v>
      </c>
      <c r="K87" t="n">
        <v>-12400</v>
      </c>
    </row>
    <row r="88">
      <c r="A88" t="n">
        <v>2026</v>
      </c>
      <c r="B88" t="inlineStr">
        <is>
          <t>2026-01</t>
        </is>
      </c>
      <c r="C88" t="inlineStr">
        <is>
          <t>AM-BAR</t>
        </is>
      </c>
      <c r="D88" t="inlineStr">
        <is>
          <t>HYUNDAI</t>
        </is>
      </c>
      <c r="E88" t="inlineStr">
        <is>
          <t>EHH0019</t>
        </is>
      </c>
      <c r="F88" t="inlineStr">
        <is>
          <t>EKIPA LOCACOES E SERV G&amp;S</t>
        </is>
      </c>
      <c r="G88" t="inlineStr">
        <is>
          <t>G&amp;S PRUDENTE</t>
        </is>
      </c>
      <c r="H88" t="inlineStr">
        <is>
          <t>7.1.18</t>
        </is>
      </c>
      <c r="I88" t="inlineStr">
        <is>
          <t>FRETES E CARRETOS</t>
        </is>
      </c>
      <c r="J88" t="n">
        <v>72.44</v>
      </c>
      <c r="K88" t="n">
        <v>-72.44</v>
      </c>
    </row>
    <row r="89">
      <c r="A89" t="n">
        <v>2026</v>
      </c>
      <c r="B89" t="inlineStr">
        <is>
          <t>2026-01</t>
        </is>
      </c>
      <c r="C89" t="inlineStr">
        <is>
          <t>AM-BAR</t>
        </is>
      </c>
      <c r="D89" t="inlineStr">
        <is>
          <t>HYUNDAI</t>
        </is>
      </c>
      <c r="E89" t="inlineStr">
        <is>
          <t>EHH0019</t>
        </is>
      </c>
      <c r="F89" t="inlineStr">
        <is>
          <t>EKIPA LOCACOES E SERV G&amp;S</t>
        </is>
      </c>
      <c r="G89" t="inlineStr">
        <is>
          <t>G3S PRUDENTE</t>
        </is>
      </c>
      <c r="H89" t="inlineStr">
        <is>
          <t>7.1.2</t>
        </is>
      </c>
      <c r="I89" t="inlineStr">
        <is>
          <t>MANUTENÇÃO DE VEÍCULOS/MAQUINAS</t>
        </is>
      </c>
      <c r="J89" t="n">
        <v>900</v>
      </c>
      <c r="K89" t="n">
        <v>-900</v>
      </c>
    </row>
    <row r="90">
      <c r="A90" t="n">
        <v>2026</v>
      </c>
      <c r="B90" t="inlineStr">
        <is>
          <t>2026-01</t>
        </is>
      </c>
      <c r="C90" t="inlineStr">
        <is>
          <t>AM-BAR</t>
        </is>
      </c>
      <c r="D90" t="inlineStr">
        <is>
          <t>HYUNDAI</t>
        </is>
      </c>
      <c r="E90" t="inlineStr">
        <is>
          <t>EHH0019</t>
        </is>
      </c>
      <c r="F90" t="inlineStr">
        <is>
          <t>EKIPA LOCACOES E SERV G&amp;S</t>
        </is>
      </c>
      <c r="G90" t="inlineStr">
        <is>
          <t>G&amp;S PRUDENTE</t>
        </is>
      </c>
      <c r="H90" t="inlineStr">
        <is>
          <t>7.1.2</t>
        </is>
      </c>
      <c r="I90" t="inlineStr">
        <is>
          <t>MANUTENÇÃO DE VEÍCULOS/MAQUINAS</t>
        </is>
      </c>
      <c r="J90" t="n">
        <v>880</v>
      </c>
      <c r="K90" t="n">
        <v>-880</v>
      </c>
    </row>
    <row r="91">
      <c r="A91" t="n">
        <v>2026</v>
      </c>
      <c r="B91" t="inlineStr">
        <is>
          <t>2026-01</t>
        </is>
      </c>
      <c r="C91" t="inlineStr">
        <is>
          <t>AM-BAR</t>
        </is>
      </c>
      <c r="D91" t="inlineStr">
        <is>
          <t>HYUNDAI</t>
        </is>
      </c>
      <c r="E91" t="inlineStr">
        <is>
          <t>EHH0019</t>
        </is>
      </c>
      <c r="F91" t="inlineStr">
        <is>
          <t>EKIPA LOCACOES E SERV G&amp;S</t>
        </is>
      </c>
      <c r="G91" t="inlineStr">
        <is>
          <t>G&amp;S PRUDENTE</t>
        </is>
      </c>
      <c r="H91" t="inlineStr">
        <is>
          <t>7.1.2</t>
        </is>
      </c>
      <c r="I91" t="inlineStr">
        <is>
          <t>MANUTENÇÃO DE VEÍCULOS/MAQUINAS</t>
        </is>
      </c>
      <c r="J91" t="n">
        <v>416.67</v>
      </c>
      <c r="K91" t="n">
        <v>-416.67</v>
      </c>
    </row>
    <row r="92">
      <c r="A92" t="n">
        <v>2026</v>
      </c>
      <c r="B92" t="inlineStr">
        <is>
          <t>2026-01</t>
        </is>
      </c>
      <c r="C92" t="inlineStr">
        <is>
          <t>AM-BAR</t>
        </is>
      </c>
      <c r="D92" t="inlineStr">
        <is>
          <t>HYUNDAI</t>
        </is>
      </c>
      <c r="E92" t="inlineStr">
        <is>
          <t>EHH0019</t>
        </is>
      </c>
      <c r="F92" t="inlineStr">
        <is>
          <t>EKIPA LOCACOES E SERV G&amp;S</t>
        </is>
      </c>
      <c r="G92" t="inlineStr">
        <is>
          <t>G&amp;S PRUDENTE</t>
        </is>
      </c>
      <c r="H92" t="inlineStr">
        <is>
          <t>7.1.2</t>
        </is>
      </c>
      <c r="I92" t="inlineStr">
        <is>
          <t>MANUTENÇÃO DE VEÍCULOS/MAQUINAS</t>
        </is>
      </c>
      <c r="J92" t="n">
        <v>76.83</v>
      </c>
      <c r="K92" t="n">
        <v>-76.83</v>
      </c>
    </row>
    <row r="93">
      <c r="A93" t="n">
        <v>2026</v>
      </c>
      <c r="B93" t="inlineStr">
        <is>
          <t>2026-01</t>
        </is>
      </c>
      <c r="C93" t="inlineStr">
        <is>
          <t>AM-BAR</t>
        </is>
      </c>
      <c r="D93" t="inlineStr">
        <is>
          <t>HYUNDAI</t>
        </is>
      </c>
      <c r="E93" t="inlineStr">
        <is>
          <t>EHH0019</t>
        </is>
      </c>
      <c r="F93" t="inlineStr">
        <is>
          <t>EKIPA LOCACOES E SERV G&amp;S</t>
        </is>
      </c>
      <c r="G93" t="inlineStr">
        <is>
          <t>G&amp;S PRUDENTE</t>
        </is>
      </c>
      <c r="H93" t="inlineStr">
        <is>
          <t>7.1.2</t>
        </is>
      </c>
      <c r="I93" t="inlineStr">
        <is>
          <t>MANUTENÇÃO DE VEÍCULOS/MAQUINAS</t>
        </is>
      </c>
      <c r="J93" t="n">
        <v>2650</v>
      </c>
      <c r="K93" t="n">
        <v>-2650</v>
      </c>
    </row>
    <row r="94">
      <c r="A94" t="n">
        <v>2026</v>
      </c>
      <c r="B94" t="inlineStr">
        <is>
          <t>2026-01</t>
        </is>
      </c>
      <c r="C94" t="inlineStr">
        <is>
          <t>AM-BAR</t>
        </is>
      </c>
      <c r="D94" t="inlineStr">
        <is>
          <t>HYUNDAI</t>
        </is>
      </c>
      <c r="E94" t="inlineStr">
        <is>
          <t>EHH0019</t>
        </is>
      </c>
      <c r="F94" t="inlineStr">
        <is>
          <t>EKIPA LOCACOES E SERV G&amp;S</t>
        </is>
      </c>
      <c r="G94" t="inlineStr">
        <is>
          <t>G&amp;S PRUDENTE</t>
        </is>
      </c>
      <c r="H94" t="inlineStr">
        <is>
          <t>7.1.18</t>
        </is>
      </c>
      <c r="I94" t="inlineStr">
        <is>
          <t>FRETES E CARRETOS</t>
        </is>
      </c>
      <c r="J94" t="n">
        <v>289.77</v>
      </c>
      <c r="K94" t="n">
        <v>-289.77</v>
      </c>
    </row>
    <row r="95">
      <c r="A95" t="n">
        <v>2026</v>
      </c>
      <c r="B95" t="inlineStr">
        <is>
          <t>2026-01</t>
        </is>
      </c>
      <c r="C95" t="inlineStr">
        <is>
          <t>AM-BAR</t>
        </is>
      </c>
      <c r="D95" t="inlineStr">
        <is>
          <t>HYUNDAI</t>
        </is>
      </c>
      <c r="E95" t="inlineStr">
        <is>
          <t>EHH0019</t>
        </is>
      </c>
      <c r="F95" t="inlineStr">
        <is>
          <t>EKIPA LOCACOES E SERV G&amp;S</t>
        </is>
      </c>
      <c r="G95" t="inlineStr">
        <is>
          <t>G&amp;S PRUDENTE</t>
        </is>
      </c>
      <c r="H95" t="inlineStr">
        <is>
          <t>7.1.2</t>
        </is>
      </c>
      <c r="I95" t="inlineStr">
        <is>
          <t>MANUTENÇÃO DE VEÍCULOS/MAQUINAS</t>
        </is>
      </c>
      <c r="J95" t="n">
        <v>32.56</v>
      </c>
      <c r="K95" t="n">
        <v>-32.56</v>
      </c>
    </row>
    <row r="96">
      <c r="A96" t="n">
        <v>2026</v>
      </c>
      <c r="B96" t="inlineStr">
        <is>
          <t>2026-01</t>
        </is>
      </c>
      <c r="C96" t="inlineStr">
        <is>
          <t>AM-BAR</t>
        </is>
      </c>
      <c r="D96" t="inlineStr">
        <is>
          <t>HYUNDAI</t>
        </is>
      </c>
      <c r="E96" t="inlineStr">
        <is>
          <t>EHH0019</t>
        </is>
      </c>
      <c r="F96" t="inlineStr">
        <is>
          <t>EKIPA LOCACOES E SERV G&amp;S</t>
        </is>
      </c>
      <c r="G96" t="inlineStr">
        <is>
          <t>G&amp;S PRUDENTE</t>
        </is>
      </c>
      <c r="H96" t="inlineStr">
        <is>
          <t>7.1.2</t>
        </is>
      </c>
      <c r="I96" t="inlineStr">
        <is>
          <t>MANUTENÇÃO DE VEÍCULOS/MAQUINAS</t>
        </is>
      </c>
      <c r="J96" t="n">
        <v>1300</v>
      </c>
      <c r="K96" t="n">
        <v>-1300</v>
      </c>
    </row>
    <row r="97">
      <c r="A97" t="n">
        <v>2026</v>
      </c>
      <c r="B97" t="inlineStr">
        <is>
          <t>2026-01</t>
        </is>
      </c>
      <c r="C97" t="inlineStr">
        <is>
          <t>AM-BAR</t>
        </is>
      </c>
      <c r="D97" t="inlineStr">
        <is>
          <t>HYUNDAI</t>
        </is>
      </c>
      <c r="E97" t="inlineStr">
        <is>
          <t>EHH0019</t>
        </is>
      </c>
      <c r="F97" t="inlineStr">
        <is>
          <t>EKIPA LOCACOES E SERV G&amp;S</t>
        </is>
      </c>
      <c r="G97" t="inlineStr">
        <is>
          <t>G&amp;S PRUDENTE</t>
        </is>
      </c>
      <c r="H97" t="inlineStr">
        <is>
          <t>7.1.2</t>
        </is>
      </c>
      <c r="I97" t="inlineStr">
        <is>
          <t>MANUTENÇÃO DE VEÍCULOS/MAQUINAS</t>
        </is>
      </c>
      <c r="J97" t="n">
        <v>12400</v>
      </c>
      <c r="K97" t="n">
        <v>-12400</v>
      </c>
    </row>
    <row r="98">
      <c r="A98" t="n">
        <v>2026</v>
      </c>
      <c r="B98" t="inlineStr">
        <is>
          <t>2026-01</t>
        </is>
      </c>
      <c r="C98" t="inlineStr">
        <is>
          <t>AM-BAR</t>
        </is>
      </c>
      <c r="D98" t="inlineStr">
        <is>
          <t>HYUNDAI</t>
        </is>
      </c>
      <c r="E98" t="inlineStr">
        <is>
          <t>EHH0019</t>
        </is>
      </c>
      <c r="F98" t="inlineStr">
        <is>
          <t>EKIPA LOCACOES E SERV G&amp;S</t>
        </is>
      </c>
      <c r="G98" t="inlineStr">
        <is>
          <t>G&amp;S PRUDENTE</t>
        </is>
      </c>
      <c r="H98" t="inlineStr">
        <is>
          <t>7.1.2</t>
        </is>
      </c>
      <c r="I98" t="inlineStr">
        <is>
          <t>MANUTENÇÃO DE VEÍCULOS/MAQUINAS</t>
        </is>
      </c>
      <c r="J98" t="n">
        <v>1300</v>
      </c>
      <c r="K98" t="n">
        <v>-1300</v>
      </c>
    </row>
    <row r="99">
      <c r="A99" t="n">
        <v>2026</v>
      </c>
      <c r="B99" t="inlineStr">
        <is>
          <t>2026-01</t>
        </is>
      </c>
      <c r="C99" t="inlineStr">
        <is>
          <t>AM-BAR</t>
        </is>
      </c>
      <c r="D99" t="inlineStr">
        <is>
          <t>HYUNDAI</t>
        </is>
      </c>
      <c r="E99" t="inlineStr">
        <is>
          <t>EHH0019</t>
        </is>
      </c>
      <c r="F99" t="inlineStr">
        <is>
          <t>EKIPA LOCACOES E SERV G&amp;S</t>
        </is>
      </c>
      <c r="G99" t="inlineStr">
        <is>
          <t>G&amp;S PRUDENTE</t>
        </is>
      </c>
      <c r="H99" t="inlineStr">
        <is>
          <t>7.1.2</t>
        </is>
      </c>
      <c r="I99" t="inlineStr">
        <is>
          <t>MANUTENÇÃO DE VEÍCULOS/MAQUINAS</t>
        </is>
      </c>
      <c r="J99" t="n">
        <v>1809.42</v>
      </c>
      <c r="K99" t="n">
        <v>-1809.42</v>
      </c>
    </row>
    <row r="100">
      <c r="A100" t="n">
        <v>2026</v>
      </c>
      <c r="B100" t="inlineStr">
        <is>
          <t>2026-01</t>
        </is>
      </c>
      <c r="C100" t="inlineStr">
        <is>
          <t>AM-BAR</t>
        </is>
      </c>
      <c r="D100" t="inlineStr">
        <is>
          <t>HYUNDAI</t>
        </is>
      </c>
      <c r="E100" t="inlineStr">
        <is>
          <t>EHH0019</t>
        </is>
      </c>
      <c r="F100" t="inlineStr">
        <is>
          <t>EKIPA LOCACOES E SERV G&amp;S</t>
        </is>
      </c>
      <c r="G100" t="inlineStr">
        <is>
          <t>G&amp;S PRUDENTE</t>
        </is>
      </c>
      <c r="H100" t="inlineStr">
        <is>
          <t>7.1.2</t>
        </is>
      </c>
      <c r="I100" t="inlineStr">
        <is>
          <t>MANUTENÇÃO DE VEÍCULOS/MAQUINAS</t>
        </is>
      </c>
      <c r="J100" t="n">
        <v>32.56</v>
      </c>
      <c r="K100" t="n">
        <v>-32.56</v>
      </c>
    </row>
    <row r="101">
      <c r="A101" t="n">
        <v>2026</v>
      </c>
      <c r="B101" t="inlineStr">
        <is>
          <t>2026-01</t>
        </is>
      </c>
      <c r="C101" t="inlineStr">
        <is>
          <t>AM-BAR</t>
        </is>
      </c>
      <c r="D101" t="inlineStr">
        <is>
          <t>HYUNDAI</t>
        </is>
      </c>
      <c r="E101" t="inlineStr">
        <is>
          <t>EHH0019</t>
        </is>
      </c>
      <c r="F101" t="inlineStr">
        <is>
          <t>EKIPA LOCACOES E SERV G&amp;S</t>
        </is>
      </c>
      <c r="G101" t="inlineStr">
        <is>
          <t>G&amp;S PRUDENTE</t>
        </is>
      </c>
      <c r="H101" t="inlineStr">
        <is>
          <t>7.1.2</t>
        </is>
      </c>
      <c r="I101" t="inlineStr">
        <is>
          <t>MANUTENÇÃO DE VEÍCULOS/MAQUINAS</t>
        </is>
      </c>
      <c r="J101" t="n">
        <v>67.27</v>
      </c>
      <c r="K101" t="n">
        <v>-67.27</v>
      </c>
    </row>
    <row r="102">
      <c r="A102" t="n">
        <v>2026</v>
      </c>
      <c r="B102" t="inlineStr">
        <is>
          <t>2026-01</t>
        </is>
      </c>
      <c r="C102" t="inlineStr">
        <is>
          <t>AM-BAR</t>
        </is>
      </c>
      <c r="D102" t="inlineStr">
        <is>
          <t>HYUNDAI</t>
        </is>
      </c>
      <c r="E102" t="inlineStr">
        <is>
          <t>EHH0019</t>
        </is>
      </c>
      <c r="F102" t="inlineStr">
        <is>
          <t>EKIPA LOCACOES E SERV G&amp;S</t>
        </is>
      </c>
      <c r="G102" t="inlineStr">
        <is>
          <t>G&amp;S PRUDENTE</t>
        </is>
      </c>
      <c r="H102" t="inlineStr">
        <is>
          <t>7.1.2</t>
        </is>
      </c>
      <c r="I102" t="inlineStr">
        <is>
          <t>MANUTENÇÃO DE VEÍCULOS/MAQUINAS</t>
        </is>
      </c>
      <c r="J102" t="n">
        <v>18.86</v>
      </c>
      <c r="K102" t="n">
        <v>-18.86</v>
      </c>
    </row>
    <row r="103">
      <c r="A103" t="n">
        <v>2026</v>
      </c>
      <c r="B103" t="inlineStr">
        <is>
          <t>2026-01</t>
        </is>
      </c>
      <c r="C103" t="inlineStr">
        <is>
          <t>AM-BAR</t>
        </is>
      </c>
      <c r="D103" t="inlineStr">
        <is>
          <t>HYUNDAI</t>
        </is>
      </c>
      <c r="E103" t="inlineStr">
        <is>
          <t>EHH0019</t>
        </is>
      </c>
      <c r="F103" t="inlineStr">
        <is>
          <t>EKIPA LOCACOES E SERV G&amp;S</t>
        </is>
      </c>
      <c r="G103" t="inlineStr">
        <is>
          <t>G&amp;S PRUDENTE</t>
        </is>
      </c>
      <c r="H103" t="inlineStr">
        <is>
          <t>7.1.2</t>
        </is>
      </c>
      <c r="I103" t="inlineStr">
        <is>
          <t>MANUTENÇÃO DE VEÍCULOS/MAQUINAS</t>
        </is>
      </c>
      <c r="J103" t="n">
        <v>184</v>
      </c>
      <c r="K103" t="n">
        <v>-184</v>
      </c>
    </row>
    <row r="104">
      <c r="A104" t="n">
        <v>2026</v>
      </c>
      <c r="B104" t="inlineStr">
        <is>
          <t>2026-01</t>
        </is>
      </c>
      <c r="C104" t="inlineStr">
        <is>
          <t>AM-BAR</t>
        </is>
      </c>
      <c r="D104" t="inlineStr">
        <is>
          <t>HYUNDAI</t>
        </is>
      </c>
      <c r="E104" t="inlineStr">
        <is>
          <t>EHH0019</t>
        </is>
      </c>
      <c r="F104" t="inlineStr">
        <is>
          <t>EKIPA LOCACOES E SERV G&amp;S</t>
        </is>
      </c>
      <c r="G104" t="inlineStr">
        <is>
          <t>G&amp;S PRUDENTE</t>
        </is>
      </c>
      <c r="H104" t="inlineStr">
        <is>
          <t>7.1.18</t>
        </is>
      </c>
      <c r="I104" t="inlineStr">
        <is>
          <t>FRETES E CARRETOS</t>
        </is>
      </c>
      <c r="J104" t="n">
        <v>25.89</v>
      </c>
      <c r="K104" t="n">
        <v>-25.89</v>
      </c>
    </row>
    <row r="105">
      <c r="A105" t="n">
        <v>2026</v>
      </c>
      <c r="B105" t="inlineStr">
        <is>
          <t>2026-01</t>
        </is>
      </c>
      <c r="C105" t="inlineStr">
        <is>
          <t>AM-BAR</t>
        </is>
      </c>
      <c r="D105" t="inlineStr">
        <is>
          <t>HYUNDAI</t>
        </is>
      </c>
      <c r="E105" t="inlineStr">
        <is>
          <t>EHH0019</t>
        </is>
      </c>
      <c r="F105" t="inlineStr">
        <is>
          <t>EKIPA LOCACOES E SERV G&amp;S</t>
        </is>
      </c>
      <c r="G105" t="inlineStr">
        <is>
          <t>G&amp;S PRUDENTE</t>
        </is>
      </c>
      <c r="H105" t="inlineStr">
        <is>
          <t>7.1.2</t>
        </is>
      </c>
      <c r="I105" t="inlineStr">
        <is>
          <t>MANUTENÇÃO DE VEÍCULOS/MAQUINAS</t>
        </is>
      </c>
      <c r="J105" t="n">
        <v>1646.09</v>
      </c>
      <c r="K105" t="n">
        <v>-1646.09</v>
      </c>
    </row>
    <row r="106">
      <c r="A106" t="n">
        <v>2026</v>
      </c>
      <c r="B106" t="inlineStr">
        <is>
          <t>2026-01</t>
        </is>
      </c>
      <c r="C106" t="inlineStr">
        <is>
          <t>AM-BAR</t>
        </is>
      </c>
      <c r="D106" t="inlineStr">
        <is>
          <t>HYUNDAI</t>
        </is>
      </c>
      <c r="E106" t="inlineStr">
        <is>
          <t>EHH0019</t>
        </is>
      </c>
      <c r="F106" t="inlineStr">
        <is>
          <t>EKIPA LOCACOES E SERV G&amp;S</t>
        </is>
      </c>
      <c r="G106" t="inlineStr">
        <is>
          <t>G&amp;S PRUDENTE</t>
        </is>
      </c>
      <c r="H106" t="inlineStr">
        <is>
          <t>7.1.2</t>
        </is>
      </c>
      <c r="I106" t="inlineStr">
        <is>
          <t>MANUTENÇÃO DE VEÍCULOS/MAQUINAS</t>
        </is>
      </c>
      <c r="J106" t="n">
        <v>630</v>
      </c>
      <c r="K106" t="n">
        <v>-630</v>
      </c>
    </row>
    <row r="107">
      <c r="A107" t="n">
        <v>2026</v>
      </c>
      <c r="B107" t="inlineStr">
        <is>
          <t>2026-01</t>
        </is>
      </c>
      <c r="C107" t="inlineStr">
        <is>
          <t>AM-BAR</t>
        </is>
      </c>
      <c r="D107" t="inlineStr">
        <is>
          <t>HYUNDAI</t>
        </is>
      </c>
      <c r="E107" t="inlineStr">
        <is>
          <t>EHH0019</t>
        </is>
      </c>
      <c r="F107" t="inlineStr">
        <is>
          <t>EKIPA LOCACOES E SERV G&amp;S</t>
        </is>
      </c>
      <c r="G107" t="inlineStr">
        <is>
          <t>G&amp;S PRUDENTE</t>
        </is>
      </c>
      <c r="H107" t="inlineStr">
        <is>
          <t>7.1.2</t>
        </is>
      </c>
      <c r="I107" t="inlineStr">
        <is>
          <t>MANUTENÇÃO DE VEÍCULOS/MAQUINAS</t>
        </is>
      </c>
      <c r="J107" t="n">
        <v>355</v>
      </c>
      <c r="K107" t="n">
        <v>-355</v>
      </c>
    </row>
    <row r="108">
      <c r="A108" t="n">
        <v>2026</v>
      </c>
      <c r="B108" t="inlineStr">
        <is>
          <t>2026-01</t>
        </is>
      </c>
      <c r="C108" t="inlineStr">
        <is>
          <t>AM-BAR</t>
        </is>
      </c>
      <c r="D108" t="inlineStr">
        <is>
          <t>HYUNDAI</t>
        </is>
      </c>
      <c r="E108" t="inlineStr">
        <is>
          <t>EHH0019</t>
        </is>
      </c>
      <c r="F108" t="inlineStr">
        <is>
          <t>EKIPA LOCACOES E SERV G&amp;S</t>
        </is>
      </c>
      <c r="G108" t="inlineStr">
        <is>
          <t>G&amp;S PRUDENTE</t>
        </is>
      </c>
      <c r="H108" t="inlineStr">
        <is>
          <t>7.1.2</t>
        </is>
      </c>
      <c r="I108" t="inlineStr">
        <is>
          <t>MANUTENÇÃO DE VEÍCULOS/MAQUINAS</t>
        </is>
      </c>
      <c r="J108" t="n">
        <v>76.37</v>
      </c>
      <c r="K108" t="n">
        <v>-76.37</v>
      </c>
    </row>
    <row r="109">
      <c r="A109" t="n">
        <v>2026</v>
      </c>
      <c r="B109" t="inlineStr">
        <is>
          <t>2026-01</t>
        </is>
      </c>
      <c r="C109" t="inlineStr">
        <is>
          <t>AM-BAR</t>
        </is>
      </c>
      <c r="D109" t="inlineStr">
        <is>
          <t>HYUNDAI</t>
        </is>
      </c>
      <c r="E109" t="inlineStr">
        <is>
          <t>EHH0019</t>
        </is>
      </c>
      <c r="F109" t="inlineStr">
        <is>
          <t>EKIPA LOCACOES E SERV G&amp;S</t>
        </is>
      </c>
      <c r="G109" t="inlineStr">
        <is>
          <t>G&amp;S PRUDENTE</t>
        </is>
      </c>
      <c r="H109" t="inlineStr">
        <is>
          <t>7.1.2</t>
        </is>
      </c>
      <c r="I109" t="inlineStr">
        <is>
          <t>MANUTENÇÃO DE VEÍCULOS/MAQUINAS</t>
        </is>
      </c>
      <c r="J109" t="n">
        <v>246</v>
      </c>
      <c r="K109" t="n">
        <v>-246</v>
      </c>
    </row>
    <row r="110">
      <c r="A110" t="n">
        <v>2026</v>
      </c>
      <c r="B110" t="inlineStr">
        <is>
          <t>2026-01</t>
        </is>
      </c>
      <c r="C110" t="inlineStr">
        <is>
          <t>AM-BAR</t>
        </is>
      </c>
      <c r="D110" t="inlineStr">
        <is>
          <t>HYUNDAI</t>
        </is>
      </c>
      <c r="E110" t="inlineStr">
        <is>
          <t>EHH0019</t>
        </is>
      </c>
      <c r="F110" t="inlineStr">
        <is>
          <t>EKIPA LOCACOES E SERV G&amp;S</t>
        </is>
      </c>
      <c r="G110" t="inlineStr">
        <is>
          <t>G&amp;S PRUDENTE</t>
        </is>
      </c>
      <c r="H110" t="inlineStr">
        <is>
          <t>7.1.2</t>
        </is>
      </c>
      <c r="I110" t="inlineStr">
        <is>
          <t>MANUTENÇÃO DE VEÍCULOS/MAQUINAS</t>
        </is>
      </c>
      <c r="J110" t="n">
        <v>1300</v>
      </c>
      <c r="K110" t="n">
        <v>-1300</v>
      </c>
    </row>
    <row r="111">
      <c r="A111" t="n">
        <v>2026</v>
      </c>
      <c r="B111" t="inlineStr">
        <is>
          <t>2026-02</t>
        </is>
      </c>
      <c r="C111" t="inlineStr">
        <is>
          <t>AM-BAR</t>
        </is>
      </c>
      <c r="D111" t="inlineStr">
        <is>
          <t>HYUNDAI</t>
        </is>
      </c>
      <c r="E111" t="inlineStr">
        <is>
          <t>EHH0019</t>
        </is>
      </c>
      <c r="F111" t="inlineStr">
        <is>
          <t>EKIPA LOCACOES E SERV G&amp;S</t>
        </is>
      </c>
      <c r="G111" t="inlineStr">
        <is>
          <t>G3S PRUDENTE</t>
        </is>
      </c>
      <c r="H111" t="inlineStr">
        <is>
          <t>7.1.2</t>
        </is>
      </c>
      <c r="I111" t="inlineStr">
        <is>
          <t>MANUTENÇÃO DE VEÍCULOS/MAQUINAS</t>
        </is>
      </c>
      <c r="J111" t="n">
        <v>450</v>
      </c>
      <c r="K111" t="n">
        <v>-450</v>
      </c>
    </row>
    <row r="112">
      <c r="A112" t="n">
        <v>2026</v>
      </c>
      <c r="B112" t="inlineStr">
        <is>
          <t>2026-02</t>
        </is>
      </c>
      <c r="C112" t="inlineStr">
        <is>
          <t>AM-BAR</t>
        </is>
      </c>
      <c r="D112" t="inlineStr">
        <is>
          <t>HYUNDAI</t>
        </is>
      </c>
      <c r="E112" t="inlineStr">
        <is>
          <t>EHH0019</t>
        </is>
      </c>
      <c r="F112" t="inlineStr">
        <is>
          <t>EKIPA LOCACOES E SERV G&amp;S</t>
        </is>
      </c>
      <c r="G112" t="inlineStr">
        <is>
          <t>G&amp;S PRUDENTE</t>
        </is>
      </c>
      <c r="H112" t="inlineStr">
        <is>
          <t>7.1.2</t>
        </is>
      </c>
      <c r="I112" t="inlineStr">
        <is>
          <t>MANUTENÇÃO DE VEÍCULOS/MAQUINAS</t>
        </is>
      </c>
      <c r="J112" t="n">
        <v>450</v>
      </c>
      <c r="K112" t="n">
        <v>-450</v>
      </c>
    </row>
    <row r="113">
      <c r="A113" t="n">
        <v>2026</v>
      </c>
      <c r="B113" t="inlineStr">
        <is>
          <t>2026-02</t>
        </is>
      </c>
      <c r="C113" t="inlineStr">
        <is>
          <t>AM-BAR</t>
        </is>
      </c>
      <c r="D113" t="inlineStr">
        <is>
          <t>HYUNDAI</t>
        </is>
      </c>
      <c r="E113" t="inlineStr">
        <is>
          <t>EHH0019</t>
        </is>
      </c>
      <c r="F113" t="inlineStr">
        <is>
          <t>SELETIVA</t>
        </is>
      </c>
      <c r="G113" t="inlineStr">
        <is>
          <t>G&amp;S PRUDENTE</t>
        </is>
      </c>
      <c r="H113" t="inlineStr">
        <is>
          <t>7.1.2</t>
        </is>
      </c>
      <c r="I113" t="inlineStr">
        <is>
          <t>MANUTENÇÃO DE VEÍCULOS/MAQUINAS</t>
        </is>
      </c>
      <c r="J113" t="n">
        <v>422.22</v>
      </c>
      <c r="K113" t="n">
        <v>-422.22</v>
      </c>
    </row>
    <row r="114">
      <c r="A114" t="n">
        <v>2026</v>
      </c>
      <c r="B114" t="inlineStr">
        <is>
          <t>2026-02</t>
        </is>
      </c>
      <c r="C114" t="inlineStr">
        <is>
          <t>AM-BAR</t>
        </is>
      </c>
      <c r="D114" t="inlineStr">
        <is>
          <t>HYUNDAI</t>
        </is>
      </c>
      <c r="E114" t="inlineStr">
        <is>
          <t>EHH0019</t>
        </is>
      </c>
      <c r="F114" t="inlineStr">
        <is>
          <t>SELETIVA</t>
        </is>
      </c>
      <c r="G114" t="inlineStr">
        <is>
          <t>G&amp;S DOURADOS</t>
        </is>
      </c>
      <c r="H114" t="inlineStr">
        <is>
          <t>7.1.2</t>
        </is>
      </c>
      <c r="I114" t="inlineStr">
        <is>
          <t>MANUTENÇÃO DE VEÍCULOS/MAQUINAS</t>
        </is>
      </c>
      <c r="J114" t="n">
        <v>1800</v>
      </c>
      <c r="K114" t="n">
        <v>-1800</v>
      </c>
    </row>
    <row r="115">
      <c r="A115" t="n">
        <v>2026</v>
      </c>
      <c r="B115" t="inlineStr">
        <is>
          <t>2026-02</t>
        </is>
      </c>
      <c r="C115" t="inlineStr">
        <is>
          <t>AM-BAR</t>
        </is>
      </c>
      <c r="D115" t="inlineStr">
        <is>
          <t>HYUNDAI</t>
        </is>
      </c>
      <c r="E115" t="inlineStr">
        <is>
          <t>EHH0019</t>
        </is>
      </c>
      <c r="F115" t="inlineStr">
        <is>
          <t>EKIPA LOCACOES E SERV G&amp;S</t>
        </is>
      </c>
      <c r="G115" t="inlineStr">
        <is>
          <t>G&amp;S PRUDENTE</t>
        </is>
      </c>
      <c r="H115" t="inlineStr">
        <is>
          <t>7.1.2</t>
        </is>
      </c>
      <c r="I115" t="inlineStr">
        <is>
          <t>MANUTENÇÃO DE VEÍCULOS/MAQUINAS</t>
        </is>
      </c>
      <c r="J115" t="n">
        <v>3600</v>
      </c>
      <c r="K115" t="n">
        <v>-3600</v>
      </c>
    </row>
    <row r="116">
      <c r="A116" t="n">
        <v>2026</v>
      </c>
      <c r="B116" t="inlineStr">
        <is>
          <t>2026-02</t>
        </is>
      </c>
      <c r="C116" t="inlineStr">
        <is>
          <t>AM-BAR</t>
        </is>
      </c>
      <c r="D116" t="inlineStr">
        <is>
          <t>HYUNDAI</t>
        </is>
      </c>
      <c r="E116" t="inlineStr">
        <is>
          <t>EHH0019</t>
        </is>
      </c>
      <c r="F116" t="inlineStr">
        <is>
          <t>EKIPA LOCACOES E SERV G&amp;S</t>
        </is>
      </c>
      <c r="G116" t="inlineStr">
        <is>
          <t>G&amp;S PRUDENTE</t>
        </is>
      </c>
      <c r="H116" t="inlineStr">
        <is>
          <t>7.1.2</t>
        </is>
      </c>
      <c r="I116" t="inlineStr">
        <is>
          <t>MANUTENÇÃO DE VEÍCULOS/MAQUINAS</t>
        </is>
      </c>
      <c r="J116" t="n">
        <v>1530</v>
      </c>
      <c r="K116" t="n">
        <v>-1530</v>
      </c>
    </row>
    <row r="117">
      <c r="A117" t="n">
        <v>2026</v>
      </c>
      <c r="B117" t="inlineStr">
        <is>
          <t>2026-02</t>
        </is>
      </c>
      <c r="C117" t="inlineStr">
        <is>
          <t>AM-BAR</t>
        </is>
      </c>
      <c r="D117" t="inlineStr">
        <is>
          <t>HYUNDAI</t>
        </is>
      </c>
      <c r="E117" t="inlineStr">
        <is>
          <t>EHH0019</t>
        </is>
      </c>
      <c r="F117" t="inlineStr">
        <is>
          <t>EKIPA LOCACOES E SERV G&amp;S</t>
        </is>
      </c>
      <c r="G117" t="inlineStr">
        <is>
          <t>G&amp;S PRUDENTE</t>
        </is>
      </c>
      <c r="H117" t="inlineStr">
        <is>
          <t>7.1.2</t>
        </is>
      </c>
      <c r="I117" t="inlineStr">
        <is>
          <t>MANUTENÇÃO DE VEÍCULOS/MAQUINAS</t>
        </is>
      </c>
      <c r="J117" t="n">
        <v>490</v>
      </c>
      <c r="K117" t="n">
        <v>-490</v>
      </c>
    </row>
    <row r="118">
      <c r="A118" t="n">
        <v>2026</v>
      </c>
      <c r="B118" t="inlineStr">
        <is>
          <t>2026-02</t>
        </is>
      </c>
      <c r="C118" t="inlineStr">
        <is>
          <t>AM-BAR</t>
        </is>
      </c>
      <c r="D118" t="inlineStr">
        <is>
          <t>HYUNDAI</t>
        </is>
      </c>
      <c r="E118" t="inlineStr">
        <is>
          <t>EHH0019</t>
        </is>
      </c>
      <c r="F118" t="inlineStr">
        <is>
          <t>SELETIVA</t>
        </is>
      </c>
      <c r="G118" t="inlineStr">
        <is>
          <t>G&amp;S DOURADOS</t>
        </is>
      </c>
      <c r="H118" t="inlineStr">
        <is>
          <t>7.1.2</t>
        </is>
      </c>
      <c r="I118" t="inlineStr">
        <is>
          <t>MANUTENÇÃO DE VEÍCULOS/MAQUINAS</t>
        </is>
      </c>
      <c r="J118" t="n">
        <v>48.2</v>
      </c>
      <c r="K118" t="n">
        <v>-48.2</v>
      </c>
    </row>
    <row r="119">
      <c r="A119" t="n">
        <v>2026</v>
      </c>
      <c r="B119" t="inlineStr">
        <is>
          <t>2026-02</t>
        </is>
      </c>
      <c r="C119" t="inlineStr">
        <is>
          <t>AM-BAR</t>
        </is>
      </c>
      <c r="D119" t="inlineStr">
        <is>
          <t>HYUNDAI</t>
        </is>
      </c>
      <c r="E119" t="inlineStr">
        <is>
          <t>EHH0019</t>
        </is>
      </c>
      <c r="F119" t="inlineStr">
        <is>
          <t>EKIPA LOCACOES E SERV G&amp;S</t>
        </is>
      </c>
      <c r="G119" t="inlineStr">
        <is>
          <t>G&amp;S PRUDENTE</t>
        </is>
      </c>
      <c r="H119" t="inlineStr">
        <is>
          <t>7.1.2</t>
        </is>
      </c>
      <c r="I119" t="inlineStr">
        <is>
          <t>MANUTENÇÃO DE VEÍCULOS/MAQUINAS</t>
        </is>
      </c>
      <c r="J119" t="n">
        <v>46.18</v>
      </c>
      <c r="K119" t="n">
        <v>-46.18</v>
      </c>
    </row>
    <row r="120">
      <c r="A120" t="n">
        <v>2026</v>
      </c>
      <c r="B120" t="inlineStr">
        <is>
          <t>2026-03</t>
        </is>
      </c>
      <c r="C120" t="inlineStr">
        <is>
          <t>AM-BAR</t>
        </is>
      </c>
      <c r="D120" t="inlineStr">
        <is>
          <t>HYUNDAI</t>
        </is>
      </c>
      <c r="E120" t="inlineStr">
        <is>
          <t>EHH0019</t>
        </is>
      </c>
      <c r="F120" t="inlineStr">
        <is>
          <t>SELETIVA</t>
        </is>
      </c>
      <c r="G120" t="inlineStr">
        <is>
          <t>G&amp;S DOURADOS</t>
        </is>
      </c>
      <c r="H120" t="inlineStr">
        <is>
          <t>7.1.2</t>
        </is>
      </c>
      <c r="I120" t="inlineStr">
        <is>
          <t>MANUTENÇÃO DE VEÍCULOS/MAQUINAS</t>
        </is>
      </c>
      <c r="J120" t="n">
        <v>80</v>
      </c>
      <c r="K120" t="n">
        <v>-80</v>
      </c>
    </row>
    <row r="121">
      <c r="A121" t="n">
        <v>2026</v>
      </c>
      <c r="B121" t="inlineStr">
        <is>
          <t>2026-03</t>
        </is>
      </c>
      <c r="C121" t="inlineStr">
        <is>
          <t>AM-BAR</t>
        </is>
      </c>
      <c r="D121" t="inlineStr">
        <is>
          <t>HYUNDAI</t>
        </is>
      </c>
      <c r="E121" t="inlineStr">
        <is>
          <t>EHH0019</t>
        </is>
      </c>
      <c r="F121" t="inlineStr">
        <is>
          <t>SELETIVA</t>
        </is>
      </c>
      <c r="G121" t="inlineStr">
        <is>
          <t>G&amp;S DOURADOS</t>
        </is>
      </c>
      <c r="H121" t="inlineStr">
        <is>
          <t>7.1.2</t>
        </is>
      </c>
      <c r="I121" t="inlineStr">
        <is>
          <t>MANUTENÇÃO DE VEÍCULOS/MAQUINAS</t>
        </is>
      </c>
      <c r="J121" t="n">
        <v>340</v>
      </c>
      <c r="K121" t="n">
        <v>-340</v>
      </c>
    </row>
    <row r="122">
      <c r="A122" t="n">
        <v>2026</v>
      </c>
      <c r="B122" t="inlineStr">
        <is>
          <t>2026-03</t>
        </is>
      </c>
      <c r="C122" t="inlineStr">
        <is>
          <t>AM-BAR</t>
        </is>
      </c>
      <c r="D122" t="inlineStr">
        <is>
          <t>HYUNDAI</t>
        </is>
      </c>
      <c r="E122" t="inlineStr">
        <is>
          <t>EHH0019</t>
        </is>
      </c>
      <c r="F122" t="inlineStr">
        <is>
          <t>SELETIVA</t>
        </is>
      </c>
      <c r="G122" t="inlineStr">
        <is>
          <t>G&amp;S DOURADOS</t>
        </is>
      </c>
      <c r="H122" t="inlineStr">
        <is>
          <t>7.1.2</t>
        </is>
      </c>
      <c r="I122" t="inlineStr">
        <is>
          <t>MANUTENÇÃO DE VEÍCULOS/MAQUINAS</t>
        </is>
      </c>
      <c r="J122" t="n">
        <v>1300</v>
      </c>
      <c r="K122" t="n">
        <v>-1300</v>
      </c>
    </row>
    <row r="123">
      <c r="A123" t="n">
        <v>2026</v>
      </c>
      <c r="B123" t="inlineStr">
        <is>
          <t>2026-03</t>
        </is>
      </c>
      <c r="C123" t="inlineStr">
        <is>
          <t>AM-BAR</t>
        </is>
      </c>
      <c r="D123" t="inlineStr">
        <is>
          <t>HYUNDAI</t>
        </is>
      </c>
      <c r="E123" t="inlineStr">
        <is>
          <t>EHH0019</t>
        </is>
      </c>
      <c r="F123" t="inlineStr">
        <is>
          <t>SELETIVA</t>
        </is>
      </c>
      <c r="G123" t="inlineStr">
        <is>
          <t>G&amp;S PRUDENTE</t>
        </is>
      </c>
      <c r="H123" t="inlineStr">
        <is>
          <t>7.1.2</t>
        </is>
      </c>
      <c r="I123" t="inlineStr">
        <is>
          <t>MANUTENÇÃO DE VEÍCULOS/MAQUINAS</t>
        </is>
      </c>
      <c r="J123" t="n">
        <v>444.63</v>
      </c>
      <c r="K123" t="n">
        <v>-444.63</v>
      </c>
    </row>
    <row r="124">
      <c r="A124" t="n">
        <v>2026</v>
      </c>
      <c r="B124" t="inlineStr">
        <is>
          <t>2026-03</t>
        </is>
      </c>
      <c r="C124" t="inlineStr">
        <is>
          <t>AM-BAR</t>
        </is>
      </c>
      <c r="D124" t="inlineStr">
        <is>
          <t>HYUNDAI</t>
        </is>
      </c>
      <c r="E124" t="inlineStr">
        <is>
          <t>EHH0019</t>
        </is>
      </c>
      <c r="F124" t="inlineStr">
        <is>
          <t>SELETIVA</t>
        </is>
      </c>
      <c r="G124" t="inlineStr">
        <is>
          <t>G&amp;S DOURADOS</t>
        </is>
      </c>
      <c r="H124" t="inlineStr">
        <is>
          <t>7.1.2</t>
        </is>
      </c>
      <c r="I124" t="inlineStr">
        <is>
          <t>MANUTENÇÃO DE VEÍCULOS/MAQUINAS</t>
        </is>
      </c>
      <c r="J124" t="n">
        <v>147</v>
      </c>
      <c r="K124" t="n">
        <v>-147</v>
      </c>
    </row>
    <row r="125" hidden="1" s="154">
      <c r="A125" t="n">
        <v>2025</v>
      </c>
      <c r="B125" t="inlineStr">
        <is>
          <t>2025-01</t>
        </is>
      </c>
      <c r="C125" t="inlineStr">
        <is>
          <t>Campo Grande</t>
        </is>
      </c>
      <c r="D125" t="inlineStr">
        <is>
          <t>HYUNDAI</t>
        </is>
      </c>
      <c r="E125" t="inlineStr">
        <is>
          <t>EHH0038</t>
        </is>
      </c>
      <c r="F125" t="inlineStr">
        <is>
          <t>SELETIVA</t>
        </is>
      </c>
      <c r="G125" t="inlineStr">
        <is>
          <t>G&amp;G MATRIZ</t>
        </is>
      </c>
      <c r="H125" t="inlineStr">
        <is>
          <t>7.1.22</t>
        </is>
      </c>
      <c r="I125" t="inlineStr">
        <is>
          <t>COMBUSTÍVEL - DIESEL (INTERNO)</t>
        </is>
      </c>
      <c r="J125" t="n">
        <v>1712.17</v>
      </c>
      <c r="K125" t="n">
        <v>1712.17</v>
      </c>
    </row>
    <row r="126" hidden="1" s="154">
      <c r="A126" t="n">
        <v>2025</v>
      </c>
      <c r="B126" t="inlineStr">
        <is>
          <t>2025-01</t>
        </is>
      </c>
      <c r="C126" t="inlineStr">
        <is>
          <t>Campo Grande</t>
        </is>
      </c>
      <c r="D126" t="inlineStr">
        <is>
          <t>HYUNDAI</t>
        </is>
      </c>
      <c r="E126" t="inlineStr">
        <is>
          <t>EHH0038</t>
        </is>
      </c>
      <c r="F126" t="inlineStr">
        <is>
          <t>SELETIVA</t>
        </is>
      </c>
      <c r="G126" t="inlineStr">
        <is>
          <t>G&amp;G MATRIZ</t>
        </is>
      </c>
      <c r="H126" t="inlineStr">
        <is>
          <t>7.1.22</t>
        </is>
      </c>
      <c r="I126" t="inlineStr">
        <is>
          <t>COMBUSTÍVEL - DIESEL (INTERNO)</t>
        </is>
      </c>
      <c r="J126" t="n">
        <v>1662.22</v>
      </c>
      <c r="K126" t="n">
        <v>1662.22</v>
      </c>
    </row>
    <row r="127" hidden="1" s="154">
      <c r="A127" t="n">
        <v>2025</v>
      </c>
      <c r="B127" t="inlineStr">
        <is>
          <t>2025-01</t>
        </is>
      </c>
      <c r="C127" t="inlineStr">
        <is>
          <t>Campo Grande</t>
        </is>
      </c>
      <c r="D127" t="inlineStr">
        <is>
          <t>HYUNDAI</t>
        </is>
      </c>
      <c r="E127" t="inlineStr">
        <is>
          <t>EHH0038</t>
        </is>
      </c>
      <c r="F127" t="inlineStr">
        <is>
          <t>SELETIVA</t>
        </is>
      </c>
      <c r="G127" t="inlineStr">
        <is>
          <t>G&amp;G MATRIZ</t>
        </is>
      </c>
      <c r="H127" t="inlineStr">
        <is>
          <t>7.1.22</t>
        </is>
      </c>
      <c r="I127" t="inlineStr">
        <is>
          <t>COMBUSTÍVEL - DIESEL (INTERNO)</t>
        </is>
      </c>
      <c r="J127" t="n">
        <v>1492.95</v>
      </c>
      <c r="K127" t="n">
        <v>1492.95</v>
      </c>
    </row>
    <row r="128" hidden="1" s="154">
      <c r="A128" t="n">
        <v>2025</v>
      </c>
      <c r="B128" t="inlineStr">
        <is>
          <t>2025-01</t>
        </is>
      </c>
      <c r="C128" t="inlineStr">
        <is>
          <t>Campo Grande</t>
        </is>
      </c>
      <c r="D128" t="inlineStr">
        <is>
          <t>HYUNDAI</t>
        </is>
      </c>
      <c r="E128" t="inlineStr">
        <is>
          <t>EHH0038</t>
        </is>
      </c>
      <c r="F128" t="inlineStr">
        <is>
          <t>SELETIVA</t>
        </is>
      </c>
      <c r="G128" t="inlineStr">
        <is>
          <t>G&amp;G - MATO GROSSO DO SUL</t>
        </is>
      </c>
      <c r="H128" t="inlineStr">
        <is>
          <t>7.1.4</t>
        </is>
      </c>
      <c r="I128" t="inlineStr">
        <is>
          <t>COMBUSTÍVEL - DIESEL (POSTO)</t>
        </is>
      </c>
      <c r="J128" t="n">
        <v>405</v>
      </c>
      <c r="K128" t="n">
        <v>405</v>
      </c>
    </row>
    <row r="129" hidden="1" s="154">
      <c r="A129" t="n">
        <v>2025</v>
      </c>
      <c r="B129" t="inlineStr">
        <is>
          <t>2025-01</t>
        </is>
      </c>
      <c r="C129" t="inlineStr">
        <is>
          <t>Campo Grande</t>
        </is>
      </c>
      <c r="D129" t="inlineStr">
        <is>
          <t>HYUNDAI</t>
        </is>
      </c>
      <c r="E129" t="inlineStr">
        <is>
          <t>EHH0038</t>
        </is>
      </c>
      <c r="F129" t="inlineStr">
        <is>
          <t>SELETIVA</t>
        </is>
      </c>
      <c r="G129" t="inlineStr">
        <is>
          <t>G&amp;G MATRIZ</t>
        </is>
      </c>
      <c r="H129" t="inlineStr">
        <is>
          <t>7.1.22</t>
        </is>
      </c>
      <c r="I129" t="inlineStr">
        <is>
          <t>COMBUSTÍVEL - DIESEL (INTERNO)</t>
        </is>
      </c>
      <c r="J129" t="n">
        <v>1667.78</v>
      </c>
      <c r="K129" t="n">
        <v>1667.78</v>
      </c>
    </row>
    <row r="130" hidden="1" s="154">
      <c r="A130" t="n">
        <v>2025</v>
      </c>
      <c r="B130" t="inlineStr">
        <is>
          <t>2025-01</t>
        </is>
      </c>
      <c r="C130" t="inlineStr">
        <is>
          <t>Campo Grande</t>
        </is>
      </c>
      <c r="D130" t="inlineStr">
        <is>
          <t>HYUNDAI</t>
        </is>
      </c>
      <c r="E130" t="inlineStr">
        <is>
          <t>EHH0038</t>
        </is>
      </c>
      <c r="F130" t="inlineStr">
        <is>
          <t>SELETIVA</t>
        </is>
      </c>
      <c r="G130" t="inlineStr">
        <is>
          <t>G&amp;G MATRIZ</t>
        </is>
      </c>
      <c r="H130" t="inlineStr">
        <is>
          <t>7.1.22</t>
        </is>
      </c>
      <c r="I130" t="inlineStr">
        <is>
          <t>COMBUSTÍVEL - DIESEL (INTERNO)</t>
        </is>
      </c>
      <c r="J130" t="n">
        <v>1617.83</v>
      </c>
      <c r="K130" t="n">
        <v>1617.83</v>
      </c>
    </row>
    <row r="131" hidden="1" s="154">
      <c r="A131" t="n">
        <v>2025</v>
      </c>
      <c r="B131" t="inlineStr">
        <is>
          <t>2025-01</t>
        </is>
      </c>
      <c r="C131" t="inlineStr">
        <is>
          <t>Campo Grande</t>
        </is>
      </c>
      <c r="D131" t="inlineStr">
        <is>
          <t>HYUNDAI</t>
        </is>
      </c>
      <c r="E131" t="inlineStr">
        <is>
          <t>EHH0038</t>
        </is>
      </c>
      <c r="F131" t="inlineStr">
        <is>
          <t>SELETIVA</t>
        </is>
      </c>
      <c r="G131" t="inlineStr">
        <is>
          <t>G&amp;G MATRIZ</t>
        </is>
      </c>
      <c r="H131" t="inlineStr">
        <is>
          <t>7.1.22</t>
        </is>
      </c>
      <c r="I131" t="inlineStr">
        <is>
          <t>COMBUSTÍVEL - DIESEL (INTERNO)</t>
        </is>
      </c>
      <c r="J131" t="n">
        <v>1776</v>
      </c>
      <c r="K131" t="n">
        <v>1776</v>
      </c>
    </row>
    <row r="132" hidden="1" s="154">
      <c r="A132" t="n">
        <v>2025</v>
      </c>
      <c r="B132" t="inlineStr">
        <is>
          <t>2025-01</t>
        </is>
      </c>
      <c r="C132" t="inlineStr">
        <is>
          <t>Campo Grande</t>
        </is>
      </c>
      <c r="D132" t="inlineStr">
        <is>
          <t>HYUNDAI</t>
        </is>
      </c>
      <c r="E132" t="inlineStr">
        <is>
          <t>EHH0038</t>
        </is>
      </c>
      <c r="F132" t="inlineStr">
        <is>
          <t>SELETIVA</t>
        </is>
      </c>
      <c r="G132" t="inlineStr">
        <is>
          <t>G&amp;G - MATO GROSSO DO SUL</t>
        </is>
      </c>
      <c r="H132" t="inlineStr">
        <is>
          <t>7.1.2</t>
        </is>
      </c>
      <c r="I132" t="inlineStr">
        <is>
          <t>MANUTENÇÃO DE VEÍCULOS/MAQUINAS</t>
        </is>
      </c>
      <c r="J132" t="n">
        <v>128.9</v>
      </c>
      <c r="K132" t="n">
        <v>128.9</v>
      </c>
    </row>
    <row r="133" hidden="1" s="154">
      <c r="A133" t="n">
        <v>2025</v>
      </c>
      <c r="B133" t="inlineStr">
        <is>
          <t>2025-01</t>
        </is>
      </c>
      <c r="C133" t="inlineStr">
        <is>
          <t>Campo Grande</t>
        </is>
      </c>
      <c r="D133" t="inlineStr">
        <is>
          <t>HYUNDAI</t>
        </is>
      </c>
      <c r="E133" t="inlineStr">
        <is>
          <t>EHH0038</t>
        </is>
      </c>
      <c r="F133" t="inlineStr">
        <is>
          <t>SELETIVA</t>
        </is>
      </c>
      <c r="G133" t="inlineStr">
        <is>
          <t>G&amp;G - MATO GROSSO DO SUL</t>
        </is>
      </c>
      <c r="H133" t="inlineStr">
        <is>
          <t>7.1.1</t>
        </is>
      </c>
      <c r="I133" t="inlineStr">
        <is>
          <t>PEÇAS DE MANUTENÇÃO</t>
        </is>
      </c>
      <c r="J133" t="n">
        <v>654.66</v>
      </c>
      <c r="K133" t="n">
        <v>654.66</v>
      </c>
    </row>
    <row r="134" hidden="1" s="154">
      <c r="A134" t="n">
        <v>2025</v>
      </c>
      <c r="B134" t="inlineStr">
        <is>
          <t>2025-01</t>
        </is>
      </c>
      <c r="C134" t="inlineStr">
        <is>
          <t>Campo Grande</t>
        </is>
      </c>
      <c r="D134" t="inlineStr">
        <is>
          <t>HYUNDAI</t>
        </is>
      </c>
      <c r="E134" t="inlineStr">
        <is>
          <t>EHH0038</t>
        </is>
      </c>
      <c r="F134" t="inlineStr">
        <is>
          <t>SELETIVA</t>
        </is>
      </c>
      <c r="G134" t="inlineStr">
        <is>
          <t>G&amp;G MATRIZ</t>
        </is>
      </c>
      <c r="H134" t="inlineStr">
        <is>
          <t>7.1.1</t>
        </is>
      </c>
      <c r="I134" t="inlineStr">
        <is>
          <t>PEÇAS DE MANUTENÇÃO</t>
        </is>
      </c>
      <c r="J134" t="n">
        <v>1860</v>
      </c>
      <c r="K134" t="n">
        <v>1860</v>
      </c>
    </row>
    <row r="135" hidden="1" s="154">
      <c r="A135" t="n">
        <v>2025</v>
      </c>
      <c r="B135" t="inlineStr">
        <is>
          <t>2025-02</t>
        </is>
      </c>
      <c r="C135" t="inlineStr">
        <is>
          <t>Campo Grande</t>
        </is>
      </c>
      <c r="D135" t="inlineStr">
        <is>
          <t>HYUNDAI</t>
        </is>
      </c>
      <c r="E135" t="inlineStr">
        <is>
          <t>EHH0038</t>
        </is>
      </c>
      <c r="F135" t="inlineStr">
        <is>
          <t>SELETIVA</t>
        </is>
      </c>
      <c r="G135" t="inlineStr">
        <is>
          <t>G&amp;G MATRIZ</t>
        </is>
      </c>
      <c r="H135" t="inlineStr">
        <is>
          <t>7.1.22</t>
        </is>
      </c>
      <c r="I135" t="inlineStr">
        <is>
          <t>COMBUSTÍVEL - DIESEL (INTERNO)</t>
        </is>
      </c>
      <c r="J135" t="n">
        <v>1853.7</v>
      </c>
      <c r="K135" t="n">
        <v>1853.7</v>
      </c>
    </row>
    <row r="136" hidden="1" s="154">
      <c r="A136" t="n">
        <v>2025</v>
      </c>
      <c r="B136" t="inlineStr">
        <is>
          <t>2025-02</t>
        </is>
      </c>
      <c r="C136" t="inlineStr">
        <is>
          <t>Campo Grande</t>
        </is>
      </c>
      <c r="D136" t="inlineStr">
        <is>
          <t>HYUNDAI</t>
        </is>
      </c>
      <c r="E136" t="inlineStr">
        <is>
          <t>EHH0038</t>
        </is>
      </c>
      <c r="F136" t="inlineStr">
        <is>
          <t>SELETIVA</t>
        </is>
      </c>
      <c r="G136" t="inlineStr">
        <is>
          <t>G&amp;G MATRIZ</t>
        </is>
      </c>
      <c r="H136" t="inlineStr">
        <is>
          <t>7.1.22</t>
        </is>
      </c>
      <c r="I136" t="inlineStr">
        <is>
          <t>COMBUSTÍVEL - DIESEL (INTERNO)</t>
        </is>
      </c>
      <c r="J136" t="n">
        <v>2008.12</v>
      </c>
      <c r="K136" t="n">
        <v>2008.12</v>
      </c>
    </row>
    <row r="137" hidden="1" s="154">
      <c r="A137" t="n">
        <v>2025</v>
      </c>
      <c r="B137" t="inlineStr">
        <is>
          <t>2025-02</t>
        </is>
      </c>
      <c r="C137" t="inlineStr">
        <is>
          <t>Campo Grande</t>
        </is>
      </c>
      <c r="D137" t="inlineStr">
        <is>
          <t>HYUNDAI</t>
        </is>
      </c>
      <c r="E137" t="inlineStr">
        <is>
          <t>EHH0038</t>
        </is>
      </c>
      <c r="F137" t="inlineStr">
        <is>
          <t>SELETIVA</t>
        </is>
      </c>
      <c r="G137" t="inlineStr">
        <is>
          <t>G&amp;G MATRIZ</t>
        </is>
      </c>
      <c r="H137" t="inlineStr">
        <is>
          <t>7.1.22</t>
        </is>
      </c>
      <c r="I137" t="inlineStr">
        <is>
          <t>COMBUSTÍVEL - DIESEL (INTERNO)</t>
        </is>
      </c>
      <c r="J137" t="n">
        <v>1892.1</v>
      </c>
      <c r="K137" t="n">
        <v>1892.1</v>
      </c>
    </row>
    <row r="138" hidden="1" s="154">
      <c r="A138" t="n">
        <v>2025</v>
      </c>
      <c r="B138" t="inlineStr">
        <is>
          <t>2025-02</t>
        </is>
      </c>
      <c r="C138" t="inlineStr">
        <is>
          <t>Campo Grande</t>
        </is>
      </c>
      <c r="D138" t="inlineStr">
        <is>
          <t>HYUNDAI</t>
        </is>
      </c>
      <c r="E138" t="inlineStr">
        <is>
          <t>EHH0038</t>
        </is>
      </c>
      <c r="F138" t="inlineStr">
        <is>
          <t>SELETIVA</t>
        </is>
      </c>
      <c r="G138" t="inlineStr">
        <is>
          <t>G&amp;G MATRIZ</t>
        </is>
      </c>
      <c r="H138" t="inlineStr">
        <is>
          <t>7.1.22</t>
        </is>
      </c>
      <c r="I138" t="inlineStr">
        <is>
          <t>COMBUSTÍVEL - DIESEL (INTERNO)</t>
        </is>
      </c>
      <c r="J138" t="n">
        <v>883.58</v>
      </c>
      <c r="K138" t="n">
        <v>883.58</v>
      </c>
    </row>
    <row r="139" hidden="1" s="154">
      <c r="A139" t="n">
        <v>2025</v>
      </c>
      <c r="B139" t="inlineStr">
        <is>
          <t>2025-02</t>
        </is>
      </c>
      <c r="C139" t="inlineStr">
        <is>
          <t>Campo Grande</t>
        </is>
      </c>
      <c r="D139" t="inlineStr">
        <is>
          <t>HYUNDAI</t>
        </is>
      </c>
      <c r="E139" t="inlineStr">
        <is>
          <t>EHH0038</t>
        </is>
      </c>
      <c r="F139" t="inlineStr">
        <is>
          <t>SELETIVA</t>
        </is>
      </c>
      <c r="G139" t="inlineStr">
        <is>
          <t>G&amp;G MATRIZ</t>
        </is>
      </c>
      <c r="H139" t="inlineStr">
        <is>
          <t>7.1.22</t>
        </is>
      </c>
      <c r="I139" t="inlineStr">
        <is>
          <t>COMBUSTÍVEL - DIESEL (INTERNO)</t>
        </is>
      </c>
      <c r="J139" t="n">
        <v>1948.62</v>
      </c>
      <c r="K139" t="n">
        <v>1948.62</v>
      </c>
    </row>
    <row r="140" hidden="1" s="154">
      <c r="A140" t="n">
        <v>2025</v>
      </c>
      <c r="B140" t="inlineStr">
        <is>
          <t>2025-02</t>
        </is>
      </c>
      <c r="C140" t="inlineStr">
        <is>
          <t>Campo Grande</t>
        </is>
      </c>
      <c r="D140" t="inlineStr">
        <is>
          <t>HYUNDAI</t>
        </is>
      </c>
      <c r="E140" t="inlineStr">
        <is>
          <t>EHH0038</t>
        </is>
      </c>
      <c r="F140" t="inlineStr">
        <is>
          <t>SELETIVA</t>
        </is>
      </c>
      <c r="G140" t="inlineStr">
        <is>
          <t>G&amp;G MATRIZ</t>
        </is>
      </c>
      <c r="H140" t="inlineStr">
        <is>
          <t>7.1.1</t>
        </is>
      </c>
      <c r="I140" t="inlineStr">
        <is>
          <t>PEÇAS DE MANUTENÇÃO</t>
        </is>
      </c>
      <c r="J140" t="n">
        <v>1085</v>
      </c>
      <c r="K140" t="n">
        <v>1085</v>
      </c>
    </row>
    <row r="141" hidden="1" s="154">
      <c r="A141" t="n">
        <v>2025</v>
      </c>
      <c r="B141" t="inlineStr">
        <is>
          <t>2025-02</t>
        </is>
      </c>
      <c r="C141" t="inlineStr">
        <is>
          <t>Campo Grande</t>
        </is>
      </c>
      <c r="D141" t="inlineStr">
        <is>
          <t>HYUNDAI</t>
        </is>
      </c>
      <c r="E141" t="inlineStr">
        <is>
          <t>EHH0038</t>
        </is>
      </c>
      <c r="F141" t="inlineStr">
        <is>
          <t>SELETIVA</t>
        </is>
      </c>
      <c r="G141" t="inlineStr">
        <is>
          <t>G&amp;G - MATO GROSSO DO SUL</t>
        </is>
      </c>
      <c r="H141" t="inlineStr">
        <is>
          <t>7.1.1</t>
        </is>
      </c>
      <c r="I141" t="inlineStr">
        <is>
          <t>PEÇAS DE MANUTENÇÃO</t>
        </is>
      </c>
      <c r="J141" t="n">
        <v>319.8</v>
      </c>
      <c r="K141" t="n">
        <v>319.8</v>
      </c>
    </row>
    <row r="142" hidden="1" s="154">
      <c r="A142" t="n">
        <v>2025</v>
      </c>
      <c r="B142" t="inlineStr">
        <is>
          <t>2025-03</t>
        </is>
      </c>
      <c r="C142" t="inlineStr">
        <is>
          <t>Campo Grande</t>
        </is>
      </c>
      <c r="D142" t="inlineStr">
        <is>
          <t>HYUNDAI</t>
        </is>
      </c>
      <c r="E142" t="inlineStr">
        <is>
          <t>EHH0038</t>
        </is>
      </c>
      <c r="F142" t="inlineStr">
        <is>
          <t>SELETIVA</t>
        </is>
      </c>
      <c r="G142" t="inlineStr">
        <is>
          <t>G&amp;G MATRIZ</t>
        </is>
      </c>
      <c r="H142" t="inlineStr">
        <is>
          <t>7.1.22</t>
        </is>
      </c>
      <c r="I142" t="inlineStr">
        <is>
          <t>COMBUSTÍVEL - DIESEL (INTERNO)</t>
        </is>
      </c>
      <c r="J142" t="n">
        <v>1906.97</v>
      </c>
      <c r="K142" t="n">
        <v>1906.97</v>
      </c>
    </row>
    <row r="143" hidden="1" s="154">
      <c r="A143" t="n">
        <v>2025</v>
      </c>
      <c r="B143" t="inlineStr">
        <is>
          <t>2025-03</t>
        </is>
      </c>
      <c r="C143" t="inlineStr">
        <is>
          <t>Campo Grande</t>
        </is>
      </c>
      <c r="D143" t="inlineStr">
        <is>
          <t>HYUNDAI</t>
        </is>
      </c>
      <c r="E143" t="inlineStr">
        <is>
          <t>EHH0038</t>
        </is>
      </c>
      <c r="F143" t="inlineStr">
        <is>
          <t>SELETIVA</t>
        </is>
      </c>
      <c r="G143" t="inlineStr">
        <is>
          <t>G&amp;G - MATO GROSSO DO SUL</t>
        </is>
      </c>
      <c r="H143" t="inlineStr">
        <is>
          <t>7.1.4</t>
        </is>
      </c>
      <c r="I143" t="inlineStr">
        <is>
          <t>COMBUSTÍVEL - DIESEL (POSTO)</t>
        </is>
      </c>
      <c r="J143" t="n">
        <v>797.8</v>
      </c>
      <c r="K143" t="n">
        <v>797.8</v>
      </c>
    </row>
    <row r="144" hidden="1" s="154">
      <c r="A144" t="n">
        <v>2025</v>
      </c>
      <c r="B144" t="inlineStr">
        <is>
          <t>2025-03</t>
        </is>
      </c>
      <c r="C144" t="inlineStr">
        <is>
          <t>Campo Grande</t>
        </is>
      </c>
      <c r="D144" t="inlineStr">
        <is>
          <t>HYUNDAI</t>
        </is>
      </c>
      <c r="E144" t="inlineStr">
        <is>
          <t>EHH0038</t>
        </is>
      </c>
      <c r="F144" t="inlineStr">
        <is>
          <t>SELETIVA</t>
        </is>
      </c>
      <c r="G144" t="inlineStr">
        <is>
          <t>G&amp;G MATRIZ</t>
        </is>
      </c>
      <c r="H144" t="inlineStr">
        <is>
          <t>7.1.22</t>
        </is>
      </c>
      <c r="I144" t="inlineStr">
        <is>
          <t>COMBUSTÍVEL - DIESEL (INTERNO)</t>
        </is>
      </c>
      <c r="J144" t="n">
        <v>1889.55</v>
      </c>
      <c r="K144" t="n">
        <v>1889.55</v>
      </c>
    </row>
    <row r="145" hidden="1" s="154">
      <c r="A145" t="n">
        <v>2025</v>
      </c>
      <c r="B145" t="inlineStr">
        <is>
          <t>2025-03</t>
        </is>
      </c>
      <c r="C145" t="inlineStr">
        <is>
          <t>Campo Grande</t>
        </is>
      </c>
      <c r="D145" t="inlineStr">
        <is>
          <t>HYUNDAI</t>
        </is>
      </c>
      <c r="E145" t="inlineStr">
        <is>
          <t>EHH0038</t>
        </is>
      </c>
      <c r="F145" t="inlineStr">
        <is>
          <t>SELETIVA</t>
        </is>
      </c>
      <c r="G145" t="inlineStr">
        <is>
          <t>G&amp;G MATRIZ</t>
        </is>
      </c>
      <c r="H145" t="inlineStr">
        <is>
          <t>7.1.22</t>
        </is>
      </c>
      <c r="I145" t="inlineStr">
        <is>
          <t>COMBUSTÍVEL - DIESEL (INTERNO)</t>
        </is>
      </c>
      <c r="J145" t="n">
        <v>1892.47</v>
      </c>
      <c r="K145" t="n">
        <v>1892.47</v>
      </c>
    </row>
    <row r="146" hidden="1" s="154">
      <c r="A146" t="n">
        <v>2025</v>
      </c>
      <c r="B146" t="inlineStr">
        <is>
          <t>2025-03</t>
        </is>
      </c>
      <c r="C146" t="inlineStr">
        <is>
          <t>Campo Grande</t>
        </is>
      </c>
      <c r="D146" t="inlineStr">
        <is>
          <t>HYUNDAI</t>
        </is>
      </c>
      <c r="E146" t="inlineStr">
        <is>
          <t>EHH0038</t>
        </is>
      </c>
      <c r="F146" t="inlineStr">
        <is>
          <t>SELETIVA</t>
        </is>
      </c>
      <c r="G146" t="inlineStr">
        <is>
          <t>G&amp;G MATRIZ</t>
        </is>
      </c>
      <c r="H146" t="inlineStr">
        <is>
          <t>7.1.1</t>
        </is>
      </c>
      <c r="I146" t="inlineStr">
        <is>
          <t>PEÇAS DE MANUTENÇÃO</t>
        </is>
      </c>
      <c r="J146" t="n">
        <v>13500</v>
      </c>
      <c r="K146" t="n">
        <v>13500</v>
      </c>
    </row>
    <row r="147" hidden="1" s="154">
      <c r="A147" t="n">
        <v>2025</v>
      </c>
      <c r="B147" t="inlineStr">
        <is>
          <t>2025-04</t>
        </is>
      </c>
      <c r="C147" t="inlineStr">
        <is>
          <t>Campo Grande</t>
        </is>
      </c>
      <c r="D147" t="inlineStr">
        <is>
          <t>HYUNDAI</t>
        </is>
      </c>
      <c r="E147" t="inlineStr">
        <is>
          <t>EHH0038</t>
        </is>
      </c>
      <c r="F147" t="inlineStr">
        <is>
          <t>SELETIVA</t>
        </is>
      </c>
      <c r="G147" t="inlineStr">
        <is>
          <t>G&amp;G - MATO GROSSO DO SUL</t>
        </is>
      </c>
      <c r="H147" t="inlineStr">
        <is>
          <t>7.1.1</t>
        </is>
      </c>
      <c r="I147" t="inlineStr">
        <is>
          <t>PEÇAS DE MANUTENÇÃO</t>
        </is>
      </c>
      <c r="J147" t="n">
        <v>172.5</v>
      </c>
      <c r="K147" t="n">
        <v>172.5</v>
      </c>
    </row>
    <row r="148" hidden="1" s="154">
      <c r="A148" t="n">
        <v>2025</v>
      </c>
      <c r="B148" t="inlineStr">
        <is>
          <t>2025-04</t>
        </is>
      </c>
      <c r="C148" t="inlineStr">
        <is>
          <t>Campo Grande</t>
        </is>
      </c>
      <c r="D148" t="inlineStr">
        <is>
          <t>HYUNDAI</t>
        </is>
      </c>
      <c r="E148" t="inlineStr">
        <is>
          <t>EHH0038</t>
        </is>
      </c>
      <c r="F148" t="inlineStr">
        <is>
          <t>SELETIVA</t>
        </is>
      </c>
      <c r="G148" t="inlineStr">
        <is>
          <t>G&amp;G MATRIZ</t>
        </is>
      </c>
      <c r="H148" t="inlineStr">
        <is>
          <t>7.1.1</t>
        </is>
      </c>
      <c r="I148" t="inlineStr">
        <is>
          <t>PEÇAS DE MANUTENÇÃO</t>
        </is>
      </c>
      <c r="J148" t="n">
        <v>1860</v>
      </c>
      <c r="K148" t="n">
        <v>1860</v>
      </c>
    </row>
    <row r="149" hidden="1" s="154">
      <c r="A149" t="n">
        <v>2025</v>
      </c>
      <c r="B149" t="inlineStr">
        <is>
          <t>2025-04</t>
        </is>
      </c>
      <c r="C149" t="inlineStr">
        <is>
          <t>Campo Grande</t>
        </is>
      </c>
      <c r="D149" t="inlineStr">
        <is>
          <t>HYUNDAI</t>
        </is>
      </c>
      <c r="E149" t="inlineStr">
        <is>
          <t>EHH0038</t>
        </is>
      </c>
      <c r="F149" t="inlineStr">
        <is>
          <t>SELETIVA</t>
        </is>
      </c>
      <c r="G149" t="inlineStr">
        <is>
          <t>G&amp;G - MATO GROSSO DO SUL</t>
        </is>
      </c>
      <c r="H149" t="inlineStr">
        <is>
          <t>7.1.4</t>
        </is>
      </c>
      <c r="I149" t="inlineStr">
        <is>
          <t>COMBUSTÍVEL - DIESEL (POSTO)</t>
        </is>
      </c>
      <c r="J149" t="n">
        <v>1664.8</v>
      </c>
      <c r="K149" t="n">
        <v>1664.8</v>
      </c>
    </row>
    <row r="150" hidden="1" s="154">
      <c r="A150" t="n">
        <v>2025</v>
      </c>
      <c r="B150" t="inlineStr">
        <is>
          <t>2025-04</t>
        </is>
      </c>
      <c r="C150" t="inlineStr">
        <is>
          <t>Campo Grande</t>
        </is>
      </c>
      <c r="D150" t="inlineStr">
        <is>
          <t>HYUNDAI</t>
        </is>
      </c>
      <c r="E150" t="inlineStr">
        <is>
          <t>EHH0038</t>
        </is>
      </c>
      <c r="F150" t="inlineStr">
        <is>
          <t>SELETIVA</t>
        </is>
      </c>
      <c r="G150" t="inlineStr">
        <is>
          <t>G&amp;G MATRIZ</t>
        </is>
      </c>
      <c r="H150" t="inlineStr">
        <is>
          <t>7.1.22</t>
        </is>
      </c>
      <c r="I150" t="inlineStr">
        <is>
          <t>COMBUSTÍVEL - DIESEL (INTERNO)</t>
        </is>
      </c>
      <c r="J150" t="n">
        <v>1643.85</v>
      </c>
      <c r="K150" t="n">
        <v>1643.85</v>
      </c>
    </row>
    <row r="151" hidden="1" s="154">
      <c r="A151" t="n">
        <v>2025</v>
      </c>
      <c r="B151" t="inlineStr">
        <is>
          <t>2025-04</t>
        </is>
      </c>
      <c r="C151" t="inlineStr">
        <is>
          <t>Campo Grande</t>
        </is>
      </c>
      <c r="D151" t="inlineStr">
        <is>
          <t>HYUNDAI</t>
        </is>
      </c>
      <c r="E151" t="inlineStr">
        <is>
          <t>EHH0038</t>
        </is>
      </c>
      <c r="F151" t="inlineStr">
        <is>
          <t>SELETIVA</t>
        </is>
      </c>
      <c r="G151" t="inlineStr">
        <is>
          <t>G&amp;G MATRIZ</t>
        </is>
      </c>
      <c r="H151" t="inlineStr">
        <is>
          <t>7.1.22</t>
        </is>
      </c>
      <c r="I151" t="inlineStr">
        <is>
          <t>COMBUSTÍVEL - DIESEL (INTERNO)</t>
        </is>
      </c>
      <c r="J151" t="n">
        <v>1889.55</v>
      </c>
      <c r="K151" t="n">
        <v>1889.55</v>
      </c>
    </row>
    <row r="152" hidden="1" s="154">
      <c r="A152" t="n">
        <v>2025</v>
      </c>
      <c r="B152" t="inlineStr">
        <is>
          <t>2025-04</t>
        </is>
      </c>
      <c r="C152" t="inlineStr">
        <is>
          <t>Campo Grande</t>
        </is>
      </c>
      <c r="D152" t="inlineStr">
        <is>
          <t>HYUNDAI</t>
        </is>
      </c>
      <c r="E152" t="inlineStr">
        <is>
          <t>EHH0038</t>
        </is>
      </c>
      <c r="F152" t="inlineStr">
        <is>
          <t>SELETIVA</t>
        </is>
      </c>
      <c r="G152" t="inlineStr">
        <is>
          <t>G&amp;G MATRIZ</t>
        </is>
      </c>
      <c r="H152" t="inlineStr">
        <is>
          <t>7.1.1</t>
        </is>
      </c>
      <c r="I152" t="inlineStr">
        <is>
          <t>PEÇAS DE MANUTENÇÃO</t>
        </is>
      </c>
      <c r="J152" t="n">
        <v>1000</v>
      </c>
      <c r="K152" t="n">
        <v>1000</v>
      </c>
    </row>
    <row r="153" hidden="1" s="154">
      <c r="A153" t="n">
        <v>2025</v>
      </c>
      <c r="B153" t="inlineStr">
        <is>
          <t>2025-04</t>
        </is>
      </c>
      <c r="C153" t="inlineStr">
        <is>
          <t>Campo Grande</t>
        </is>
      </c>
      <c r="D153" t="inlineStr">
        <is>
          <t>HYUNDAI</t>
        </is>
      </c>
      <c r="E153" t="inlineStr">
        <is>
          <t>EHH0038</t>
        </is>
      </c>
      <c r="F153" t="inlineStr">
        <is>
          <t>SELETIVA</t>
        </is>
      </c>
      <c r="G153" t="inlineStr">
        <is>
          <t>G&amp;G MATRIZ</t>
        </is>
      </c>
      <c r="H153" t="inlineStr">
        <is>
          <t>7.1.1</t>
        </is>
      </c>
      <c r="I153" t="inlineStr">
        <is>
          <t>PEÇAS DE MANUTENÇÃO</t>
        </is>
      </c>
      <c r="J153" t="n">
        <v>1643.1</v>
      </c>
      <c r="K153" t="n">
        <v>1643.1</v>
      </c>
    </row>
    <row r="154" hidden="1" s="154">
      <c r="A154" t="n">
        <v>2025</v>
      </c>
      <c r="B154" t="inlineStr">
        <is>
          <t>2025-04</t>
        </is>
      </c>
      <c r="C154" t="inlineStr">
        <is>
          <t>Campo Grande</t>
        </is>
      </c>
      <c r="D154" t="inlineStr">
        <is>
          <t>HYUNDAI</t>
        </is>
      </c>
      <c r="E154" t="inlineStr">
        <is>
          <t>EHH0038</t>
        </is>
      </c>
      <c r="F154" t="inlineStr">
        <is>
          <t>SELETIVA</t>
        </is>
      </c>
      <c r="G154" t="inlineStr">
        <is>
          <t>G&amp;G MATRIZ</t>
        </is>
      </c>
      <c r="H154" t="inlineStr">
        <is>
          <t>7.1.22</t>
        </is>
      </c>
      <c r="I154" t="inlineStr">
        <is>
          <t>COMBUSTÍVEL - DIESEL (INTERNO)</t>
        </is>
      </c>
      <c r="J154" t="n">
        <v>1742.33</v>
      </c>
      <c r="K154" t="n">
        <v>1742.33</v>
      </c>
    </row>
    <row r="155" hidden="1" s="154">
      <c r="A155" t="n">
        <v>2025</v>
      </c>
      <c r="B155" t="inlineStr">
        <is>
          <t>2025-04</t>
        </is>
      </c>
      <c r="C155" t="inlineStr">
        <is>
          <t>Campo Grande</t>
        </is>
      </c>
      <c r="D155" t="inlineStr">
        <is>
          <t>HYUNDAI</t>
        </is>
      </c>
      <c r="E155" t="inlineStr">
        <is>
          <t>EHH0038</t>
        </is>
      </c>
      <c r="F155" t="inlineStr">
        <is>
          <t>SELETIVA</t>
        </is>
      </c>
      <c r="G155" t="inlineStr">
        <is>
          <t>G&amp;G MATRIZ</t>
        </is>
      </c>
      <c r="H155" t="inlineStr">
        <is>
          <t>7.1.22</t>
        </is>
      </c>
      <c r="I155" t="inlineStr">
        <is>
          <t>COMBUSTÍVEL - DIESEL (INTERNO)</t>
        </is>
      </c>
      <c r="J155" t="n">
        <v>1855.9</v>
      </c>
      <c r="K155" t="n">
        <v>1855.9</v>
      </c>
    </row>
    <row r="156" hidden="1" s="154">
      <c r="A156" t="n">
        <v>2025</v>
      </c>
      <c r="B156" t="inlineStr">
        <is>
          <t>2025-04</t>
        </is>
      </c>
      <c r="C156" t="inlineStr">
        <is>
          <t>Campo Grande</t>
        </is>
      </c>
      <c r="D156" t="inlineStr">
        <is>
          <t>HYUNDAI</t>
        </is>
      </c>
      <c r="E156" t="inlineStr">
        <is>
          <t>EHH0038</t>
        </is>
      </c>
      <c r="F156" t="inlineStr">
        <is>
          <t>SELETIVA</t>
        </is>
      </c>
      <c r="G156" t="inlineStr">
        <is>
          <t>G&amp;G MATRIZ</t>
        </is>
      </c>
      <c r="H156" t="inlineStr">
        <is>
          <t>7.1.22</t>
        </is>
      </c>
      <c r="I156" t="inlineStr">
        <is>
          <t>COMBUSTÍVEL - DIESEL (INTERNO)</t>
        </is>
      </c>
      <c r="J156" t="n">
        <v>1836.51</v>
      </c>
      <c r="K156" t="n">
        <v>1836.51</v>
      </c>
    </row>
    <row r="157" hidden="1" s="154">
      <c r="A157" t="n">
        <v>2025</v>
      </c>
      <c r="B157" t="inlineStr">
        <is>
          <t>2025-04</t>
        </is>
      </c>
      <c r="C157" t="inlineStr">
        <is>
          <t>Campo Grande</t>
        </is>
      </c>
      <c r="D157" t="inlineStr">
        <is>
          <t>HYUNDAI</t>
        </is>
      </c>
      <c r="E157" t="inlineStr">
        <is>
          <t>EHH0038</t>
        </is>
      </c>
      <c r="F157" t="inlineStr">
        <is>
          <t>SELETIVA</t>
        </is>
      </c>
      <c r="G157" t="inlineStr">
        <is>
          <t>G&amp;G MATRIZ</t>
        </is>
      </c>
      <c r="H157" t="inlineStr">
        <is>
          <t>7.1.18</t>
        </is>
      </c>
      <c r="I157" t="inlineStr">
        <is>
          <t>FRETES E CARRETOS</t>
        </is>
      </c>
      <c r="J157" t="n">
        <v>127.17</v>
      </c>
      <c r="K157" t="n">
        <v>127.17</v>
      </c>
    </row>
    <row r="158" hidden="1" s="154">
      <c r="A158" t="n">
        <v>2025</v>
      </c>
      <c r="B158" t="inlineStr">
        <is>
          <t>2025-04</t>
        </is>
      </c>
      <c r="C158" t="inlineStr">
        <is>
          <t>Campo Grande</t>
        </is>
      </c>
      <c r="D158" t="inlineStr">
        <is>
          <t>HYUNDAI</t>
        </is>
      </c>
      <c r="E158" t="inlineStr">
        <is>
          <t>EHH0038</t>
        </is>
      </c>
      <c r="F158" t="inlineStr">
        <is>
          <t>SELETIVA</t>
        </is>
      </c>
      <c r="G158" t="inlineStr">
        <is>
          <t>G&amp;G MATRIZ</t>
        </is>
      </c>
      <c r="H158" t="inlineStr">
        <is>
          <t>7.1.22</t>
        </is>
      </c>
      <c r="I158" t="inlineStr">
        <is>
          <t>COMBUSTÍVEL - DIESEL (INTERNO)</t>
        </is>
      </c>
      <c r="J158" t="n">
        <v>1855.9</v>
      </c>
      <c r="K158" t="n">
        <v>1855.9</v>
      </c>
    </row>
    <row r="159" hidden="1" s="154">
      <c r="A159" t="n">
        <v>2025</v>
      </c>
      <c r="B159" t="inlineStr">
        <is>
          <t>2025-04</t>
        </is>
      </c>
      <c r="C159" t="inlineStr">
        <is>
          <t>Campo Grande</t>
        </is>
      </c>
      <c r="D159" t="inlineStr">
        <is>
          <t>HYUNDAI</t>
        </is>
      </c>
      <c r="E159" t="inlineStr">
        <is>
          <t>EHH0038</t>
        </is>
      </c>
      <c r="F159" t="inlineStr">
        <is>
          <t>SELETIVA</t>
        </is>
      </c>
      <c r="G159" t="inlineStr">
        <is>
          <t>G&amp;G - MATO GROSSO DO SUL</t>
        </is>
      </c>
      <c r="H159" t="inlineStr">
        <is>
          <t>7.1.2</t>
        </is>
      </c>
      <c r="I159" t="inlineStr">
        <is>
          <t>MANUTENÇÃO DE VEÍCULOS/MAQUINAS</t>
        </is>
      </c>
      <c r="J159" t="n">
        <v>133.5</v>
      </c>
      <c r="K159" t="n">
        <v>133.5</v>
      </c>
    </row>
    <row r="160" hidden="1" s="154">
      <c r="A160" t="n">
        <v>2025</v>
      </c>
      <c r="B160" t="inlineStr">
        <is>
          <t>2025-04</t>
        </is>
      </c>
      <c r="C160" t="inlineStr">
        <is>
          <t>Campo Grande</t>
        </is>
      </c>
      <c r="D160" t="inlineStr">
        <is>
          <t>HYUNDAI</t>
        </is>
      </c>
      <c r="E160" t="inlineStr">
        <is>
          <t>EHH0038</t>
        </is>
      </c>
      <c r="F160" t="inlineStr">
        <is>
          <t>SELETIVA</t>
        </is>
      </c>
      <c r="G160" t="inlineStr">
        <is>
          <t>G&amp;G - MATO GROSSO DO SUL</t>
        </is>
      </c>
      <c r="H160" t="inlineStr">
        <is>
          <t>7.1.1</t>
        </is>
      </c>
      <c r="I160" t="inlineStr">
        <is>
          <t>PEÇAS DE MANUTENÇÃO</t>
        </is>
      </c>
      <c r="J160" t="n">
        <v>420</v>
      </c>
      <c r="K160" t="n">
        <v>420</v>
      </c>
    </row>
    <row r="161" hidden="1" s="154">
      <c r="A161" t="n">
        <v>2025</v>
      </c>
      <c r="B161" t="inlineStr">
        <is>
          <t>2025-04</t>
        </is>
      </c>
      <c r="C161" t="inlineStr">
        <is>
          <t>Campo Grande</t>
        </is>
      </c>
      <c r="D161" t="inlineStr">
        <is>
          <t>HYUNDAI</t>
        </is>
      </c>
      <c r="E161" t="inlineStr">
        <is>
          <t>EHH0038</t>
        </is>
      </c>
      <c r="F161" t="inlineStr">
        <is>
          <t>SELETIVA</t>
        </is>
      </c>
      <c r="G161" t="inlineStr">
        <is>
          <t>G&amp;G MATRIZ</t>
        </is>
      </c>
      <c r="H161" t="inlineStr">
        <is>
          <t>7.1.22</t>
        </is>
      </c>
      <c r="I161" t="inlineStr">
        <is>
          <t>COMBUSTÍVEL - DIESEL (INTERNO)</t>
        </is>
      </c>
      <c r="J161" t="n">
        <v>1822.66</v>
      </c>
      <c r="K161" t="n">
        <v>1822.66</v>
      </c>
    </row>
    <row r="162" hidden="1" s="154">
      <c r="A162" t="n">
        <v>2025</v>
      </c>
      <c r="B162" t="inlineStr">
        <is>
          <t>2025-05</t>
        </is>
      </c>
      <c r="C162" t="inlineStr">
        <is>
          <t>Campo Grande</t>
        </is>
      </c>
      <c r="D162" t="inlineStr">
        <is>
          <t>HYUNDAI</t>
        </is>
      </c>
      <c r="E162" t="inlineStr">
        <is>
          <t>EHH0038</t>
        </is>
      </c>
      <c r="F162" t="inlineStr">
        <is>
          <t>SELETIVA</t>
        </is>
      </c>
      <c r="G162" t="inlineStr">
        <is>
          <t>G&amp;G MATRIZ</t>
        </is>
      </c>
      <c r="H162" t="inlineStr">
        <is>
          <t>7.1.22</t>
        </is>
      </c>
      <c r="I162" t="inlineStr">
        <is>
          <t>COMBUSTÍVEL - DIESEL (INTERNO)</t>
        </is>
      </c>
      <c r="J162" t="n">
        <v>1878.06</v>
      </c>
      <c r="K162" t="n">
        <v>1878.06</v>
      </c>
    </row>
    <row r="163" hidden="1" s="154">
      <c r="A163" t="n">
        <v>2025</v>
      </c>
      <c r="B163" t="inlineStr">
        <is>
          <t>2025-05</t>
        </is>
      </c>
      <c r="C163" t="inlineStr">
        <is>
          <t>Campo Grande</t>
        </is>
      </c>
      <c r="D163" t="inlineStr">
        <is>
          <t>HYUNDAI</t>
        </is>
      </c>
      <c r="E163" t="inlineStr">
        <is>
          <t>EHH0038</t>
        </is>
      </c>
      <c r="F163" t="inlineStr">
        <is>
          <t>SELETIVA</t>
        </is>
      </c>
      <c r="G163" t="inlineStr">
        <is>
          <t>G&amp;G MATRIZ</t>
        </is>
      </c>
      <c r="H163" t="inlineStr">
        <is>
          <t>7.1.22</t>
        </is>
      </c>
      <c r="I163" t="inlineStr">
        <is>
          <t>COMBUSTÍVEL - DIESEL (INTERNO)</t>
        </is>
      </c>
      <c r="J163" t="n">
        <v>1645.65</v>
      </c>
      <c r="K163" t="n">
        <v>1645.65</v>
      </c>
    </row>
    <row r="164" hidden="1" s="154">
      <c r="A164" t="n">
        <v>2025</v>
      </c>
      <c r="B164" t="inlineStr">
        <is>
          <t>2025-05</t>
        </is>
      </c>
      <c r="C164" t="inlineStr">
        <is>
          <t>Campo Grande</t>
        </is>
      </c>
      <c r="D164" t="inlineStr">
        <is>
          <t>HYUNDAI</t>
        </is>
      </c>
      <c r="E164" t="inlineStr">
        <is>
          <t>EHH0038</t>
        </is>
      </c>
      <c r="F164" t="inlineStr">
        <is>
          <t>SELETIVA</t>
        </is>
      </c>
      <c r="G164" t="inlineStr">
        <is>
          <t>G&amp;G MATRIZ</t>
        </is>
      </c>
      <c r="H164" t="inlineStr">
        <is>
          <t>7.1.22</t>
        </is>
      </c>
      <c r="I164" t="inlineStr">
        <is>
          <t>COMBUSTÍVEL - DIESEL (INTERNO)</t>
        </is>
      </c>
      <c r="J164" t="n">
        <v>1534.35</v>
      </c>
      <c r="K164" t="n">
        <v>1534.35</v>
      </c>
    </row>
    <row r="165" hidden="1" s="154">
      <c r="A165" t="n">
        <v>2025</v>
      </c>
      <c r="B165" t="inlineStr">
        <is>
          <t>2025-05</t>
        </is>
      </c>
      <c r="C165" t="inlineStr">
        <is>
          <t>Campo Grande</t>
        </is>
      </c>
      <c r="D165" t="inlineStr">
        <is>
          <t>HYUNDAI</t>
        </is>
      </c>
      <c r="E165" t="inlineStr">
        <is>
          <t>EHH0038</t>
        </is>
      </c>
      <c r="F165" t="inlineStr">
        <is>
          <t>SELETIVA</t>
        </is>
      </c>
      <c r="G165" t="inlineStr">
        <is>
          <t>G&amp;G MATRIZ</t>
        </is>
      </c>
      <c r="H165" t="inlineStr">
        <is>
          <t>7.1.22</t>
        </is>
      </c>
      <c r="I165" t="inlineStr">
        <is>
          <t>COMBUSTÍVEL - DIESEL (INTERNO)</t>
        </is>
      </c>
      <c r="J165" t="n">
        <v>1144.05</v>
      </c>
      <c r="K165" t="n">
        <v>1144.05</v>
      </c>
    </row>
    <row r="166" hidden="1" s="154">
      <c r="A166" t="n">
        <v>2025</v>
      </c>
      <c r="B166" t="inlineStr">
        <is>
          <t>2025-05</t>
        </is>
      </c>
      <c r="C166" t="inlineStr">
        <is>
          <t>Campo Grande</t>
        </is>
      </c>
      <c r="D166" t="inlineStr">
        <is>
          <t>HYUNDAI</t>
        </is>
      </c>
      <c r="E166" t="inlineStr">
        <is>
          <t>EHH0038</t>
        </is>
      </c>
      <c r="F166" t="inlineStr">
        <is>
          <t>SELETIVA</t>
        </is>
      </c>
      <c r="G166" t="inlineStr">
        <is>
          <t>G&amp;G MATRIZ</t>
        </is>
      </c>
      <c r="H166" t="inlineStr">
        <is>
          <t>7.1.22</t>
        </is>
      </c>
      <c r="I166" t="inlineStr">
        <is>
          <t>COMBUSTÍVEL - DIESEL (INTERNO)</t>
        </is>
      </c>
      <c r="J166" t="n">
        <v>988.88</v>
      </c>
      <c r="K166" t="n">
        <v>988.88</v>
      </c>
    </row>
    <row r="167" hidden="1" s="154">
      <c r="A167" t="n">
        <v>2025</v>
      </c>
      <c r="B167" t="inlineStr">
        <is>
          <t>2025-06</t>
        </is>
      </c>
      <c r="C167" t="inlineStr">
        <is>
          <t>Campo Grande</t>
        </is>
      </c>
      <c r="D167" t="inlineStr">
        <is>
          <t>HYUNDAI</t>
        </is>
      </c>
      <c r="E167" t="inlineStr">
        <is>
          <t>EHH0038</t>
        </is>
      </c>
      <c r="F167" t="inlineStr">
        <is>
          <t>SELETIVA</t>
        </is>
      </c>
      <c r="G167" t="inlineStr">
        <is>
          <t>G&amp;S DOURADOS</t>
        </is>
      </c>
      <c r="H167" t="inlineStr">
        <is>
          <t>7.1.2</t>
        </is>
      </c>
      <c r="I167" t="inlineStr">
        <is>
          <t>MANUTENÇÃO DE VEÍCULOS/MAQUINAS</t>
        </is>
      </c>
      <c r="J167" t="n">
        <v>490.75</v>
      </c>
      <c r="K167" t="n">
        <v>-490.75</v>
      </c>
    </row>
    <row r="168" hidden="1" s="154">
      <c r="A168" t="n">
        <v>2025</v>
      </c>
      <c r="B168" t="inlineStr">
        <is>
          <t>2025-06</t>
        </is>
      </c>
      <c r="C168" t="inlineStr">
        <is>
          <t>Campo Grande</t>
        </is>
      </c>
      <c r="D168" t="inlineStr">
        <is>
          <t>HYUNDAI</t>
        </is>
      </c>
      <c r="E168" t="inlineStr">
        <is>
          <t>EHH0038</t>
        </is>
      </c>
      <c r="F168" t="inlineStr">
        <is>
          <t>SELETIVA</t>
        </is>
      </c>
      <c r="G168" t="inlineStr">
        <is>
          <t>G&amp;S DOURADOS</t>
        </is>
      </c>
      <c r="H168" t="inlineStr">
        <is>
          <t>7.1.2</t>
        </is>
      </c>
      <c r="I168" t="inlineStr">
        <is>
          <t>MANUTENÇÃO DE VEÍCULOS/MAQUINAS</t>
        </is>
      </c>
      <c r="J168" t="n">
        <v>3445</v>
      </c>
      <c r="K168" t="n">
        <v>-3445</v>
      </c>
    </row>
    <row r="169" hidden="1" s="154">
      <c r="A169" t="n">
        <v>2025</v>
      </c>
      <c r="B169" t="inlineStr">
        <is>
          <t>2025-06</t>
        </is>
      </c>
      <c r="C169" t="inlineStr">
        <is>
          <t>Campo Grande</t>
        </is>
      </c>
      <c r="D169" t="inlineStr">
        <is>
          <t>HYUNDAI</t>
        </is>
      </c>
      <c r="E169" t="inlineStr">
        <is>
          <t>EHH0038</t>
        </is>
      </c>
      <c r="F169" t="inlineStr">
        <is>
          <t>SELETIVA</t>
        </is>
      </c>
      <c r="G169" t="inlineStr">
        <is>
          <t>G&amp;S DOURADOS</t>
        </is>
      </c>
      <c r="H169" t="inlineStr">
        <is>
          <t>7.1.2</t>
        </is>
      </c>
      <c r="I169" t="inlineStr">
        <is>
          <t>MANUTENÇÃO DE VEÍCULOS/MAQUINAS</t>
        </is>
      </c>
      <c r="J169" t="n">
        <v>166.99</v>
      </c>
      <c r="K169" t="n">
        <v>-166.99</v>
      </c>
    </row>
    <row r="170" hidden="1" s="154">
      <c r="A170" t="n">
        <v>2025</v>
      </c>
      <c r="B170" t="inlineStr">
        <is>
          <t>2025-06</t>
        </is>
      </c>
      <c r="C170" t="inlineStr">
        <is>
          <t>Campo Grande</t>
        </is>
      </c>
      <c r="D170" t="inlineStr">
        <is>
          <t>HYUNDAI</t>
        </is>
      </c>
      <c r="E170" t="inlineStr">
        <is>
          <t>EHH0038</t>
        </is>
      </c>
      <c r="F170" t="inlineStr">
        <is>
          <t>SELETIVA</t>
        </is>
      </c>
      <c r="G170" t="inlineStr">
        <is>
          <t>CTA</t>
        </is>
      </c>
      <c r="H170" t="inlineStr">
        <is>
          <t>7.1.22</t>
        </is>
      </c>
      <c r="I170" t="inlineStr">
        <is>
          <t>COMBUSTÍVEL - DIESEL (INTERNO)</t>
        </is>
      </c>
      <c r="J170" t="n">
        <v>9912.48</v>
      </c>
      <c r="K170" t="n">
        <v>-9912.48</v>
      </c>
    </row>
    <row r="171" hidden="1" s="154">
      <c r="A171" t="n">
        <v>2025</v>
      </c>
      <c r="B171" t="inlineStr">
        <is>
          <t>2025-07</t>
        </is>
      </c>
      <c r="C171" t="inlineStr">
        <is>
          <t>Campo Grande</t>
        </is>
      </c>
      <c r="D171" t="inlineStr">
        <is>
          <t>HYUNDAI</t>
        </is>
      </c>
      <c r="E171" t="inlineStr">
        <is>
          <t>EHH0038</t>
        </is>
      </c>
      <c r="F171" t="inlineStr">
        <is>
          <t>SELETIVA</t>
        </is>
      </c>
      <c r="G171" t="inlineStr">
        <is>
          <t>G&amp;S DOURADOS</t>
        </is>
      </c>
      <c r="H171" t="inlineStr">
        <is>
          <t>7.1.2</t>
        </is>
      </c>
      <c r="I171" t="inlineStr">
        <is>
          <t>MANUTENÇÃO DE VEÍCULOS/MAQUINAS</t>
        </is>
      </c>
      <c r="J171" t="n">
        <v>1890</v>
      </c>
      <c r="K171" t="n">
        <v>-1890</v>
      </c>
    </row>
    <row r="172" hidden="1" s="154">
      <c r="A172" t="n">
        <v>2025</v>
      </c>
      <c r="B172" t="inlineStr">
        <is>
          <t>2025-07</t>
        </is>
      </c>
      <c r="C172" t="inlineStr">
        <is>
          <t>Campo Grande</t>
        </is>
      </c>
      <c r="D172" t="inlineStr">
        <is>
          <t>HYUNDAI</t>
        </is>
      </c>
      <c r="E172" t="inlineStr">
        <is>
          <t>EHH0038</t>
        </is>
      </c>
      <c r="F172" t="inlineStr">
        <is>
          <t>SELETIVA</t>
        </is>
      </c>
      <c r="G172" t="inlineStr">
        <is>
          <t>G&amp;S DOURADOS</t>
        </is>
      </c>
      <c r="H172" t="inlineStr">
        <is>
          <t>7.1.2</t>
        </is>
      </c>
      <c r="I172" t="inlineStr">
        <is>
          <t>MANUTENÇÃO DE VEÍCULOS/MAQUINAS</t>
        </is>
      </c>
      <c r="J172" t="n">
        <v>1410.2</v>
      </c>
      <c r="K172" t="n">
        <v>-1410.2</v>
      </c>
    </row>
    <row r="173" hidden="1" s="154">
      <c r="A173" t="n">
        <v>2025</v>
      </c>
      <c r="B173" t="inlineStr">
        <is>
          <t>2025-07</t>
        </is>
      </c>
      <c r="C173" t="inlineStr">
        <is>
          <t>Campo Grande</t>
        </is>
      </c>
      <c r="D173" t="inlineStr">
        <is>
          <t>HYUNDAI</t>
        </is>
      </c>
      <c r="E173" t="inlineStr">
        <is>
          <t>EHH0038</t>
        </is>
      </c>
      <c r="F173" t="inlineStr">
        <is>
          <t>SELETIVA</t>
        </is>
      </c>
      <c r="G173" t="inlineStr">
        <is>
          <t>G&amp;S DOURADOS</t>
        </is>
      </c>
      <c r="H173" t="inlineStr">
        <is>
          <t>7.1.2</t>
        </is>
      </c>
      <c r="I173" t="inlineStr">
        <is>
          <t>MANUTENÇÃO DE VEÍCULOS/MAQUINAS</t>
        </is>
      </c>
      <c r="J173" t="n">
        <v>384.2</v>
      </c>
      <c r="K173" t="n">
        <v>-384.2</v>
      </c>
    </row>
    <row r="174" hidden="1" s="154">
      <c r="A174" t="n">
        <v>2025</v>
      </c>
      <c r="B174" t="inlineStr">
        <is>
          <t>2025-07</t>
        </is>
      </c>
      <c r="C174" t="inlineStr">
        <is>
          <t>Campo Grande</t>
        </is>
      </c>
      <c r="D174" t="inlineStr">
        <is>
          <t>HYUNDAI</t>
        </is>
      </c>
      <c r="E174" t="inlineStr">
        <is>
          <t>EHH0038</t>
        </is>
      </c>
      <c r="F174" t="inlineStr">
        <is>
          <t>SELETIVA</t>
        </is>
      </c>
      <c r="G174" t="inlineStr">
        <is>
          <t>G&amp;S DOURADOS</t>
        </is>
      </c>
      <c r="H174" t="inlineStr">
        <is>
          <t>7.1.2</t>
        </is>
      </c>
      <c r="I174" t="inlineStr">
        <is>
          <t>MANUTENÇÃO DE VEÍCULOS/MAQUINAS</t>
        </is>
      </c>
      <c r="J174" t="n">
        <v>370</v>
      </c>
      <c r="K174" t="n">
        <v>-370</v>
      </c>
    </row>
    <row r="175" hidden="1" s="154">
      <c r="A175" t="n">
        <v>2025</v>
      </c>
      <c r="B175" t="inlineStr">
        <is>
          <t>2025-07</t>
        </is>
      </c>
      <c r="C175" t="inlineStr">
        <is>
          <t>Campo Grande</t>
        </is>
      </c>
      <c r="D175" t="inlineStr">
        <is>
          <t>HYUNDAI</t>
        </is>
      </c>
      <c r="E175" t="inlineStr">
        <is>
          <t>EHH0038</t>
        </is>
      </c>
      <c r="F175" t="inlineStr">
        <is>
          <t>SELETIVA</t>
        </is>
      </c>
      <c r="G175" t="inlineStr">
        <is>
          <t>CTA</t>
        </is>
      </c>
      <c r="H175" t="inlineStr">
        <is>
          <t>7.1.22</t>
        </is>
      </c>
      <c r="I175" t="inlineStr">
        <is>
          <t>COMBUSTÍVEL - DIESEL (INTERNO)</t>
        </is>
      </c>
      <c r="J175" t="n">
        <v>12306.03</v>
      </c>
      <c r="K175" t="n">
        <v>-12306.03</v>
      </c>
    </row>
    <row r="176" hidden="1" s="154">
      <c r="A176" t="n">
        <v>2025</v>
      </c>
      <c r="B176" t="inlineStr">
        <is>
          <t>2025-08</t>
        </is>
      </c>
      <c r="C176" t="inlineStr">
        <is>
          <t>Campo Grande</t>
        </is>
      </c>
      <c r="D176" t="inlineStr">
        <is>
          <t>HYUNDAI</t>
        </is>
      </c>
      <c r="E176" t="inlineStr">
        <is>
          <t>EHH0038</t>
        </is>
      </c>
      <c r="F176" t="inlineStr">
        <is>
          <t>SELETIVA</t>
        </is>
      </c>
      <c r="G176" t="inlineStr">
        <is>
          <t>CTA</t>
        </is>
      </c>
      <c r="H176" t="inlineStr">
        <is>
          <t>7.1.22</t>
        </is>
      </c>
      <c r="I176" t="inlineStr">
        <is>
          <t>COMBUSTÍVEL - DIESEL (INTERNO)</t>
        </is>
      </c>
      <c r="J176" t="n">
        <v>13992.78</v>
      </c>
      <c r="K176" t="n">
        <v>-13992.78</v>
      </c>
    </row>
    <row r="177" hidden="1" s="154">
      <c r="A177" t="n">
        <v>2025</v>
      </c>
      <c r="B177" t="inlineStr">
        <is>
          <t>2025-08</t>
        </is>
      </c>
      <c r="C177" t="inlineStr">
        <is>
          <t>Campo Grande</t>
        </is>
      </c>
      <c r="D177" t="inlineStr">
        <is>
          <t>HYUNDAI</t>
        </is>
      </c>
      <c r="E177" t="inlineStr">
        <is>
          <t>EHH0038</t>
        </is>
      </c>
      <c r="F177" t="inlineStr">
        <is>
          <t>SELETIVA</t>
        </is>
      </c>
      <c r="G177" t="inlineStr">
        <is>
          <t>G&amp;S PRUDENTE</t>
        </is>
      </c>
      <c r="H177" t="inlineStr">
        <is>
          <t>7.1.2</t>
        </is>
      </c>
      <c r="I177" t="inlineStr">
        <is>
          <t>MANUTENÇÃO DE VEÍCULOS/MAQUINAS</t>
        </is>
      </c>
      <c r="J177" t="n">
        <v>3500</v>
      </c>
      <c r="K177" t="n">
        <v>-3500</v>
      </c>
    </row>
    <row r="178" hidden="1" s="154">
      <c r="A178" t="n">
        <v>2025</v>
      </c>
      <c r="B178" t="inlineStr">
        <is>
          <t>2025-08</t>
        </is>
      </c>
      <c r="C178" t="inlineStr">
        <is>
          <t>Campo Grande</t>
        </is>
      </c>
      <c r="D178" t="inlineStr">
        <is>
          <t>HYUNDAI</t>
        </is>
      </c>
      <c r="E178" t="inlineStr">
        <is>
          <t>EHH0038</t>
        </is>
      </c>
      <c r="F178" t="inlineStr">
        <is>
          <t>SELETIVA</t>
        </is>
      </c>
      <c r="G178" t="inlineStr">
        <is>
          <t>G&amp;S PRUDENTE</t>
        </is>
      </c>
      <c r="H178" t="inlineStr">
        <is>
          <t>7.1.18</t>
        </is>
      </c>
      <c r="I178" t="inlineStr">
        <is>
          <t>FRETES E CARRETOS</t>
        </is>
      </c>
      <c r="J178" t="n">
        <v>100</v>
      </c>
      <c r="K178" t="n">
        <v>-100</v>
      </c>
    </row>
    <row r="179" hidden="1" s="154">
      <c r="A179" t="n">
        <v>2025</v>
      </c>
      <c r="B179" t="inlineStr">
        <is>
          <t>2025-08</t>
        </is>
      </c>
      <c r="C179" t="inlineStr">
        <is>
          <t>Campo Grande</t>
        </is>
      </c>
      <c r="D179" t="inlineStr">
        <is>
          <t>HYUNDAI</t>
        </is>
      </c>
      <c r="E179" t="inlineStr">
        <is>
          <t>EHH0038</t>
        </is>
      </c>
      <c r="F179" t="inlineStr">
        <is>
          <t>SELETIVA</t>
        </is>
      </c>
      <c r="G179" t="inlineStr">
        <is>
          <t>G&amp;S DOURADOS</t>
        </is>
      </c>
      <c r="H179" t="inlineStr">
        <is>
          <t>7.1.2</t>
        </is>
      </c>
      <c r="I179" t="inlineStr">
        <is>
          <t>MANUTENÇÃO DE VEÍCULOS/MAQUINAS</t>
        </is>
      </c>
      <c r="J179" t="n">
        <v>300</v>
      </c>
      <c r="K179" t="n">
        <v>-300</v>
      </c>
    </row>
    <row r="180" hidden="1" s="154">
      <c r="A180" t="n">
        <v>2025</v>
      </c>
      <c r="B180" t="inlineStr">
        <is>
          <t>2025-09</t>
        </is>
      </c>
      <c r="C180" t="inlineStr">
        <is>
          <t>Campo Grande</t>
        </is>
      </c>
      <c r="D180" t="inlineStr">
        <is>
          <t>HYUNDAI</t>
        </is>
      </c>
      <c r="E180" t="inlineStr">
        <is>
          <t>EHH0038</t>
        </is>
      </c>
      <c r="F180" t="inlineStr">
        <is>
          <t>SELETIVA</t>
        </is>
      </c>
      <c r="G180" t="inlineStr">
        <is>
          <t>G&amp;S DOURADOS</t>
        </is>
      </c>
      <c r="H180" t="inlineStr">
        <is>
          <t>7.1.2</t>
        </is>
      </c>
      <c r="I180" t="inlineStr">
        <is>
          <t>MANUTENÇÃO DE VEÍCULOS/MAQUINAS</t>
        </is>
      </c>
      <c r="J180" t="n">
        <v>51.45</v>
      </c>
      <c r="K180" t="n">
        <v>-51.45</v>
      </c>
    </row>
    <row r="181" hidden="1" s="154">
      <c r="A181" t="n">
        <v>2025</v>
      </c>
      <c r="B181" t="inlineStr">
        <is>
          <t>2025-09</t>
        </is>
      </c>
      <c r="C181" t="inlineStr">
        <is>
          <t>Campo Grande</t>
        </is>
      </c>
      <c r="D181" t="inlineStr">
        <is>
          <t>HYUNDAI</t>
        </is>
      </c>
      <c r="E181" t="inlineStr">
        <is>
          <t>EHH0038</t>
        </is>
      </c>
      <c r="F181" t="inlineStr">
        <is>
          <t>SELETIVA</t>
        </is>
      </c>
      <c r="G181" t="inlineStr">
        <is>
          <t>G&amp;S PRUDENTE</t>
        </is>
      </c>
      <c r="H181" t="inlineStr">
        <is>
          <t>7.1.2</t>
        </is>
      </c>
      <c r="I181" t="inlineStr">
        <is>
          <t>MANUTENÇÃO DE VEÍCULOS/MAQUINAS</t>
        </is>
      </c>
      <c r="J181" t="n">
        <v>2874.15</v>
      </c>
      <c r="K181" t="n">
        <v>-2874.15</v>
      </c>
    </row>
    <row r="182" hidden="1" s="154">
      <c r="A182" t="n">
        <v>2025</v>
      </c>
      <c r="B182" t="inlineStr">
        <is>
          <t>2025-09</t>
        </is>
      </c>
      <c r="C182" t="inlineStr">
        <is>
          <t>Campo Grande</t>
        </is>
      </c>
      <c r="D182" t="inlineStr">
        <is>
          <t>HYUNDAI</t>
        </is>
      </c>
      <c r="E182" t="inlineStr">
        <is>
          <t>EHH0038</t>
        </is>
      </c>
      <c r="F182" t="inlineStr">
        <is>
          <t>SELETIVA</t>
        </is>
      </c>
      <c r="G182" t="inlineStr">
        <is>
          <t>G&amp;S PRUDENTE</t>
        </is>
      </c>
      <c r="H182" t="inlineStr">
        <is>
          <t>7.1.2</t>
        </is>
      </c>
      <c r="I182" t="inlineStr">
        <is>
          <t>MANUTENÇÃO DE VEÍCULOS/MAQUINAS</t>
        </is>
      </c>
      <c r="J182" t="n">
        <v>1204.91</v>
      </c>
      <c r="K182" t="n">
        <v>-1204.91</v>
      </c>
    </row>
    <row r="183" hidden="1" s="154">
      <c r="A183" t="n">
        <v>2025</v>
      </c>
      <c r="B183" t="inlineStr">
        <is>
          <t>2025-09</t>
        </is>
      </c>
      <c r="C183" t="inlineStr">
        <is>
          <t>Campo Grande</t>
        </is>
      </c>
      <c r="D183" t="inlineStr">
        <is>
          <t>HYUNDAI</t>
        </is>
      </c>
      <c r="E183" t="inlineStr">
        <is>
          <t>EHH0038</t>
        </is>
      </c>
      <c r="F183" t="inlineStr">
        <is>
          <t>SELETIVA</t>
        </is>
      </c>
      <c r="G183" t="inlineStr">
        <is>
          <t>G&amp;S PRUDENTE</t>
        </is>
      </c>
      <c r="H183" t="inlineStr">
        <is>
          <t>7.1.2</t>
        </is>
      </c>
      <c r="I183" t="inlineStr">
        <is>
          <t>MANUTENÇÃO DE VEÍCULOS/MAQUINAS</t>
        </is>
      </c>
      <c r="J183" t="n">
        <v>190</v>
      </c>
      <c r="K183" t="n">
        <v>-190</v>
      </c>
    </row>
    <row r="184" hidden="1" s="154">
      <c r="A184" t="n">
        <v>2025</v>
      </c>
      <c r="B184" t="inlineStr">
        <is>
          <t>2025-09</t>
        </is>
      </c>
      <c r="C184" t="inlineStr">
        <is>
          <t>Campo Grande</t>
        </is>
      </c>
      <c r="D184" t="inlineStr">
        <is>
          <t>HYUNDAI</t>
        </is>
      </c>
      <c r="E184" t="inlineStr">
        <is>
          <t>EHH0038</t>
        </is>
      </c>
      <c r="F184" t="inlineStr">
        <is>
          <t>SELETIVA</t>
        </is>
      </c>
      <c r="G184" t="inlineStr">
        <is>
          <t>G&amp;S DOURADOS</t>
        </is>
      </c>
      <c r="H184" t="inlineStr">
        <is>
          <t>7.1.2</t>
        </is>
      </c>
      <c r="I184" t="inlineStr">
        <is>
          <t>MANUTENÇÃO DE VEÍCULOS/MAQUINAS</t>
        </is>
      </c>
      <c r="J184" t="n">
        <v>292</v>
      </c>
      <c r="K184" t="n">
        <v>-292</v>
      </c>
    </row>
    <row r="185" hidden="1" s="154">
      <c r="A185" t="n">
        <v>2025</v>
      </c>
      <c r="B185" t="inlineStr">
        <is>
          <t>2025-09</t>
        </is>
      </c>
      <c r="C185" t="inlineStr">
        <is>
          <t>Campo Grande</t>
        </is>
      </c>
      <c r="D185" t="inlineStr">
        <is>
          <t>HYUNDAI</t>
        </is>
      </c>
      <c r="E185" t="inlineStr">
        <is>
          <t>EHH0038</t>
        </is>
      </c>
      <c r="F185" t="inlineStr">
        <is>
          <t>SELETIVA</t>
        </is>
      </c>
      <c r="G185" t="inlineStr">
        <is>
          <t>G&amp;S DOURADOS</t>
        </is>
      </c>
      <c r="H185" t="inlineStr">
        <is>
          <t>7.1.2</t>
        </is>
      </c>
      <c r="I185" t="inlineStr">
        <is>
          <t>MANUTENÇÃO DE VEÍCULOS/MAQUINAS</t>
        </is>
      </c>
      <c r="J185" t="n">
        <v>1735</v>
      </c>
      <c r="K185" t="n">
        <v>-1735</v>
      </c>
    </row>
    <row r="186" hidden="1" s="154">
      <c r="A186" t="n">
        <v>2025</v>
      </c>
      <c r="B186" t="inlineStr">
        <is>
          <t>2025-09</t>
        </is>
      </c>
      <c r="C186" t="inlineStr">
        <is>
          <t>Campo Grande</t>
        </is>
      </c>
      <c r="D186" t="inlineStr">
        <is>
          <t>HYUNDAI</t>
        </is>
      </c>
      <c r="E186" t="inlineStr">
        <is>
          <t>EHH0038</t>
        </is>
      </c>
      <c r="F186" t="inlineStr">
        <is>
          <t>SELETIVA</t>
        </is>
      </c>
      <c r="G186" t="inlineStr">
        <is>
          <t>G&amp;S DOURADOS</t>
        </is>
      </c>
      <c r="H186" t="inlineStr">
        <is>
          <t>7.1.1</t>
        </is>
      </c>
      <c r="I186" t="inlineStr">
        <is>
          <t>PEÇAS DE MANUTENÇÃO</t>
        </is>
      </c>
      <c r="J186" t="n">
        <v>152</v>
      </c>
      <c r="K186" t="n">
        <v>-152</v>
      </c>
    </row>
    <row r="187" hidden="1" s="154">
      <c r="A187" t="n">
        <v>2025</v>
      </c>
      <c r="B187" t="inlineStr">
        <is>
          <t>2025-09</t>
        </is>
      </c>
      <c r="C187" t="inlineStr">
        <is>
          <t>Campo Grande</t>
        </is>
      </c>
      <c r="D187" t="inlineStr">
        <is>
          <t>HYUNDAI</t>
        </is>
      </c>
      <c r="E187" t="inlineStr">
        <is>
          <t>EHH0038</t>
        </is>
      </c>
      <c r="F187" t="inlineStr">
        <is>
          <t>SELETIVA</t>
        </is>
      </c>
      <c r="G187" t="inlineStr">
        <is>
          <t>CTA</t>
        </is>
      </c>
      <c r="H187" t="inlineStr">
        <is>
          <t>7.1.22</t>
        </is>
      </c>
      <c r="I187" t="inlineStr">
        <is>
          <t>COMBUSTÍVEL - DIESEL (INTERNO)</t>
        </is>
      </c>
      <c r="J187" t="n">
        <v>11885.67</v>
      </c>
      <c r="K187" t="n">
        <v>-11885.67</v>
      </c>
    </row>
    <row r="188" hidden="1" s="154">
      <c r="A188" t="n">
        <v>2025</v>
      </c>
      <c r="B188" t="inlineStr">
        <is>
          <t>2025-10</t>
        </is>
      </c>
      <c r="C188" t="inlineStr">
        <is>
          <t>Campo Grande</t>
        </is>
      </c>
      <c r="D188" t="inlineStr">
        <is>
          <t>HYUNDAI</t>
        </is>
      </c>
      <c r="E188" t="inlineStr">
        <is>
          <t>EHH0038</t>
        </is>
      </c>
      <c r="F188" t="inlineStr">
        <is>
          <t>SELETIVA</t>
        </is>
      </c>
      <c r="G188" t="inlineStr">
        <is>
          <t>G&amp;S DOURADOS</t>
        </is>
      </c>
      <c r="H188" t="inlineStr">
        <is>
          <t>7.1.2</t>
        </is>
      </c>
      <c r="I188" t="inlineStr">
        <is>
          <t>MANUTENÇÃO DE VEÍCULOS/MAQUINAS</t>
        </is>
      </c>
      <c r="J188" t="n">
        <v>81.08</v>
      </c>
      <c r="K188" t="n">
        <v>-81.08</v>
      </c>
    </row>
    <row r="189" hidden="1" s="154">
      <c r="A189" t="n">
        <v>2025</v>
      </c>
      <c r="B189" t="inlineStr">
        <is>
          <t>2025-10</t>
        </is>
      </c>
      <c r="C189" t="inlineStr">
        <is>
          <t>Campo Grande</t>
        </is>
      </c>
      <c r="D189" t="inlineStr">
        <is>
          <t>HYUNDAI</t>
        </is>
      </c>
      <c r="E189" t="inlineStr">
        <is>
          <t>EHH0038</t>
        </is>
      </c>
      <c r="F189" t="inlineStr">
        <is>
          <t>SELETIVA</t>
        </is>
      </c>
      <c r="G189" t="inlineStr">
        <is>
          <t>CTA</t>
        </is>
      </c>
      <c r="H189" t="inlineStr">
        <is>
          <t>7.1.22</t>
        </is>
      </c>
      <c r="I189" t="inlineStr">
        <is>
          <t>COMBUSTÍVEL - DIESEL (INTERNO)</t>
        </is>
      </c>
      <c r="J189" t="n">
        <v>12651.11</v>
      </c>
      <c r="K189" t="n">
        <v>-12651.11</v>
      </c>
    </row>
    <row r="190" hidden="1" s="154">
      <c r="A190" t="n">
        <v>2025</v>
      </c>
      <c r="B190" t="inlineStr">
        <is>
          <t>2025-11</t>
        </is>
      </c>
      <c r="C190" t="inlineStr">
        <is>
          <t>Campo Grande</t>
        </is>
      </c>
      <c r="D190" t="inlineStr">
        <is>
          <t>HYUNDAI</t>
        </is>
      </c>
      <c r="E190" t="inlineStr">
        <is>
          <t>EHH0038</t>
        </is>
      </c>
      <c r="F190" t="inlineStr">
        <is>
          <t>SELETIVA</t>
        </is>
      </c>
      <c r="G190" t="inlineStr">
        <is>
          <t>G&amp;S DOURADOS</t>
        </is>
      </c>
      <c r="H190" t="inlineStr">
        <is>
          <t>7.1.2</t>
        </is>
      </c>
      <c r="I190" t="inlineStr">
        <is>
          <t>MANUTENÇÃO DE VEÍCULOS/MAQUINAS</t>
        </is>
      </c>
      <c r="J190" t="n">
        <v>300</v>
      </c>
      <c r="K190" t="n">
        <v>-300</v>
      </c>
    </row>
    <row r="191" hidden="1" s="154">
      <c r="A191" t="n">
        <v>2025</v>
      </c>
      <c r="B191" t="inlineStr">
        <is>
          <t>2025-11</t>
        </is>
      </c>
      <c r="C191" t="inlineStr">
        <is>
          <t>Campo Grande</t>
        </is>
      </c>
      <c r="D191" t="inlineStr">
        <is>
          <t>HYUNDAI</t>
        </is>
      </c>
      <c r="E191" t="inlineStr">
        <is>
          <t>EHH0038</t>
        </is>
      </c>
      <c r="F191" t="inlineStr">
        <is>
          <t>SELETIVA</t>
        </is>
      </c>
      <c r="G191" t="inlineStr">
        <is>
          <t>G&amp;S DOURADOS</t>
        </is>
      </c>
      <c r="H191" t="inlineStr">
        <is>
          <t>7.1.2</t>
        </is>
      </c>
      <c r="I191" t="inlineStr">
        <is>
          <t>MANUTENÇÃO DE VEÍCULOS/MAQUINAS</t>
        </is>
      </c>
      <c r="J191" t="n">
        <v>300</v>
      </c>
      <c r="K191" t="n">
        <v>-300</v>
      </c>
    </row>
    <row r="192" hidden="1" s="154">
      <c r="A192" t="n">
        <v>2025</v>
      </c>
      <c r="B192" t="inlineStr">
        <is>
          <t>2025-11</t>
        </is>
      </c>
      <c r="C192" t="inlineStr">
        <is>
          <t>Campo Grande</t>
        </is>
      </c>
      <c r="D192" t="inlineStr">
        <is>
          <t>HYUNDAI</t>
        </is>
      </c>
      <c r="E192" t="inlineStr">
        <is>
          <t>EHH0038</t>
        </is>
      </c>
      <c r="F192" t="inlineStr">
        <is>
          <t>SELETIVA</t>
        </is>
      </c>
      <c r="G192" t="inlineStr">
        <is>
          <t>G&amp;S DOURADOS</t>
        </is>
      </c>
      <c r="H192" t="inlineStr">
        <is>
          <t>7.1.2</t>
        </is>
      </c>
      <c r="I192" t="inlineStr">
        <is>
          <t>MANUTENÇÃO DE VEÍCULOS/MAQUINAS</t>
        </is>
      </c>
      <c r="J192" t="n">
        <v>660</v>
      </c>
      <c r="K192" t="n">
        <v>-660</v>
      </c>
    </row>
    <row r="193" hidden="1" s="154">
      <c r="A193" t="n">
        <v>2025</v>
      </c>
      <c r="B193" t="inlineStr">
        <is>
          <t>2025-11</t>
        </is>
      </c>
      <c r="C193" t="inlineStr">
        <is>
          <t>Campo Grande</t>
        </is>
      </c>
      <c r="D193" t="inlineStr">
        <is>
          <t>HYUNDAI</t>
        </is>
      </c>
      <c r="E193" t="inlineStr">
        <is>
          <t>EHH0038</t>
        </is>
      </c>
      <c r="F193" t="inlineStr">
        <is>
          <t>SELETIVA</t>
        </is>
      </c>
      <c r="G193" t="inlineStr">
        <is>
          <t>G&amp;S DOURADOS</t>
        </is>
      </c>
      <c r="H193" t="inlineStr">
        <is>
          <t>7.1.2</t>
        </is>
      </c>
      <c r="I193" t="inlineStr">
        <is>
          <t>MANUTENÇÃO DE VEÍCULOS/MAQUINAS</t>
        </is>
      </c>
      <c r="J193" t="n">
        <v>290</v>
      </c>
      <c r="K193" t="n">
        <v>-290</v>
      </c>
    </row>
    <row r="194" hidden="1" s="154">
      <c r="A194" t="n">
        <v>2025</v>
      </c>
      <c r="B194" t="inlineStr">
        <is>
          <t>2025-11</t>
        </is>
      </c>
      <c r="C194" t="inlineStr">
        <is>
          <t>Campo Grande</t>
        </is>
      </c>
      <c r="D194" t="inlineStr">
        <is>
          <t>HYUNDAI</t>
        </is>
      </c>
      <c r="E194" t="inlineStr">
        <is>
          <t>EHH0038</t>
        </is>
      </c>
      <c r="F194" t="inlineStr">
        <is>
          <t>SELETIVA</t>
        </is>
      </c>
      <c r="G194" t="inlineStr">
        <is>
          <t>CTA</t>
        </is>
      </c>
      <c r="H194" t="inlineStr">
        <is>
          <t>7.1.22</t>
        </is>
      </c>
      <c r="I194" t="inlineStr">
        <is>
          <t>COMBUSTÍVEL - DIESEL (INTERNO)</t>
        </is>
      </c>
      <c r="J194" t="n">
        <v>7245.02</v>
      </c>
      <c r="K194" t="n">
        <v>-7245.02</v>
      </c>
    </row>
    <row r="195" hidden="1" s="154">
      <c r="A195" t="n">
        <v>2025</v>
      </c>
      <c r="B195" t="inlineStr">
        <is>
          <t>2025-12</t>
        </is>
      </c>
      <c r="C195" t="inlineStr">
        <is>
          <t>Campo Grande</t>
        </is>
      </c>
      <c r="D195" t="inlineStr">
        <is>
          <t>HYUNDAI</t>
        </is>
      </c>
      <c r="E195" t="inlineStr">
        <is>
          <t>EHH0038</t>
        </is>
      </c>
      <c r="F195" t="inlineStr">
        <is>
          <t>SELETIVA</t>
        </is>
      </c>
      <c r="G195" t="inlineStr">
        <is>
          <t>G&amp;S DOURADOS</t>
        </is>
      </c>
      <c r="H195" t="inlineStr">
        <is>
          <t>7.1.2</t>
        </is>
      </c>
      <c r="I195" t="inlineStr">
        <is>
          <t>MANUTENÇÃO DE VEÍCULOS/MAQUINAS</t>
        </is>
      </c>
      <c r="J195" t="n">
        <v>291.12</v>
      </c>
      <c r="K195" t="n">
        <v>-291.12</v>
      </c>
    </row>
    <row r="196" hidden="1" s="154">
      <c r="A196" t="n">
        <v>2025</v>
      </c>
      <c r="B196" t="inlineStr">
        <is>
          <t>2025-12</t>
        </is>
      </c>
      <c r="C196" t="inlineStr">
        <is>
          <t>Campo Grande</t>
        </is>
      </c>
      <c r="D196" t="inlineStr">
        <is>
          <t>HYUNDAI</t>
        </is>
      </c>
      <c r="E196" t="inlineStr">
        <is>
          <t>EHH0038</t>
        </is>
      </c>
      <c r="F196" t="inlineStr">
        <is>
          <t>SELETIVA</t>
        </is>
      </c>
      <c r="G196" t="inlineStr">
        <is>
          <t>G&amp;S DOURADOS</t>
        </is>
      </c>
      <c r="H196" t="inlineStr">
        <is>
          <t>7.1.2</t>
        </is>
      </c>
      <c r="I196" t="inlineStr">
        <is>
          <t>MANUTENÇÃO DE VEÍCULOS/MAQUINAS</t>
        </is>
      </c>
      <c r="J196" t="n">
        <v>300</v>
      </c>
      <c r="K196" t="n">
        <v>-300</v>
      </c>
    </row>
    <row r="197" hidden="1" s="154">
      <c r="A197" t="n">
        <v>2025</v>
      </c>
      <c r="B197" t="inlineStr">
        <is>
          <t>2025-12</t>
        </is>
      </c>
      <c r="C197" t="inlineStr">
        <is>
          <t>Campo Grande</t>
        </is>
      </c>
      <c r="D197" t="inlineStr">
        <is>
          <t>HYUNDAI</t>
        </is>
      </c>
      <c r="E197" t="inlineStr">
        <is>
          <t>EHH0038</t>
        </is>
      </c>
      <c r="F197" t="inlineStr">
        <is>
          <t>SELETIVA</t>
        </is>
      </c>
      <c r="G197" t="inlineStr">
        <is>
          <t>G&amp;S DOURADOS</t>
        </is>
      </c>
      <c r="H197" t="inlineStr">
        <is>
          <t>7.1.2</t>
        </is>
      </c>
      <c r="I197" t="inlineStr">
        <is>
          <t>MANUTENÇÃO DE VEÍCULOS/MAQUINAS</t>
        </is>
      </c>
      <c r="J197" t="n">
        <v>150</v>
      </c>
      <c r="K197" t="n">
        <v>-150</v>
      </c>
    </row>
    <row r="198" hidden="1" s="154">
      <c r="A198" t="n">
        <v>2025</v>
      </c>
      <c r="B198" t="inlineStr">
        <is>
          <t>2025-12</t>
        </is>
      </c>
      <c r="C198" t="inlineStr">
        <is>
          <t>Campo Grande</t>
        </is>
      </c>
      <c r="D198" t="inlineStr">
        <is>
          <t>HYUNDAI</t>
        </is>
      </c>
      <c r="E198" t="inlineStr">
        <is>
          <t>EHH0038</t>
        </is>
      </c>
      <c r="F198" t="inlineStr">
        <is>
          <t>SELETIVA</t>
        </is>
      </c>
      <c r="G198" t="inlineStr">
        <is>
          <t>G&amp;S DOURADOS</t>
        </is>
      </c>
      <c r="H198" t="inlineStr">
        <is>
          <t>7.1.2</t>
        </is>
      </c>
      <c r="I198" t="inlineStr">
        <is>
          <t>MANUTENÇÃO DE VEÍCULOS/MAQUINAS</t>
        </is>
      </c>
      <c r="J198" t="n">
        <v>750</v>
      </c>
      <c r="K198" t="n">
        <v>-750</v>
      </c>
    </row>
    <row r="199" hidden="1" s="154">
      <c r="A199" t="n">
        <v>2025</v>
      </c>
      <c r="B199" t="inlineStr">
        <is>
          <t>2025-12</t>
        </is>
      </c>
      <c r="C199" t="inlineStr">
        <is>
          <t>Campo Grande</t>
        </is>
      </c>
      <c r="D199" t="inlineStr">
        <is>
          <t>HYUNDAI</t>
        </is>
      </c>
      <c r="E199" t="inlineStr">
        <is>
          <t>EHH0038</t>
        </is>
      </c>
      <c r="F199" t="inlineStr">
        <is>
          <t>0</t>
        </is>
      </c>
      <c r="G199" t="inlineStr">
        <is>
          <t>G&amp;S DOURADOS</t>
        </is>
      </c>
      <c r="H199" t="inlineStr">
        <is>
          <t>7.1.1</t>
        </is>
      </c>
      <c r="I199" t="inlineStr">
        <is>
          <t>PEÇAS DE MANUTENÇÃO</t>
        </is>
      </c>
      <c r="J199" t="n">
        <v>1950.82</v>
      </c>
      <c r="K199" t="n">
        <v>-1950.82</v>
      </c>
    </row>
    <row r="200" hidden="1" s="154">
      <c r="A200" t="n">
        <v>2025</v>
      </c>
      <c r="B200" t="inlineStr">
        <is>
          <t>2025-12</t>
        </is>
      </c>
      <c r="C200" t="inlineStr">
        <is>
          <t>Campo Grande</t>
        </is>
      </c>
      <c r="D200" t="inlineStr">
        <is>
          <t>HYUNDAI</t>
        </is>
      </c>
      <c r="E200" t="inlineStr">
        <is>
          <t>EHH0038</t>
        </is>
      </c>
      <c r="F200" t="inlineStr">
        <is>
          <t>SELETIVA</t>
        </is>
      </c>
      <c r="G200" t="inlineStr">
        <is>
          <t>CTA</t>
        </is>
      </c>
      <c r="H200" t="inlineStr">
        <is>
          <t>7.1.22</t>
        </is>
      </c>
      <c r="I200" t="inlineStr">
        <is>
          <t>COMBUSTÍVEL - DIESEL (INTERNO)</t>
        </is>
      </c>
      <c r="J200" t="n">
        <v>5448.87</v>
      </c>
      <c r="K200" t="n">
        <v>-5448.87</v>
      </c>
    </row>
    <row r="201" hidden="1" s="154">
      <c r="A201" t="n">
        <v>2026</v>
      </c>
      <c r="B201" t="inlineStr">
        <is>
          <t>2026-01</t>
        </is>
      </c>
      <c r="C201" t="inlineStr">
        <is>
          <t>Campo Grande</t>
        </is>
      </c>
      <c r="D201" t="inlineStr">
        <is>
          <t>HYUNDAI</t>
        </is>
      </c>
      <c r="E201" t="inlineStr">
        <is>
          <t>EHH0038</t>
        </is>
      </c>
      <c r="F201" t="inlineStr">
        <is>
          <t>SELETIVA</t>
        </is>
      </c>
      <c r="G201" t="inlineStr">
        <is>
          <t>G&amp;S DOURADOS</t>
        </is>
      </c>
      <c r="H201" t="inlineStr">
        <is>
          <t>7.1.2</t>
        </is>
      </c>
      <c r="I201" t="inlineStr">
        <is>
          <t>MANUTENÇÃO DE VEÍCULOS/MAQUINAS</t>
        </is>
      </c>
      <c r="J201" t="n">
        <v>353</v>
      </c>
      <c r="K201" t="n">
        <v>-353</v>
      </c>
    </row>
    <row r="202" hidden="1" s="154">
      <c r="A202" t="n">
        <v>2026</v>
      </c>
      <c r="B202" t="inlineStr">
        <is>
          <t>2026-01</t>
        </is>
      </c>
      <c r="C202" t="inlineStr">
        <is>
          <t>Campo Grande</t>
        </is>
      </c>
      <c r="D202" t="inlineStr">
        <is>
          <t>HYUNDAI</t>
        </is>
      </c>
      <c r="E202" t="inlineStr">
        <is>
          <t>EHH0038</t>
        </is>
      </c>
      <c r="F202" t="inlineStr">
        <is>
          <t>SELETIVA</t>
        </is>
      </c>
      <c r="G202" t="inlineStr">
        <is>
          <t>G&amp;S DOURADOS</t>
        </is>
      </c>
      <c r="H202" t="inlineStr">
        <is>
          <t>7.1.2</t>
        </is>
      </c>
      <c r="I202" t="inlineStr">
        <is>
          <t>MANUTENÇÃO DE VEÍCULOS/MAQUINAS</t>
        </is>
      </c>
      <c r="J202" t="n">
        <v>344</v>
      </c>
      <c r="K202" t="n">
        <v>-344</v>
      </c>
    </row>
    <row r="203" hidden="1" s="154">
      <c r="A203" t="n">
        <v>2026</v>
      </c>
      <c r="B203" t="inlineStr">
        <is>
          <t>2026-01</t>
        </is>
      </c>
      <c r="C203" t="inlineStr">
        <is>
          <t>Campo Grande</t>
        </is>
      </c>
      <c r="D203" t="inlineStr">
        <is>
          <t>HYUNDAI</t>
        </is>
      </c>
      <c r="E203" t="inlineStr">
        <is>
          <t>EHH0038</t>
        </is>
      </c>
      <c r="F203" t="inlineStr">
        <is>
          <t>SELETIVA</t>
        </is>
      </c>
      <c r="G203" t="inlineStr">
        <is>
          <t>G&amp;S DOURADOS</t>
        </is>
      </c>
      <c r="H203" t="inlineStr">
        <is>
          <t>7.1.2</t>
        </is>
      </c>
      <c r="I203" t="inlineStr">
        <is>
          <t>MANUTENÇÃO DE VEÍCULOS/MAQUINAS</t>
        </is>
      </c>
      <c r="J203" t="n">
        <v>353</v>
      </c>
      <c r="K203" t="n">
        <v>-353</v>
      </c>
    </row>
    <row r="204" hidden="1" s="154">
      <c r="A204" t="n">
        <v>2026</v>
      </c>
      <c r="B204" t="inlineStr">
        <is>
          <t>2026-01</t>
        </is>
      </c>
      <c r="C204" t="inlineStr">
        <is>
          <t>Campo Grande</t>
        </is>
      </c>
      <c r="D204" t="inlineStr">
        <is>
          <t>HYUNDAI</t>
        </is>
      </c>
      <c r="E204" t="inlineStr">
        <is>
          <t>EHH0038</t>
        </is>
      </c>
      <c r="F204" t="inlineStr">
        <is>
          <t>SELETIVA</t>
        </is>
      </c>
      <c r="G204" t="inlineStr">
        <is>
          <t>G&amp;S DOURADOS</t>
        </is>
      </c>
      <c r="H204" t="inlineStr">
        <is>
          <t>7.1.2</t>
        </is>
      </c>
      <c r="I204" t="inlineStr">
        <is>
          <t>MANUTENÇÃO DE VEÍCULOS/MAQUINAS</t>
        </is>
      </c>
      <c r="J204" t="n">
        <v>317.1</v>
      </c>
      <c r="K204" t="n">
        <v>-317.1</v>
      </c>
    </row>
    <row r="205" hidden="1" s="154">
      <c r="A205" t="n">
        <v>2026</v>
      </c>
      <c r="B205" t="inlineStr">
        <is>
          <t>2026-01</t>
        </is>
      </c>
      <c r="C205" t="inlineStr">
        <is>
          <t>Campo Grande</t>
        </is>
      </c>
      <c r="D205" t="inlineStr">
        <is>
          <t>HYUNDAI</t>
        </is>
      </c>
      <c r="E205" t="inlineStr">
        <is>
          <t>EHH0038</t>
        </is>
      </c>
      <c r="F205" t="inlineStr">
        <is>
          <t>SELETIVA</t>
        </is>
      </c>
      <c r="G205" t="inlineStr">
        <is>
          <t>G&amp;S DOURADOS</t>
        </is>
      </c>
      <c r="H205" t="inlineStr">
        <is>
          <t>7.1.2</t>
        </is>
      </c>
      <c r="I205" t="inlineStr">
        <is>
          <t>MANUTENÇÃO DE VEÍCULOS/MAQUINAS</t>
        </is>
      </c>
      <c r="J205" t="n">
        <v>177.02</v>
      </c>
      <c r="K205" t="n">
        <v>-177.02</v>
      </c>
    </row>
    <row r="206" hidden="1" s="154">
      <c r="A206" t="n">
        <v>2026</v>
      </c>
      <c r="B206" t="inlineStr">
        <is>
          <t>2026-01</t>
        </is>
      </c>
      <c r="C206" t="inlineStr">
        <is>
          <t>Campo Grande</t>
        </is>
      </c>
      <c r="D206" t="inlineStr">
        <is>
          <t>HYUNDAI</t>
        </is>
      </c>
      <c r="E206" t="inlineStr">
        <is>
          <t>EHH0038</t>
        </is>
      </c>
      <c r="F206" t="inlineStr">
        <is>
          <t>SELETIVA</t>
        </is>
      </c>
      <c r="G206" t="inlineStr">
        <is>
          <t>G&amp;S DOURADOS</t>
        </is>
      </c>
      <c r="H206" t="inlineStr">
        <is>
          <t>7.1.2</t>
        </is>
      </c>
      <c r="I206" t="inlineStr">
        <is>
          <t>MANUTENÇÃO DE VEÍCULOS/MAQUINAS</t>
        </is>
      </c>
      <c r="J206" t="n">
        <v>575</v>
      </c>
      <c r="K206" t="n">
        <v>-575</v>
      </c>
    </row>
    <row r="207" hidden="1" s="154">
      <c r="A207" t="n">
        <v>2026</v>
      </c>
      <c r="B207" t="inlineStr">
        <is>
          <t>2026-01</t>
        </is>
      </c>
      <c r="C207" t="inlineStr">
        <is>
          <t>Campo Grande</t>
        </is>
      </c>
      <c r="D207" t="inlineStr">
        <is>
          <t>HYUNDAI</t>
        </is>
      </c>
      <c r="E207" t="inlineStr">
        <is>
          <t>EHH0038</t>
        </is>
      </c>
      <c r="F207" t="inlineStr">
        <is>
          <t>SELETIVA</t>
        </is>
      </c>
      <c r="G207" t="inlineStr">
        <is>
          <t>G&amp;S PRUDENTE</t>
        </is>
      </c>
      <c r="H207" t="inlineStr">
        <is>
          <t>7.1.2</t>
        </is>
      </c>
      <c r="I207" t="inlineStr">
        <is>
          <t>MANUTENÇÃO DE VEÍCULOS/MAQUINAS</t>
        </is>
      </c>
      <c r="J207" t="n">
        <v>612.76</v>
      </c>
      <c r="K207" t="n">
        <v>-612.76</v>
      </c>
    </row>
    <row r="208" hidden="1" s="154">
      <c r="A208" t="n">
        <v>2026</v>
      </c>
      <c r="B208" t="inlineStr">
        <is>
          <t>2026-01</t>
        </is>
      </c>
      <c r="C208" t="inlineStr">
        <is>
          <t>Campo Grande</t>
        </is>
      </c>
      <c r="D208" t="inlineStr">
        <is>
          <t>HYUNDAI</t>
        </is>
      </c>
      <c r="E208" t="inlineStr">
        <is>
          <t>EHH0038</t>
        </is>
      </c>
      <c r="F208" t="inlineStr">
        <is>
          <t>SELETIVA</t>
        </is>
      </c>
      <c r="G208" t="inlineStr">
        <is>
          <t>G&amp;S DOURADOS</t>
        </is>
      </c>
      <c r="H208" t="inlineStr">
        <is>
          <t>7.1.2</t>
        </is>
      </c>
      <c r="I208" t="inlineStr">
        <is>
          <t>MANUTENÇÃO DE VEÍCULOS/MAQUINAS</t>
        </is>
      </c>
      <c r="J208" t="n">
        <v>208.65</v>
      </c>
      <c r="K208" t="n">
        <v>-208.65</v>
      </c>
    </row>
    <row r="209" hidden="1" s="154">
      <c r="A209" t="n">
        <v>2026</v>
      </c>
      <c r="B209" t="inlineStr">
        <is>
          <t>2026-03</t>
        </is>
      </c>
      <c r="C209" t="inlineStr">
        <is>
          <t>Campo Grande</t>
        </is>
      </c>
      <c r="D209" t="inlineStr">
        <is>
          <t>HYUNDAI</t>
        </is>
      </c>
      <c r="E209" t="inlineStr">
        <is>
          <t>EHH0038</t>
        </is>
      </c>
      <c r="F209" t="inlineStr">
        <is>
          <t>SELETIVA</t>
        </is>
      </c>
      <c r="G209" t="inlineStr">
        <is>
          <t>G&amp;S DOURADOS</t>
        </is>
      </c>
      <c r="H209" t="inlineStr">
        <is>
          <t>7.1.2</t>
        </is>
      </c>
      <c r="I209" t="inlineStr">
        <is>
          <t>MANUTENÇÃO DE VEÍCULOS/MAQUINAS</t>
        </is>
      </c>
      <c r="J209" t="n">
        <v>80</v>
      </c>
      <c r="K209" t="n">
        <v>-80</v>
      </c>
    </row>
    <row r="210" hidden="1" s="154">
      <c r="A210" t="n">
        <v>2026</v>
      </c>
      <c r="B210" t="inlineStr">
        <is>
          <t>2026-03</t>
        </is>
      </c>
      <c r="C210" t="inlineStr">
        <is>
          <t>Campo Grande</t>
        </is>
      </c>
      <c r="D210" t="inlineStr">
        <is>
          <t>HYUNDAI</t>
        </is>
      </c>
      <c r="E210" t="inlineStr">
        <is>
          <t>EHH0038</t>
        </is>
      </c>
      <c r="F210" t="inlineStr">
        <is>
          <t>SELETIVA</t>
        </is>
      </c>
      <c r="G210" t="inlineStr">
        <is>
          <t>G&amp;S DOURADOS</t>
        </is>
      </c>
      <c r="H210" t="inlineStr">
        <is>
          <t>7.1.2</t>
        </is>
      </c>
      <c r="I210" t="inlineStr">
        <is>
          <t>MANUTENÇÃO DE VEÍCULOS/MAQUINAS</t>
        </is>
      </c>
      <c r="J210" t="n">
        <v>115</v>
      </c>
      <c r="K210" t="n">
        <v>-115</v>
      </c>
    </row>
    <row r="211" hidden="1" s="154">
      <c r="A211" t="n">
        <v>2026</v>
      </c>
      <c r="B211" t="inlineStr">
        <is>
          <t>2026-03</t>
        </is>
      </c>
      <c r="C211" t="inlineStr">
        <is>
          <t>Campo Grande</t>
        </is>
      </c>
      <c r="D211" t="inlineStr">
        <is>
          <t>HYUNDAI</t>
        </is>
      </c>
      <c r="E211" t="inlineStr">
        <is>
          <t>EHH0038</t>
        </is>
      </c>
      <c r="F211" t="inlineStr">
        <is>
          <t>SELETIVA</t>
        </is>
      </c>
      <c r="G211" t="inlineStr">
        <is>
          <t>G&amp;S DOURADOS</t>
        </is>
      </c>
      <c r="H211" t="inlineStr">
        <is>
          <t>7.1.2</t>
        </is>
      </c>
      <c r="I211" t="inlineStr">
        <is>
          <t>MANUTENÇÃO DE VEÍCULOS/MAQUINAS</t>
        </is>
      </c>
      <c r="J211" t="n">
        <v>36.64</v>
      </c>
      <c r="K211" t="n">
        <v>-36.64</v>
      </c>
    </row>
    <row r="212" hidden="1" s="154">
      <c r="A212" t="n">
        <v>2026</v>
      </c>
      <c r="B212" t="inlineStr">
        <is>
          <t>2026-03</t>
        </is>
      </c>
      <c r="C212" t="inlineStr">
        <is>
          <t>Campo Grande</t>
        </is>
      </c>
      <c r="D212" t="inlineStr">
        <is>
          <t>HYUNDAI</t>
        </is>
      </c>
      <c r="E212" t="inlineStr">
        <is>
          <t>EHH0038</t>
        </is>
      </c>
      <c r="F212" t="inlineStr">
        <is>
          <t>SELETIVA</t>
        </is>
      </c>
      <c r="G212" t="inlineStr">
        <is>
          <t>G&amp;S DOURADOS</t>
        </is>
      </c>
      <c r="H212" t="inlineStr">
        <is>
          <t>7.1.2</t>
        </is>
      </c>
      <c r="I212" t="inlineStr">
        <is>
          <t>MANUTENÇÃO DE VEÍCULOS/MAQUINAS</t>
        </is>
      </c>
      <c r="J212" t="n">
        <v>300</v>
      </c>
      <c r="K212" t="n">
        <v>-300</v>
      </c>
    </row>
    <row r="213" hidden="1" s="154">
      <c r="A213" t="n">
        <v>2026</v>
      </c>
      <c r="B213" t="inlineStr">
        <is>
          <t>2026-03</t>
        </is>
      </c>
      <c r="C213" t="inlineStr">
        <is>
          <t>Campo Grande</t>
        </is>
      </c>
      <c r="D213" t="inlineStr">
        <is>
          <t>HYUNDAI</t>
        </is>
      </c>
      <c r="E213" t="inlineStr">
        <is>
          <t>EHH0038</t>
        </is>
      </c>
      <c r="F213" t="inlineStr">
        <is>
          <t>SELETIVA</t>
        </is>
      </c>
      <c r="G213" t="inlineStr">
        <is>
          <t>G&amp;S DOURADOS</t>
        </is>
      </c>
      <c r="H213" t="inlineStr">
        <is>
          <t>7.1.2</t>
        </is>
      </c>
      <c r="I213" t="inlineStr">
        <is>
          <t>MANUTENÇÃO DE VEÍCULOS/MAQUINAS</t>
        </is>
      </c>
      <c r="J213" t="n">
        <v>187</v>
      </c>
      <c r="K213" t="n">
        <v>-187</v>
      </c>
    </row>
    <row r="214" hidden="1" s="154">
      <c r="A214" t="n">
        <v>2025</v>
      </c>
      <c r="B214" t="inlineStr">
        <is>
          <t>2025-01</t>
        </is>
      </c>
      <c r="C214" t="inlineStr">
        <is>
          <t>Campo Grande</t>
        </is>
      </c>
      <c r="D214" t="inlineStr">
        <is>
          <t>HYUNDAI</t>
        </is>
      </c>
      <c r="E214" t="inlineStr">
        <is>
          <t>EHH0046</t>
        </is>
      </c>
      <c r="F214" t="inlineStr">
        <is>
          <t>SELETIVA</t>
        </is>
      </c>
      <c r="G214" t="inlineStr">
        <is>
          <t>G&amp;G MATRIZ</t>
        </is>
      </c>
      <c r="H214" t="inlineStr">
        <is>
          <t>7.1.22</t>
        </is>
      </c>
      <c r="I214" t="inlineStr">
        <is>
          <t>COMBUSTÍVEL - DIESEL (INTERNO)</t>
        </is>
      </c>
      <c r="J214" t="n">
        <v>1654.96</v>
      </c>
      <c r="K214" t="n">
        <v>1654.96</v>
      </c>
    </row>
    <row r="215" hidden="1" s="154">
      <c r="A215" t="n">
        <v>2025</v>
      </c>
      <c r="B215" t="inlineStr">
        <is>
          <t>2025-01</t>
        </is>
      </c>
      <c r="C215" t="inlineStr">
        <is>
          <t>Campo Grande</t>
        </is>
      </c>
      <c r="D215" t="inlineStr">
        <is>
          <t>HYUNDAI</t>
        </is>
      </c>
      <c r="E215" t="inlineStr">
        <is>
          <t>EHH0046</t>
        </is>
      </c>
      <c r="F215" t="inlineStr">
        <is>
          <t>SELETIVA</t>
        </is>
      </c>
      <c r="G215" t="inlineStr">
        <is>
          <t>G&amp;G MATRIZ</t>
        </is>
      </c>
      <c r="H215" t="inlineStr">
        <is>
          <t>7.1.1</t>
        </is>
      </c>
      <c r="I215" t="inlineStr">
        <is>
          <t>PEÇAS DE MANUTENÇÃO</t>
        </is>
      </c>
      <c r="J215" t="n">
        <v>14</v>
      </c>
      <c r="K215" t="n">
        <v>14</v>
      </c>
    </row>
    <row r="216" hidden="1" s="154">
      <c r="A216" t="n">
        <v>2025</v>
      </c>
      <c r="B216" t="inlineStr">
        <is>
          <t>2025-01</t>
        </is>
      </c>
      <c r="C216" t="inlineStr">
        <is>
          <t>Campo Grande</t>
        </is>
      </c>
      <c r="D216" t="inlineStr">
        <is>
          <t>HYUNDAI</t>
        </is>
      </c>
      <c r="E216" t="inlineStr">
        <is>
          <t>EHH0046</t>
        </is>
      </c>
      <c r="F216" t="inlineStr">
        <is>
          <t>SELETIVA</t>
        </is>
      </c>
      <c r="G216" t="inlineStr">
        <is>
          <t>G&amp;G MATRIZ</t>
        </is>
      </c>
      <c r="H216" t="inlineStr">
        <is>
          <t>7.1.1</t>
        </is>
      </c>
      <c r="I216" t="inlineStr">
        <is>
          <t>PEÇAS DE MANUTENÇÃO</t>
        </is>
      </c>
      <c r="J216" t="n">
        <v>19</v>
      </c>
      <c r="K216" t="n">
        <v>19</v>
      </c>
    </row>
    <row r="217" hidden="1" s="154">
      <c r="A217" t="n">
        <v>2025</v>
      </c>
      <c r="B217" t="inlineStr">
        <is>
          <t>2025-01</t>
        </is>
      </c>
      <c r="C217" t="inlineStr">
        <is>
          <t>Campo Grande</t>
        </is>
      </c>
      <c r="D217" t="inlineStr">
        <is>
          <t>HYUNDAI</t>
        </is>
      </c>
      <c r="E217" t="inlineStr">
        <is>
          <t>EHH0046</t>
        </is>
      </c>
      <c r="F217" t="inlineStr">
        <is>
          <t>SELETIVA</t>
        </is>
      </c>
      <c r="G217" t="inlineStr">
        <is>
          <t>G&amp;G MATRIZ</t>
        </is>
      </c>
      <c r="H217" t="inlineStr">
        <is>
          <t>7.1.1</t>
        </is>
      </c>
      <c r="I217" t="inlineStr">
        <is>
          <t>PEÇAS DE MANUTENÇÃO</t>
        </is>
      </c>
      <c r="J217" t="n">
        <v>336.21</v>
      </c>
      <c r="K217" t="n">
        <v>336.21</v>
      </c>
    </row>
    <row r="218" hidden="1" s="154">
      <c r="A218" t="n">
        <v>2025</v>
      </c>
      <c r="B218" t="inlineStr">
        <is>
          <t>2025-02</t>
        </is>
      </c>
      <c r="C218" t="inlineStr">
        <is>
          <t>Campo Grande</t>
        </is>
      </c>
      <c r="D218" t="inlineStr">
        <is>
          <t>HYUNDAI</t>
        </is>
      </c>
      <c r="E218" t="inlineStr">
        <is>
          <t>EHH0046</t>
        </is>
      </c>
      <c r="F218" t="inlineStr">
        <is>
          <t>SELETIVA</t>
        </is>
      </c>
      <c r="G218" t="inlineStr">
        <is>
          <t>G&amp;G - MATO GROSSO DO SUL</t>
        </is>
      </c>
      <c r="H218" t="inlineStr">
        <is>
          <t>7.1.2</t>
        </is>
      </c>
      <c r="I218" t="inlineStr">
        <is>
          <t>MANUTENÇÃO DE VEÍCULOS/MAQUINAS</t>
        </is>
      </c>
      <c r="J218" t="n">
        <v>1600</v>
      </c>
      <c r="K218" t="n">
        <v>1600</v>
      </c>
    </row>
    <row r="219" hidden="1" s="154">
      <c r="A219" t="n">
        <v>2025</v>
      </c>
      <c r="B219" t="inlineStr">
        <is>
          <t>2025-04</t>
        </is>
      </c>
      <c r="C219" t="inlineStr">
        <is>
          <t>Campo Grande</t>
        </is>
      </c>
      <c r="D219" t="inlineStr">
        <is>
          <t>HYUNDAI</t>
        </is>
      </c>
      <c r="E219" t="inlineStr">
        <is>
          <t>EHH0046</t>
        </is>
      </c>
      <c r="F219" t="inlineStr">
        <is>
          <t>SELETIVA</t>
        </is>
      </c>
      <c r="G219" t="inlineStr">
        <is>
          <t>G&amp;G MATRIZ</t>
        </is>
      </c>
      <c r="H219" t="inlineStr">
        <is>
          <t>7.1.2</t>
        </is>
      </c>
      <c r="I219" t="inlineStr">
        <is>
          <t>MANUTENÇÃO DE VEÍCULOS/MAQUINAS</t>
        </is>
      </c>
      <c r="J219" t="n">
        <v>225</v>
      </c>
      <c r="K219" t="n">
        <v>225</v>
      </c>
    </row>
    <row r="220" hidden="1" s="154">
      <c r="A220" t="n">
        <v>2025</v>
      </c>
      <c r="B220" t="inlineStr">
        <is>
          <t>2025-04</t>
        </is>
      </c>
      <c r="C220" t="inlineStr">
        <is>
          <t>Campo Grande</t>
        </is>
      </c>
      <c r="D220" t="inlineStr">
        <is>
          <t>HYUNDAI</t>
        </is>
      </c>
      <c r="E220" t="inlineStr">
        <is>
          <t>EHH0046</t>
        </is>
      </c>
      <c r="F220" t="inlineStr">
        <is>
          <t>SELETIVA</t>
        </is>
      </c>
      <c r="G220" t="inlineStr">
        <is>
          <t>G&amp;G MATRIZ</t>
        </is>
      </c>
      <c r="H220" t="inlineStr">
        <is>
          <t>7.1.1</t>
        </is>
      </c>
      <c r="I220" t="inlineStr">
        <is>
          <t>PEÇAS DE MANUTENÇÃO</t>
        </is>
      </c>
      <c r="J220" t="n">
        <v>36</v>
      </c>
      <c r="K220" t="n">
        <v>36</v>
      </c>
    </row>
    <row r="221" hidden="1" s="154">
      <c r="A221" t="n">
        <v>2025</v>
      </c>
      <c r="B221" t="inlineStr">
        <is>
          <t>2025-04</t>
        </is>
      </c>
      <c r="C221" t="inlineStr">
        <is>
          <t>Campo Grande</t>
        </is>
      </c>
      <c r="D221" t="inlineStr">
        <is>
          <t>HYUNDAI</t>
        </is>
      </c>
      <c r="E221" t="inlineStr">
        <is>
          <t>EHH0046</t>
        </is>
      </c>
      <c r="F221" t="inlineStr">
        <is>
          <t>SELETIVA</t>
        </is>
      </c>
      <c r="G221" t="inlineStr">
        <is>
          <t>G&amp;G MATRIZ</t>
        </is>
      </c>
      <c r="H221" t="inlineStr">
        <is>
          <t>7.1.1</t>
        </is>
      </c>
      <c r="I221" t="inlineStr">
        <is>
          <t>PEÇAS DE MANUTENÇÃO</t>
        </is>
      </c>
      <c r="J221" t="n">
        <v>13.7</v>
      </c>
      <c r="K221" t="n">
        <v>13.7</v>
      </c>
    </row>
    <row r="222" hidden="1" s="154">
      <c r="A222" t="n">
        <v>2025</v>
      </c>
      <c r="B222" t="inlineStr">
        <is>
          <t>2025-04</t>
        </is>
      </c>
      <c r="C222" t="inlineStr">
        <is>
          <t>Campo Grande</t>
        </is>
      </c>
      <c r="D222" t="inlineStr">
        <is>
          <t>HYUNDAI</t>
        </is>
      </c>
      <c r="E222" t="inlineStr">
        <is>
          <t>EHH0046</t>
        </is>
      </c>
      <c r="F222" t="inlineStr">
        <is>
          <t>SELETIVA</t>
        </is>
      </c>
      <c r="G222" t="inlineStr">
        <is>
          <t>G&amp;G MATRIZ</t>
        </is>
      </c>
      <c r="H222" t="inlineStr">
        <is>
          <t>7.1.1</t>
        </is>
      </c>
      <c r="I222" t="inlineStr">
        <is>
          <t>PEÇAS DE MANUTENÇÃO</t>
        </is>
      </c>
      <c r="J222" t="n">
        <v>20</v>
      </c>
      <c r="K222" t="n">
        <v>20</v>
      </c>
    </row>
    <row r="223" hidden="1" s="154">
      <c r="A223" t="n">
        <v>2025</v>
      </c>
      <c r="B223" t="inlineStr">
        <is>
          <t>2025-05</t>
        </is>
      </c>
      <c r="C223" t="inlineStr">
        <is>
          <t>Campo Grande</t>
        </is>
      </c>
      <c r="D223" t="inlineStr">
        <is>
          <t>HYUNDAI</t>
        </is>
      </c>
      <c r="E223" t="inlineStr">
        <is>
          <t>EHH0046</t>
        </is>
      </c>
      <c r="F223" t="inlineStr">
        <is>
          <t>SELETIVA</t>
        </is>
      </c>
      <c r="G223" t="inlineStr">
        <is>
          <t>G&amp;G MATRIZ</t>
        </is>
      </c>
      <c r="H223" t="inlineStr">
        <is>
          <t>7.1.2</t>
        </is>
      </c>
      <c r="I223" t="inlineStr">
        <is>
          <t>MANUTENÇÃO DE VEÍCULOS/MAQUINAS</t>
        </is>
      </c>
      <c r="J223" t="n">
        <v>350</v>
      </c>
      <c r="K223" t="n">
        <v>350</v>
      </c>
    </row>
    <row r="224" hidden="1" s="154">
      <c r="A224" t="n">
        <v>2025</v>
      </c>
      <c r="B224" t="inlineStr">
        <is>
          <t>2025-05</t>
        </is>
      </c>
      <c r="C224" t="inlineStr">
        <is>
          <t>Campo Grande</t>
        </is>
      </c>
      <c r="D224" t="inlineStr">
        <is>
          <t>HYUNDAI</t>
        </is>
      </c>
      <c r="E224" t="inlineStr">
        <is>
          <t>EHH0046</t>
        </is>
      </c>
      <c r="F224" t="inlineStr">
        <is>
          <t>SELETIVA</t>
        </is>
      </c>
      <c r="G224" t="inlineStr">
        <is>
          <t>G&amp;G MATRIZ</t>
        </is>
      </c>
      <c r="H224" t="inlineStr">
        <is>
          <t>7.1.1</t>
        </is>
      </c>
      <c r="I224" t="inlineStr">
        <is>
          <t>PEÇAS DE MANUTENÇÃO</t>
        </is>
      </c>
      <c r="J224" t="n">
        <v>563</v>
      </c>
      <c r="K224" t="n">
        <v>563</v>
      </c>
    </row>
    <row r="225" hidden="1" s="154">
      <c r="A225" t="n">
        <v>2025</v>
      </c>
      <c r="B225" t="inlineStr">
        <is>
          <t>2025-05</t>
        </is>
      </c>
      <c r="C225" t="inlineStr">
        <is>
          <t>Campo Grande</t>
        </is>
      </c>
      <c r="D225" t="inlineStr">
        <is>
          <t>HYUNDAI</t>
        </is>
      </c>
      <c r="E225" t="inlineStr">
        <is>
          <t>EHH0046</t>
        </is>
      </c>
      <c r="F225" t="inlineStr">
        <is>
          <t>SELETIVA</t>
        </is>
      </c>
      <c r="G225" t="inlineStr">
        <is>
          <t>G&amp;G MATRIZ</t>
        </is>
      </c>
      <c r="H225" t="inlineStr">
        <is>
          <t>7.1.1</t>
        </is>
      </c>
      <c r="I225" t="inlineStr">
        <is>
          <t>PEÇAS DE MANUTENÇÃO</t>
        </is>
      </c>
      <c r="J225" t="n">
        <v>359</v>
      </c>
      <c r="K225" t="n">
        <v>359</v>
      </c>
    </row>
    <row r="226" hidden="1" s="154">
      <c r="A226" t="n">
        <v>2025</v>
      </c>
      <c r="B226" t="inlineStr">
        <is>
          <t>2025-05</t>
        </is>
      </c>
      <c r="C226" t="inlineStr">
        <is>
          <t>Campo Grande</t>
        </is>
      </c>
      <c r="D226" t="inlineStr">
        <is>
          <t>HYUNDAI</t>
        </is>
      </c>
      <c r="E226" t="inlineStr">
        <is>
          <t>EHH0046</t>
        </is>
      </c>
      <c r="F226" t="inlineStr">
        <is>
          <t>SELETIVA</t>
        </is>
      </c>
      <c r="G226" t="inlineStr">
        <is>
          <t>G&amp;G MATRIZ</t>
        </is>
      </c>
      <c r="H226" t="inlineStr">
        <is>
          <t>7.1.2</t>
        </is>
      </c>
      <c r="I226" t="inlineStr">
        <is>
          <t>MANUTENÇÃO DE VEÍCULOS/MAQUINAS</t>
        </is>
      </c>
      <c r="J226" t="n">
        <v>2375</v>
      </c>
      <c r="K226" t="n">
        <v>2375</v>
      </c>
    </row>
    <row r="227" hidden="1" s="154">
      <c r="A227" t="n">
        <v>2025</v>
      </c>
      <c r="B227" t="inlineStr">
        <is>
          <t>2025-05</t>
        </is>
      </c>
      <c r="C227" t="inlineStr">
        <is>
          <t>Campo Grande</t>
        </is>
      </c>
      <c r="D227" t="inlineStr">
        <is>
          <t>HYUNDAI</t>
        </is>
      </c>
      <c r="E227" t="inlineStr">
        <is>
          <t>EHH0046</t>
        </is>
      </c>
      <c r="F227" t="inlineStr">
        <is>
          <t>SELETIVA</t>
        </is>
      </c>
      <c r="G227" t="inlineStr">
        <is>
          <t>G&amp;G MATRIZ</t>
        </is>
      </c>
      <c r="H227" t="inlineStr">
        <is>
          <t>7.1.2</t>
        </is>
      </c>
      <c r="I227" t="inlineStr">
        <is>
          <t>MANUTENÇÃO DE VEÍCULOS/MAQUINAS</t>
        </is>
      </c>
      <c r="J227" t="n">
        <v>1100</v>
      </c>
      <c r="K227" t="n">
        <v>1100</v>
      </c>
    </row>
    <row r="228" hidden="1" s="154">
      <c r="A228" t="n">
        <v>2025</v>
      </c>
      <c r="B228" t="inlineStr">
        <is>
          <t>2025-05</t>
        </is>
      </c>
      <c r="C228" t="inlineStr">
        <is>
          <t>Campo Grande</t>
        </is>
      </c>
      <c r="D228" t="inlineStr">
        <is>
          <t>HYUNDAI</t>
        </is>
      </c>
      <c r="E228" t="inlineStr">
        <is>
          <t>EHH0046</t>
        </is>
      </c>
      <c r="F228" t="inlineStr">
        <is>
          <t>SELETIVA</t>
        </is>
      </c>
      <c r="G228" t="inlineStr">
        <is>
          <t>G&amp;G MATRIZ</t>
        </is>
      </c>
      <c r="H228" t="inlineStr">
        <is>
          <t>7.1.1</t>
        </is>
      </c>
      <c r="I228" t="inlineStr">
        <is>
          <t>PEÇAS DE MANUTENÇÃO</t>
        </is>
      </c>
      <c r="J228" t="n">
        <v>16</v>
      </c>
      <c r="K228" t="n">
        <v>16</v>
      </c>
    </row>
    <row r="229" hidden="1" s="154">
      <c r="A229" t="n">
        <v>2025</v>
      </c>
      <c r="B229" t="inlineStr">
        <is>
          <t>2025-05</t>
        </is>
      </c>
      <c r="C229" t="inlineStr">
        <is>
          <t>Campo Grande</t>
        </is>
      </c>
      <c r="D229" t="inlineStr">
        <is>
          <t>HYUNDAI</t>
        </is>
      </c>
      <c r="E229" t="inlineStr">
        <is>
          <t>EHH0046</t>
        </is>
      </c>
      <c r="F229" t="inlineStr">
        <is>
          <t>SELETIVA</t>
        </is>
      </c>
      <c r="G229" t="inlineStr">
        <is>
          <t>G&amp;G MATRIZ</t>
        </is>
      </c>
      <c r="H229" t="inlineStr">
        <is>
          <t>7.1.2</t>
        </is>
      </c>
      <c r="I229" t="inlineStr">
        <is>
          <t>MANUTENÇÃO DE VEÍCULOS/MAQUINAS</t>
        </is>
      </c>
      <c r="J229" t="n">
        <v>1374</v>
      </c>
      <c r="K229" t="n">
        <v>1374</v>
      </c>
    </row>
    <row r="230" hidden="1" s="154">
      <c r="A230" t="n">
        <v>2025</v>
      </c>
      <c r="B230" t="inlineStr">
        <is>
          <t>2025-05</t>
        </is>
      </c>
      <c r="C230" t="inlineStr">
        <is>
          <t>Campo Grande</t>
        </is>
      </c>
      <c r="D230" t="inlineStr">
        <is>
          <t>HYUNDAI</t>
        </is>
      </c>
      <c r="E230" t="inlineStr">
        <is>
          <t>EHH0046</t>
        </is>
      </c>
      <c r="F230" t="inlineStr">
        <is>
          <t>SELETIVA</t>
        </is>
      </c>
      <c r="G230" t="inlineStr">
        <is>
          <t>G&amp;G MATRIZ</t>
        </is>
      </c>
      <c r="H230" t="inlineStr">
        <is>
          <t>7.1.2</t>
        </is>
      </c>
      <c r="I230" t="inlineStr">
        <is>
          <t>MANUTENÇÃO DE VEÍCULOS/MAQUINAS</t>
        </is>
      </c>
      <c r="J230" t="n">
        <v>780</v>
      </c>
      <c r="K230" t="n">
        <v>780</v>
      </c>
    </row>
    <row r="231" hidden="1" s="154">
      <c r="A231" t="n">
        <v>2025</v>
      </c>
      <c r="B231" t="inlineStr">
        <is>
          <t>2025-05</t>
        </is>
      </c>
      <c r="C231" t="inlineStr">
        <is>
          <t>Campo Grande</t>
        </is>
      </c>
      <c r="D231" t="inlineStr">
        <is>
          <t>HYUNDAI</t>
        </is>
      </c>
      <c r="E231" t="inlineStr">
        <is>
          <t>EHH0046</t>
        </is>
      </c>
      <c r="F231" t="inlineStr">
        <is>
          <t>SELETIVA</t>
        </is>
      </c>
      <c r="G231" t="inlineStr">
        <is>
          <t>G&amp;G MATRIZ</t>
        </is>
      </c>
      <c r="H231" t="inlineStr">
        <is>
          <t>7.1.1</t>
        </is>
      </c>
      <c r="I231" t="inlineStr">
        <is>
          <t>PEÇAS DE MANUTENÇÃO</t>
        </is>
      </c>
      <c r="J231" t="n">
        <v>811.92</v>
      </c>
      <c r="K231" t="n">
        <v>811.92</v>
      </c>
    </row>
    <row r="232" hidden="1" s="154">
      <c r="A232" t="n">
        <v>2025</v>
      </c>
      <c r="B232" t="inlineStr">
        <is>
          <t>2025-05</t>
        </is>
      </c>
      <c r="C232" t="inlineStr">
        <is>
          <t>Campo Grande</t>
        </is>
      </c>
      <c r="D232" t="inlineStr">
        <is>
          <t>HYUNDAI</t>
        </is>
      </c>
      <c r="E232" t="inlineStr">
        <is>
          <t>EHH0046</t>
        </is>
      </c>
      <c r="F232" t="inlineStr">
        <is>
          <t>SELETIVA</t>
        </is>
      </c>
      <c r="G232" t="inlineStr">
        <is>
          <t>G&amp;G MATRIZ</t>
        </is>
      </c>
      <c r="H232" t="inlineStr">
        <is>
          <t>7.1.1</t>
        </is>
      </c>
      <c r="I232" t="inlineStr">
        <is>
          <t>PEÇAS DE MANUTENÇÃO</t>
        </is>
      </c>
      <c r="J232" t="n">
        <v>119.56</v>
      </c>
      <c r="K232" t="n">
        <v>119.56</v>
      </c>
    </row>
    <row r="233" hidden="1" s="154">
      <c r="A233" t="n">
        <v>2025</v>
      </c>
      <c r="B233" t="inlineStr">
        <is>
          <t>2025-05</t>
        </is>
      </c>
      <c r="C233" t="inlineStr">
        <is>
          <t>Campo Grande</t>
        </is>
      </c>
      <c r="D233" t="inlineStr">
        <is>
          <t>HYUNDAI</t>
        </is>
      </c>
      <c r="E233" t="inlineStr">
        <is>
          <t>EHH0046</t>
        </is>
      </c>
      <c r="F233" t="inlineStr">
        <is>
          <t>SELETIVA</t>
        </is>
      </c>
      <c r="G233" t="inlineStr">
        <is>
          <t>G&amp;G MATRIZ</t>
        </is>
      </c>
      <c r="H233" t="inlineStr">
        <is>
          <t>7.1.1</t>
        </is>
      </c>
      <c r="I233" t="inlineStr">
        <is>
          <t>PEÇAS DE MANUTENÇÃO</t>
        </is>
      </c>
      <c r="J233" t="n">
        <v>282.4</v>
      </c>
      <c r="K233" t="n">
        <v>282.4</v>
      </c>
    </row>
    <row r="234" hidden="1" s="154">
      <c r="A234" t="n">
        <v>2025</v>
      </c>
      <c r="B234" t="inlineStr">
        <is>
          <t>2025-05</t>
        </is>
      </c>
      <c r="C234" t="inlineStr">
        <is>
          <t>Campo Grande</t>
        </is>
      </c>
      <c r="D234" t="inlineStr">
        <is>
          <t>HYUNDAI</t>
        </is>
      </c>
      <c r="E234" t="inlineStr">
        <is>
          <t>EHH0046</t>
        </is>
      </c>
      <c r="F234" t="inlineStr">
        <is>
          <t>SELETIVA</t>
        </is>
      </c>
      <c r="G234" t="inlineStr">
        <is>
          <t>G&amp;G MATRIZ</t>
        </is>
      </c>
      <c r="H234" t="inlineStr">
        <is>
          <t>7.1.1</t>
        </is>
      </c>
      <c r="I234" t="inlineStr">
        <is>
          <t>PEÇAS DE MANUTENÇÃO</t>
        </is>
      </c>
      <c r="J234" t="n">
        <v>425.04</v>
      </c>
      <c r="K234" t="n">
        <v>425.04</v>
      </c>
    </row>
    <row r="235" hidden="1" s="154">
      <c r="A235" t="n">
        <v>2025</v>
      </c>
      <c r="B235" t="inlineStr">
        <is>
          <t>2025-05</t>
        </is>
      </c>
      <c r="C235" t="inlineStr">
        <is>
          <t>Campo Grande</t>
        </is>
      </c>
      <c r="D235" t="inlineStr">
        <is>
          <t>HYUNDAI</t>
        </is>
      </c>
      <c r="E235" t="inlineStr">
        <is>
          <t>EHH0046</t>
        </is>
      </c>
      <c r="F235" t="inlineStr">
        <is>
          <t>SELETIVA</t>
        </is>
      </c>
      <c r="G235" t="inlineStr">
        <is>
          <t>G&amp;G MATRIZ</t>
        </is>
      </c>
      <c r="H235" t="inlineStr">
        <is>
          <t>7.1.1</t>
        </is>
      </c>
      <c r="I235" t="inlineStr">
        <is>
          <t>PEÇAS DE MANUTENÇÃO</t>
        </is>
      </c>
      <c r="J235" t="n">
        <v>109.98</v>
      </c>
      <c r="K235" t="n">
        <v>109.98</v>
      </c>
    </row>
    <row r="236" hidden="1" s="154">
      <c r="A236" t="n">
        <v>2025</v>
      </c>
      <c r="B236" t="inlineStr">
        <is>
          <t>2025-05</t>
        </is>
      </c>
      <c r="C236" t="inlineStr">
        <is>
          <t>Campo Grande</t>
        </is>
      </c>
      <c r="D236" t="inlineStr">
        <is>
          <t>HYUNDAI</t>
        </is>
      </c>
      <c r="E236" t="inlineStr">
        <is>
          <t>EHH0046</t>
        </is>
      </c>
      <c r="F236" t="inlineStr">
        <is>
          <t>SELETIVA</t>
        </is>
      </c>
      <c r="G236" t="inlineStr">
        <is>
          <t>G&amp;G MATRIZ</t>
        </is>
      </c>
      <c r="H236" t="inlineStr">
        <is>
          <t>7.1.1</t>
        </is>
      </c>
      <c r="I236" t="inlineStr">
        <is>
          <t>PEÇAS DE MANUTENÇÃO</t>
        </is>
      </c>
      <c r="J236" t="n">
        <v>168</v>
      </c>
      <c r="K236" t="n">
        <v>168</v>
      </c>
    </row>
    <row r="237" hidden="1" s="154">
      <c r="A237" t="n">
        <v>2025</v>
      </c>
      <c r="B237" t="inlineStr">
        <is>
          <t>2025-05</t>
        </is>
      </c>
      <c r="C237" t="inlineStr">
        <is>
          <t>Campo Grande</t>
        </is>
      </c>
      <c r="D237" t="inlineStr">
        <is>
          <t>HYUNDAI</t>
        </is>
      </c>
      <c r="E237" t="inlineStr">
        <is>
          <t>EHH0046</t>
        </is>
      </c>
      <c r="F237" t="inlineStr">
        <is>
          <t>SELETIVA</t>
        </is>
      </c>
      <c r="G237" t="inlineStr">
        <is>
          <t>G&amp;G MATRIZ</t>
        </is>
      </c>
      <c r="H237" t="inlineStr">
        <is>
          <t>7.1.18</t>
        </is>
      </c>
      <c r="I237" t="inlineStr">
        <is>
          <t>FRETES E CARRETOS</t>
        </is>
      </c>
      <c r="J237" t="n">
        <v>85.89</v>
      </c>
      <c r="K237" t="n">
        <v>85.89</v>
      </c>
    </row>
    <row r="238" hidden="1" s="154">
      <c r="A238" t="n">
        <v>2025</v>
      </c>
      <c r="B238" t="inlineStr">
        <is>
          <t>2025-05</t>
        </is>
      </c>
      <c r="C238" t="inlineStr">
        <is>
          <t>Campo Grande</t>
        </is>
      </c>
      <c r="D238" t="inlineStr">
        <is>
          <t>HYUNDAI</t>
        </is>
      </c>
      <c r="E238" t="inlineStr">
        <is>
          <t>EHH0046</t>
        </is>
      </c>
      <c r="F238" t="inlineStr">
        <is>
          <t>SELETIVA</t>
        </is>
      </c>
      <c r="G238" t="inlineStr">
        <is>
          <t>G&amp;G MATRIZ</t>
        </is>
      </c>
      <c r="H238" t="inlineStr">
        <is>
          <t>7.1.22</t>
        </is>
      </c>
      <c r="I238" t="inlineStr">
        <is>
          <t>COMBUSTÍVEL - DIESEL (INTERNO)</t>
        </is>
      </c>
      <c r="J238" t="n">
        <v>1827.8</v>
      </c>
      <c r="K238" t="n">
        <v>1827.8</v>
      </c>
    </row>
    <row r="239" hidden="1" s="154">
      <c r="A239" t="n">
        <v>2025</v>
      </c>
      <c r="B239" t="inlineStr">
        <is>
          <t>2025-05</t>
        </is>
      </c>
      <c r="C239" t="inlineStr">
        <is>
          <t>Campo Grande</t>
        </is>
      </c>
      <c r="D239" t="inlineStr">
        <is>
          <t>HYUNDAI</t>
        </is>
      </c>
      <c r="E239" t="inlineStr">
        <is>
          <t>EHH0046</t>
        </is>
      </c>
      <c r="F239" t="inlineStr">
        <is>
          <t>SELETIVA</t>
        </is>
      </c>
      <c r="G239" t="inlineStr">
        <is>
          <t>G&amp;G MATRIZ</t>
        </is>
      </c>
      <c r="H239" t="inlineStr">
        <is>
          <t>7.1.22</t>
        </is>
      </c>
      <c r="I239" t="inlineStr">
        <is>
          <t>COMBUSTÍVEL - DIESEL (INTERNO)</t>
        </is>
      </c>
      <c r="J239" t="n">
        <v>969.8</v>
      </c>
      <c r="K239" t="n">
        <v>969.8</v>
      </c>
    </row>
    <row r="240" hidden="1" s="154">
      <c r="A240" t="n">
        <v>2025</v>
      </c>
      <c r="B240" t="inlineStr">
        <is>
          <t>2025-05</t>
        </is>
      </c>
      <c r="C240" t="inlineStr">
        <is>
          <t>Campo Grande</t>
        </is>
      </c>
      <c r="D240" t="inlineStr">
        <is>
          <t>HYUNDAI</t>
        </is>
      </c>
      <c r="E240" t="inlineStr">
        <is>
          <t>EHH0046</t>
        </is>
      </c>
      <c r="F240" t="inlineStr">
        <is>
          <t>SELETIVA</t>
        </is>
      </c>
      <c r="G240" t="inlineStr">
        <is>
          <t>G&amp;G MATRIZ</t>
        </is>
      </c>
      <c r="H240" t="inlineStr">
        <is>
          <t>7.1.2</t>
        </is>
      </c>
      <c r="I240" t="inlineStr">
        <is>
          <t>MANUTENÇÃO DE VEÍCULOS/MAQUINAS</t>
        </is>
      </c>
      <c r="J240" t="n">
        <v>150</v>
      </c>
      <c r="K240" t="n">
        <v>150</v>
      </c>
    </row>
    <row r="241" hidden="1" s="154">
      <c r="A241" t="n">
        <v>2025</v>
      </c>
      <c r="B241" t="inlineStr">
        <is>
          <t>2025-09</t>
        </is>
      </c>
      <c r="C241" t="inlineStr">
        <is>
          <t>Campo Grande</t>
        </is>
      </c>
      <c r="D241" t="inlineStr">
        <is>
          <t>HYUNDAI</t>
        </is>
      </c>
      <c r="E241" t="inlineStr">
        <is>
          <t>EHH0046</t>
        </is>
      </c>
      <c r="F241" t="inlineStr">
        <is>
          <t>SELETIVA</t>
        </is>
      </c>
      <c r="G241" t="inlineStr">
        <is>
          <t>G&amp;S PRUDENTE</t>
        </is>
      </c>
      <c r="H241" t="inlineStr">
        <is>
          <t>7.1.2</t>
        </is>
      </c>
      <c r="I241" t="inlineStr">
        <is>
          <t>MANUTENÇÃO DE VEÍCULOS/MAQUINAS</t>
        </is>
      </c>
      <c r="J241" t="n">
        <v>469</v>
      </c>
      <c r="K241" t="n">
        <v>-469</v>
      </c>
    </row>
    <row r="242" hidden="1" s="154">
      <c r="A242" t="n">
        <v>2025</v>
      </c>
      <c r="B242" t="inlineStr">
        <is>
          <t>2025-09</t>
        </is>
      </c>
      <c r="C242" t="inlineStr">
        <is>
          <t>Campo Grande</t>
        </is>
      </c>
      <c r="D242" t="inlineStr">
        <is>
          <t>HYUNDAI</t>
        </is>
      </c>
      <c r="E242" t="inlineStr">
        <is>
          <t>EHH0046</t>
        </is>
      </c>
      <c r="F242" t="inlineStr">
        <is>
          <t>SELETIVA</t>
        </is>
      </c>
      <c r="G242" t="inlineStr">
        <is>
          <t>G&amp;S PRUDENTE</t>
        </is>
      </c>
      <c r="H242" t="inlineStr">
        <is>
          <t>7.1.2</t>
        </is>
      </c>
      <c r="I242" t="inlineStr">
        <is>
          <t>MANUTENÇÃO DE VEÍCULOS/MAQUINAS</t>
        </is>
      </c>
      <c r="J242" t="n">
        <v>200</v>
      </c>
      <c r="K242" t="n">
        <v>-200</v>
      </c>
    </row>
    <row r="243" hidden="1" s="154">
      <c r="A243" t="n">
        <v>2025</v>
      </c>
      <c r="B243" t="inlineStr">
        <is>
          <t>2025-09</t>
        </is>
      </c>
      <c r="C243" t="inlineStr">
        <is>
          <t>Campo Grande</t>
        </is>
      </c>
      <c r="D243" t="inlineStr">
        <is>
          <t>HYUNDAI</t>
        </is>
      </c>
      <c r="E243" t="inlineStr">
        <is>
          <t>EHH0046</t>
        </is>
      </c>
      <c r="F243" t="inlineStr">
        <is>
          <t>SELETIVA</t>
        </is>
      </c>
      <c r="G243" t="inlineStr">
        <is>
          <t>CTA</t>
        </is>
      </c>
      <c r="H243" t="inlineStr">
        <is>
          <t>7.1.22</t>
        </is>
      </c>
      <c r="I243" t="inlineStr">
        <is>
          <t>COMBUSTÍVEL - DIESEL (INTERNO)</t>
        </is>
      </c>
      <c r="J243" t="n">
        <v>515.02</v>
      </c>
      <c r="K243" t="n">
        <v>-515.02</v>
      </c>
    </row>
    <row r="244" hidden="1" s="154">
      <c r="A244" t="n">
        <v>2025</v>
      </c>
      <c r="B244" t="inlineStr">
        <is>
          <t>2025-10</t>
        </is>
      </c>
      <c r="C244" t="inlineStr">
        <is>
          <t>Campo Grande</t>
        </is>
      </c>
      <c r="D244" t="inlineStr">
        <is>
          <t>HYUNDAI</t>
        </is>
      </c>
      <c r="E244" t="inlineStr">
        <is>
          <t>EHH0046</t>
        </is>
      </c>
      <c r="F244" t="inlineStr">
        <is>
          <t>SELETIVA</t>
        </is>
      </c>
      <c r="G244" t="inlineStr">
        <is>
          <t>G&amp;S PRUDENTE</t>
        </is>
      </c>
      <c r="H244" t="inlineStr">
        <is>
          <t>7.1.2</t>
        </is>
      </c>
      <c r="I244" t="inlineStr">
        <is>
          <t>MANUTENÇÃO DE VEÍCULOS/MAQUINAS</t>
        </is>
      </c>
      <c r="J244" t="n">
        <v>61.66</v>
      </c>
      <c r="K244" t="n">
        <v>-61.66</v>
      </c>
    </row>
    <row r="245" hidden="1" s="154">
      <c r="A245" t="n">
        <v>2025</v>
      </c>
      <c r="B245" t="inlineStr">
        <is>
          <t>2025-10</t>
        </is>
      </c>
      <c r="C245" t="inlineStr">
        <is>
          <t>Campo Grande</t>
        </is>
      </c>
      <c r="D245" t="inlineStr">
        <is>
          <t>HYUNDAI</t>
        </is>
      </c>
      <c r="E245" t="inlineStr">
        <is>
          <t>EHH0046</t>
        </is>
      </c>
      <c r="F245" t="inlineStr">
        <is>
          <t>SELETIVA</t>
        </is>
      </c>
      <c r="G245" t="inlineStr">
        <is>
          <t>G&amp;S PRUDENTE</t>
        </is>
      </c>
      <c r="H245" t="inlineStr">
        <is>
          <t>7.1.2</t>
        </is>
      </c>
      <c r="I245" t="inlineStr">
        <is>
          <t>MANUTENÇÃO DE VEÍCULOS/MAQUINAS</t>
        </is>
      </c>
      <c r="J245" t="n">
        <v>2000</v>
      </c>
      <c r="K245" t="n">
        <v>-2000</v>
      </c>
    </row>
    <row r="246" hidden="1" s="154">
      <c r="A246" t="n">
        <v>2025</v>
      </c>
      <c r="B246" t="inlineStr">
        <is>
          <t>2025-10</t>
        </is>
      </c>
      <c r="C246" t="inlineStr">
        <is>
          <t>Campo Grande</t>
        </is>
      </c>
      <c r="D246" t="inlineStr">
        <is>
          <t>HYUNDAI</t>
        </is>
      </c>
      <c r="E246" t="inlineStr">
        <is>
          <t>EHH0046</t>
        </is>
      </c>
      <c r="F246" t="inlineStr">
        <is>
          <t>SELETIVA</t>
        </is>
      </c>
      <c r="G246" t="inlineStr">
        <is>
          <t>G&amp;S PRUDENTE</t>
        </is>
      </c>
      <c r="H246" t="inlineStr">
        <is>
          <t>7.1.2</t>
        </is>
      </c>
      <c r="I246" t="inlineStr">
        <is>
          <t>MANUTENÇÃO DE VEÍCULOS/MAQUINAS</t>
        </is>
      </c>
      <c r="J246" t="n">
        <v>577.84</v>
      </c>
      <c r="K246" t="n">
        <v>-577.84</v>
      </c>
    </row>
    <row r="247" hidden="1" s="154">
      <c r="A247" t="n">
        <v>2026</v>
      </c>
      <c r="B247" t="inlineStr">
        <is>
          <t>2026-02</t>
        </is>
      </c>
      <c r="C247" t="inlineStr">
        <is>
          <t>Campo Grande</t>
        </is>
      </c>
      <c r="D247" t="inlineStr">
        <is>
          <t>HYUNDAI</t>
        </is>
      </c>
      <c r="E247" t="inlineStr">
        <is>
          <t>EHH0046</t>
        </is>
      </c>
      <c r="F247" t="inlineStr">
        <is>
          <t>EKIPA LOCACOES RSE</t>
        </is>
      </c>
      <c r="G247" t="inlineStr">
        <is>
          <t>G&amp;S PRUDENTE</t>
        </is>
      </c>
      <c r="H247" t="inlineStr">
        <is>
          <t>7.1.2</t>
        </is>
      </c>
      <c r="I247" t="inlineStr">
        <is>
          <t>MANUTENÇÃO DE VEÍCULOS/MAQUINAS</t>
        </is>
      </c>
      <c r="J247" t="n">
        <v>200.03</v>
      </c>
      <c r="K247" t="n">
        <v>-200.03</v>
      </c>
    </row>
    <row r="248" hidden="1" s="154">
      <c r="A248" t="n">
        <v>2026</v>
      </c>
      <c r="B248" t="inlineStr">
        <is>
          <t>2026-02</t>
        </is>
      </c>
      <c r="C248" t="inlineStr">
        <is>
          <t>Campo Grande</t>
        </is>
      </c>
      <c r="D248" t="inlineStr">
        <is>
          <t>HYUNDAI</t>
        </is>
      </c>
      <c r="E248" t="inlineStr">
        <is>
          <t>EHH0046</t>
        </is>
      </c>
      <c r="F248" t="inlineStr">
        <is>
          <t>SELETIVA</t>
        </is>
      </c>
      <c r="G248" t="inlineStr">
        <is>
          <t>G3S PRUDENTE</t>
        </is>
      </c>
      <c r="H248" t="inlineStr">
        <is>
          <t>7.1.2</t>
        </is>
      </c>
      <c r="I248" t="inlineStr">
        <is>
          <t>MANUTENÇÃO DE VEÍCULOS/MAQUINAS</t>
        </is>
      </c>
      <c r="J248" t="n">
        <v>475</v>
      </c>
      <c r="K248" t="n">
        <v>-475</v>
      </c>
    </row>
    <row r="249" hidden="1" s="154">
      <c r="A249" t="n">
        <v>2025</v>
      </c>
      <c r="B249" t="inlineStr">
        <is>
          <t>2025-01</t>
        </is>
      </c>
      <c r="C249" t="inlineStr">
        <is>
          <t>Dourados</t>
        </is>
      </c>
      <c r="D249" t="inlineStr">
        <is>
          <t>HYUNDAI</t>
        </is>
      </c>
      <c r="E249" t="inlineStr">
        <is>
          <t>EHH0036</t>
        </is>
      </c>
      <c r="F249" t="inlineStr">
        <is>
          <t>SELETIVA</t>
        </is>
      </c>
      <c r="G249" t="inlineStr">
        <is>
          <t>G&amp;G MATRIZ</t>
        </is>
      </c>
      <c r="H249" t="inlineStr">
        <is>
          <t>7.1.22</t>
        </is>
      </c>
      <c r="I249" t="inlineStr">
        <is>
          <t>COMBUSTÍVEL - DIESEL (INTERNO)</t>
        </is>
      </c>
      <c r="J249" t="n">
        <v>1872.88</v>
      </c>
      <c r="K249" t="n">
        <v>1872.88</v>
      </c>
    </row>
    <row r="250" hidden="1" s="154">
      <c r="A250" t="n">
        <v>2025</v>
      </c>
      <c r="B250" t="inlineStr">
        <is>
          <t>2025-01</t>
        </is>
      </c>
      <c r="C250" t="inlineStr">
        <is>
          <t>Dourados</t>
        </is>
      </c>
      <c r="D250" t="inlineStr">
        <is>
          <t>HYUNDAI</t>
        </is>
      </c>
      <c r="E250" t="inlineStr">
        <is>
          <t>EHH0036</t>
        </is>
      </c>
      <c r="F250" t="inlineStr">
        <is>
          <t>SELETIVA</t>
        </is>
      </c>
      <c r="G250" t="inlineStr">
        <is>
          <t>G&amp;G MATRIZ</t>
        </is>
      </c>
      <c r="H250" t="inlineStr">
        <is>
          <t>7.1.22</t>
        </is>
      </c>
      <c r="I250" t="inlineStr">
        <is>
          <t>COMBUSTÍVEL - DIESEL (INTERNO)</t>
        </is>
      </c>
      <c r="J250" t="n">
        <v>1967.1</v>
      </c>
      <c r="K250" t="n">
        <v>1967.1</v>
      </c>
    </row>
    <row r="251" hidden="1" s="154">
      <c r="A251" t="n">
        <v>2025</v>
      </c>
      <c r="B251" t="inlineStr">
        <is>
          <t>2025-01</t>
        </is>
      </c>
      <c r="C251" t="inlineStr">
        <is>
          <t>Dourados</t>
        </is>
      </c>
      <c r="D251" t="inlineStr">
        <is>
          <t>HYUNDAI</t>
        </is>
      </c>
      <c r="E251" t="inlineStr">
        <is>
          <t>EHH0036</t>
        </is>
      </c>
      <c r="F251" t="inlineStr">
        <is>
          <t>SELETIVA</t>
        </is>
      </c>
      <c r="G251" t="inlineStr">
        <is>
          <t>G&amp;G - MATO GROSSO DO SUL</t>
        </is>
      </c>
      <c r="H251" t="inlineStr">
        <is>
          <t>7.1.1</t>
        </is>
      </c>
      <c r="I251" t="inlineStr">
        <is>
          <t>PEÇAS DE MANUTENÇÃO</t>
        </is>
      </c>
      <c r="J251" t="n">
        <v>125.29</v>
      </c>
      <c r="K251" t="n">
        <v>125.29</v>
      </c>
    </row>
    <row r="252" hidden="1" s="154">
      <c r="A252" t="n">
        <v>2025</v>
      </c>
      <c r="B252" t="inlineStr">
        <is>
          <t>2025-01</t>
        </is>
      </c>
      <c r="C252" t="inlineStr">
        <is>
          <t>Dourados</t>
        </is>
      </c>
      <c r="D252" t="inlineStr">
        <is>
          <t>HYUNDAI</t>
        </is>
      </c>
      <c r="E252" t="inlineStr">
        <is>
          <t>EHH0036</t>
        </is>
      </c>
      <c r="F252" t="inlineStr">
        <is>
          <t>SELETIVA</t>
        </is>
      </c>
      <c r="G252" t="inlineStr">
        <is>
          <t>G&amp;G - MATO GROSSO DO SUL</t>
        </is>
      </c>
      <c r="H252" t="inlineStr">
        <is>
          <t>7.1.1</t>
        </is>
      </c>
      <c r="I252" t="inlineStr">
        <is>
          <t>PEÇAS DE MANUTENÇÃO</t>
        </is>
      </c>
      <c r="J252" t="n">
        <v>1376</v>
      </c>
      <c r="K252" t="n">
        <v>1376</v>
      </c>
    </row>
    <row r="253" hidden="1" s="154">
      <c r="A253" t="n">
        <v>2025</v>
      </c>
      <c r="B253" t="inlineStr">
        <is>
          <t>2025-01</t>
        </is>
      </c>
      <c r="C253" t="inlineStr">
        <is>
          <t>Dourados</t>
        </is>
      </c>
      <c r="D253" t="inlineStr">
        <is>
          <t>HYUNDAI</t>
        </is>
      </c>
      <c r="E253" t="inlineStr">
        <is>
          <t>EHH0036</t>
        </is>
      </c>
      <c r="F253" t="inlineStr">
        <is>
          <t>SELETIVA</t>
        </is>
      </c>
      <c r="G253" t="inlineStr">
        <is>
          <t>G&amp;G - MATO GROSSO DO SUL</t>
        </is>
      </c>
      <c r="H253" t="inlineStr">
        <is>
          <t>7.1.2</t>
        </is>
      </c>
      <c r="I253" t="inlineStr">
        <is>
          <t>MANUTENÇÃO DE VEÍCULOS/MAQUINAS</t>
        </is>
      </c>
      <c r="J253" t="n">
        <v>520</v>
      </c>
      <c r="K253" t="n">
        <v>520</v>
      </c>
    </row>
    <row r="254" hidden="1" s="154">
      <c r="A254" t="n">
        <v>2025</v>
      </c>
      <c r="B254" t="inlineStr">
        <is>
          <t>2025-01</t>
        </is>
      </c>
      <c r="C254" t="inlineStr">
        <is>
          <t>Dourados</t>
        </is>
      </c>
      <c r="D254" t="inlineStr">
        <is>
          <t>HYUNDAI</t>
        </is>
      </c>
      <c r="E254" t="inlineStr">
        <is>
          <t>EHH0036</t>
        </is>
      </c>
      <c r="F254" t="inlineStr">
        <is>
          <t>SELETIVA</t>
        </is>
      </c>
      <c r="G254" t="inlineStr">
        <is>
          <t>G&amp;G - MATO GROSSO DO SUL</t>
        </is>
      </c>
      <c r="H254" t="inlineStr">
        <is>
          <t>7.1.1</t>
        </is>
      </c>
      <c r="I254" t="inlineStr">
        <is>
          <t>PEÇAS DE MANUTENÇÃO</t>
        </is>
      </c>
      <c r="J254" t="n">
        <v>75.66</v>
      </c>
      <c r="K254" t="n">
        <v>75.66</v>
      </c>
    </row>
    <row r="255" hidden="1" s="154">
      <c r="A255" t="n">
        <v>2025</v>
      </c>
      <c r="B255" t="inlineStr">
        <is>
          <t>2025-02</t>
        </is>
      </c>
      <c r="C255" t="inlineStr">
        <is>
          <t>Dourados</t>
        </is>
      </c>
      <c r="D255" t="inlineStr">
        <is>
          <t>HYUNDAI</t>
        </is>
      </c>
      <c r="E255" t="inlineStr">
        <is>
          <t>EHH0036</t>
        </is>
      </c>
      <c r="F255" t="inlineStr">
        <is>
          <t>SELETIVA</t>
        </is>
      </c>
      <c r="G255" t="inlineStr">
        <is>
          <t>G&amp;G MATRIZ</t>
        </is>
      </c>
      <c r="H255" t="inlineStr">
        <is>
          <t>7.1.22</t>
        </is>
      </c>
      <c r="I255" t="inlineStr">
        <is>
          <t>COMBUSTÍVEL - DIESEL (INTERNO)</t>
        </is>
      </c>
      <c r="J255" t="n">
        <v>1821.49</v>
      </c>
      <c r="K255" t="n">
        <v>1821.49</v>
      </c>
    </row>
    <row r="256" hidden="1" s="154">
      <c r="A256" t="n">
        <v>2025</v>
      </c>
      <c r="B256" t="inlineStr">
        <is>
          <t>2025-02</t>
        </is>
      </c>
      <c r="C256" t="inlineStr">
        <is>
          <t>Dourados</t>
        </is>
      </c>
      <c r="D256" t="inlineStr">
        <is>
          <t>HYUNDAI</t>
        </is>
      </c>
      <c r="E256" t="inlineStr">
        <is>
          <t>EHH0036</t>
        </is>
      </c>
      <c r="F256" t="inlineStr">
        <is>
          <t>SELETIVA</t>
        </is>
      </c>
      <c r="G256" t="inlineStr">
        <is>
          <t>G&amp;G MATRIZ</t>
        </is>
      </c>
      <c r="H256" t="inlineStr">
        <is>
          <t>7.1.22</t>
        </is>
      </c>
      <c r="I256" t="inlineStr">
        <is>
          <t>COMBUSTÍVEL - DIESEL (INTERNO)</t>
        </is>
      </c>
      <c r="J256" t="n">
        <v>1847.18</v>
      </c>
      <c r="K256" t="n">
        <v>1847.18</v>
      </c>
    </row>
    <row r="257" hidden="1" s="154">
      <c r="A257" t="n">
        <v>2025</v>
      </c>
      <c r="B257" t="inlineStr">
        <is>
          <t>2025-02</t>
        </is>
      </c>
      <c r="C257" t="inlineStr">
        <is>
          <t>Dourados</t>
        </is>
      </c>
      <c r="D257" t="inlineStr">
        <is>
          <t>HYUNDAI</t>
        </is>
      </c>
      <c r="E257" t="inlineStr">
        <is>
          <t>EHH0036</t>
        </is>
      </c>
      <c r="F257" t="inlineStr">
        <is>
          <t>SELETIVA</t>
        </is>
      </c>
      <c r="G257" t="inlineStr">
        <is>
          <t>G&amp;G MATRIZ</t>
        </is>
      </c>
      <c r="H257" t="inlineStr">
        <is>
          <t>7.1.22</t>
        </is>
      </c>
      <c r="I257" t="inlineStr">
        <is>
          <t>COMBUSTÍVEL - DIESEL (INTERNO)</t>
        </is>
      </c>
      <c r="J257" t="n">
        <v>1932.84</v>
      </c>
      <c r="K257" t="n">
        <v>1932.84</v>
      </c>
    </row>
    <row r="258" hidden="1" s="154">
      <c r="A258" t="n">
        <v>2025</v>
      </c>
      <c r="B258" t="inlineStr">
        <is>
          <t>2025-02</t>
        </is>
      </c>
      <c r="C258" t="inlineStr">
        <is>
          <t>Dourados</t>
        </is>
      </c>
      <c r="D258" t="inlineStr">
        <is>
          <t>HYUNDAI</t>
        </is>
      </c>
      <c r="E258" t="inlineStr">
        <is>
          <t>EHH0036</t>
        </is>
      </c>
      <c r="F258" t="inlineStr">
        <is>
          <t>SELETIVA</t>
        </is>
      </c>
      <c r="G258" t="inlineStr">
        <is>
          <t>G&amp;G MATRIZ</t>
        </is>
      </c>
      <c r="H258" t="inlineStr">
        <is>
          <t>7.1.22</t>
        </is>
      </c>
      <c r="I258" t="inlineStr">
        <is>
          <t>COMBUSTÍVEL - DIESEL (INTERNO)</t>
        </is>
      </c>
      <c r="J258" t="n">
        <v>1975.66</v>
      </c>
      <c r="K258" t="n">
        <v>1975.66</v>
      </c>
    </row>
    <row r="259" hidden="1" s="154">
      <c r="A259" t="n">
        <v>2025</v>
      </c>
      <c r="B259" t="inlineStr">
        <is>
          <t>2025-02</t>
        </is>
      </c>
      <c r="C259" t="inlineStr">
        <is>
          <t>Dourados</t>
        </is>
      </c>
      <c r="D259" t="inlineStr">
        <is>
          <t>HYUNDAI</t>
        </is>
      </c>
      <c r="E259" t="inlineStr">
        <is>
          <t>EHH0036</t>
        </is>
      </c>
      <c r="F259" t="inlineStr">
        <is>
          <t>SELETIVA</t>
        </is>
      </c>
      <c r="G259" t="inlineStr">
        <is>
          <t>G&amp;G MATRIZ</t>
        </is>
      </c>
      <c r="H259" t="inlineStr">
        <is>
          <t>7.1.22</t>
        </is>
      </c>
      <c r="I259" t="inlineStr">
        <is>
          <t>COMBUSTÍVEL - DIESEL (INTERNO)</t>
        </is>
      </c>
      <c r="J259" t="n">
        <v>359.73</v>
      </c>
      <c r="K259" t="n">
        <v>359.73</v>
      </c>
    </row>
    <row r="260" hidden="1" s="154">
      <c r="A260" t="n">
        <v>2025</v>
      </c>
      <c r="B260" t="inlineStr">
        <is>
          <t>2025-02</t>
        </is>
      </c>
      <c r="C260" t="inlineStr">
        <is>
          <t>Dourados</t>
        </is>
      </c>
      <c r="D260" t="inlineStr">
        <is>
          <t>HYUNDAI</t>
        </is>
      </c>
      <c r="E260" t="inlineStr">
        <is>
          <t>EHH0036</t>
        </is>
      </c>
      <c r="F260" t="inlineStr">
        <is>
          <t>SELETIVA</t>
        </is>
      </c>
      <c r="G260" t="inlineStr">
        <is>
          <t>G&amp;G MATRIZ</t>
        </is>
      </c>
      <c r="H260" t="inlineStr">
        <is>
          <t>7.1.22</t>
        </is>
      </c>
      <c r="I260" t="inlineStr">
        <is>
          <t>COMBUSTÍVEL - DIESEL (INTERNO)</t>
        </is>
      </c>
      <c r="J260" t="n">
        <v>1958.53</v>
      </c>
      <c r="K260" t="n">
        <v>1958.53</v>
      </c>
    </row>
    <row r="261" hidden="1" s="154">
      <c r="A261" t="n">
        <v>2025</v>
      </c>
      <c r="B261" t="inlineStr">
        <is>
          <t>2025-02</t>
        </is>
      </c>
      <c r="C261" t="inlineStr">
        <is>
          <t>Dourados</t>
        </is>
      </c>
      <c r="D261" t="inlineStr">
        <is>
          <t>HYUNDAI</t>
        </is>
      </c>
      <c r="E261" t="inlineStr">
        <is>
          <t>EHH0036</t>
        </is>
      </c>
      <c r="F261" t="inlineStr">
        <is>
          <t>SELETIVA</t>
        </is>
      </c>
      <c r="G261" t="inlineStr">
        <is>
          <t>G&amp;G - MATO GROSSO DO SUL</t>
        </is>
      </c>
      <c r="H261" t="inlineStr">
        <is>
          <t>7.1.1</t>
        </is>
      </c>
      <c r="I261" t="inlineStr">
        <is>
          <t>PEÇAS DE MANUTENÇÃO</t>
        </is>
      </c>
      <c r="J261" t="n">
        <v>2065.34</v>
      </c>
      <c r="K261" t="n">
        <v>2065.34</v>
      </c>
    </row>
    <row r="262" hidden="1" s="154">
      <c r="A262" t="n">
        <v>2025</v>
      </c>
      <c r="B262" t="inlineStr">
        <is>
          <t>2025-03</t>
        </is>
      </c>
      <c r="C262" t="inlineStr">
        <is>
          <t>Dourados</t>
        </is>
      </c>
      <c r="D262" t="inlineStr">
        <is>
          <t>HYUNDAI</t>
        </is>
      </c>
      <c r="E262" t="inlineStr">
        <is>
          <t>EHH0036</t>
        </is>
      </c>
      <c r="F262" t="inlineStr">
        <is>
          <t>SELETIVA</t>
        </is>
      </c>
      <c r="G262" t="inlineStr">
        <is>
          <t>G&amp;G MATRIZ</t>
        </is>
      </c>
      <c r="H262" t="inlineStr">
        <is>
          <t>7.1.22</t>
        </is>
      </c>
      <c r="I262" t="inlineStr">
        <is>
          <t>COMBUSTÍVEL - DIESEL (INTERNO)</t>
        </is>
      </c>
      <c r="J262" t="n">
        <v>2007.07</v>
      </c>
      <c r="K262" t="n">
        <v>2007.07</v>
      </c>
    </row>
    <row r="263" hidden="1" s="154">
      <c r="A263" t="n">
        <v>2025</v>
      </c>
      <c r="B263" t="inlineStr">
        <is>
          <t>2025-03</t>
        </is>
      </c>
      <c r="C263" t="inlineStr">
        <is>
          <t>Dourados</t>
        </is>
      </c>
      <c r="D263" t="inlineStr">
        <is>
          <t>HYUNDAI</t>
        </is>
      </c>
      <c r="E263" t="inlineStr">
        <is>
          <t>EHH0036</t>
        </is>
      </c>
      <c r="F263" t="inlineStr">
        <is>
          <t>SELETIVA</t>
        </is>
      </c>
      <c r="G263" t="inlineStr">
        <is>
          <t>G&amp;G - MATO GROSSO DO SUL</t>
        </is>
      </c>
      <c r="H263" t="inlineStr">
        <is>
          <t>7.1.4</t>
        </is>
      </c>
      <c r="I263" t="inlineStr">
        <is>
          <t>COMBUSTÍVEL - DIESEL (POSTO)</t>
        </is>
      </c>
      <c r="J263" t="n">
        <v>665.74</v>
      </c>
      <c r="K263" t="n">
        <v>665.74</v>
      </c>
    </row>
    <row r="264" hidden="1" s="154">
      <c r="A264" t="n">
        <v>2025</v>
      </c>
      <c r="B264" t="inlineStr">
        <is>
          <t>2025-03</t>
        </is>
      </c>
      <c r="C264" t="inlineStr">
        <is>
          <t>Dourados</t>
        </is>
      </c>
      <c r="D264" t="inlineStr">
        <is>
          <t>HYUNDAI</t>
        </is>
      </c>
      <c r="E264" t="inlineStr">
        <is>
          <t>EHH0036</t>
        </is>
      </c>
      <c r="F264" t="inlineStr">
        <is>
          <t>SELETIVA</t>
        </is>
      </c>
      <c r="G264" t="inlineStr">
        <is>
          <t>G&amp;G - MATO GROSSO DO SUL</t>
        </is>
      </c>
      <c r="H264" t="inlineStr">
        <is>
          <t>7.1.1</t>
        </is>
      </c>
      <c r="I264" t="inlineStr">
        <is>
          <t>PEÇAS DE MANUTENÇÃO</t>
        </is>
      </c>
      <c r="J264" t="n">
        <v>1066.36</v>
      </c>
      <c r="K264" t="n">
        <v>1066.36</v>
      </c>
    </row>
    <row r="265" hidden="1" s="154">
      <c r="A265" t="n">
        <v>2025</v>
      </c>
      <c r="B265" t="inlineStr">
        <is>
          <t>2025-04</t>
        </is>
      </c>
      <c r="C265" t="inlineStr">
        <is>
          <t>Dourados</t>
        </is>
      </c>
      <c r="D265" t="inlineStr">
        <is>
          <t>HYUNDAI</t>
        </is>
      </c>
      <c r="E265" t="inlineStr">
        <is>
          <t>EHH0036</t>
        </is>
      </c>
      <c r="F265" t="inlineStr">
        <is>
          <t>SELETIVA</t>
        </is>
      </c>
      <c r="G265" t="inlineStr">
        <is>
          <t>G&amp;G - MATO GROSSO DO SUL</t>
        </is>
      </c>
      <c r="H265" t="inlineStr">
        <is>
          <t>7.1.4</t>
        </is>
      </c>
      <c r="I265" t="inlineStr">
        <is>
          <t>COMBUSTÍVEL - DIESEL (POSTO)</t>
        </is>
      </c>
      <c r="J265" t="n">
        <v>597.6</v>
      </c>
      <c r="K265" t="n">
        <v>597.6</v>
      </c>
    </row>
    <row r="266" hidden="1" s="154">
      <c r="A266" t="n">
        <v>2025</v>
      </c>
      <c r="B266" t="inlineStr">
        <is>
          <t>2025-04</t>
        </is>
      </c>
      <c r="C266" t="inlineStr">
        <is>
          <t>Dourados</t>
        </is>
      </c>
      <c r="D266" t="inlineStr">
        <is>
          <t>HYUNDAI</t>
        </is>
      </c>
      <c r="E266" t="inlineStr">
        <is>
          <t>EHH0036</t>
        </is>
      </c>
      <c r="F266" t="inlineStr">
        <is>
          <t>SELETIVA</t>
        </is>
      </c>
      <c r="G266" t="inlineStr">
        <is>
          <t>G&amp;G MATRIZ</t>
        </is>
      </c>
      <c r="H266" t="inlineStr">
        <is>
          <t>7.1.1</t>
        </is>
      </c>
      <c r="I266" t="inlineStr">
        <is>
          <t>PEÇAS DE MANUTENÇÃO</t>
        </is>
      </c>
      <c r="J266" t="n">
        <v>1000</v>
      </c>
      <c r="K266" t="n">
        <v>1000</v>
      </c>
    </row>
    <row r="267" hidden="1" s="154">
      <c r="A267" t="n">
        <v>2025</v>
      </c>
      <c r="B267" t="inlineStr">
        <is>
          <t>2025-04</t>
        </is>
      </c>
      <c r="C267" t="inlineStr">
        <is>
          <t>Dourados</t>
        </is>
      </c>
      <c r="D267" t="inlineStr">
        <is>
          <t>HYUNDAI</t>
        </is>
      </c>
      <c r="E267" t="inlineStr">
        <is>
          <t>EHH0036</t>
        </is>
      </c>
      <c r="F267" t="inlineStr">
        <is>
          <t>SELETIVA</t>
        </is>
      </c>
      <c r="G267" t="inlineStr">
        <is>
          <t>G&amp;G MATRIZ</t>
        </is>
      </c>
      <c r="H267" t="inlineStr">
        <is>
          <t>7.1.22</t>
        </is>
      </c>
      <c r="I267" t="inlineStr">
        <is>
          <t>COMBUSTÍVEL - DIESEL (INTERNO)</t>
        </is>
      </c>
      <c r="J267" t="n">
        <v>2009.92</v>
      </c>
      <c r="K267" t="n">
        <v>2009.92</v>
      </c>
    </row>
    <row r="268" hidden="1" s="154">
      <c r="A268" t="n">
        <v>2025</v>
      </c>
      <c r="B268" t="inlineStr">
        <is>
          <t>2025-04</t>
        </is>
      </c>
      <c r="C268" t="inlineStr">
        <is>
          <t>Dourados</t>
        </is>
      </c>
      <c r="D268" t="inlineStr">
        <is>
          <t>HYUNDAI</t>
        </is>
      </c>
      <c r="E268" t="inlineStr">
        <is>
          <t>EHH0036</t>
        </is>
      </c>
      <c r="F268" t="inlineStr">
        <is>
          <t>SELETIVA</t>
        </is>
      </c>
      <c r="G268" t="inlineStr">
        <is>
          <t>G&amp;G MATRIZ</t>
        </is>
      </c>
      <c r="H268" t="inlineStr">
        <is>
          <t>7.1.2</t>
        </is>
      </c>
      <c r="I268" t="inlineStr">
        <is>
          <t>MANUTENÇÃO DE VEÍCULOS/MAQUINAS</t>
        </is>
      </c>
      <c r="J268" t="n">
        <v>225</v>
      </c>
      <c r="K268" t="n">
        <v>225</v>
      </c>
    </row>
    <row r="269" hidden="1" s="154">
      <c r="A269" t="n">
        <v>2025</v>
      </c>
      <c r="B269" t="inlineStr">
        <is>
          <t>2025-04</t>
        </is>
      </c>
      <c r="C269" t="inlineStr">
        <is>
          <t>Dourados</t>
        </is>
      </c>
      <c r="D269" t="inlineStr">
        <is>
          <t>HYUNDAI</t>
        </is>
      </c>
      <c r="E269" t="inlineStr">
        <is>
          <t>EHH0036</t>
        </is>
      </c>
      <c r="F269" t="inlineStr">
        <is>
          <t>SELETIVA</t>
        </is>
      </c>
      <c r="G269" t="inlineStr">
        <is>
          <t>G&amp;G MATRIZ</t>
        </is>
      </c>
      <c r="H269" t="inlineStr">
        <is>
          <t>7.1.22</t>
        </is>
      </c>
      <c r="I269" t="inlineStr">
        <is>
          <t>COMBUSTÍVEL - DIESEL (INTERNO)</t>
        </is>
      </c>
      <c r="J269" t="n">
        <v>1578.72</v>
      </c>
      <c r="K269" t="n">
        <v>1578.72</v>
      </c>
    </row>
    <row r="270" hidden="1" s="154">
      <c r="A270" t="n">
        <v>2025</v>
      </c>
      <c r="B270" t="inlineStr">
        <is>
          <t>2025-04</t>
        </is>
      </c>
      <c r="C270" t="inlineStr">
        <is>
          <t>Dourados</t>
        </is>
      </c>
      <c r="D270" t="inlineStr">
        <is>
          <t>HYUNDAI</t>
        </is>
      </c>
      <c r="E270" t="inlineStr">
        <is>
          <t>EHH0036</t>
        </is>
      </c>
      <c r="F270" t="inlineStr">
        <is>
          <t>SELETIVA</t>
        </is>
      </c>
      <c r="G270" t="inlineStr">
        <is>
          <t>G&amp;G MATRIZ</t>
        </is>
      </c>
      <c r="H270" t="inlineStr">
        <is>
          <t>7.1.22</t>
        </is>
      </c>
      <c r="I270" t="inlineStr">
        <is>
          <t>COMBUSTÍVEL - DIESEL (INTERNO)</t>
        </is>
      </c>
      <c r="J270" t="n">
        <v>2025.84</v>
      </c>
      <c r="K270" t="n">
        <v>2025.84</v>
      </c>
    </row>
    <row r="271" hidden="1" s="154">
      <c r="A271" t="n">
        <v>2025</v>
      </c>
      <c r="B271" t="inlineStr">
        <is>
          <t>2025-04</t>
        </is>
      </c>
      <c r="C271" t="inlineStr">
        <is>
          <t>Dourados</t>
        </is>
      </c>
      <c r="D271" t="inlineStr">
        <is>
          <t>HYUNDAI</t>
        </is>
      </c>
      <c r="E271" t="inlineStr">
        <is>
          <t>EHH0036</t>
        </is>
      </c>
      <c r="F271" t="inlineStr">
        <is>
          <t>SELETIVA</t>
        </is>
      </c>
      <c r="G271" t="inlineStr">
        <is>
          <t>G&amp;G MATRIZ</t>
        </is>
      </c>
      <c r="H271" t="inlineStr">
        <is>
          <t>7.1.22</t>
        </is>
      </c>
      <c r="I271" t="inlineStr">
        <is>
          <t>COMBUSTÍVEL - DIESEL (INTERNO)</t>
        </is>
      </c>
      <c r="J271" t="n">
        <v>1694.64</v>
      </c>
      <c r="K271" t="n">
        <v>1694.64</v>
      </c>
    </row>
    <row r="272" hidden="1" s="154">
      <c r="A272" t="n">
        <v>2025</v>
      </c>
      <c r="B272" t="inlineStr">
        <is>
          <t>2025-05</t>
        </is>
      </c>
      <c r="C272" t="inlineStr">
        <is>
          <t>Dourados</t>
        </is>
      </c>
      <c r="D272" t="inlineStr">
        <is>
          <t>HYUNDAI</t>
        </is>
      </c>
      <c r="E272" t="inlineStr">
        <is>
          <t>EHH0036</t>
        </is>
      </c>
      <c r="F272" t="inlineStr">
        <is>
          <t>SELETIVA</t>
        </is>
      </c>
      <c r="G272" t="inlineStr">
        <is>
          <t>G&amp;G - MATO GROSSO DO SUL</t>
        </is>
      </c>
      <c r="H272" t="inlineStr">
        <is>
          <t>7.1.1</t>
        </is>
      </c>
      <c r="I272" t="inlineStr">
        <is>
          <t>PEÇAS DE MANUTENÇÃO</t>
        </is>
      </c>
      <c r="J272" t="n">
        <v>189.56</v>
      </c>
      <c r="K272" t="n">
        <v>189.56</v>
      </c>
    </row>
    <row r="273" hidden="1" s="154">
      <c r="A273" t="n">
        <v>2025</v>
      </c>
      <c r="B273" t="inlineStr">
        <is>
          <t>2025-05</t>
        </is>
      </c>
      <c r="C273" t="inlineStr">
        <is>
          <t>Dourados</t>
        </is>
      </c>
      <c r="D273" t="inlineStr">
        <is>
          <t>HYUNDAI</t>
        </is>
      </c>
      <c r="E273" t="inlineStr">
        <is>
          <t>EHH0036</t>
        </is>
      </c>
      <c r="F273" t="inlineStr">
        <is>
          <t>SELETIVA</t>
        </is>
      </c>
      <c r="G273" t="inlineStr">
        <is>
          <t>G&amp;G MATRIZ</t>
        </is>
      </c>
      <c r="H273" t="inlineStr">
        <is>
          <t>7.1.22</t>
        </is>
      </c>
      <c r="I273" t="inlineStr">
        <is>
          <t>COMBUSTÍVEL - DIESEL (INTERNO)</t>
        </is>
      </c>
      <c r="J273" t="n">
        <v>1873.32</v>
      </c>
      <c r="K273" t="n">
        <v>1873.32</v>
      </c>
    </row>
    <row r="274" hidden="1" s="154">
      <c r="A274" t="n">
        <v>2025</v>
      </c>
      <c r="B274" t="inlineStr">
        <is>
          <t>2025-05</t>
        </is>
      </c>
      <c r="C274" t="inlineStr">
        <is>
          <t>Dourados</t>
        </is>
      </c>
      <c r="D274" t="inlineStr">
        <is>
          <t>HYUNDAI</t>
        </is>
      </c>
      <c r="E274" t="inlineStr">
        <is>
          <t>EHH0036</t>
        </is>
      </c>
      <c r="F274" t="inlineStr">
        <is>
          <t>SELETIVA</t>
        </is>
      </c>
      <c r="G274" t="inlineStr">
        <is>
          <t>G&amp;G MATRIZ</t>
        </is>
      </c>
      <c r="H274" t="inlineStr">
        <is>
          <t>7.1.22</t>
        </is>
      </c>
      <c r="I274" t="inlineStr">
        <is>
          <t>COMBUSTÍVEL - DIESEL (INTERNO)</t>
        </is>
      </c>
      <c r="J274" t="n">
        <v>1940.32</v>
      </c>
      <c r="K274" t="n">
        <v>1940.32</v>
      </c>
    </row>
    <row r="275" hidden="1" s="154">
      <c r="A275" t="n">
        <v>2025</v>
      </c>
      <c r="B275" t="inlineStr">
        <is>
          <t>2025-05</t>
        </is>
      </c>
      <c r="C275" t="inlineStr">
        <is>
          <t>Dourados</t>
        </is>
      </c>
      <c r="D275" t="inlineStr">
        <is>
          <t>HYUNDAI</t>
        </is>
      </c>
      <c r="E275" t="inlineStr">
        <is>
          <t>EHH0036</t>
        </is>
      </c>
      <c r="F275" t="inlineStr">
        <is>
          <t>SELETIVA</t>
        </is>
      </c>
      <c r="G275" t="inlineStr">
        <is>
          <t>G&amp;G MATRIZ</t>
        </is>
      </c>
      <c r="H275" t="inlineStr">
        <is>
          <t>7.1.22</t>
        </is>
      </c>
      <c r="I275" t="inlineStr">
        <is>
          <t>COMBUSTÍVEL - DIESEL (INTERNO)</t>
        </is>
      </c>
      <c r="J275" t="n">
        <v>278.72</v>
      </c>
      <c r="K275" t="n">
        <v>278.72</v>
      </c>
    </row>
    <row r="276" hidden="1" s="154">
      <c r="A276" t="n">
        <v>2025</v>
      </c>
      <c r="B276" t="inlineStr">
        <is>
          <t>2025-05</t>
        </is>
      </c>
      <c r="C276" t="inlineStr">
        <is>
          <t>Dourados</t>
        </is>
      </c>
      <c r="D276" t="inlineStr">
        <is>
          <t>HYUNDAI</t>
        </is>
      </c>
      <c r="E276" t="inlineStr">
        <is>
          <t>EHH0036</t>
        </is>
      </c>
      <c r="F276" t="inlineStr">
        <is>
          <t>SELETIVA</t>
        </is>
      </c>
      <c r="G276" t="inlineStr">
        <is>
          <t>G&amp;G MATRIZ</t>
        </is>
      </c>
      <c r="H276" t="inlineStr">
        <is>
          <t>7.1.22</t>
        </is>
      </c>
      <c r="I276" t="inlineStr">
        <is>
          <t>COMBUSTÍVEL - DIESEL (INTERNO)</t>
        </is>
      </c>
      <c r="J276" t="n">
        <v>1851.88</v>
      </c>
      <c r="K276" t="n">
        <v>1851.88</v>
      </c>
    </row>
    <row r="277" hidden="1" s="154">
      <c r="A277" t="n">
        <v>2025</v>
      </c>
      <c r="B277" t="inlineStr">
        <is>
          <t>2025-05</t>
        </is>
      </c>
      <c r="C277" t="inlineStr">
        <is>
          <t>Dourados</t>
        </is>
      </c>
      <c r="D277" t="inlineStr">
        <is>
          <t>HYUNDAI</t>
        </is>
      </c>
      <c r="E277" t="inlineStr">
        <is>
          <t>EHH0036</t>
        </is>
      </c>
      <c r="F277" t="inlineStr">
        <is>
          <t>SELETIVA</t>
        </is>
      </c>
      <c r="G277" t="inlineStr">
        <is>
          <t>G&amp;G MATRIZ</t>
        </is>
      </c>
      <c r="H277" t="inlineStr">
        <is>
          <t>7.1.22</t>
        </is>
      </c>
      <c r="I277" t="inlineStr">
        <is>
          <t>COMBUSTÍVEL - DIESEL (INTERNO)</t>
        </is>
      </c>
      <c r="J277" t="n">
        <v>1827.85</v>
      </c>
      <c r="K277" t="n">
        <v>1827.85</v>
      </c>
    </row>
    <row r="278" hidden="1" s="154">
      <c r="A278" t="n">
        <v>2025</v>
      </c>
      <c r="B278" t="inlineStr">
        <is>
          <t>2025-06</t>
        </is>
      </c>
      <c r="C278" t="inlineStr">
        <is>
          <t>Dourados</t>
        </is>
      </c>
      <c r="D278" t="inlineStr">
        <is>
          <t>HYUNDAI</t>
        </is>
      </c>
      <c r="E278" t="inlineStr">
        <is>
          <t>EHH0036</t>
        </is>
      </c>
      <c r="F278" t="inlineStr">
        <is>
          <t>SELETIVA</t>
        </is>
      </c>
      <c r="G278" t="inlineStr">
        <is>
          <t>CTA</t>
        </is>
      </c>
      <c r="H278" t="inlineStr">
        <is>
          <t>7.1.22</t>
        </is>
      </c>
      <c r="I278" t="inlineStr">
        <is>
          <t>COMBUSTÍVEL - DIESEL (INTERNO)</t>
        </is>
      </c>
      <c r="J278" t="n">
        <v>5669.63</v>
      </c>
      <c r="K278" t="n">
        <v>-5669.63</v>
      </c>
    </row>
    <row r="279" hidden="1" s="154">
      <c r="A279" t="n">
        <v>2025</v>
      </c>
      <c r="B279" t="inlineStr">
        <is>
          <t>2025-07</t>
        </is>
      </c>
      <c r="C279" t="inlineStr">
        <is>
          <t>Dourados</t>
        </is>
      </c>
      <c r="D279" t="inlineStr">
        <is>
          <t>HYUNDAI</t>
        </is>
      </c>
      <c r="E279" t="inlineStr">
        <is>
          <t>EHH0036</t>
        </is>
      </c>
      <c r="F279" t="inlineStr">
        <is>
          <t>SELETIVA</t>
        </is>
      </c>
      <c r="G279" t="inlineStr">
        <is>
          <t>CTA</t>
        </is>
      </c>
      <c r="H279" t="inlineStr">
        <is>
          <t>7.1.22</t>
        </is>
      </c>
      <c r="I279" t="inlineStr">
        <is>
          <t>COMBUSTÍVEL - DIESEL (INTERNO)</t>
        </is>
      </c>
      <c r="J279" t="n">
        <v>8120.81</v>
      </c>
      <c r="K279" t="n">
        <v>-8120.81</v>
      </c>
    </row>
    <row r="280" hidden="1" s="154">
      <c r="A280" t="n">
        <v>2025</v>
      </c>
      <c r="B280" t="inlineStr">
        <is>
          <t>2025-08</t>
        </is>
      </c>
      <c r="C280" t="inlineStr">
        <is>
          <t>Dourados</t>
        </is>
      </c>
      <c r="D280" t="inlineStr">
        <is>
          <t>HYUNDAI</t>
        </is>
      </c>
      <c r="E280" t="inlineStr">
        <is>
          <t>EHH0036</t>
        </is>
      </c>
      <c r="F280" t="inlineStr">
        <is>
          <t>SELETIVA</t>
        </is>
      </c>
      <c r="G280" t="inlineStr">
        <is>
          <t>CTA</t>
        </is>
      </c>
      <c r="H280" t="inlineStr">
        <is>
          <t>7.1.22</t>
        </is>
      </c>
      <c r="I280" t="inlineStr">
        <is>
          <t>COMBUSTÍVEL - DIESEL (INTERNO)</t>
        </is>
      </c>
      <c r="J280" t="n">
        <v>7928.41</v>
      </c>
      <c r="K280" t="n">
        <v>-7928.41</v>
      </c>
    </row>
    <row r="281" hidden="1" s="154">
      <c r="A281" t="n">
        <v>2025</v>
      </c>
      <c r="B281" t="inlineStr">
        <is>
          <t>2025-08</t>
        </is>
      </c>
      <c r="C281" t="inlineStr">
        <is>
          <t>Dourados</t>
        </is>
      </c>
      <c r="D281" t="inlineStr">
        <is>
          <t>HYUNDAI</t>
        </is>
      </c>
      <c r="E281" t="inlineStr">
        <is>
          <t>EHH0036</t>
        </is>
      </c>
      <c r="F281" t="inlineStr">
        <is>
          <t>SELETIVA</t>
        </is>
      </c>
      <c r="G281" t="inlineStr">
        <is>
          <t>G&amp;S DOURADOS</t>
        </is>
      </c>
      <c r="H281" t="inlineStr">
        <is>
          <t>7.1.2</t>
        </is>
      </c>
      <c r="I281" t="inlineStr">
        <is>
          <t>MANUTENÇÃO DE VEÍCULOS/MAQUINAS</t>
        </is>
      </c>
      <c r="J281" t="n">
        <v>749.1799999999999</v>
      </c>
      <c r="K281" t="n">
        <v>-749.1799999999999</v>
      </c>
    </row>
    <row r="282" hidden="1" s="154">
      <c r="A282" t="n">
        <v>2025</v>
      </c>
      <c r="B282" t="inlineStr">
        <is>
          <t>2025-08</t>
        </is>
      </c>
      <c r="C282" t="inlineStr">
        <is>
          <t>Dourados</t>
        </is>
      </c>
      <c r="D282" t="inlineStr">
        <is>
          <t>HYUNDAI</t>
        </is>
      </c>
      <c r="E282" t="inlineStr">
        <is>
          <t>EHH0036</t>
        </is>
      </c>
      <c r="F282" t="inlineStr">
        <is>
          <t>SELETIVA</t>
        </is>
      </c>
      <c r="G282" t="inlineStr">
        <is>
          <t>G&amp;S DOURADOS</t>
        </is>
      </c>
      <c r="H282" t="inlineStr">
        <is>
          <t>7.1.2</t>
        </is>
      </c>
      <c r="I282" t="inlineStr">
        <is>
          <t>MANUTENÇÃO DE VEÍCULOS/MAQUINAS</t>
        </is>
      </c>
      <c r="J282" t="n">
        <v>720</v>
      </c>
      <c r="K282" t="n">
        <v>-720</v>
      </c>
    </row>
    <row r="283" hidden="1" s="154">
      <c r="A283" t="n">
        <v>2025</v>
      </c>
      <c r="B283" t="inlineStr">
        <is>
          <t>2025-09</t>
        </is>
      </c>
      <c r="C283" t="inlineStr">
        <is>
          <t>Dourados</t>
        </is>
      </c>
      <c r="D283" t="inlineStr">
        <is>
          <t>HYUNDAI</t>
        </is>
      </c>
      <c r="E283" t="inlineStr">
        <is>
          <t>EHH0036</t>
        </is>
      </c>
      <c r="F283" t="inlineStr">
        <is>
          <t>SELETIVA</t>
        </is>
      </c>
      <c r="G283" t="inlineStr">
        <is>
          <t>CTA</t>
        </is>
      </c>
      <c r="H283" t="inlineStr">
        <is>
          <t>7.1.22</t>
        </is>
      </c>
      <c r="I283" t="inlineStr">
        <is>
          <t>COMBUSTÍVEL - DIESEL (INTERNO)</t>
        </is>
      </c>
      <c r="J283" t="n">
        <v>8032.02</v>
      </c>
      <c r="K283" t="n">
        <v>-8032.02</v>
      </c>
    </row>
    <row r="284" hidden="1" s="154">
      <c r="A284" t="n">
        <v>2025</v>
      </c>
      <c r="B284" t="inlineStr">
        <is>
          <t>2025-10</t>
        </is>
      </c>
      <c r="C284" t="inlineStr">
        <is>
          <t>Dourados</t>
        </is>
      </c>
      <c r="D284" t="inlineStr">
        <is>
          <t>HYUNDAI</t>
        </is>
      </c>
      <c r="E284" t="inlineStr">
        <is>
          <t>EHH0036</t>
        </is>
      </c>
      <c r="F284" t="inlineStr">
        <is>
          <t>SELETIVA</t>
        </is>
      </c>
      <c r="G284" t="inlineStr">
        <is>
          <t>G&amp;S PRUDENTE</t>
        </is>
      </c>
      <c r="H284" t="inlineStr">
        <is>
          <t>7.1.18</t>
        </is>
      </c>
      <c r="I284" t="inlineStr">
        <is>
          <t>FRETES E CARRETOS</t>
        </is>
      </c>
      <c r="J284" t="n">
        <v>60</v>
      </c>
      <c r="K284" t="n">
        <v>-60</v>
      </c>
    </row>
    <row r="285" hidden="1" s="154">
      <c r="A285" t="n">
        <v>2025</v>
      </c>
      <c r="B285" t="inlineStr">
        <is>
          <t>2025-10</t>
        </is>
      </c>
      <c r="C285" t="inlineStr">
        <is>
          <t>Dourados</t>
        </is>
      </c>
      <c r="D285" t="inlineStr">
        <is>
          <t>HYUNDAI</t>
        </is>
      </c>
      <c r="E285" t="inlineStr">
        <is>
          <t>EHH0036</t>
        </is>
      </c>
      <c r="F285" t="inlineStr">
        <is>
          <t>SELETIVA</t>
        </is>
      </c>
      <c r="G285" t="inlineStr">
        <is>
          <t>G3S PRUDENTE</t>
        </is>
      </c>
      <c r="H285" t="inlineStr">
        <is>
          <t>7.1.18</t>
        </is>
      </c>
      <c r="I285" t="inlineStr">
        <is>
          <t>FRETES E CARRETOS</t>
        </is>
      </c>
      <c r="J285" t="n">
        <v>120</v>
      </c>
      <c r="K285" t="n">
        <v>-120</v>
      </c>
    </row>
    <row r="286" hidden="1" s="154">
      <c r="A286" t="n">
        <v>2025</v>
      </c>
      <c r="B286" t="inlineStr">
        <is>
          <t>2025-10</t>
        </is>
      </c>
      <c r="C286" t="inlineStr">
        <is>
          <t>Dourados</t>
        </is>
      </c>
      <c r="D286" t="inlineStr">
        <is>
          <t>HYUNDAI</t>
        </is>
      </c>
      <c r="E286" t="inlineStr">
        <is>
          <t>EHH0036</t>
        </is>
      </c>
      <c r="F286" t="inlineStr">
        <is>
          <t>SELETIVA</t>
        </is>
      </c>
      <c r="G286" t="inlineStr">
        <is>
          <t>G&amp;S DOURADOS</t>
        </is>
      </c>
      <c r="H286" t="inlineStr">
        <is>
          <t>7.1.2</t>
        </is>
      </c>
      <c r="I286" t="inlineStr">
        <is>
          <t>MANUTENÇÃO DE VEÍCULOS/MAQUINAS</t>
        </is>
      </c>
      <c r="J286" t="n">
        <v>1799.12</v>
      </c>
      <c r="K286" t="n">
        <v>-1799.12</v>
      </c>
    </row>
    <row r="287" hidden="1" s="154">
      <c r="A287" t="n">
        <v>2025</v>
      </c>
      <c r="B287" t="inlineStr">
        <is>
          <t>2025-10</t>
        </is>
      </c>
      <c r="C287" t="inlineStr">
        <is>
          <t>Dourados</t>
        </is>
      </c>
      <c r="D287" t="inlineStr">
        <is>
          <t>HYUNDAI</t>
        </is>
      </c>
      <c r="E287" t="inlineStr">
        <is>
          <t>EHH0036</t>
        </is>
      </c>
      <c r="F287" t="inlineStr">
        <is>
          <t>SELETIVA</t>
        </is>
      </c>
      <c r="G287" t="inlineStr">
        <is>
          <t>G&amp;S DOURADOS</t>
        </is>
      </c>
      <c r="H287" t="inlineStr">
        <is>
          <t>7.1.2</t>
        </is>
      </c>
      <c r="I287" t="inlineStr">
        <is>
          <t>MANUTENÇÃO DE VEÍCULOS/MAQUINAS</t>
        </is>
      </c>
      <c r="J287" t="n">
        <v>1706</v>
      </c>
      <c r="K287" t="n">
        <v>-1706</v>
      </c>
    </row>
    <row r="288" hidden="1" s="154">
      <c r="A288" t="n">
        <v>2025</v>
      </c>
      <c r="B288" t="inlineStr">
        <is>
          <t>2025-10</t>
        </is>
      </c>
      <c r="C288" t="inlineStr">
        <is>
          <t>Dourados</t>
        </is>
      </c>
      <c r="D288" t="inlineStr">
        <is>
          <t>HYUNDAI</t>
        </is>
      </c>
      <c r="E288" t="inlineStr">
        <is>
          <t>EHH0036</t>
        </is>
      </c>
      <c r="F288" t="inlineStr">
        <is>
          <t>SELETIVA</t>
        </is>
      </c>
      <c r="G288" t="inlineStr">
        <is>
          <t>G&amp;S DOURADOS</t>
        </is>
      </c>
      <c r="H288" t="inlineStr">
        <is>
          <t>7.1.2</t>
        </is>
      </c>
      <c r="I288" t="inlineStr">
        <is>
          <t>MANUTENÇÃO DE VEÍCULOS/MAQUINAS</t>
        </is>
      </c>
      <c r="J288" t="n">
        <v>74.09999999999999</v>
      </c>
      <c r="K288" t="n">
        <v>-74.09999999999999</v>
      </c>
    </row>
    <row r="289" hidden="1" s="154">
      <c r="A289" t="n">
        <v>2025</v>
      </c>
      <c r="B289" t="inlineStr">
        <is>
          <t>2025-10</t>
        </is>
      </c>
      <c r="C289" t="inlineStr">
        <is>
          <t>Dourados</t>
        </is>
      </c>
      <c r="D289" t="inlineStr">
        <is>
          <t>HYUNDAI</t>
        </is>
      </c>
      <c r="E289" t="inlineStr">
        <is>
          <t>EHH0036</t>
        </is>
      </c>
      <c r="F289" t="inlineStr">
        <is>
          <t>SELETIVA</t>
        </is>
      </c>
      <c r="G289" t="inlineStr">
        <is>
          <t>G3S DOURADOS</t>
        </is>
      </c>
      <c r="H289" t="inlineStr">
        <is>
          <t>7.1.2</t>
        </is>
      </c>
      <c r="I289" t="inlineStr">
        <is>
          <t>MANUTENÇÃO DE VEÍCULOS/MAQUINAS</t>
        </is>
      </c>
      <c r="J289" t="n">
        <v>178.9</v>
      </c>
      <c r="K289" t="n">
        <v>-178.9</v>
      </c>
    </row>
    <row r="290" hidden="1" s="154">
      <c r="A290" t="n">
        <v>2025</v>
      </c>
      <c r="B290" t="inlineStr">
        <is>
          <t>2025-10</t>
        </is>
      </c>
      <c r="C290" t="inlineStr">
        <is>
          <t>Dourados</t>
        </is>
      </c>
      <c r="D290" t="inlineStr">
        <is>
          <t>HYUNDAI</t>
        </is>
      </c>
      <c r="E290" t="inlineStr">
        <is>
          <t>EHH0036</t>
        </is>
      </c>
      <c r="F290" t="inlineStr">
        <is>
          <t>SELETIVA</t>
        </is>
      </c>
      <c r="G290" t="inlineStr">
        <is>
          <t>G3S DOURADOS</t>
        </is>
      </c>
      <c r="H290" t="inlineStr">
        <is>
          <t>7.1.2</t>
        </is>
      </c>
      <c r="I290" t="inlineStr">
        <is>
          <t>MANUTENÇÃO DE VEÍCULOS/MAQUINAS</t>
        </is>
      </c>
      <c r="J290" t="n">
        <v>178.9</v>
      </c>
      <c r="K290" t="n">
        <v>-178.9</v>
      </c>
    </row>
    <row r="291" hidden="1" s="154">
      <c r="A291" t="n">
        <v>2025</v>
      </c>
      <c r="B291" t="inlineStr">
        <is>
          <t>2025-10</t>
        </is>
      </c>
      <c r="C291" t="inlineStr">
        <is>
          <t>Dourados</t>
        </is>
      </c>
      <c r="D291" t="inlineStr">
        <is>
          <t>HYUNDAI</t>
        </is>
      </c>
      <c r="E291" t="inlineStr">
        <is>
          <t>EHH0036</t>
        </is>
      </c>
      <c r="F291" t="inlineStr">
        <is>
          <t>SELETIVA</t>
        </is>
      </c>
      <c r="G291" t="inlineStr">
        <is>
          <t>CTA</t>
        </is>
      </c>
      <c r="H291" t="inlineStr">
        <is>
          <t>7.1.22</t>
        </is>
      </c>
      <c r="I291" t="inlineStr">
        <is>
          <t>COMBUSTÍVEL - DIESEL (INTERNO)</t>
        </is>
      </c>
      <c r="J291" t="n">
        <v>7903.58</v>
      </c>
      <c r="K291" t="n">
        <v>-7903.58</v>
      </c>
    </row>
    <row r="292" hidden="1" s="154">
      <c r="A292" t="n">
        <v>2025</v>
      </c>
      <c r="B292" t="inlineStr">
        <is>
          <t>2025-11</t>
        </is>
      </c>
      <c r="C292" t="inlineStr">
        <is>
          <t>Dourados</t>
        </is>
      </c>
      <c r="D292" t="inlineStr">
        <is>
          <t>HYUNDAI</t>
        </is>
      </c>
      <c r="E292" t="inlineStr">
        <is>
          <t>EHH0036</t>
        </is>
      </c>
      <c r="F292" t="inlineStr">
        <is>
          <t>SELETIVA</t>
        </is>
      </c>
      <c r="G292" t="inlineStr">
        <is>
          <t>G&amp;S PRUDENTE</t>
        </is>
      </c>
      <c r="H292" t="inlineStr">
        <is>
          <t>7.1.2</t>
        </is>
      </c>
      <c r="I292" t="inlineStr">
        <is>
          <t>MANUTENÇÃO DE VEÍCULOS/MAQUINAS</t>
        </is>
      </c>
      <c r="J292" t="n">
        <v>1224.42</v>
      </c>
      <c r="K292" t="n">
        <v>-1224.42</v>
      </c>
    </row>
    <row r="293" hidden="1" s="154">
      <c r="A293" t="n">
        <v>2025</v>
      </c>
      <c r="B293" t="inlineStr">
        <is>
          <t>2025-11</t>
        </is>
      </c>
      <c r="C293" t="inlineStr">
        <is>
          <t>Dourados</t>
        </is>
      </c>
      <c r="D293" t="inlineStr">
        <is>
          <t>HYUNDAI</t>
        </is>
      </c>
      <c r="E293" t="inlineStr">
        <is>
          <t>EHH0036</t>
        </is>
      </c>
      <c r="F293" t="inlineStr">
        <is>
          <t>SELETIVA</t>
        </is>
      </c>
      <c r="G293" t="inlineStr">
        <is>
          <t>G&amp;S PRUDENTE</t>
        </is>
      </c>
      <c r="H293" t="inlineStr">
        <is>
          <t>7.1.2</t>
        </is>
      </c>
      <c r="I293" t="inlineStr">
        <is>
          <t>MANUTENÇÃO DE VEÍCULOS/MAQUINAS</t>
        </is>
      </c>
      <c r="J293" t="n">
        <v>1224.42</v>
      </c>
      <c r="K293" t="n">
        <v>-1224.42</v>
      </c>
    </row>
    <row r="294" hidden="1" s="154">
      <c r="A294" t="n">
        <v>2025</v>
      </c>
      <c r="B294" t="inlineStr">
        <is>
          <t>2025-11</t>
        </is>
      </c>
      <c r="C294" t="inlineStr">
        <is>
          <t>Dourados</t>
        </is>
      </c>
      <c r="D294" t="inlineStr">
        <is>
          <t>HYUNDAI</t>
        </is>
      </c>
      <c r="E294" t="inlineStr">
        <is>
          <t>EHH0036</t>
        </is>
      </c>
      <c r="F294" t="inlineStr">
        <is>
          <t>SELETIVA</t>
        </is>
      </c>
      <c r="G294" t="inlineStr">
        <is>
          <t>G&amp;S DOURADOS</t>
        </is>
      </c>
      <c r="H294" t="inlineStr">
        <is>
          <t>7.1.2</t>
        </is>
      </c>
      <c r="I294" t="inlineStr">
        <is>
          <t>MANUTENÇÃO DE VEÍCULOS/MAQUINAS</t>
        </is>
      </c>
      <c r="J294" t="n">
        <v>606.98</v>
      </c>
      <c r="K294" t="n">
        <v>-606.98</v>
      </c>
    </row>
    <row r="295" hidden="1" s="154">
      <c r="A295" t="n">
        <v>2025</v>
      </c>
      <c r="B295" t="inlineStr">
        <is>
          <t>2025-11</t>
        </is>
      </c>
      <c r="C295" t="inlineStr">
        <is>
          <t>Dourados</t>
        </is>
      </c>
      <c r="D295" t="inlineStr">
        <is>
          <t>HYUNDAI</t>
        </is>
      </c>
      <c r="E295" t="inlineStr">
        <is>
          <t>EHH0036</t>
        </is>
      </c>
      <c r="F295" t="inlineStr">
        <is>
          <t>SELETIVA</t>
        </is>
      </c>
      <c r="G295" t="inlineStr">
        <is>
          <t>CTA</t>
        </is>
      </c>
      <c r="H295" t="inlineStr">
        <is>
          <t>7.1.22</t>
        </is>
      </c>
      <c r="I295" t="inlineStr">
        <is>
          <t>COMBUSTÍVEL - DIESEL (INTERNO)</t>
        </is>
      </c>
      <c r="J295" t="n">
        <v>9787.4</v>
      </c>
      <c r="K295" t="n">
        <v>-9787.4</v>
      </c>
    </row>
    <row r="296" hidden="1" s="154">
      <c r="A296" t="n">
        <v>2025</v>
      </c>
      <c r="B296" t="inlineStr">
        <is>
          <t>2025-12</t>
        </is>
      </c>
      <c r="C296" t="inlineStr">
        <is>
          <t>Dourados</t>
        </is>
      </c>
      <c r="D296" t="inlineStr">
        <is>
          <t>HYUNDAI</t>
        </is>
      </c>
      <c r="E296" t="inlineStr">
        <is>
          <t>EHH0036</t>
        </is>
      </c>
      <c r="F296" t="inlineStr">
        <is>
          <t>SELETIVA</t>
        </is>
      </c>
      <c r="G296" t="inlineStr">
        <is>
          <t>G&amp;S DOURADOS</t>
        </is>
      </c>
      <c r="H296" t="inlineStr">
        <is>
          <t>7.1.2</t>
        </is>
      </c>
      <c r="I296" t="inlineStr">
        <is>
          <t>MANUTENÇÃO DE VEÍCULOS/MAQUINAS</t>
        </is>
      </c>
      <c r="J296" t="n">
        <v>1170</v>
      </c>
      <c r="K296" t="n">
        <v>-1170</v>
      </c>
    </row>
    <row r="297" hidden="1" s="154">
      <c r="A297" t="n">
        <v>2025</v>
      </c>
      <c r="B297" t="inlineStr">
        <is>
          <t>2025-12</t>
        </is>
      </c>
      <c r="C297" t="inlineStr">
        <is>
          <t>Dourados</t>
        </is>
      </c>
      <c r="D297" t="inlineStr">
        <is>
          <t>HYUNDAI</t>
        </is>
      </c>
      <c r="E297" t="inlineStr">
        <is>
          <t>EHH0036</t>
        </is>
      </c>
      <c r="F297" t="inlineStr">
        <is>
          <t>SELETIVA</t>
        </is>
      </c>
      <c r="G297" t="inlineStr">
        <is>
          <t>CTA</t>
        </is>
      </c>
      <c r="H297" t="inlineStr">
        <is>
          <t>7.1.22</t>
        </is>
      </c>
      <c r="I297" t="inlineStr">
        <is>
          <t>COMBUSTÍVEL - DIESEL (INTERNO)</t>
        </is>
      </c>
      <c r="J297" t="n">
        <v>2022.08</v>
      </c>
      <c r="K297" t="n">
        <v>-2022.08</v>
      </c>
    </row>
    <row r="298" hidden="1" s="154">
      <c r="A298" t="n">
        <v>2026</v>
      </c>
      <c r="B298" t="inlineStr">
        <is>
          <t>2026-01</t>
        </is>
      </c>
      <c r="C298" t="inlineStr">
        <is>
          <t>Dourados</t>
        </is>
      </c>
      <c r="D298" t="inlineStr">
        <is>
          <t>HYUNDAI</t>
        </is>
      </c>
      <c r="E298" t="inlineStr">
        <is>
          <t>EHH0036</t>
        </is>
      </c>
      <c r="F298" t="inlineStr">
        <is>
          <t>SELETIVA</t>
        </is>
      </c>
      <c r="G298" t="inlineStr">
        <is>
          <t>G&amp;S PRUDENTE</t>
        </is>
      </c>
      <c r="H298" t="inlineStr">
        <is>
          <t>7.1.2</t>
        </is>
      </c>
      <c r="I298" t="inlineStr">
        <is>
          <t>MANUTENÇÃO DE VEÍCULOS/MAQUINAS</t>
        </is>
      </c>
      <c r="J298" t="n">
        <v>574.9299999999999</v>
      </c>
      <c r="K298" t="n">
        <v>-574.9299999999999</v>
      </c>
    </row>
    <row r="299" hidden="1" s="154">
      <c r="A299" t="n">
        <v>2026</v>
      </c>
      <c r="B299" t="inlineStr">
        <is>
          <t>2026-02</t>
        </is>
      </c>
      <c r="C299" t="inlineStr">
        <is>
          <t>Dourados</t>
        </is>
      </c>
      <c r="D299" t="inlineStr">
        <is>
          <t>HYUNDAI</t>
        </is>
      </c>
      <c r="E299" t="inlineStr">
        <is>
          <t>EHH0036</t>
        </is>
      </c>
      <c r="F299" t="inlineStr">
        <is>
          <t>SELETIVA</t>
        </is>
      </c>
      <c r="G299" t="inlineStr">
        <is>
          <t>G&amp;S DOURADOS</t>
        </is>
      </c>
      <c r="H299" t="inlineStr">
        <is>
          <t>7.1.2</t>
        </is>
      </c>
      <c r="I299" t="inlineStr">
        <is>
          <t>MANUTENÇÃO DE VEÍCULOS/MAQUINAS</t>
        </is>
      </c>
      <c r="J299" t="n">
        <v>735.46</v>
      </c>
      <c r="K299" t="n">
        <v>-735.46</v>
      </c>
    </row>
    <row r="300" hidden="1" s="154">
      <c r="A300" t="n">
        <v>2026</v>
      </c>
      <c r="B300" t="inlineStr">
        <is>
          <t>2026-02</t>
        </is>
      </c>
      <c r="C300" t="inlineStr">
        <is>
          <t>Dourados</t>
        </is>
      </c>
      <c r="D300" t="inlineStr">
        <is>
          <t>HYUNDAI</t>
        </is>
      </c>
      <c r="E300" t="inlineStr">
        <is>
          <t>EHH0036</t>
        </is>
      </c>
      <c r="F300" t="inlineStr">
        <is>
          <t>SELETIVA</t>
        </is>
      </c>
      <c r="G300" t="inlineStr">
        <is>
          <t>G&amp;S DOURADOS</t>
        </is>
      </c>
      <c r="H300" t="inlineStr">
        <is>
          <t>7.1.2</t>
        </is>
      </c>
      <c r="I300" t="inlineStr">
        <is>
          <t>MANUTENÇÃO DE VEÍCULOS/MAQUINAS</t>
        </is>
      </c>
      <c r="J300" t="n">
        <v>525.83</v>
      </c>
      <c r="K300" t="n">
        <v>-525.83</v>
      </c>
    </row>
    <row r="301" hidden="1" s="154">
      <c r="A301" t="n">
        <v>2026</v>
      </c>
      <c r="B301" t="inlineStr">
        <is>
          <t>2026-03</t>
        </is>
      </c>
      <c r="C301" t="inlineStr">
        <is>
          <t>Dourados</t>
        </is>
      </c>
      <c r="D301" t="inlineStr">
        <is>
          <t>HYUNDAI</t>
        </is>
      </c>
      <c r="E301" t="inlineStr">
        <is>
          <t>EHH0036</t>
        </is>
      </c>
      <c r="F301" t="inlineStr">
        <is>
          <t>SELETIVA</t>
        </is>
      </c>
      <c r="G301" t="inlineStr">
        <is>
          <t>G&amp;S DOURADOS</t>
        </is>
      </c>
      <c r="H301" t="inlineStr">
        <is>
          <t>7.1.2</t>
        </is>
      </c>
      <c r="I301" t="inlineStr">
        <is>
          <t>MANUTENÇÃO DE VEÍCULOS/MAQUINAS</t>
        </is>
      </c>
      <c r="J301" t="n">
        <v>92.76000000000001</v>
      </c>
      <c r="K301" t="n">
        <v>-92.76000000000001</v>
      </c>
    </row>
    <row r="302" hidden="1" s="154">
      <c r="A302" t="n">
        <v>2026</v>
      </c>
      <c r="B302" t="inlineStr">
        <is>
          <t>2026-03</t>
        </is>
      </c>
      <c r="C302" t="inlineStr">
        <is>
          <t>Dourados</t>
        </is>
      </c>
      <c r="D302" t="inlineStr">
        <is>
          <t>HYUNDAI</t>
        </is>
      </c>
      <c r="E302" t="inlineStr">
        <is>
          <t>EHH0036</t>
        </is>
      </c>
      <c r="F302" t="inlineStr">
        <is>
          <t>SELETIVA</t>
        </is>
      </c>
      <c r="G302" t="inlineStr">
        <is>
          <t>G&amp;S DOURADOS</t>
        </is>
      </c>
      <c r="H302" t="inlineStr">
        <is>
          <t>7.1.2</t>
        </is>
      </c>
      <c r="I302" t="inlineStr">
        <is>
          <t>MANUTENÇÃO DE VEÍCULOS/MAQUINAS</t>
        </is>
      </c>
      <c r="J302" t="n">
        <v>3412</v>
      </c>
      <c r="K302" t="n">
        <v>-3412</v>
      </c>
    </row>
    <row r="303" hidden="1" s="154">
      <c r="A303" t="n">
        <v>2026</v>
      </c>
      <c r="B303" t="inlineStr">
        <is>
          <t>2026-03</t>
        </is>
      </c>
      <c r="C303" t="inlineStr">
        <is>
          <t>Dourados</t>
        </is>
      </c>
      <c r="D303" t="inlineStr">
        <is>
          <t>HYUNDAI</t>
        </is>
      </c>
      <c r="E303" t="inlineStr">
        <is>
          <t>EHH0036</t>
        </is>
      </c>
      <c r="F303" t="inlineStr">
        <is>
          <t>SELETIVA</t>
        </is>
      </c>
      <c r="G303" t="inlineStr">
        <is>
          <t>G&amp;S DOURADOS</t>
        </is>
      </c>
      <c r="H303" t="inlineStr">
        <is>
          <t>7.1.2</t>
        </is>
      </c>
      <c r="I303" t="inlineStr">
        <is>
          <t>MANUTENÇÃO DE VEÍCULOS/MAQUINAS</t>
        </is>
      </c>
      <c r="J303" t="n">
        <v>25.01</v>
      </c>
      <c r="K303" t="n">
        <v>-25.01</v>
      </c>
    </row>
    <row r="304" hidden="1" s="154">
      <c r="A304" t="n">
        <v>2026</v>
      </c>
      <c r="B304" t="inlineStr">
        <is>
          <t>2026-03</t>
        </is>
      </c>
      <c r="C304" t="inlineStr">
        <is>
          <t>Dourados</t>
        </is>
      </c>
      <c r="D304" t="inlineStr">
        <is>
          <t>HYUNDAI</t>
        </is>
      </c>
      <c r="E304" t="inlineStr">
        <is>
          <t>EHH0036</t>
        </is>
      </c>
      <c r="F304" t="inlineStr">
        <is>
          <t>SELETIVA</t>
        </is>
      </c>
      <c r="G304" t="inlineStr">
        <is>
          <t>G&amp;S DOURADOS</t>
        </is>
      </c>
      <c r="H304" t="inlineStr">
        <is>
          <t>7.1.2</t>
        </is>
      </c>
      <c r="I304" t="inlineStr">
        <is>
          <t>MANUTENÇÃO DE VEÍCULOS/MAQUINAS</t>
        </is>
      </c>
      <c r="J304" t="n">
        <v>1130</v>
      </c>
      <c r="K304" t="n">
        <v>-1130</v>
      </c>
    </row>
    <row r="305" hidden="1" s="154">
      <c r="A305" t="n">
        <v>2025</v>
      </c>
      <c r="B305" t="inlineStr">
        <is>
          <t>2025-01</t>
        </is>
      </c>
      <c r="C305" t="inlineStr">
        <is>
          <t>Dourados</t>
        </is>
      </c>
      <c r="D305" t="inlineStr">
        <is>
          <t>HYUNDAI</t>
        </is>
      </c>
      <c r="E305" t="inlineStr">
        <is>
          <t>EHH0044</t>
        </is>
      </c>
      <c r="F305" t="inlineStr">
        <is>
          <t>EKIPA LOCACOES E SERV G&amp;S</t>
        </is>
      </c>
      <c r="G305" t="inlineStr">
        <is>
          <t>G&amp;G MATRIZ</t>
        </is>
      </c>
      <c r="H305" t="inlineStr">
        <is>
          <t>7.1.22</t>
        </is>
      </c>
      <c r="I305" t="inlineStr">
        <is>
          <t>COMBUSTÍVEL - DIESEL (INTERNO)</t>
        </is>
      </c>
      <c r="J305" t="n">
        <v>1537.35</v>
      </c>
      <c r="K305" t="n">
        <v>1537.35</v>
      </c>
    </row>
    <row r="306" hidden="1" s="154">
      <c r="A306" t="n">
        <v>2025</v>
      </c>
      <c r="B306" t="inlineStr">
        <is>
          <t>2025-01</t>
        </is>
      </c>
      <c r="C306" t="inlineStr">
        <is>
          <t>Dourados</t>
        </is>
      </c>
      <c r="D306" t="inlineStr">
        <is>
          <t>HYUNDAI</t>
        </is>
      </c>
      <c r="E306" t="inlineStr">
        <is>
          <t>EHH0044</t>
        </is>
      </c>
      <c r="F306" t="inlineStr">
        <is>
          <t>EKIPA LOCACOES E SERV G&amp;S</t>
        </is>
      </c>
      <c r="G306" t="inlineStr">
        <is>
          <t>G&amp;G MATRIZ</t>
        </is>
      </c>
      <c r="H306" t="inlineStr">
        <is>
          <t>7.1.22</t>
        </is>
      </c>
      <c r="I306" t="inlineStr">
        <is>
          <t>COMBUSTÍVEL - DIESEL (INTERNO)</t>
        </is>
      </c>
      <c r="J306" t="n">
        <v>1617.68</v>
      </c>
      <c r="K306" t="n">
        <v>1617.68</v>
      </c>
    </row>
    <row r="307" hidden="1" s="154">
      <c r="A307" t="n">
        <v>2025</v>
      </c>
      <c r="B307" t="inlineStr">
        <is>
          <t>2025-01</t>
        </is>
      </c>
      <c r="C307" t="inlineStr">
        <is>
          <t>Dourados</t>
        </is>
      </c>
      <c r="D307" t="inlineStr">
        <is>
          <t>HYUNDAI</t>
        </is>
      </c>
      <c r="E307" t="inlineStr">
        <is>
          <t>EHH0044</t>
        </is>
      </c>
      <c r="F307" t="inlineStr">
        <is>
          <t>EKIPA LOCACOES E SERV G&amp;S</t>
        </is>
      </c>
      <c r="G307" t="inlineStr">
        <is>
          <t>G&amp;G - MATO GROSSO DO SUL</t>
        </is>
      </c>
      <c r="H307" t="inlineStr">
        <is>
          <t>7.1.4</t>
        </is>
      </c>
      <c r="I307" t="inlineStr">
        <is>
          <t>COMBUSTÍVEL - DIESEL (POSTO)</t>
        </is>
      </c>
      <c r="J307" t="n">
        <v>673</v>
      </c>
      <c r="K307" t="n">
        <v>673</v>
      </c>
    </row>
    <row r="308" hidden="1" s="154">
      <c r="A308" t="n">
        <v>2025</v>
      </c>
      <c r="B308" t="inlineStr">
        <is>
          <t>2025-01</t>
        </is>
      </c>
      <c r="C308" t="inlineStr">
        <is>
          <t>Dourados</t>
        </is>
      </c>
      <c r="D308" t="inlineStr">
        <is>
          <t>HYUNDAI</t>
        </is>
      </c>
      <c r="E308" t="inlineStr">
        <is>
          <t>EHH0044</t>
        </is>
      </c>
      <c r="F308" t="inlineStr">
        <is>
          <t>EKIPA LOCACOES E SERV G&amp;S</t>
        </is>
      </c>
      <c r="G308" t="inlineStr">
        <is>
          <t>G&amp;G MATRIZ</t>
        </is>
      </c>
      <c r="H308" t="inlineStr">
        <is>
          <t>7.1.4</t>
        </is>
      </c>
      <c r="I308" t="inlineStr">
        <is>
          <t>COMBUSTÍVEL - DIESEL (POSTO)</t>
        </is>
      </c>
      <c r="J308" t="n">
        <v>1856</v>
      </c>
      <c r="K308" t="n">
        <v>1856</v>
      </c>
    </row>
    <row r="309" hidden="1" s="154">
      <c r="A309" t="n">
        <v>2025</v>
      </c>
      <c r="B309" t="inlineStr">
        <is>
          <t>2025-01</t>
        </is>
      </c>
      <c r="C309" t="inlineStr">
        <is>
          <t>Dourados</t>
        </is>
      </c>
      <c r="D309" t="inlineStr">
        <is>
          <t>HYUNDAI</t>
        </is>
      </c>
      <c r="E309" t="inlineStr">
        <is>
          <t>EHH0044</t>
        </is>
      </c>
      <c r="F309" t="inlineStr">
        <is>
          <t>EKIPA LOCACOES E SERV G&amp;S</t>
        </is>
      </c>
      <c r="G309" t="inlineStr">
        <is>
          <t>G&amp;G MATRIZ</t>
        </is>
      </c>
      <c r="H309" t="inlineStr">
        <is>
          <t>7.1.22</t>
        </is>
      </c>
      <c r="I309" t="inlineStr">
        <is>
          <t>COMBUSTÍVEL - DIESEL (INTERNO)</t>
        </is>
      </c>
      <c r="J309" t="n">
        <v>1513.15</v>
      </c>
      <c r="K309" t="n">
        <v>1513.15</v>
      </c>
    </row>
    <row r="310" hidden="1" s="154">
      <c r="A310" t="n">
        <v>2025</v>
      </c>
      <c r="B310" t="inlineStr">
        <is>
          <t>2025-01</t>
        </is>
      </c>
      <c r="C310" t="inlineStr">
        <is>
          <t>Dourados</t>
        </is>
      </c>
      <c r="D310" t="inlineStr">
        <is>
          <t>HYUNDAI</t>
        </is>
      </c>
      <c r="E310" t="inlineStr">
        <is>
          <t>EHH0044</t>
        </is>
      </c>
      <c r="F310" t="inlineStr">
        <is>
          <t>EKIPA LOCACOES E SERV G&amp;S</t>
        </is>
      </c>
      <c r="G310" t="inlineStr">
        <is>
          <t>G&amp;G MATRIZ</t>
        </is>
      </c>
      <c r="H310" t="inlineStr">
        <is>
          <t>7.1.22</t>
        </is>
      </c>
      <c r="I310" t="inlineStr">
        <is>
          <t>COMBUSTÍVEL - DIESEL (INTERNO)</t>
        </is>
      </c>
      <c r="J310" t="n">
        <v>1587.38</v>
      </c>
      <c r="K310" t="n">
        <v>1587.38</v>
      </c>
    </row>
    <row r="311" hidden="1" s="154">
      <c r="A311" t="n">
        <v>2025</v>
      </c>
      <c r="B311" t="inlineStr">
        <is>
          <t>2025-01</t>
        </is>
      </c>
      <c r="C311" t="inlineStr">
        <is>
          <t>Dourados</t>
        </is>
      </c>
      <c r="D311" t="inlineStr">
        <is>
          <t>HYUNDAI</t>
        </is>
      </c>
      <c r="E311" t="inlineStr">
        <is>
          <t>EHH0044</t>
        </is>
      </c>
      <c r="F311" t="inlineStr">
        <is>
          <t>EKIPA LOCACOES E SERV G&amp;S</t>
        </is>
      </c>
      <c r="G311" t="inlineStr">
        <is>
          <t>G&amp;G MATRIZ</t>
        </is>
      </c>
      <c r="H311" t="inlineStr">
        <is>
          <t>7.1.2</t>
        </is>
      </c>
      <c r="I311" t="inlineStr">
        <is>
          <t>MANUTENÇÃO DE VEÍCULOS/MAQUINAS</t>
        </is>
      </c>
      <c r="J311" t="n">
        <v>840</v>
      </c>
      <c r="K311" t="n">
        <v>840</v>
      </c>
    </row>
    <row r="312" hidden="1" s="154">
      <c r="A312" t="n">
        <v>2025</v>
      </c>
      <c r="B312" t="inlineStr">
        <is>
          <t>2025-01</t>
        </is>
      </c>
      <c r="C312" t="inlineStr">
        <is>
          <t>Dourados</t>
        </is>
      </c>
      <c r="D312" t="inlineStr">
        <is>
          <t>HYUNDAI</t>
        </is>
      </c>
      <c r="E312" t="inlineStr">
        <is>
          <t>EHH0044</t>
        </is>
      </c>
      <c r="F312" t="inlineStr">
        <is>
          <t>EKIPA LOCACOES E SERV G&amp;S</t>
        </is>
      </c>
      <c r="G312" t="inlineStr">
        <is>
          <t>G&amp;G MATRIZ</t>
        </is>
      </c>
      <c r="H312" t="inlineStr">
        <is>
          <t>7.1.1</t>
        </is>
      </c>
      <c r="I312" t="inlineStr">
        <is>
          <t>PEÇAS DE MANUTENÇÃO</t>
        </is>
      </c>
      <c r="J312" t="n">
        <v>64</v>
      </c>
      <c r="K312" t="n">
        <v>64</v>
      </c>
    </row>
    <row r="313" hidden="1" s="154">
      <c r="A313" t="n">
        <v>2025</v>
      </c>
      <c r="B313" t="inlineStr">
        <is>
          <t>2025-01</t>
        </is>
      </c>
      <c r="C313" t="inlineStr">
        <is>
          <t>Dourados</t>
        </is>
      </c>
      <c r="D313" t="inlineStr">
        <is>
          <t>HYUNDAI</t>
        </is>
      </c>
      <c r="E313" t="inlineStr">
        <is>
          <t>EHH0044</t>
        </is>
      </c>
      <c r="F313" t="inlineStr">
        <is>
          <t>EKIPA LOCACOES E SERV G&amp;S</t>
        </is>
      </c>
      <c r="G313" t="inlineStr">
        <is>
          <t>G&amp;G MATRIZ</t>
        </is>
      </c>
      <c r="H313" t="inlineStr">
        <is>
          <t>7.1.1</t>
        </is>
      </c>
      <c r="I313" t="inlineStr">
        <is>
          <t>PEÇAS DE MANUTENÇÃO</t>
        </is>
      </c>
      <c r="J313" t="n">
        <v>1630.68</v>
      </c>
      <c r="K313" t="n">
        <v>1630.68</v>
      </c>
    </row>
    <row r="314" hidden="1" s="154">
      <c r="A314" t="n">
        <v>2025</v>
      </c>
      <c r="B314" t="inlineStr">
        <is>
          <t>2025-02</t>
        </is>
      </c>
      <c r="C314" t="inlineStr">
        <is>
          <t>Dourados</t>
        </is>
      </c>
      <c r="D314" t="inlineStr">
        <is>
          <t>HYUNDAI</t>
        </is>
      </c>
      <c r="E314" t="inlineStr">
        <is>
          <t>EHH0044</t>
        </is>
      </c>
      <c r="F314" t="inlineStr">
        <is>
          <t>EKIPA LOCACOES E SERV G&amp;S</t>
        </is>
      </c>
      <c r="G314" t="inlineStr">
        <is>
          <t>G&amp;G MATRIZ</t>
        </is>
      </c>
      <c r="H314" t="inlineStr">
        <is>
          <t>7.1.4</t>
        </is>
      </c>
      <c r="I314" t="inlineStr">
        <is>
          <t>COMBUSTÍVEL - DIESEL (POSTO)</t>
        </is>
      </c>
      <c r="J314" t="n">
        <v>680</v>
      </c>
      <c r="K314" t="n">
        <v>680</v>
      </c>
    </row>
    <row r="315" hidden="1" s="154">
      <c r="A315" t="n">
        <v>2025</v>
      </c>
      <c r="B315" t="inlineStr">
        <is>
          <t>2025-02</t>
        </is>
      </c>
      <c r="C315" t="inlineStr">
        <is>
          <t>Dourados</t>
        </is>
      </c>
      <c r="D315" t="inlineStr">
        <is>
          <t>HYUNDAI</t>
        </is>
      </c>
      <c r="E315" t="inlineStr">
        <is>
          <t>EHH0044</t>
        </is>
      </c>
      <c r="F315" t="inlineStr">
        <is>
          <t>EKIPA LOCACOES E SERV G&amp;S</t>
        </is>
      </c>
      <c r="G315" t="inlineStr">
        <is>
          <t>G&amp;G MATRIZ</t>
        </is>
      </c>
      <c r="H315" t="inlineStr">
        <is>
          <t>7.1.4</t>
        </is>
      </c>
      <c r="I315" t="inlineStr">
        <is>
          <t>COMBUSTÍVEL - DIESEL (POSTO)</t>
        </is>
      </c>
      <c r="J315" t="n">
        <v>2070</v>
      </c>
      <c r="K315" t="n">
        <v>2070</v>
      </c>
    </row>
    <row r="316" hidden="1" s="154">
      <c r="A316" t="n">
        <v>2025</v>
      </c>
      <c r="B316" t="inlineStr">
        <is>
          <t>2025-02</t>
        </is>
      </c>
      <c r="C316" t="inlineStr">
        <is>
          <t>Dourados</t>
        </is>
      </c>
      <c r="D316" t="inlineStr">
        <is>
          <t>HYUNDAI</t>
        </is>
      </c>
      <c r="E316" t="inlineStr">
        <is>
          <t>EHH0044</t>
        </is>
      </c>
      <c r="F316" t="inlineStr">
        <is>
          <t>EKIPA LOCACOES E SERV G&amp;S</t>
        </is>
      </c>
      <c r="G316" t="inlineStr">
        <is>
          <t>G&amp;G MATRIZ</t>
        </is>
      </c>
      <c r="H316" t="inlineStr">
        <is>
          <t>7.1.4</t>
        </is>
      </c>
      <c r="I316" t="inlineStr">
        <is>
          <t>COMBUSTÍVEL - DIESEL (POSTO)</t>
        </is>
      </c>
      <c r="J316" t="n">
        <v>2070</v>
      </c>
      <c r="K316" t="n">
        <v>2070</v>
      </c>
    </row>
    <row r="317" hidden="1" s="154">
      <c r="A317" t="n">
        <v>2025</v>
      </c>
      <c r="B317" t="inlineStr">
        <is>
          <t>2025-02</t>
        </is>
      </c>
      <c r="C317" t="inlineStr">
        <is>
          <t>Dourados</t>
        </is>
      </c>
      <c r="D317" t="inlineStr">
        <is>
          <t>HYUNDAI</t>
        </is>
      </c>
      <c r="E317" t="inlineStr">
        <is>
          <t>EHH0044</t>
        </is>
      </c>
      <c r="F317" t="inlineStr">
        <is>
          <t>EKIPA LOCACOES E SERV G&amp;S</t>
        </is>
      </c>
      <c r="G317" t="inlineStr">
        <is>
          <t>G&amp;G MATRIZ</t>
        </is>
      </c>
      <c r="H317" t="inlineStr">
        <is>
          <t>7.1.4</t>
        </is>
      </c>
      <c r="I317" t="inlineStr">
        <is>
          <t>COMBUSTÍVEL - DIESEL (POSTO)</t>
        </is>
      </c>
      <c r="J317" t="n">
        <v>1656</v>
      </c>
      <c r="K317" t="n">
        <v>1656</v>
      </c>
    </row>
    <row r="318" hidden="1" s="154">
      <c r="A318" t="n">
        <v>2025</v>
      </c>
      <c r="B318" t="inlineStr">
        <is>
          <t>2025-02</t>
        </is>
      </c>
      <c r="C318" t="inlineStr">
        <is>
          <t>Dourados</t>
        </is>
      </c>
      <c r="D318" t="inlineStr">
        <is>
          <t>HYUNDAI</t>
        </is>
      </c>
      <c r="E318" t="inlineStr">
        <is>
          <t>EHH0044</t>
        </is>
      </c>
      <c r="F318" t="inlineStr">
        <is>
          <t>EKIPA LOCACOES E SERV G&amp;S</t>
        </is>
      </c>
      <c r="G318" t="inlineStr">
        <is>
          <t>G&amp;G MATRIZ</t>
        </is>
      </c>
      <c r="H318" t="inlineStr">
        <is>
          <t>7.1.18</t>
        </is>
      </c>
      <c r="I318" t="inlineStr">
        <is>
          <t>FRETES E CARRETOS</t>
        </is>
      </c>
      <c r="J318" t="n">
        <v>45.02</v>
      </c>
      <c r="K318" t="n">
        <v>45.02</v>
      </c>
    </row>
    <row r="319" hidden="1" s="154">
      <c r="A319" t="n">
        <v>2025</v>
      </c>
      <c r="B319" t="inlineStr">
        <is>
          <t>2025-02</t>
        </is>
      </c>
      <c r="C319" t="inlineStr">
        <is>
          <t>Dourados</t>
        </is>
      </c>
      <c r="D319" t="inlineStr">
        <is>
          <t>HYUNDAI</t>
        </is>
      </c>
      <c r="E319" t="inlineStr">
        <is>
          <t>EHH0044</t>
        </is>
      </c>
      <c r="F319" t="inlineStr">
        <is>
          <t>EKIPA LOCACOES E SERV G&amp;S</t>
        </is>
      </c>
      <c r="G319" t="inlineStr">
        <is>
          <t>G&amp;G MATRIZ</t>
        </is>
      </c>
      <c r="H319" t="inlineStr">
        <is>
          <t>7.1.2</t>
        </is>
      </c>
      <c r="I319" t="inlineStr">
        <is>
          <t>MANUTENÇÃO DE VEÍCULOS/MAQUINAS</t>
        </is>
      </c>
      <c r="J319" t="n">
        <v>1520</v>
      </c>
      <c r="K319" t="n">
        <v>1520</v>
      </c>
    </row>
    <row r="320" hidden="1" s="154">
      <c r="A320" t="n">
        <v>2025</v>
      </c>
      <c r="B320" t="inlineStr">
        <is>
          <t>2025-03</t>
        </is>
      </c>
      <c r="C320" t="inlineStr">
        <is>
          <t>Dourados</t>
        </is>
      </c>
      <c r="D320" t="inlineStr">
        <is>
          <t>HYUNDAI</t>
        </is>
      </c>
      <c r="E320" t="inlineStr">
        <is>
          <t>EHH0044</t>
        </is>
      </c>
      <c r="F320" t="inlineStr">
        <is>
          <t>EKIPA LOCACOES E SERV G&amp;S</t>
        </is>
      </c>
      <c r="G320" t="inlineStr">
        <is>
          <t>G&amp;G MATRIZ</t>
        </is>
      </c>
      <c r="H320" t="inlineStr">
        <is>
          <t>7.1.22</t>
        </is>
      </c>
      <c r="I320" t="inlineStr">
        <is>
          <t>COMBUSTÍVEL - DIESEL (INTERNO)</t>
        </is>
      </c>
      <c r="J320" t="n">
        <v>1638.77</v>
      </c>
      <c r="K320" t="n">
        <v>1638.77</v>
      </c>
    </row>
    <row r="321" hidden="1" s="154">
      <c r="A321" t="n">
        <v>2025</v>
      </c>
      <c r="B321" t="inlineStr">
        <is>
          <t>2025-03</t>
        </is>
      </c>
      <c r="C321" t="inlineStr">
        <is>
          <t>Dourados</t>
        </is>
      </c>
      <c r="D321" t="inlineStr">
        <is>
          <t>HYUNDAI</t>
        </is>
      </c>
      <c r="E321" t="inlineStr">
        <is>
          <t>EHH0044</t>
        </is>
      </c>
      <c r="F321" t="inlineStr">
        <is>
          <t>EKIPA LOCACOES E SERV G&amp;S</t>
        </is>
      </c>
      <c r="G321" t="inlineStr">
        <is>
          <t>G&amp;G MATRIZ</t>
        </is>
      </c>
      <c r="H321" t="inlineStr">
        <is>
          <t>7.1.22</t>
        </is>
      </c>
      <c r="I321" t="inlineStr">
        <is>
          <t>COMBUSTÍVEL - DIESEL (INTERNO)</t>
        </is>
      </c>
      <c r="J321" t="n">
        <v>1627.35</v>
      </c>
      <c r="K321" t="n">
        <v>1627.35</v>
      </c>
    </row>
    <row r="322" hidden="1" s="154">
      <c r="A322" t="n">
        <v>2025</v>
      </c>
      <c r="B322" t="inlineStr">
        <is>
          <t>2025-03</t>
        </is>
      </c>
      <c r="C322" t="inlineStr">
        <is>
          <t>Dourados</t>
        </is>
      </c>
      <c r="D322" t="inlineStr">
        <is>
          <t>HYUNDAI</t>
        </is>
      </c>
      <c r="E322" t="inlineStr">
        <is>
          <t>EHH0044</t>
        </is>
      </c>
      <c r="F322" t="inlineStr">
        <is>
          <t>EKIPA LOCACOES E SERV G&amp;S</t>
        </is>
      </c>
      <c r="G322" t="inlineStr">
        <is>
          <t>G&amp;G MATRIZ</t>
        </is>
      </c>
      <c r="H322" t="inlineStr">
        <is>
          <t>7.1.22</t>
        </is>
      </c>
      <c r="I322" t="inlineStr">
        <is>
          <t>COMBUSTÍVEL - DIESEL (INTERNO)</t>
        </is>
      </c>
      <c r="J322" t="n">
        <v>1647.34</v>
      </c>
      <c r="K322" t="n">
        <v>1647.34</v>
      </c>
    </row>
    <row r="323" hidden="1" s="154">
      <c r="A323" t="n">
        <v>2025</v>
      </c>
      <c r="B323" t="inlineStr">
        <is>
          <t>2025-03</t>
        </is>
      </c>
      <c r="C323" t="inlineStr">
        <is>
          <t>Dourados</t>
        </is>
      </c>
      <c r="D323" t="inlineStr">
        <is>
          <t>HYUNDAI</t>
        </is>
      </c>
      <c r="E323" t="inlineStr">
        <is>
          <t>EHH0044</t>
        </is>
      </c>
      <c r="F323" t="inlineStr">
        <is>
          <t>EKIPA LOCACOES E SERV G&amp;S</t>
        </is>
      </c>
      <c r="G323" t="inlineStr">
        <is>
          <t>G&amp;G - MATO GROSSO DO SUL</t>
        </is>
      </c>
      <c r="H323" t="inlineStr">
        <is>
          <t>7.1.1</t>
        </is>
      </c>
      <c r="I323" t="inlineStr">
        <is>
          <t>PEÇAS DE MANUTENÇÃO</t>
        </is>
      </c>
      <c r="J323" t="n">
        <v>127</v>
      </c>
      <c r="K323" t="n">
        <v>127</v>
      </c>
    </row>
    <row r="324" hidden="1" s="154">
      <c r="A324" t="n">
        <v>2025</v>
      </c>
      <c r="B324" t="inlineStr">
        <is>
          <t>2025-03</t>
        </is>
      </c>
      <c r="C324" t="inlineStr">
        <is>
          <t>Dourados</t>
        </is>
      </c>
      <c r="D324" t="inlineStr">
        <is>
          <t>HYUNDAI</t>
        </is>
      </c>
      <c r="E324" t="inlineStr">
        <is>
          <t>EHH0044</t>
        </is>
      </c>
      <c r="F324" t="inlineStr">
        <is>
          <t>SELETIVA</t>
        </is>
      </c>
      <c r="G324" t="inlineStr">
        <is>
          <t>G3S PRUDENTE</t>
        </is>
      </c>
      <c r="H324" t="inlineStr">
        <is>
          <t>7.1.1</t>
        </is>
      </c>
      <c r="I324" t="inlineStr">
        <is>
          <t>PEÇAS DE MANUTENÇÃO</t>
        </is>
      </c>
      <c r="J324" t="n">
        <v>705.6799999999999</v>
      </c>
      <c r="K324" t="n">
        <v>705.6799999999999</v>
      </c>
    </row>
    <row r="325" hidden="1" s="154">
      <c r="A325" t="n">
        <v>2025</v>
      </c>
      <c r="B325" t="inlineStr">
        <is>
          <t>2025-03</t>
        </is>
      </c>
      <c r="C325" t="inlineStr">
        <is>
          <t>Dourados</t>
        </is>
      </c>
      <c r="D325" t="inlineStr">
        <is>
          <t>HYUNDAI</t>
        </is>
      </c>
      <c r="E325" t="inlineStr">
        <is>
          <t>EHH0044</t>
        </is>
      </c>
      <c r="F325" t="inlineStr">
        <is>
          <t>EKIPA LOCACOES E SERV G&amp;S</t>
        </is>
      </c>
      <c r="G325" t="inlineStr">
        <is>
          <t>G&amp;G MATRIZ</t>
        </is>
      </c>
      <c r="H325" t="inlineStr">
        <is>
          <t>7.1.1</t>
        </is>
      </c>
      <c r="I325" t="inlineStr">
        <is>
          <t>PEÇAS DE MANUTENÇÃO</t>
        </is>
      </c>
      <c r="J325" t="n">
        <v>587.67</v>
      </c>
      <c r="K325" t="n">
        <v>587.67</v>
      </c>
    </row>
    <row r="326" hidden="1" s="154">
      <c r="A326" t="n">
        <v>2025</v>
      </c>
      <c r="B326" t="inlineStr">
        <is>
          <t>2025-03</t>
        </is>
      </c>
      <c r="C326" t="inlineStr">
        <is>
          <t>Dourados</t>
        </is>
      </c>
      <c r="D326" t="inlineStr">
        <is>
          <t>HYUNDAI</t>
        </is>
      </c>
      <c r="E326" t="inlineStr">
        <is>
          <t>EHH0044</t>
        </is>
      </c>
      <c r="F326" t="inlineStr">
        <is>
          <t>EKIPA LOCACOES E SERV G&amp;S</t>
        </is>
      </c>
      <c r="G326" t="inlineStr">
        <is>
          <t>G&amp;G MATRIZ</t>
        </is>
      </c>
      <c r="H326" t="inlineStr">
        <is>
          <t>7.1.1</t>
        </is>
      </c>
      <c r="I326" t="inlineStr">
        <is>
          <t>PEÇAS DE MANUTENÇÃO</t>
        </is>
      </c>
      <c r="J326" t="n">
        <v>2484</v>
      </c>
      <c r="K326" t="n">
        <v>2484</v>
      </c>
    </row>
    <row r="327" hidden="1" s="154">
      <c r="A327" t="n">
        <v>2025</v>
      </c>
      <c r="B327" t="inlineStr">
        <is>
          <t>2025-03</t>
        </is>
      </c>
      <c r="C327" t="inlineStr">
        <is>
          <t>Dourados</t>
        </is>
      </c>
      <c r="D327" t="inlineStr">
        <is>
          <t>HYUNDAI</t>
        </is>
      </c>
      <c r="E327" t="inlineStr">
        <is>
          <t>EHH0044</t>
        </is>
      </c>
      <c r="F327" t="inlineStr">
        <is>
          <t>EKIPA LOCACOES E SERV G&amp;S</t>
        </is>
      </c>
      <c r="G327" t="inlineStr">
        <is>
          <t>G&amp;G MATRIZ</t>
        </is>
      </c>
      <c r="H327" t="inlineStr">
        <is>
          <t>7.1.2</t>
        </is>
      </c>
      <c r="I327" t="inlineStr">
        <is>
          <t>MANUTENÇÃO DE VEÍCULOS/MAQUINAS</t>
        </is>
      </c>
      <c r="J327" t="n">
        <v>1590</v>
      </c>
      <c r="K327" t="n">
        <v>1590</v>
      </c>
    </row>
    <row r="328" hidden="1" s="154">
      <c r="A328" t="n">
        <v>2025</v>
      </c>
      <c r="B328" t="inlineStr">
        <is>
          <t>2025-03</t>
        </is>
      </c>
      <c r="C328" t="inlineStr">
        <is>
          <t>Dourados</t>
        </is>
      </c>
      <c r="D328" t="inlineStr">
        <is>
          <t>HYUNDAI</t>
        </is>
      </c>
      <c r="E328" t="inlineStr">
        <is>
          <t>EHH0044</t>
        </is>
      </c>
      <c r="F328" t="inlineStr">
        <is>
          <t>EKIPA LOCACOES E SERV G&amp;S</t>
        </is>
      </c>
      <c r="G328" t="inlineStr">
        <is>
          <t>G&amp;G MATRIZ</t>
        </is>
      </c>
      <c r="H328" t="inlineStr">
        <is>
          <t>7.1.2</t>
        </is>
      </c>
      <c r="I328" t="inlineStr">
        <is>
          <t>MANUTENÇÃO DE VEÍCULOS/MAQUINAS</t>
        </is>
      </c>
      <c r="J328" t="n">
        <v>770</v>
      </c>
      <c r="K328" t="n">
        <v>770</v>
      </c>
    </row>
    <row r="329" hidden="1" s="154">
      <c r="A329" t="n">
        <v>2025</v>
      </c>
      <c r="B329" t="inlineStr">
        <is>
          <t>2025-03</t>
        </is>
      </c>
      <c r="C329" t="inlineStr">
        <is>
          <t>Dourados</t>
        </is>
      </c>
      <c r="D329" t="inlineStr">
        <is>
          <t>HYUNDAI</t>
        </is>
      </c>
      <c r="E329" t="inlineStr">
        <is>
          <t>EHH0044</t>
        </is>
      </c>
      <c r="F329" t="inlineStr">
        <is>
          <t>EKIPA LOCACOES E SERV G&amp;S</t>
        </is>
      </c>
      <c r="G329" t="inlineStr">
        <is>
          <t>G&amp;G MATRIZ</t>
        </is>
      </c>
      <c r="H329" t="inlineStr">
        <is>
          <t>7.1.22</t>
        </is>
      </c>
      <c r="I329" t="inlineStr">
        <is>
          <t>COMBUSTÍVEL - DIESEL (INTERNO)</t>
        </is>
      </c>
      <c r="J329" t="n">
        <v>1653.05</v>
      </c>
      <c r="K329" t="n">
        <v>1653.05</v>
      </c>
    </row>
    <row r="330" hidden="1" s="154">
      <c r="A330" t="n">
        <v>2025</v>
      </c>
      <c r="B330" t="inlineStr">
        <is>
          <t>2025-04</t>
        </is>
      </c>
      <c r="C330" t="inlineStr">
        <is>
          <t>Dourados</t>
        </is>
      </c>
      <c r="D330" t="inlineStr">
        <is>
          <t>HYUNDAI</t>
        </is>
      </c>
      <c r="E330" t="inlineStr">
        <is>
          <t>EHH0044</t>
        </is>
      </c>
      <c r="F330" t="inlineStr">
        <is>
          <t>EKIPA LOCACOES E SERV G&amp;S</t>
        </is>
      </c>
      <c r="G330" t="inlineStr">
        <is>
          <t>G&amp;G MATRIZ</t>
        </is>
      </c>
      <c r="H330" t="inlineStr">
        <is>
          <t>7.1.4</t>
        </is>
      </c>
      <c r="I330" t="inlineStr">
        <is>
          <t>COMBUSTÍVEL - DIESEL (POSTO)</t>
        </is>
      </c>
      <c r="J330" t="n">
        <v>3430</v>
      </c>
      <c r="K330" t="n">
        <v>3430</v>
      </c>
    </row>
    <row r="331" hidden="1" s="154">
      <c r="A331" t="n">
        <v>2025</v>
      </c>
      <c r="B331" t="inlineStr">
        <is>
          <t>2025-04</t>
        </is>
      </c>
      <c r="C331" t="inlineStr">
        <is>
          <t>Dourados</t>
        </is>
      </c>
      <c r="D331" t="inlineStr">
        <is>
          <t>HYUNDAI</t>
        </is>
      </c>
      <c r="E331" t="inlineStr">
        <is>
          <t>EHH0044</t>
        </is>
      </c>
      <c r="F331" t="inlineStr">
        <is>
          <t>EKIPA LOCACOES E SERV G&amp;S</t>
        </is>
      </c>
      <c r="G331" t="inlineStr">
        <is>
          <t>G&amp;G MATRIZ</t>
        </is>
      </c>
      <c r="H331" t="inlineStr">
        <is>
          <t>7.1.22</t>
        </is>
      </c>
      <c r="I331" t="inlineStr">
        <is>
          <t>COMBUSTÍVEL - DIESEL (INTERNO)</t>
        </is>
      </c>
      <c r="J331" t="n">
        <v>128.47</v>
      </c>
      <c r="K331" t="n">
        <v>128.47</v>
      </c>
    </row>
    <row r="332" hidden="1" s="154">
      <c r="A332" t="n">
        <v>2025</v>
      </c>
      <c r="B332" t="inlineStr">
        <is>
          <t>2025-04</t>
        </is>
      </c>
      <c r="C332" t="inlineStr">
        <is>
          <t>Dourados</t>
        </is>
      </c>
      <c r="D332" t="inlineStr">
        <is>
          <t>HYUNDAI</t>
        </is>
      </c>
      <c r="E332" t="inlineStr">
        <is>
          <t>EHH0044</t>
        </is>
      </c>
      <c r="F332" t="inlineStr">
        <is>
          <t>EKIPA LOCACOES E SERV G&amp;S</t>
        </is>
      </c>
      <c r="G332" t="inlineStr">
        <is>
          <t>G&amp;G MATRIZ</t>
        </is>
      </c>
      <c r="H332" t="inlineStr">
        <is>
          <t>7.1.22</t>
        </is>
      </c>
      <c r="I332" t="inlineStr">
        <is>
          <t>COMBUSTÍVEL - DIESEL (INTERNO)</t>
        </is>
      </c>
      <c r="J332" t="n">
        <v>1575.96</v>
      </c>
      <c r="K332" t="n">
        <v>1575.96</v>
      </c>
    </row>
    <row r="333" hidden="1" s="154">
      <c r="A333" t="n">
        <v>2025</v>
      </c>
      <c r="B333" t="inlineStr">
        <is>
          <t>2025-04</t>
        </is>
      </c>
      <c r="C333" t="inlineStr">
        <is>
          <t>Dourados</t>
        </is>
      </c>
      <c r="D333" t="inlineStr">
        <is>
          <t>HYUNDAI</t>
        </is>
      </c>
      <c r="E333" t="inlineStr">
        <is>
          <t>EHH0044</t>
        </is>
      </c>
      <c r="F333" t="inlineStr">
        <is>
          <t>EKIPA LOCACOES E SERV G&amp;S</t>
        </is>
      </c>
      <c r="G333" t="inlineStr">
        <is>
          <t>G&amp;G - MATO GROSSO DO SUL</t>
        </is>
      </c>
      <c r="H333" t="inlineStr">
        <is>
          <t>7.1.4</t>
        </is>
      </c>
      <c r="I333" t="inlineStr">
        <is>
          <t>COMBUSTÍVEL - DIESEL (POSTO)</t>
        </is>
      </c>
      <c r="J333" t="n">
        <v>597.6</v>
      </c>
      <c r="K333" t="n">
        <v>597.6</v>
      </c>
    </row>
    <row r="334" hidden="1" s="154">
      <c r="A334" t="n">
        <v>2025</v>
      </c>
      <c r="B334" t="inlineStr">
        <is>
          <t>2025-04</t>
        </is>
      </c>
      <c r="C334" t="inlineStr">
        <is>
          <t>Dourados</t>
        </is>
      </c>
      <c r="D334" t="inlineStr">
        <is>
          <t>HYUNDAI</t>
        </is>
      </c>
      <c r="E334" t="inlineStr">
        <is>
          <t>EHH0044</t>
        </is>
      </c>
      <c r="F334" t="inlineStr">
        <is>
          <t>EKIPA LOCACOES E SERV G&amp;S</t>
        </is>
      </c>
      <c r="G334" t="inlineStr">
        <is>
          <t>G&amp;G MATRIZ</t>
        </is>
      </c>
      <c r="H334" t="inlineStr">
        <is>
          <t>7.1.1</t>
        </is>
      </c>
      <c r="I334" t="inlineStr">
        <is>
          <t>PEÇAS DE MANUTENÇÃO</t>
        </is>
      </c>
      <c r="J334" t="n">
        <v>1916.54</v>
      </c>
      <c r="K334" t="n">
        <v>1916.54</v>
      </c>
    </row>
    <row r="335" hidden="1" s="154">
      <c r="A335" t="n">
        <v>2025</v>
      </c>
      <c r="B335" t="inlineStr">
        <is>
          <t>2025-04</t>
        </is>
      </c>
      <c r="C335" t="inlineStr">
        <is>
          <t>Dourados</t>
        </is>
      </c>
      <c r="D335" t="inlineStr">
        <is>
          <t>HYUNDAI</t>
        </is>
      </c>
      <c r="E335" t="inlineStr">
        <is>
          <t>EHH0044</t>
        </is>
      </c>
      <c r="F335" t="inlineStr">
        <is>
          <t>EKIPA LOCACOES E SERV G&amp;S</t>
        </is>
      </c>
      <c r="G335" t="inlineStr">
        <is>
          <t>G&amp;G MATRIZ</t>
        </is>
      </c>
      <c r="H335" t="inlineStr">
        <is>
          <t>7.1.1</t>
        </is>
      </c>
      <c r="I335" t="inlineStr">
        <is>
          <t>PEÇAS DE MANUTENÇÃO</t>
        </is>
      </c>
      <c r="J335" t="n">
        <v>350.2</v>
      </c>
      <c r="K335" t="n">
        <v>350.2</v>
      </c>
    </row>
    <row r="336" hidden="1" s="154">
      <c r="A336" t="n">
        <v>2025</v>
      </c>
      <c r="B336" t="inlineStr">
        <is>
          <t>2025-04</t>
        </is>
      </c>
      <c r="C336" t="inlineStr">
        <is>
          <t>Dourados</t>
        </is>
      </c>
      <c r="D336" t="inlineStr">
        <is>
          <t>HYUNDAI</t>
        </is>
      </c>
      <c r="E336" t="inlineStr">
        <is>
          <t>EHH0044</t>
        </is>
      </c>
      <c r="F336" t="inlineStr">
        <is>
          <t>EKIPA LOCACOES E SERV G&amp;S</t>
        </is>
      </c>
      <c r="G336" t="inlineStr">
        <is>
          <t>G&amp;G MATRIZ</t>
        </is>
      </c>
      <c r="H336" t="inlineStr">
        <is>
          <t>7.1.22</t>
        </is>
      </c>
      <c r="I336" t="inlineStr">
        <is>
          <t>COMBUSTÍVEL - DIESEL (INTERNO)</t>
        </is>
      </c>
      <c r="J336" t="n">
        <v>115.92</v>
      </c>
      <c r="K336" t="n">
        <v>115.92</v>
      </c>
    </row>
    <row r="337" hidden="1" s="154">
      <c r="A337" t="n">
        <v>2025</v>
      </c>
      <c r="B337" t="inlineStr">
        <is>
          <t>2025-04</t>
        </is>
      </c>
      <c r="C337" t="inlineStr">
        <is>
          <t>Dourados</t>
        </is>
      </c>
      <c r="D337" t="inlineStr">
        <is>
          <t>HYUNDAI</t>
        </is>
      </c>
      <c r="E337" t="inlineStr">
        <is>
          <t>EHH0044</t>
        </is>
      </c>
      <c r="F337" t="inlineStr">
        <is>
          <t>EKIPA LOCACOES E SERV G&amp;S</t>
        </is>
      </c>
      <c r="G337" t="inlineStr">
        <is>
          <t>G&amp;G MATRIZ</t>
        </is>
      </c>
      <c r="H337" t="inlineStr">
        <is>
          <t>7.1.22</t>
        </is>
      </c>
      <c r="I337" t="inlineStr">
        <is>
          <t>COMBUSTÍVEL - DIESEL (INTERNO)</t>
        </is>
      </c>
      <c r="J337" t="n">
        <v>110.4</v>
      </c>
      <c r="K337" t="n">
        <v>110.4</v>
      </c>
    </row>
    <row r="338" hidden="1" s="154">
      <c r="A338" t="n">
        <v>2025</v>
      </c>
      <c r="B338" t="inlineStr">
        <is>
          <t>2025-04</t>
        </is>
      </c>
      <c r="C338" t="inlineStr">
        <is>
          <t>Dourados</t>
        </is>
      </c>
      <c r="D338" t="inlineStr">
        <is>
          <t>HYUNDAI</t>
        </is>
      </c>
      <c r="E338" t="inlineStr">
        <is>
          <t>EHH0044</t>
        </is>
      </c>
      <c r="F338" t="inlineStr">
        <is>
          <t>EKIPA LOCACOES E SERV G&amp;S</t>
        </is>
      </c>
      <c r="G338" t="inlineStr">
        <is>
          <t>G&amp;G MATRIZ</t>
        </is>
      </c>
      <c r="H338" t="inlineStr">
        <is>
          <t>7.1.1</t>
        </is>
      </c>
      <c r="I338" t="inlineStr">
        <is>
          <t>PEÇAS DE MANUTENÇÃO</t>
        </is>
      </c>
      <c r="J338" t="n">
        <v>407.84</v>
      </c>
      <c r="K338" t="n">
        <v>407.84</v>
      </c>
    </row>
    <row r="339" hidden="1" s="154">
      <c r="A339" t="n">
        <v>2025</v>
      </c>
      <c r="B339" t="inlineStr">
        <is>
          <t>2025-04</t>
        </is>
      </c>
      <c r="C339" t="inlineStr">
        <is>
          <t>Dourados</t>
        </is>
      </c>
      <c r="D339" t="inlineStr">
        <is>
          <t>HYUNDAI</t>
        </is>
      </c>
      <c r="E339" t="inlineStr">
        <is>
          <t>EHH0044</t>
        </is>
      </c>
      <c r="F339" t="inlineStr">
        <is>
          <t>EKIPA LOCACOES E SERV G&amp;S</t>
        </is>
      </c>
      <c r="G339" t="inlineStr">
        <is>
          <t>G&amp;G MATRIZ</t>
        </is>
      </c>
      <c r="H339" t="inlineStr">
        <is>
          <t>7.1.2</t>
        </is>
      </c>
      <c r="I339" t="inlineStr">
        <is>
          <t>MANUTENÇÃO DE VEÍCULOS/MAQUINAS</t>
        </is>
      </c>
      <c r="J339" t="n">
        <v>19360</v>
      </c>
      <c r="K339" t="n">
        <v>19360</v>
      </c>
    </row>
    <row r="340" hidden="1" s="154">
      <c r="A340" t="n">
        <v>2025</v>
      </c>
      <c r="B340" t="inlineStr">
        <is>
          <t>2025-04</t>
        </is>
      </c>
      <c r="C340" t="inlineStr">
        <is>
          <t>Dourados</t>
        </is>
      </c>
      <c r="D340" t="inlineStr">
        <is>
          <t>HYUNDAI</t>
        </is>
      </c>
      <c r="E340" t="inlineStr">
        <is>
          <t>EHH0044</t>
        </is>
      </c>
      <c r="F340" t="inlineStr">
        <is>
          <t>EKIPA LOCACOES E SERV G&amp;S</t>
        </is>
      </c>
      <c r="G340" t="inlineStr">
        <is>
          <t>G&amp;G MATRIZ</t>
        </is>
      </c>
      <c r="H340" t="inlineStr">
        <is>
          <t>7.1.22</t>
        </is>
      </c>
      <c r="I340" t="inlineStr">
        <is>
          <t>COMBUSTÍVEL - DIESEL (INTERNO)</t>
        </is>
      </c>
      <c r="J340" t="n">
        <v>1396.56</v>
      </c>
      <c r="K340" t="n">
        <v>1396.56</v>
      </c>
    </row>
    <row r="341" hidden="1" s="154">
      <c r="A341" t="n">
        <v>2025</v>
      </c>
      <c r="B341" t="inlineStr">
        <is>
          <t>2025-04</t>
        </is>
      </c>
      <c r="C341" t="inlineStr">
        <is>
          <t>Dourados</t>
        </is>
      </c>
      <c r="D341" t="inlineStr">
        <is>
          <t>HYUNDAI</t>
        </is>
      </c>
      <c r="E341" t="inlineStr">
        <is>
          <t>EHH0044</t>
        </is>
      </c>
      <c r="F341" t="inlineStr">
        <is>
          <t>EKIPA LOCACOES E SERV G&amp;S</t>
        </is>
      </c>
      <c r="G341" t="inlineStr">
        <is>
          <t>G&amp;G MATRIZ</t>
        </is>
      </c>
      <c r="H341" t="inlineStr">
        <is>
          <t>7.1.1</t>
        </is>
      </c>
      <c r="I341" t="inlineStr">
        <is>
          <t>PEÇAS DE MANUTENÇÃO</t>
        </is>
      </c>
      <c r="J341" t="n">
        <v>113.81</v>
      </c>
      <c r="K341" t="n">
        <v>113.81</v>
      </c>
    </row>
    <row r="342" hidden="1" s="154">
      <c r="A342" t="n">
        <v>2025</v>
      </c>
      <c r="B342" t="inlineStr">
        <is>
          <t>2025-04</t>
        </is>
      </c>
      <c r="C342" t="inlineStr">
        <is>
          <t>Dourados</t>
        </is>
      </c>
      <c r="D342" t="inlineStr">
        <is>
          <t>HYUNDAI</t>
        </is>
      </c>
      <c r="E342" t="inlineStr">
        <is>
          <t>EHH0044</t>
        </is>
      </c>
      <c r="F342" t="inlineStr">
        <is>
          <t>EKIPA LOCACOES E SERV G&amp;S</t>
        </is>
      </c>
      <c r="G342" t="inlineStr">
        <is>
          <t>G&amp;G MATRIZ</t>
        </is>
      </c>
      <c r="H342" t="inlineStr">
        <is>
          <t>7.1.2</t>
        </is>
      </c>
      <c r="I342" t="inlineStr">
        <is>
          <t>MANUTENÇÃO DE VEÍCULOS/MAQUINAS</t>
        </is>
      </c>
      <c r="J342" t="n">
        <v>1520</v>
      </c>
      <c r="K342" t="n">
        <v>1520</v>
      </c>
    </row>
    <row r="343" hidden="1" s="154">
      <c r="A343" t="n">
        <v>2025</v>
      </c>
      <c r="B343" t="inlineStr">
        <is>
          <t>2025-04</t>
        </is>
      </c>
      <c r="C343" t="inlineStr">
        <is>
          <t>Dourados</t>
        </is>
      </c>
      <c r="D343" t="inlineStr">
        <is>
          <t>HYUNDAI</t>
        </is>
      </c>
      <c r="E343" t="inlineStr">
        <is>
          <t>EHH0044</t>
        </is>
      </c>
      <c r="F343" t="inlineStr">
        <is>
          <t>EKIPA LOCACOES E SERV G&amp;S</t>
        </is>
      </c>
      <c r="G343" t="inlineStr">
        <is>
          <t>G&amp;G MATRIZ</t>
        </is>
      </c>
      <c r="H343" t="inlineStr">
        <is>
          <t>7.1.18</t>
        </is>
      </c>
      <c r="I343" t="inlineStr">
        <is>
          <t>FRETES E CARRETOS</t>
        </is>
      </c>
      <c r="J343" t="n">
        <v>34.35</v>
      </c>
      <c r="K343" t="n">
        <v>34.35</v>
      </c>
    </row>
    <row r="344" hidden="1" s="154">
      <c r="A344" t="n">
        <v>2025</v>
      </c>
      <c r="B344" t="inlineStr">
        <is>
          <t>2025-04</t>
        </is>
      </c>
      <c r="C344" t="inlineStr">
        <is>
          <t>Dourados</t>
        </is>
      </c>
      <c r="D344" t="inlineStr">
        <is>
          <t>HYUNDAI</t>
        </is>
      </c>
      <c r="E344" t="inlineStr">
        <is>
          <t>EHH0044</t>
        </is>
      </c>
      <c r="F344" t="inlineStr">
        <is>
          <t>EKIPA LOCACOES E SERV G&amp;S</t>
        </is>
      </c>
      <c r="G344" t="inlineStr">
        <is>
          <t>G&amp;G MATRIZ</t>
        </is>
      </c>
      <c r="H344" t="inlineStr">
        <is>
          <t>7.1.1</t>
        </is>
      </c>
      <c r="I344" t="inlineStr">
        <is>
          <t>PEÇAS DE MANUTENÇÃO</t>
        </is>
      </c>
      <c r="J344" t="n">
        <v>183.71</v>
      </c>
      <c r="K344" t="n">
        <v>183.71</v>
      </c>
    </row>
    <row r="345" hidden="1" s="154">
      <c r="A345" t="n">
        <v>2025</v>
      </c>
      <c r="B345" t="inlineStr">
        <is>
          <t>2025-04</t>
        </is>
      </c>
      <c r="C345" t="inlineStr">
        <is>
          <t>Dourados</t>
        </is>
      </c>
      <c r="D345" t="inlineStr">
        <is>
          <t>HYUNDAI</t>
        </is>
      </c>
      <c r="E345" t="inlineStr">
        <is>
          <t>EHH0044</t>
        </is>
      </c>
      <c r="F345" t="inlineStr">
        <is>
          <t>EKIPA LOCACOES E SERV G&amp;S</t>
        </is>
      </c>
      <c r="G345" t="inlineStr">
        <is>
          <t>G&amp;G MATRIZ</t>
        </is>
      </c>
      <c r="H345" t="inlineStr">
        <is>
          <t>7.1.2</t>
        </is>
      </c>
      <c r="I345" t="inlineStr">
        <is>
          <t>MANUTENÇÃO DE VEÍCULOS/MAQUINAS</t>
        </is>
      </c>
      <c r="J345" t="n">
        <v>460</v>
      </c>
      <c r="K345" t="n">
        <v>460</v>
      </c>
    </row>
    <row r="346" hidden="1" s="154">
      <c r="A346" t="n">
        <v>2025</v>
      </c>
      <c r="B346" t="inlineStr">
        <is>
          <t>2025-04</t>
        </is>
      </c>
      <c r="C346" t="inlineStr">
        <is>
          <t>Dourados</t>
        </is>
      </c>
      <c r="D346" t="inlineStr">
        <is>
          <t>HYUNDAI</t>
        </is>
      </c>
      <c r="E346" t="inlineStr">
        <is>
          <t>EHH0044</t>
        </is>
      </c>
      <c r="F346" t="inlineStr">
        <is>
          <t>EKIPA LOCACOES E SERV G&amp;S</t>
        </is>
      </c>
      <c r="G346" t="inlineStr">
        <is>
          <t>G&amp;G MATRIZ</t>
        </is>
      </c>
      <c r="H346" t="inlineStr">
        <is>
          <t>7.1.22</t>
        </is>
      </c>
      <c r="I346" t="inlineStr">
        <is>
          <t>COMBUSTÍVEL - DIESEL (INTERNO)</t>
        </is>
      </c>
      <c r="J346" t="n">
        <v>113.16</v>
      </c>
      <c r="K346" t="n">
        <v>113.16</v>
      </c>
    </row>
    <row r="347" hidden="1" s="154">
      <c r="A347" t="n">
        <v>2025</v>
      </c>
      <c r="B347" t="inlineStr">
        <is>
          <t>2025-04</t>
        </is>
      </c>
      <c r="C347" t="inlineStr">
        <is>
          <t>Dourados</t>
        </is>
      </c>
      <c r="D347" t="inlineStr">
        <is>
          <t>HYUNDAI</t>
        </is>
      </c>
      <c r="E347" t="inlineStr">
        <is>
          <t>EHH0044</t>
        </is>
      </c>
      <c r="F347" t="inlineStr">
        <is>
          <t>EKIPA LOCACOES E SERV G&amp;S</t>
        </is>
      </c>
      <c r="G347" t="inlineStr">
        <is>
          <t>G&amp;G MATRIZ</t>
        </is>
      </c>
      <c r="H347" t="inlineStr">
        <is>
          <t>7.1.22</t>
        </is>
      </c>
      <c r="I347" t="inlineStr">
        <is>
          <t>COMBUSTÍVEL - DIESEL (INTERNO)</t>
        </is>
      </c>
      <c r="J347" t="n">
        <v>1564.92</v>
      </c>
      <c r="K347" t="n">
        <v>1564.92</v>
      </c>
    </row>
    <row r="348" hidden="1" s="154">
      <c r="A348" t="n">
        <v>2025</v>
      </c>
      <c r="B348" t="inlineStr">
        <is>
          <t>2025-04</t>
        </is>
      </c>
      <c r="C348" t="inlineStr">
        <is>
          <t>Dourados</t>
        </is>
      </c>
      <c r="D348" t="inlineStr">
        <is>
          <t>HYUNDAI</t>
        </is>
      </c>
      <c r="E348" t="inlineStr">
        <is>
          <t>EHH0044</t>
        </is>
      </c>
      <c r="F348" t="inlineStr">
        <is>
          <t>EKIPA LOCACOES E SERV G&amp;S</t>
        </is>
      </c>
      <c r="G348" t="inlineStr">
        <is>
          <t>G&amp;G MATRIZ</t>
        </is>
      </c>
      <c r="H348" t="inlineStr">
        <is>
          <t>7.1.2</t>
        </is>
      </c>
      <c r="I348" t="inlineStr">
        <is>
          <t>MANUTENÇÃO DE VEÍCULOS/MAQUINAS</t>
        </is>
      </c>
      <c r="J348" t="n">
        <v>1570</v>
      </c>
      <c r="K348" t="n">
        <v>1570</v>
      </c>
    </row>
    <row r="349" hidden="1" s="154">
      <c r="A349" t="n">
        <v>2025</v>
      </c>
      <c r="B349" t="inlineStr">
        <is>
          <t>2025-05</t>
        </is>
      </c>
      <c r="C349" t="inlineStr">
        <is>
          <t>Dourados</t>
        </is>
      </c>
      <c r="D349" t="inlineStr">
        <is>
          <t>HYUNDAI</t>
        </is>
      </c>
      <c r="E349" t="inlineStr">
        <is>
          <t>EHH0044</t>
        </is>
      </c>
      <c r="F349" t="inlineStr">
        <is>
          <t>EKIPA LOCACOES E SERV G&amp;S</t>
        </is>
      </c>
      <c r="G349" t="inlineStr">
        <is>
          <t>G&amp;G MATRIZ</t>
        </is>
      </c>
      <c r="H349" t="inlineStr">
        <is>
          <t>7.1.2</t>
        </is>
      </c>
      <c r="I349" t="inlineStr">
        <is>
          <t>MANUTENÇÃO DE VEÍCULOS/MAQUINAS</t>
        </is>
      </c>
      <c r="J349" t="n">
        <v>3000</v>
      </c>
      <c r="K349" t="n">
        <v>3000</v>
      </c>
    </row>
    <row r="350" hidden="1" s="154">
      <c r="A350" t="n">
        <v>2025</v>
      </c>
      <c r="B350" t="inlineStr">
        <is>
          <t>2025-05</t>
        </is>
      </c>
      <c r="C350" t="inlineStr">
        <is>
          <t>Dourados</t>
        </is>
      </c>
      <c r="D350" t="inlineStr">
        <is>
          <t>HYUNDAI</t>
        </is>
      </c>
      <c r="E350" t="inlineStr">
        <is>
          <t>EHH0044</t>
        </is>
      </c>
      <c r="F350" t="inlineStr">
        <is>
          <t>EKIPA LOCACOES E SERV G&amp;S</t>
        </is>
      </c>
      <c r="G350" t="inlineStr">
        <is>
          <t>G&amp;G MATRIZ</t>
        </is>
      </c>
      <c r="H350" t="inlineStr">
        <is>
          <t>7.1.2</t>
        </is>
      </c>
      <c r="I350" t="inlineStr">
        <is>
          <t>MANUTENÇÃO DE VEÍCULOS/MAQUINAS</t>
        </is>
      </c>
      <c r="J350" t="n">
        <v>1100</v>
      </c>
      <c r="K350" t="n">
        <v>1100</v>
      </c>
    </row>
    <row r="351" hidden="1" s="154">
      <c r="A351" t="n">
        <v>2025</v>
      </c>
      <c r="B351" t="inlineStr">
        <is>
          <t>2025-05</t>
        </is>
      </c>
      <c r="C351" t="inlineStr">
        <is>
          <t>Dourados</t>
        </is>
      </c>
      <c r="D351" t="inlineStr">
        <is>
          <t>HYUNDAI</t>
        </is>
      </c>
      <c r="E351" t="inlineStr">
        <is>
          <t>EHH0044</t>
        </is>
      </c>
      <c r="F351" t="inlineStr">
        <is>
          <t>EKIPA LOCACOES E SERV G&amp;S</t>
        </is>
      </c>
      <c r="G351" t="inlineStr">
        <is>
          <t>G&amp;G MATRIZ</t>
        </is>
      </c>
      <c r="H351" t="inlineStr">
        <is>
          <t>7.1.1</t>
        </is>
      </c>
      <c r="I351" t="inlineStr">
        <is>
          <t>PEÇAS DE MANUTENÇÃO</t>
        </is>
      </c>
      <c r="J351" t="n">
        <v>1650.33</v>
      </c>
      <c r="K351" t="n">
        <v>1650.33</v>
      </c>
    </row>
    <row r="352" hidden="1" s="154">
      <c r="A352" t="n">
        <v>2025</v>
      </c>
      <c r="B352" t="inlineStr">
        <is>
          <t>2025-05</t>
        </is>
      </c>
      <c r="C352" t="inlineStr">
        <is>
          <t>Dourados</t>
        </is>
      </c>
      <c r="D352" t="inlineStr">
        <is>
          <t>HYUNDAI</t>
        </is>
      </c>
      <c r="E352" t="inlineStr">
        <is>
          <t>EHH0044</t>
        </is>
      </c>
      <c r="F352" t="inlineStr">
        <is>
          <t>EKIPA LOCACOES E SERV G&amp;S</t>
        </is>
      </c>
      <c r="G352" t="inlineStr">
        <is>
          <t>G&amp;G MATRIZ</t>
        </is>
      </c>
      <c r="H352" t="inlineStr">
        <is>
          <t>7.1.1</t>
        </is>
      </c>
      <c r="I352" t="inlineStr">
        <is>
          <t>PEÇAS DE MANUTENÇÃO</t>
        </is>
      </c>
      <c r="J352" t="n">
        <v>2040</v>
      </c>
      <c r="K352" t="n">
        <v>2040</v>
      </c>
    </row>
    <row r="353" hidden="1" s="154">
      <c r="A353" t="n">
        <v>2025</v>
      </c>
      <c r="B353" t="inlineStr">
        <is>
          <t>2025-05</t>
        </is>
      </c>
      <c r="C353" t="inlineStr">
        <is>
          <t>Dourados</t>
        </is>
      </c>
      <c r="D353" t="inlineStr">
        <is>
          <t>HYUNDAI</t>
        </is>
      </c>
      <c r="E353" t="inlineStr">
        <is>
          <t>EHH0044</t>
        </is>
      </c>
      <c r="F353" t="inlineStr">
        <is>
          <t>EKIPA LOCACOES E SERV G&amp;S</t>
        </is>
      </c>
      <c r="G353" t="inlineStr">
        <is>
          <t>G&amp;G MATRIZ</t>
        </is>
      </c>
      <c r="H353" t="inlineStr">
        <is>
          <t>7.1.18</t>
        </is>
      </c>
      <c r="I353" t="inlineStr">
        <is>
          <t>FRETES E CARRETOS</t>
        </is>
      </c>
      <c r="J353" t="n">
        <v>70.76000000000001</v>
      </c>
      <c r="K353" t="n">
        <v>70.76000000000001</v>
      </c>
    </row>
    <row r="354" hidden="1" s="154">
      <c r="A354" t="n">
        <v>2025</v>
      </c>
      <c r="B354" t="inlineStr">
        <is>
          <t>2025-05</t>
        </is>
      </c>
      <c r="C354" t="inlineStr">
        <is>
          <t>Dourados</t>
        </is>
      </c>
      <c r="D354" t="inlineStr">
        <is>
          <t>HYUNDAI</t>
        </is>
      </c>
      <c r="E354" t="inlineStr">
        <is>
          <t>EHH0044</t>
        </is>
      </c>
      <c r="F354" t="inlineStr">
        <is>
          <t>EKIPA LOCACOES E SERV G&amp;S</t>
        </is>
      </c>
      <c r="G354" t="inlineStr">
        <is>
          <t>G&amp;G MATRIZ</t>
        </is>
      </c>
      <c r="H354" t="inlineStr">
        <is>
          <t>7.1.4</t>
        </is>
      </c>
      <c r="I354" t="inlineStr">
        <is>
          <t>COMBUSTÍVEL - DIESEL (POSTO)</t>
        </is>
      </c>
      <c r="J354" t="n">
        <v>2596</v>
      </c>
      <c r="K354" t="n">
        <v>2596</v>
      </c>
    </row>
    <row r="355" hidden="1" s="154">
      <c r="A355" t="n">
        <v>2025</v>
      </c>
      <c r="B355" t="inlineStr">
        <is>
          <t>2025-05</t>
        </is>
      </c>
      <c r="C355" t="inlineStr">
        <is>
          <t>Dourados</t>
        </is>
      </c>
      <c r="D355" t="inlineStr">
        <is>
          <t>HYUNDAI</t>
        </is>
      </c>
      <c r="E355" t="inlineStr">
        <is>
          <t>EHH0044</t>
        </is>
      </c>
      <c r="F355" t="inlineStr">
        <is>
          <t>EKIPA LOCACOES E SERV G&amp;S</t>
        </is>
      </c>
      <c r="G355" t="inlineStr">
        <is>
          <t>G&amp;G MATRIZ</t>
        </is>
      </c>
      <c r="H355" t="inlineStr">
        <is>
          <t>7.1.18</t>
        </is>
      </c>
      <c r="I355" t="inlineStr">
        <is>
          <t>FRETES E CARRETOS</t>
        </is>
      </c>
      <c r="J355" t="n">
        <v>113.5</v>
      </c>
      <c r="K355" t="n">
        <v>113.5</v>
      </c>
    </row>
    <row r="356" hidden="1" s="154">
      <c r="A356" t="n">
        <v>2025</v>
      </c>
      <c r="B356" t="inlineStr">
        <is>
          <t>2025-05</t>
        </is>
      </c>
      <c r="C356" t="inlineStr">
        <is>
          <t>Dourados</t>
        </is>
      </c>
      <c r="D356" t="inlineStr">
        <is>
          <t>HYUNDAI</t>
        </is>
      </c>
      <c r="E356" t="inlineStr">
        <is>
          <t>EHH0044</t>
        </is>
      </c>
      <c r="F356" t="inlineStr">
        <is>
          <t>EKIPA LOCACOES E SERV G&amp;S</t>
        </is>
      </c>
      <c r="G356" t="inlineStr">
        <is>
          <t>G&amp;G MATRIZ</t>
        </is>
      </c>
      <c r="H356" t="inlineStr">
        <is>
          <t>7.1.22</t>
        </is>
      </c>
      <c r="I356" t="inlineStr">
        <is>
          <t>COMBUSTÍVEL - DIESEL (INTERNO)</t>
        </is>
      </c>
      <c r="J356" t="n">
        <v>118.68</v>
      </c>
      <c r="K356" t="n">
        <v>118.68</v>
      </c>
    </row>
    <row r="357" hidden="1" s="154">
      <c r="A357" t="n">
        <v>2025</v>
      </c>
      <c r="B357" t="inlineStr">
        <is>
          <t>2025-05</t>
        </is>
      </c>
      <c r="C357" t="inlineStr">
        <is>
          <t>Dourados</t>
        </is>
      </c>
      <c r="D357" t="inlineStr">
        <is>
          <t>HYUNDAI</t>
        </is>
      </c>
      <c r="E357" t="inlineStr">
        <is>
          <t>EHH0044</t>
        </is>
      </c>
      <c r="F357" t="inlineStr">
        <is>
          <t>EKIPA LOCACOES E SERV G&amp;S</t>
        </is>
      </c>
      <c r="G357" t="inlineStr">
        <is>
          <t>G&amp;G MATRIZ</t>
        </is>
      </c>
      <c r="H357" t="inlineStr">
        <is>
          <t>7.1.22</t>
        </is>
      </c>
      <c r="I357" t="inlineStr">
        <is>
          <t>COMBUSTÍVEL - DIESEL (INTERNO)</t>
        </is>
      </c>
      <c r="J357" t="n">
        <v>113.16</v>
      </c>
      <c r="K357" t="n">
        <v>113.16</v>
      </c>
    </row>
    <row r="358" hidden="1" s="154">
      <c r="A358" t="n">
        <v>2025</v>
      </c>
      <c r="B358" t="inlineStr">
        <is>
          <t>2025-05</t>
        </is>
      </c>
      <c r="C358" t="inlineStr">
        <is>
          <t>Dourados</t>
        </is>
      </c>
      <c r="D358" t="inlineStr">
        <is>
          <t>HYUNDAI</t>
        </is>
      </c>
      <c r="E358" t="inlineStr">
        <is>
          <t>EHH0044</t>
        </is>
      </c>
      <c r="F358" t="inlineStr">
        <is>
          <t>EKIPA LOCACOES E SERV G&amp;S</t>
        </is>
      </c>
      <c r="G358" t="inlineStr">
        <is>
          <t>G&amp;G MATRIZ</t>
        </is>
      </c>
      <c r="H358" t="inlineStr">
        <is>
          <t>7.1.22</t>
        </is>
      </c>
      <c r="I358" t="inlineStr">
        <is>
          <t>COMBUSTÍVEL - DIESEL (INTERNO)</t>
        </is>
      </c>
      <c r="J358" t="n">
        <v>1581.2</v>
      </c>
      <c r="K358" t="n">
        <v>1581.2</v>
      </c>
    </row>
    <row r="359" hidden="1" s="154">
      <c r="A359" t="n">
        <v>2025</v>
      </c>
      <c r="B359" t="inlineStr">
        <is>
          <t>2025-05</t>
        </is>
      </c>
      <c r="C359" t="inlineStr">
        <is>
          <t>Dourados</t>
        </is>
      </c>
      <c r="D359" t="inlineStr">
        <is>
          <t>HYUNDAI</t>
        </is>
      </c>
      <c r="E359" t="inlineStr">
        <is>
          <t>EHH0044</t>
        </is>
      </c>
      <c r="F359" t="inlineStr">
        <is>
          <t>EKIPA LOCACOES E SERV G&amp;S</t>
        </is>
      </c>
      <c r="G359" t="inlineStr">
        <is>
          <t>G&amp;G MATRIZ</t>
        </is>
      </c>
      <c r="H359" t="inlineStr">
        <is>
          <t>7.1.22</t>
        </is>
      </c>
      <c r="I359" t="inlineStr">
        <is>
          <t>COMBUSTÍVEL - DIESEL (INTERNO)</t>
        </is>
      </c>
      <c r="J359" t="n">
        <v>1522.24</v>
      </c>
      <c r="K359" t="n">
        <v>1522.24</v>
      </c>
    </row>
    <row r="360" hidden="1" s="154">
      <c r="A360" t="n">
        <v>2025</v>
      </c>
      <c r="B360" t="inlineStr">
        <is>
          <t>2025-05</t>
        </is>
      </c>
      <c r="C360" t="inlineStr">
        <is>
          <t>Dourados</t>
        </is>
      </c>
      <c r="D360" t="inlineStr">
        <is>
          <t>HYUNDAI</t>
        </is>
      </c>
      <c r="E360" t="inlineStr">
        <is>
          <t>EHH0044</t>
        </is>
      </c>
      <c r="F360" t="inlineStr">
        <is>
          <t>EKIPA LOCACOES E SERV G&amp;S</t>
        </is>
      </c>
      <c r="G360" t="inlineStr">
        <is>
          <t>G&amp;G MATRIZ</t>
        </is>
      </c>
      <c r="H360" t="inlineStr">
        <is>
          <t>7.1.22</t>
        </is>
      </c>
      <c r="I360" t="inlineStr">
        <is>
          <t>COMBUSTÍVEL - DIESEL (INTERNO)</t>
        </is>
      </c>
      <c r="J360" t="n">
        <v>268.26</v>
      </c>
      <c r="K360" t="n">
        <v>268.26</v>
      </c>
    </row>
    <row r="361" hidden="1" s="154">
      <c r="A361" t="n">
        <v>2025</v>
      </c>
      <c r="B361" t="inlineStr">
        <is>
          <t>2025-05</t>
        </is>
      </c>
      <c r="C361" t="inlineStr">
        <is>
          <t>Dourados</t>
        </is>
      </c>
      <c r="D361" t="inlineStr">
        <is>
          <t>HYUNDAI</t>
        </is>
      </c>
      <c r="E361" t="inlineStr">
        <is>
          <t>EHH0044</t>
        </is>
      </c>
      <c r="F361" t="inlineStr">
        <is>
          <t>EKIPA LOCACOES E SERV G&amp;S</t>
        </is>
      </c>
      <c r="G361" t="inlineStr">
        <is>
          <t>G&amp;G MATRIZ</t>
        </is>
      </c>
      <c r="H361" t="inlineStr">
        <is>
          <t>7.1.22</t>
        </is>
      </c>
      <c r="I361" t="inlineStr">
        <is>
          <t>COMBUSTÍVEL - DIESEL (INTERNO)</t>
        </is>
      </c>
      <c r="J361" t="n">
        <v>1307.11</v>
      </c>
      <c r="K361" t="n">
        <v>1307.11</v>
      </c>
    </row>
    <row r="362" hidden="1" s="154">
      <c r="A362" t="n">
        <v>2025</v>
      </c>
      <c r="B362" t="inlineStr">
        <is>
          <t>2025-05</t>
        </is>
      </c>
      <c r="C362" t="inlineStr">
        <is>
          <t>Dourados</t>
        </is>
      </c>
      <c r="D362" t="inlineStr">
        <is>
          <t>HYUNDAI</t>
        </is>
      </c>
      <c r="E362" t="inlineStr">
        <is>
          <t>EHH0044</t>
        </is>
      </c>
      <c r="F362" t="inlineStr">
        <is>
          <t>EKIPA LOCACOES E SERV G&amp;S</t>
        </is>
      </c>
      <c r="G362" t="inlineStr">
        <is>
          <t>G&amp;G MATRIZ</t>
        </is>
      </c>
      <c r="H362" t="inlineStr">
        <is>
          <t>7.1.4</t>
        </is>
      </c>
      <c r="I362" t="inlineStr">
        <is>
          <t>COMBUSTÍVEL - DIESEL (POSTO)</t>
        </is>
      </c>
      <c r="J362" t="n">
        <v>1988</v>
      </c>
      <c r="K362" t="n">
        <v>1988</v>
      </c>
    </row>
    <row r="363" hidden="1" s="154">
      <c r="A363" t="n">
        <v>2025</v>
      </c>
      <c r="B363" t="inlineStr">
        <is>
          <t>2025-05</t>
        </is>
      </c>
      <c r="C363" t="inlineStr">
        <is>
          <t>Dourados</t>
        </is>
      </c>
      <c r="D363" t="inlineStr">
        <is>
          <t>HYUNDAI</t>
        </is>
      </c>
      <c r="E363" t="inlineStr">
        <is>
          <t>EHH0044</t>
        </is>
      </c>
      <c r="F363" t="inlineStr">
        <is>
          <t>EKIPA LOCACOES E SERV G&amp;S</t>
        </is>
      </c>
      <c r="G363" t="inlineStr">
        <is>
          <t>G&amp;G MATRIZ</t>
        </is>
      </c>
      <c r="H363" t="inlineStr">
        <is>
          <t>7.1.2</t>
        </is>
      </c>
      <c r="I363" t="inlineStr">
        <is>
          <t>MANUTENÇÃO DE VEÍCULOS/MAQUINAS</t>
        </is>
      </c>
      <c r="J363" t="n">
        <v>2000</v>
      </c>
      <c r="K363" t="n">
        <v>2000</v>
      </c>
    </row>
    <row r="364" hidden="1" s="154">
      <c r="A364" t="n">
        <v>2025</v>
      </c>
      <c r="B364" t="inlineStr">
        <is>
          <t>2025-05</t>
        </is>
      </c>
      <c r="C364" t="inlineStr">
        <is>
          <t>Dourados</t>
        </is>
      </c>
      <c r="D364" t="inlineStr">
        <is>
          <t>HYUNDAI</t>
        </is>
      </c>
      <c r="E364" t="inlineStr">
        <is>
          <t>EHH0044</t>
        </is>
      </c>
      <c r="F364" t="inlineStr">
        <is>
          <t>EKIPA LOCACOES E SERV G&amp;S</t>
        </is>
      </c>
      <c r="G364" t="inlineStr">
        <is>
          <t>G&amp;G MARINGA</t>
        </is>
      </c>
      <c r="H364" t="inlineStr">
        <is>
          <t>7.1.1</t>
        </is>
      </c>
      <c r="I364" t="inlineStr">
        <is>
          <t>PEÇAS DE MANUTENÇÃO</t>
        </is>
      </c>
      <c r="J364" t="n">
        <v>1375.55</v>
      </c>
      <c r="K364" t="n">
        <v>1375.55</v>
      </c>
    </row>
    <row r="365" hidden="1" s="154">
      <c r="A365" t="n">
        <v>2025</v>
      </c>
      <c r="B365" t="inlineStr">
        <is>
          <t>2025-06</t>
        </is>
      </c>
      <c r="C365" t="inlineStr">
        <is>
          <t>Dourados</t>
        </is>
      </c>
      <c r="D365" t="inlineStr">
        <is>
          <t>HYUNDAI</t>
        </is>
      </c>
      <c r="E365" t="inlineStr">
        <is>
          <t>EHH0044</t>
        </is>
      </c>
      <c r="F365" t="inlineStr">
        <is>
          <t>EKIPA LOCACOES E SERV G&amp;S</t>
        </is>
      </c>
      <c r="G365" t="inlineStr">
        <is>
          <t>G&amp;S PRUDENTE</t>
        </is>
      </c>
      <c r="H365" t="inlineStr">
        <is>
          <t>7.1.2</t>
        </is>
      </c>
      <c r="I365" t="inlineStr">
        <is>
          <t>MANUTENÇÃO DE VEÍCULOS/MAQUINAS</t>
        </is>
      </c>
      <c r="J365" t="n">
        <v>2280</v>
      </c>
      <c r="K365" t="n">
        <v>-2280</v>
      </c>
    </row>
    <row r="366" hidden="1" s="154">
      <c r="A366" t="n">
        <v>2025</v>
      </c>
      <c r="B366" t="inlineStr">
        <is>
          <t>2025-06</t>
        </is>
      </c>
      <c r="C366" t="inlineStr">
        <is>
          <t>Dourados</t>
        </is>
      </c>
      <c r="D366" t="inlineStr">
        <is>
          <t>HYUNDAI</t>
        </is>
      </c>
      <c r="E366" t="inlineStr">
        <is>
          <t>EHH0044</t>
        </is>
      </c>
      <c r="F366" t="inlineStr">
        <is>
          <t>EKIPA LOCACOES E SERV G&amp;S</t>
        </is>
      </c>
      <c r="G366" t="inlineStr">
        <is>
          <t>G3S PRUDENTE</t>
        </is>
      </c>
      <c r="H366" t="inlineStr">
        <is>
          <t>7.1.2</t>
        </is>
      </c>
      <c r="I366" t="inlineStr">
        <is>
          <t>MANUTENÇÃO DE VEÍCULOS/MAQUINAS</t>
        </is>
      </c>
      <c r="J366" t="n">
        <v>261.8</v>
      </c>
      <c r="K366" t="n">
        <v>-261.8</v>
      </c>
    </row>
    <row r="367" hidden="1" s="154">
      <c r="A367" t="n">
        <v>2025</v>
      </c>
      <c r="B367" t="inlineStr">
        <is>
          <t>2025-06</t>
        </is>
      </c>
      <c r="C367" t="inlineStr">
        <is>
          <t>Dourados</t>
        </is>
      </c>
      <c r="D367" t="inlineStr">
        <is>
          <t>HYUNDAI</t>
        </is>
      </c>
      <c r="E367" t="inlineStr">
        <is>
          <t>EHH0044</t>
        </is>
      </c>
      <c r="F367" t="inlineStr">
        <is>
          <t>EKIPA LOCACOES E SERV G&amp;S</t>
        </is>
      </c>
      <c r="G367" t="inlineStr">
        <is>
          <t>G&amp;S PRUDENTE</t>
        </is>
      </c>
      <c r="H367" t="inlineStr">
        <is>
          <t>7.1.2</t>
        </is>
      </c>
      <c r="I367" t="inlineStr">
        <is>
          <t>MANUTENÇÃO DE VEÍCULOS/MAQUINAS</t>
        </is>
      </c>
      <c r="J367" t="n">
        <v>2776.82</v>
      </c>
      <c r="K367" t="n">
        <v>-2776.82</v>
      </c>
    </row>
    <row r="368" hidden="1" s="154">
      <c r="A368" t="n">
        <v>2025</v>
      </c>
      <c r="B368" t="inlineStr">
        <is>
          <t>2025-06</t>
        </is>
      </c>
      <c r="C368" t="inlineStr">
        <is>
          <t>Dourados</t>
        </is>
      </c>
      <c r="D368" t="inlineStr">
        <is>
          <t>HYUNDAI</t>
        </is>
      </c>
      <c r="E368" t="inlineStr">
        <is>
          <t>EHH0044</t>
        </is>
      </c>
      <c r="F368" t="inlineStr">
        <is>
          <t>EKIPA LOCACOES E SERV G&amp;S</t>
        </is>
      </c>
      <c r="G368" t="inlineStr">
        <is>
          <t>G&amp;S PRUDENTE</t>
        </is>
      </c>
      <c r="H368" t="inlineStr">
        <is>
          <t>7.1.2</t>
        </is>
      </c>
      <c r="I368" t="inlineStr">
        <is>
          <t>MANUTENÇÃO DE VEÍCULOS/MAQUINAS</t>
        </is>
      </c>
      <c r="J368" t="n">
        <v>183.42</v>
      </c>
      <c r="K368" t="n">
        <v>-183.42</v>
      </c>
    </row>
    <row r="369" hidden="1" s="154">
      <c r="A369" t="n">
        <v>2025</v>
      </c>
      <c r="B369" t="inlineStr">
        <is>
          <t>2025-06</t>
        </is>
      </c>
      <c r="C369" t="inlineStr">
        <is>
          <t>Dourados</t>
        </is>
      </c>
      <c r="D369" t="inlineStr">
        <is>
          <t>HYUNDAI</t>
        </is>
      </c>
      <c r="E369" t="inlineStr">
        <is>
          <t>EHH0044</t>
        </is>
      </c>
      <c r="F369" t="inlineStr">
        <is>
          <t>EKIPA LOCACOES E SERV G&amp;S</t>
        </is>
      </c>
      <c r="G369" t="inlineStr">
        <is>
          <t>G&amp;S PRUDENTE</t>
        </is>
      </c>
      <c r="H369" t="inlineStr">
        <is>
          <t>7.1.2</t>
        </is>
      </c>
      <c r="I369" t="inlineStr">
        <is>
          <t>MANUTENÇÃO DE VEÍCULOS/MAQUINAS</t>
        </is>
      </c>
      <c r="J369" t="n">
        <v>240</v>
      </c>
      <c r="K369" t="n">
        <v>-240</v>
      </c>
    </row>
    <row r="370" hidden="1" s="154">
      <c r="A370" t="n">
        <v>2025</v>
      </c>
      <c r="B370" t="inlineStr">
        <is>
          <t>2025-06</t>
        </is>
      </c>
      <c r="C370" t="inlineStr">
        <is>
          <t>Dourados</t>
        </is>
      </c>
      <c r="D370" t="inlineStr">
        <is>
          <t>HYUNDAI</t>
        </is>
      </c>
      <c r="E370" t="inlineStr">
        <is>
          <t>EHH0044</t>
        </is>
      </c>
      <c r="F370" t="inlineStr">
        <is>
          <t>EKIPA LOCACOES E SERV G&amp;S</t>
        </is>
      </c>
      <c r="G370" t="inlineStr">
        <is>
          <t>G3S PRUDENTE</t>
        </is>
      </c>
      <c r="H370" t="inlineStr">
        <is>
          <t>7.1.2</t>
        </is>
      </c>
      <c r="I370" t="inlineStr">
        <is>
          <t>MANUTENÇÃO DE VEÍCULOS/MAQUINAS</t>
        </is>
      </c>
      <c r="J370" t="n">
        <v>700</v>
      </c>
      <c r="K370" t="n">
        <v>-700</v>
      </c>
    </row>
    <row r="371" hidden="1" s="154">
      <c r="A371" t="n">
        <v>2025</v>
      </c>
      <c r="B371" t="inlineStr">
        <is>
          <t>2025-06</t>
        </is>
      </c>
      <c r="C371" t="inlineStr">
        <is>
          <t>Dourados</t>
        </is>
      </c>
      <c r="D371" t="inlineStr">
        <is>
          <t>HYUNDAI</t>
        </is>
      </c>
      <c r="E371" t="inlineStr">
        <is>
          <t>EHH0044</t>
        </is>
      </c>
      <c r="F371" t="inlineStr">
        <is>
          <t>EKIPA LOCACOES E SERV G&amp;S</t>
        </is>
      </c>
      <c r="G371" t="inlineStr">
        <is>
          <t>G3S PRUDENTE</t>
        </is>
      </c>
      <c r="H371" t="inlineStr">
        <is>
          <t>7.1.2</t>
        </is>
      </c>
      <c r="I371" t="inlineStr">
        <is>
          <t>MANUTENÇÃO DE VEÍCULOS/MAQUINAS</t>
        </is>
      </c>
      <c r="J371" t="n">
        <v>700</v>
      </c>
      <c r="K371" t="n">
        <v>-700</v>
      </c>
    </row>
    <row r="372" hidden="1" s="154">
      <c r="A372" t="n">
        <v>2025</v>
      </c>
      <c r="B372" t="inlineStr">
        <is>
          <t>2025-07</t>
        </is>
      </c>
      <c r="C372" t="inlineStr">
        <is>
          <t>Dourados</t>
        </is>
      </c>
      <c r="D372" t="inlineStr">
        <is>
          <t>HYUNDAI</t>
        </is>
      </c>
      <c r="E372" t="inlineStr">
        <is>
          <t>EHH0044</t>
        </is>
      </c>
      <c r="F372" t="inlineStr">
        <is>
          <t>EKIPA LOCACOES E SERV G&amp;S</t>
        </is>
      </c>
      <c r="G372" t="inlineStr">
        <is>
          <t>G&amp;S PRUDENTE</t>
        </is>
      </c>
      <c r="H372" t="inlineStr">
        <is>
          <t>7.1.2</t>
        </is>
      </c>
      <c r="I372" t="inlineStr">
        <is>
          <t>MANUTENÇÃO DE VEÍCULOS/MAQUINAS</t>
        </is>
      </c>
      <c r="J372" t="n">
        <v>1158</v>
      </c>
      <c r="K372" t="n">
        <v>-1158</v>
      </c>
    </row>
    <row r="373" hidden="1" s="154">
      <c r="A373" t="n">
        <v>2025</v>
      </c>
      <c r="B373" t="inlineStr">
        <is>
          <t>2025-07</t>
        </is>
      </c>
      <c r="C373" t="inlineStr">
        <is>
          <t>Dourados</t>
        </is>
      </c>
      <c r="D373" t="inlineStr">
        <is>
          <t>HYUNDAI</t>
        </is>
      </c>
      <c r="E373" t="inlineStr">
        <is>
          <t>EHH0044</t>
        </is>
      </c>
      <c r="F373" t="inlineStr">
        <is>
          <t>SELETIVA</t>
        </is>
      </c>
      <c r="G373" t="inlineStr">
        <is>
          <t>G&amp;S PRUDENTE</t>
        </is>
      </c>
      <c r="H373" t="inlineStr">
        <is>
          <t>7.1.2</t>
        </is>
      </c>
      <c r="I373" t="inlineStr">
        <is>
          <t>MANUTENÇÃO DE VEÍCULOS/MAQUINAS</t>
        </is>
      </c>
      <c r="J373" t="n">
        <v>89.54000000000001</v>
      </c>
      <c r="K373" t="n">
        <v>-89.54000000000001</v>
      </c>
    </row>
    <row r="374" hidden="1" s="154">
      <c r="A374" t="n">
        <v>2025</v>
      </c>
      <c r="B374" t="inlineStr">
        <is>
          <t>2025-07</t>
        </is>
      </c>
      <c r="C374" t="inlineStr">
        <is>
          <t>Dourados</t>
        </is>
      </c>
      <c r="D374" t="inlineStr">
        <is>
          <t>HYUNDAI</t>
        </is>
      </c>
      <c r="E374" t="inlineStr">
        <is>
          <t>EHH0044</t>
        </is>
      </c>
      <c r="F374" t="inlineStr">
        <is>
          <t>EKIPA LOCACOES E SERV G&amp;S</t>
        </is>
      </c>
      <c r="G374" t="inlineStr">
        <is>
          <t>G&amp;S PRUDENTE</t>
        </is>
      </c>
      <c r="H374" t="inlineStr">
        <is>
          <t>7.1.2</t>
        </is>
      </c>
      <c r="I374" t="inlineStr">
        <is>
          <t>MANUTENÇÃO DE VEÍCULOS/MAQUINAS</t>
        </is>
      </c>
      <c r="J374" t="n">
        <v>89.54000000000001</v>
      </c>
      <c r="K374" t="n">
        <v>-89.54000000000001</v>
      </c>
    </row>
    <row r="375" hidden="1" s="154">
      <c r="A375" t="n">
        <v>2025</v>
      </c>
      <c r="B375" t="inlineStr">
        <is>
          <t>2025-08</t>
        </is>
      </c>
      <c r="C375" t="inlineStr">
        <is>
          <t>Dourados</t>
        </is>
      </c>
      <c r="D375" t="inlineStr">
        <is>
          <t>HYUNDAI</t>
        </is>
      </c>
      <c r="E375" t="inlineStr">
        <is>
          <t>EHH0044</t>
        </is>
      </c>
      <c r="F375" t="inlineStr">
        <is>
          <t>SELETIVA</t>
        </is>
      </c>
      <c r="G375" t="inlineStr">
        <is>
          <t>G&amp;S PRUDENTE</t>
        </is>
      </c>
      <c r="H375" t="inlineStr">
        <is>
          <t>7.1.2</t>
        </is>
      </c>
      <c r="I375" t="inlineStr">
        <is>
          <t>MANUTENÇÃO DE VEÍCULOS/MAQUINAS</t>
        </is>
      </c>
      <c r="J375" t="n">
        <v>35.42</v>
      </c>
      <c r="K375" t="n">
        <v>-35.42</v>
      </c>
    </row>
    <row r="376" hidden="1" s="154">
      <c r="A376" t="n">
        <v>2025</v>
      </c>
      <c r="B376" t="inlineStr">
        <is>
          <t>2025-08</t>
        </is>
      </c>
      <c r="C376" t="inlineStr">
        <is>
          <t>Dourados</t>
        </is>
      </c>
      <c r="D376" t="inlineStr">
        <is>
          <t>HYUNDAI</t>
        </is>
      </c>
      <c r="E376" t="inlineStr">
        <is>
          <t>EHH0044</t>
        </is>
      </c>
      <c r="F376" t="inlineStr">
        <is>
          <t>EKIPA LOCACOES E SERV G&amp;S</t>
        </is>
      </c>
      <c r="G376" t="inlineStr">
        <is>
          <t>G&amp;S PRUDENTE</t>
        </is>
      </c>
      <c r="H376" t="inlineStr">
        <is>
          <t>7.1.2</t>
        </is>
      </c>
      <c r="I376" t="inlineStr">
        <is>
          <t>MANUTENÇÃO DE VEÍCULOS/MAQUINAS</t>
        </is>
      </c>
      <c r="J376" t="n">
        <v>206.07</v>
      </c>
      <c r="K376" t="n">
        <v>-206.07</v>
      </c>
    </row>
    <row r="377" hidden="1" s="154">
      <c r="A377" t="n">
        <v>2025</v>
      </c>
      <c r="B377" t="inlineStr">
        <is>
          <t>2025-08</t>
        </is>
      </c>
      <c r="C377" t="inlineStr">
        <is>
          <t>Dourados</t>
        </is>
      </c>
      <c r="D377" t="inlineStr">
        <is>
          <t>HYUNDAI</t>
        </is>
      </c>
      <c r="E377" t="inlineStr">
        <is>
          <t>EHH0044</t>
        </is>
      </c>
      <c r="F377" t="inlineStr">
        <is>
          <t>EKIPA LOCACOES E SERV G&amp;S</t>
        </is>
      </c>
      <c r="G377" t="inlineStr">
        <is>
          <t>G&amp;S PRUDENTE</t>
        </is>
      </c>
      <c r="H377" t="inlineStr">
        <is>
          <t>7.1.2</t>
        </is>
      </c>
      <c r="I377" t="inlineStr">
        <is>
          <t>MANUTENÇÃO DE VEÍCULOS/MAQUINAS</t>
        </is>
      </c>
      <c r="J377" t="n">
        <v>1965.46</v>
      </c>
      <c r="K377" t="n">
        <v>-1965.46</v>
      </c>
    </row>
    <row r="378" hidden="1" s="154">
      <c r="A378" t="n">
        <v>2025</v>
      </c>
      <c r="B378" t="inlineStr">
        <is>
          <t>2025-08</t>
        </is>
      </c>
      <c r="C378" t="inlineStr">
        <is>
          <t>Dourados</t>
        </is>
      </c>
      <c r="D378" t="inlineStr">
        <is>
          <t>HYUNDAI</t>
        </is>
      </c>
      <c r="E378" t="inlineStr">
        <is>
          <t>EHH0044</t>
        </is>
      </c>
      <c r="F378" t="inlineStr">
        <is>
          <t>EKIPA LOCACOES E SERV G&amp;S</t>
        </is>
      </c>
      <c r="G378" t="inlineStr">
        <is>
          <t>G&amp;S PRUDENTE</t>
        </is>
      </c>
      <c r="H378" t="inlineStr">
        <is>
          <t>7.1.2</t>
        </is>
      </c>
      <c r="I378" t="inlineStr">
        <is>
          <t>MANUTENÇÃO DE VEÍCULOS/MAQUINAS</t>
        </is>
      </c>
      <c r="J378" t="n">
        <v>1230</v>
      </c>
      <c r="K378" t="n">
        <v>-1230</v>
      </c>
    </row>
    <row r="379" hidden="1" s="154">
      <c r="A379" t="n">
        <v>2025</v>
      </c>
      <c r="B379" t="inlineStr">
        <is>
          <t>2025-08</t>
        </is>
      </c>
      <c r="C379" t="inlineStr">
        <is>
          <t>Dourados</t>
        </is>
      </c>
      <c r="D379" t="inlineStr">
        <is>
          <t>HYUNDAI</t>
        </is>
      </c>
      <c r="E379" t="inlineStr">
        <is>
          <t>EHH0044</t>
        </is>
      </c>
      <c r="F379" t="inlineStr">
        <is>
          <t>EKIPA LOCACOES E SERV G&amp;S</t>
        </is>
      </c>
      <c r="G379" t="inlineStr">
        <is>
          <t>G&amp;S PRUDENTE</t>
        </is>
      </c>
      <c r="H379" t="inlineStr">
        <is>
          <t>7.1.2</t>
        </is>
      </c>
      <c r="I379" t="inlineStr">
        <is>
          <t>MANUTENÇÃO DE VEÍCULOS/MAQUINAS</t>
        </is>
      </c>
      <c r="J379" t="n">
        <v>660</v>
      </c>
      <c r="K379" t="n">
        <v>-660</v>
      </c>
    </row>
    <row r="380" hidden="1" s="154">
      <c r="A380" t="n">
        <v>2025</v>
      </c>
      <c r="B380" t="inlineStr">
        <is>
          <t>2025-09</t>
        </is>
      </c>
      <c r="C380" t="inlineStr">
        <is>
          <t>Dourados</t>
        </is>
      </c>
      <c r="D380" t="inlineStr">
        <is>
          <t>HYUNDAI</t>
        </is>
      </c>
      <c r="E380" t="inlineStr">
        <is>
          <t>EHH0044</t>
        </is>
      </c>
      <c r="F380" t="inlineStr">
        <is>
          <t>EKIPA LOCACOES E SERV G&amp;S</t>
        </is>
      </c>
      <c r="G380" t="inlineStr">
        <is>
          <t>G&amp;S PRUDENTE</t>
        </is>
      </c>
      <c r="H380" t="inlineStr">
        <is>
          <t>7.1.18</t>
        </is>
      </c>
      <c r="I380" t="inlineStr">
        <is>
          <t>FRETES E CARRETOS</t>
        </is>
      </c>
      <c r="J380" t="n">
        <v>146.99</v>
      </c>
      <c r="K380" t="n">
        <v>-146.99</v>
      </c>
    </row>
    <row r="381" hidden="1" s="154">
      <c r="A381" t="n">
        <v>2025</v>
      </c>
      <c r="B381" t="inlineStr">
        <is>
          <t>2025-09</t>
        </is>
      </c>
      <c r="C381" t="inlineStr">
        <is>
          <t>Dourados</t>
        </is>
      </c>
      <c r="D381" t="inlineStr">
        <is>
          <t>HYUNDAI</t>
        </is>
      </c>
      <c r="E381" t="inlineStr">
        <is>
          <t>EHH0044</t>
        </is>
      </c>
      <c r="F381" t="inlineStr">
        <is>
          <t>EKIPA LOCACOES E SERV G&amp;S</t>
        </is>
      </c>
      <c r="G381" t="inlineStr">
        <is>
          <t>G&amp;S PRUDENTE</t>
        </is>
      </c>
      <c r="H381" t="inlineStr">
        <is>
          <t>7.1.2</t>
        </is>
      </c>
      <c r="I381" t="inlineStr">
        <is>
          <t>MANUTENÇÃO DE VEÍCULOS/MAQUINAS</t>
        </is>
      </c>
      <c r="J381" t="n">
        <v>199.96</v>
      </c>
      <c r="K381" t="n">
        <v>-199.96</v>
      </c>
    </row>
    <row r="382" hidden="1" s="154">
      <c r="A382" t="n">
        <v>2025</v>
      </c>
      <c r="B382" t="inlineStr">
        <is>
          <t>2025-09</t>
        </is>
      </c>
      <c r="C382" t="inlineStr">
        <is>
          <t>Dourados</t>
        </is>
      </c>
      <c r="D382" t="inlineStr">
        <is>
          <t>HYUNDAI</t>
        </is>
      </c>
      <c r="E382" t="inlineStr">
        <is>
          <t>EHH0044</t>
        </is>
      </c>
      <c r="F382" t="inlineStr">
        <is>
          <t>EKIPA LOCACOES E SERV G&amp;S</t>
        </is>
      </c>
      <c r="G382" t="inlineStr">
        <is>
          <t>G&amp;S PRUDENTE</t>
        </is>
      </c>
      <c r="H382" t="inlineStr">
        <is>
          <t>7.1.2</t>
        </is>
      </c>
      <c r="I382" t="inlineStr">
        <is>
          <t>MANUTENÇÃO DE VEÍCULOS/MAQUINAS</t>
        </is>
      </c>
      <c r="J382" t="n">
        <v>6500</v>
      </c>
      <c r="K382" t="n">
        <v>-6500</v>
      </c>
    </row>
    <row r="383" hidden="1" s="154">
      <c r="A383" t="n">
        <v>2025</v>
      </c>
      <c r="B383" t="inlineStr">
        <is>
          <t>2025-09</t>
        </is>
      </c>
      <c r="C383" t="inlineStr">
        <is>
          <t>Dourados</t>
        </is>
      </c>
      <c r="D383" t="inlineStr">
        <is>
          <t>HYUNDAI</t>
        </is>
      </c>
      <c r="E383" t="inlineStr">
        <is>
          <t>EHH0044</t>
        </is>
      </c>
      <c r="F383" t="inlineStr">
        <is>
          <t>EKIPA LOCACOES E SERV G&amp;S</t>
        </is>
      </c>
      <c r="G383" t="inlineStr">
        <is>
          <t>G&amp;S PRUDENTE</t>
        </is>
      </c>
      <c r="H383" t="inlineStr">
        <is>
          <t>7.1.2</t>
        </is>
      </c>
      <c r="I383" t="inlineStr">
        <is>
          <t>MANUTENÇÃO DE VEÍCULOS/MAQUINAS</t>
        </is>
      </c>
      <c r="J383" t="n">
        <v>330</v>
      </c>
      <c r="K383" t="n">
        <v>-330</v>
      </c>
    </row>
    <row r="384" hidden="1" s="154">
      <c r="A384" t="n">
        <v>2025</v>
      </c>
      <c r="B384" t="inlineStr">
        <is>
          <t>2025-09</t>
        </is>
      </c>
      <c r="C384" t="inlineStr">
        <is>
          <t>Dourados</t>
        </is>
      </c>
      <c r="D384" t="inlineStr">
        <is>
          <t>HYUNDAI</t>
        </is>
      </c>
      <c r="E384" t="inlineStr">
        <is>
          <t>EHH0044</t>
        </is>
      </c>
      <c r="F384" t="inlineStr">
        <is>
          <t>EKIPA LOCACOES E SERV G&amp;S</t>
        </is>
      </c>
      <c r="G384" t="inlineStr">
        <is>
          <t>G&amp;S PRUDENTE</t>
        </is>
      </c>
      <c r="H384" t="inlineStr">
        <is>
          <t>7.1.2</t>
        </is>
      </c>
      <c r="I384" t="inlineStr">
        <is>
          <t>MANUTENÇÃO DE VEÍCULOS/MAQUINAS</t>
        </is>
      </c>
      <c r="J384" t="n">
        <v>18664.83</v>
      </c>
      <c r="K384" t="n">
        <v>-18664.83</v>
      </c>
    </row>
    <row r="385" hidden="1" s="154">
      <c r="A385" t="n">
        <v>2025</v>
      </c>
      <c r="B385" t="inlineStr">
        <is>
          <t>2025-09</t>
        </is>
      </c>
      <c r="C385" t="inlineStr">
        <is>
          <t>Dourados</t>
        </is>
      </c>
      <c r="D385" t="inlineStr">
        <is>
          <t>HYUNDAI</t>
        </is>
      </c>
      <c r="E385" t="inlineStr">
        <is>
          <t>EHH0044</t>
        </is>
      </c>
      <c r="F385" t="inlineStr">
        <is>
          <t>EKIPA LOCACOES E SERV G&amp;S</t>
        </is>
      </c>
      <c r="G385" t="inlineStr">
        <is>
          <t>G&amp;S PRUDENTE</t>
        </is>
      </c>
      <c r="H385" t="inlineStr">
        <is>
          <t>7.1.2</t>
        </is>
      </c>
      <c r="I385" t="inlineStr">
        <is>
          <t>MANUTENÇÃO DE VEÍCULOS/MAQUINAS</t>
        </is>
      </c>
      <c r="J385" t="n">
        <v>18670.44</v>
      </c>
      <c r="K385" t="n">
        <v>-18670.44</v>
      </c>
    </row>
    <row r="386" hidden="1" s="154">
      <c r="A386" t="n">
        <v>2025</v>
      </c>
      <c r="B386" t="inlineStr">
        <is>
          <t>2025-09</t>
        </is>
      </c>
      <c r="C386" t="inlineStr">
        <is>
          <t>Dourados</t>
        </is>
      </c>
      <c r="D386" t="inlineStr">
        <is>
          <t>HYUNDAI</t>
        </is>
      </c>
      <c r="E386" t="inlineStr">
        <is>
          <t>EHH0044</t>
        </is>
      </c>
      <c r="F386" t="inlineStr">
        <is>
          <t>EKIPA LOCACOES E SERV G&amp;S</t>
        </is>
      </c>
      <c r="G386" t="inlineStr">
        <is>
          <t>G&amp;S PRUDENTE</t>
        </is>
      </c>
      <c r="H386" t="inlineStr">
        <is>
          <t>7.1.2</t>
        </is>
      </c>
      <c r="I386" t="inlineStr">
        <is>
          <t>MANUTENÇÃO DE VEÍCULOS/MAQUINAS</t>
        </is>
      </c>
      <c r="J386" t="n">
        <v>18664.83</v>
      </c>
      <c r="K386" t="n">
        <v>-18664.83</v>
      </c>
    </row>
    <row r="387" hidden="1" s="154">
      <c r="A387" t="n">
        <v>2025</v>
      </c>
      <c r="B387" t="inlineStr">
        <is>
          <t>2025-09</t>
        </is>
      </c>
      <c r="C387" t="inlineStr">
        <is>
          <t>Dourados</t>
        </is>
      </c>
      <c r="D387" t="inlineStr">
        <is>
          <t>HYUNDAI</t>
        </is>
      </c>
      <c r="E387" t="inlineStr">
        <is>
          <t>EHH0044</t>
        </is>
      </c>
      <c r="F387" t="inlineStr">
        <is>
          <t>EKIPA LOCACOES E SERV G&amp;S</t>
        </is>
      </c>
      <c r="G387" t="inlineStr">
        <is>
          <t>G&amp;S PRUDENTE</t>
        </is>
      </c>
      <c r="H387" t="inlineStr">
        <is>
          <t>7.1.18</t>
        </is>
      </c>
      <c r="I387" t="inlineStr">
        <is>
          <t>FRETES E CARRETOS</t>
        </is>
      </c>
      <c r="J387" t="n">
        <v>3850</v>
      </c>
      <c r="K387" t="n">
        <v>-3850</v>
      </c>
    </row>
    <row r="388" hidden="1" s="154">
      <c r="A388" t="n">
        <v>2025</v>
      </c>
      <c r="B388" t="inlineStr">
        <is>
          <t>2025-09</t>
        </is>
      </c>
      <c r="C388" t="inlineStr">
        <is>
          <t>Dourados</t>
        </is>
      </c>
      <c r="D388" t="inlineStr">
        <is>
          <t>HYUNDAI</t>
        </is>
      </c>
      <c r="E388" t="inlineStr">
        <is>
          <t>EHH0044</t>
        </is>
      </c>
      <c r="F388" t="inlineStr">
        <is>
          <t>EKIPA LOCACOES E SERV G&amp;S</t>
        </is>
      </c>
      <c r="G388" t="inlineStr">
        <is>
          <t>G&amp;S PRUDENTE</t>
        </is>
      </c>
      <c r="H388" t="inlineStr">
        <is>
          <t>7.1.2</t>
        </is>
      </c>
      <c r="I388" t="inlineStr">
        <is>
          <t>MANUTENÇÃO DE VEÍCULOS/MAQUINAS</t>
        </is>
      </c>
      <c r="J388" t="n">
        <v>2750</v>
      </c>
      <c r="K388" t="n">
        <v>-2750</v>
      </c>
    </row>
    <row r="389" hidden="1" s="154">
      <c r="A389" t="n">
        <v>2025</v>
      </c>
      <c r="B389" t="inlineStr">
        <is>
          <t>2025-09</t>
        </is>
      </c>
      <c r="C389" t="inlineStr">
        <is>
          <t>Dourados</t>
        </is>
      </c>
      <c r="D389" t="inlineStr">
        <is>
          <t>HYUNDAI</t>
        </is>
      </c>
      <c r="E389" t="inlineStr">
        <is>
          <t>EHH0044</t>
        </is>
      </c>
      <c r="F389" t="inlineStr">
        <is>
          <t>EKIPA LOCACOES E SERV G&amp;S</t>
        </is>
      </c>
      <c r="G389" t="inlineStr">
        <is>
          <t>G&amp;S PRUDENTE</t>
        </is>
      </c>
      <c r="H389" t="inlineStr">
        <is>
          <t>7.1.2</t>
        </is>
      </c>
      <c r="I389" t="inlineStr">
        <is>
          <t>MANUTENÇÃO DE VEÍCULOS/MAQUINAS</t>
        </is>
      </c>
      <c r="J389" t="n">
        <v>1562.48</v>
      </c>
      <c r="K389" t="n">
        <v>-1562.48</v>
      </c>
    </row>
    <row r="390" hidden="1" s="154">
      <c r="A390" t="n">
        <v>2025</v>
      </c>
      <c r="B390" t="inlineStr">
        <is>
          <t>2025-09</t>
        </is>
      </c>
      <c r="C390" t="inlineStr">
        <is>
          <t>Dourados</t>
        </is>
      </c>
      <c r="D390" t="inlineStr">
        <is>
          <t>HYUNDAI</t>
        </is>
      </c>
      <c r="E390" t="inlineStr">
        <is>
          <t>EHH0044</t>
        </is>
      </c>
      <c r="F390" t="inlineStr">
        <is>
          <t>EKIPA LOCACOES E SERV G&amp;S</t>
        </is>
      </c>
      <c r="G390" t="inlineStr">
        <is>
          <t>G&amp;S PRUDENTE</t>
        </is>
      </c>
      <c r="H390" t="inlineStr">
        <is>
          <t>7.1.2</t>
        </is>
      </c>
      <c r="I390" t="inlineStr">
        <is>
          <t>MANUTENÇÃO DE VEÍCULOS/MAQUINAS</t>
        </is>
      </c>
      <c r="J390" t="n">
        <v>361.21</v>
      </c>
      <c r="K390" t="n">
        <v>-361.21</v>
      </c>
    </row>
    <row r="391" hidden="1" s="154">
      <c r="A391" t="n">
        <v>2025</v>
      </c>
      <c r="B391" t="inlineStr">
        <is>
          <t>2025-09</t>
        </is>
      </c>
      <c r="C391" t="inlineStr">
        <is>
          <t>Dourados</t>
        </is>
      </c>
      <c r="D391" t="inlineStr">
        <is>
          <t>HYUNDAI</t>
        </is>
      </c>
      <c r="E391" t="inlineStr">
        <is>
          <t>EHH0044</t>
        </is>
      </c>
      <c r="F391" t="inlineStr">
        <is>
          <t>EKIPA LOCACOES E SERV G&amp;S</t>
        </is>
      </c>
      <c r="G391" t="inlineStr">
        <is>
          <t>G&amp;S PRUDENTE</t>
        </is>
      </c>
      <c r="H391" t="inlineStr">
        <is>
          <t>7.1.2</t>
        </is>
      </c>
      <c r="I391" t="inlineStr">
        <is>
          <t>MANUTENÇÃO DE VEÍCULOS/MAQUINAS</t>
        </is>
      </c>
      <c r="J391" t="n">
        <v>1020</v>
      </c>
      <c r="K391" t="n">
        <v>-1020</v>
      </c>
    </row>
    <row r="392" hidden="1" s="154">
      <c r="A392" t="n">
        <v>2025</v>
      </c>
      <c r="B392" t="inlineStr">
        <is>
          <t>2025-09</t>
        </is>
      </c>
      <c r="C392" t="inlineStr">
        <is>
          <t>Dourados</t>
        </is>
      </c>
      <c r="D392" t="inlineStr">
        <is>
          <t>HYUNDAI</t>
        </is>
      </c>
      <c r="E392" t="inlineStr">
        <is>
          <t>EHH0044</t>
        </is>
      </c>
      <c r="F392" t="inlineStr">
        <is>
          <t>EKIPA LOCACOES E SERV G&amp;S</t>
        </is>
      </c>
      <c r="G392" t="inlineStr">
        <is>
          <t>G&amp;S PRUDENTE</t>
        </is>
      </c>
      <c r="H392" t="inlineStr">
        <is>
          <t>7.1.2</t>
        </is>
      </c>
      <c r="I392" t="inlineStr">
        <is>
          <t>MANUTENÇÃO DE VEÍCULOS/MAQUINAS</t>
        </is>
      </c>
      <c r="J392" t="n">
        <v>875</v>
      </c>
      <c r="K392" t="n">
        <v>-875</v>
      </c>
    </row>
    <row r="393" hidden="1" s="154">
      <c r="A393" t="n">
        <v>2025</v>
      </c>
      <c r="B393" t="inlineStr">
        <is>
          <t>2025-09</t>
        </is>
      </c>
      <c r="C393" t="inlineStr">
        <is>
          <t>Dourados</t>
        </is>
      </c>
      <c r="D393" t="inlineStr">
        <is>
          <t>HYUNDAI</t>
        </is>
      </c>
      <c r="E393" t="inlineStr">
        <is>
          <t>EHH0044</t>
        </is>
      </c>
      <c r="F393" t="inlineStr">
        <is>
          <t>EKIPA LOCACOES E SERV G&amp;S</t>
        </is>
      </c>
      <c r="G393" t="inlineStr">
        <is>
          <t>G&amp;S PRUDENTE</t>
        </is>
      </c>
      <c r="H393" t="inlineStr">
        <is>
          <t>7.1.2</t>
        </is>
      </c>
      <c r="I393" t="inlineStr">
        <is>
          <t>MANUTENÇÃO DE VEÍCULOS/MAQUINAS</t>
        </is>
      </c>
      <c r="J393" t="n">
        <v>600</v>
      </c>
      <c r="K393" t="n">
        <v>-600</v>
      </c>
    </row>
    <row r="394" hidden="1" s="154">
      <c r="A394" t="n">
        <v>2025</v>
      </c>
      <c r="B394" t="inlineStr">
        <is>
          <t>2025-09</t>
        </is>
      </c>
      <c r="C394" t="inlineStr">
        <is>
          <t>Dourados</t>
        </is>
      </c>
      <c r="D394" t="inlineStr">
        <is>
          <t>HYUNDAI</t>
        </is>
      </c>
      <c r="E394" t="inlineStr">
        <is>
          <t>EHH0044</t>
        </is>
      </c>
      <c r="F394" t="inlineStr">
        <is>
          <t>EKIPA LOCACOES E SERV G&amp;S</t>
        </is>
      </c>
      <c r="G394" t="inlineStr">
        <is>
          <t>G3S PRUDENTE</t>
        </is>
      </c>
      <c r="H394" t="inlineStr">
        <is>
          <t>7.1.2</t>
        </is>
      </c>
      <c r="I394" t="inlineStr">
        <is>
          <t>MANUTENÇÃO DE VEÍCULOS/MAQUINAS</t>
        </is>
      </c>
      <c r="J394" t="n">
        <v>895</v>
      </c>
      <c r="K394" t="n">
        <v>-895</v>
      </c>
    </row>
    <row r="395" hidden="1" s="154">
      <c r="A395" t="n">
        <v>2025</v>
      </c>
      <c r="B395" t="inlineStr">
        <is>
          <t>2025-09</t>
        </is>
      </c>
      <c r="C395" t="inlineStr">
        <is>
          <t>Dourados</t>
        </is>
      </c>
      <c r="D395" t="inlineStr">
        <is>
          <t>HYUNDAI</t>
        </is>
      </c>
      <c r="E395" t="inlineStr">
        <is>
          <t>EHH0044</t>
        </is>
      </c>
      <c r="F395" t="inlineStr">
        <is>
          <t>EKIPA LOCACOES E SERV G&amp;S</t>
        </is>
      </c>
      <c r="G395" t="inlineStr">
        <is>
          <t>G&amp;S PRUDENTE</t>
        </is>
      </c>
      <c r="H395" t="inlineStr">
        <is>
          <t>7.1.2</t>
        </is>
      </c>
      <c r="I395" t="inlineStr">
        <is>
          <t>MANUTENÇÃO DE VEÍCULOS/MAQUINAS</t>
        </is>
      </c>
      <c r="J395" t="n">
        <v>328</v>
      </c>
      <c r="K395" t="n">
        <v>-328</v>
      </c>
    </row>
    <row r="396" hidden="1" s="154">
      <c r="A396" t="n">
        <v>2025</v>
      </c>
      <c r="B396" t="inlineStr">
        <is>
          <t>2025-09</t>
        </is>
      </c>
      <c r="C396" t="inlineStr">
        <is>
          <t>Dourados</t>
        </is>
      </c>
      <c r="D396" t="inlineStr">
        <is>
          <t>HYUNDAI</t>
        </is>
      </c>
      <c r="E396" t="inlineStr">
        <is>
          <t>EHH0044</t>
        </is>
      </c>
      <c r="F396" t="inlineStr">
        <is>
          <t>EKIPA LOCACOES E SERV G&amp;S</t>
        </is>
      </c>
      <c r="G396" t="inlineStr">
        <is>
          <t>G&amp;S PRUDENTE</t>
        </is>
      </c>
      <c r="H396" t="inlineStr">
        <is>
          <t>7.1.2</t>
        </is>
      </c>
      <c r="I396" t="inlineStr">
        <is>
          <t>MANUTENÇÃO DE VEÍCULOS/MAQUINAS</t>
        </is>
      </c>
      <c r="J396" t="n">
        <v>2185</v>
      </c>
      <c r="K396" t="n">
        <v>-2185</v>
      </c>
    </row>
    <row r="397" hidden="1" s="154">
      <c r="A397" t="n">
        <v>2025</v>
      </c>
      <c r="B397" t="inlineStr">
        <is>
          <t>2025-09</t>
        </is>
      </c>
      <c r="C397" t="inlineStr">
        <is>
          <t>Dourados</t>
        </is>
      </c>
      <c r="D397" t="inlineStr">
        <is>
          <t>HYUNDAI</t>
        </is>
      </c>
      <c r="E397" t="inlineStr">
        <is>
          <t>EHH0044</t>
        </is>
      </c>
      <c r="F397" t="inlineStr">
        <is>
          <t>EKIPA LOCACOES E SERV G&amp;S</t>
        </is>
      </c>
      <c r="G397" t="inlineStr">
        <is>
          <t>G&amp;S PRUDENTE</t>
        </is>
      </c>
      <c r="H397" t="inlineStr">
        <is>
          <t>7.1.2</t>
        </is>
      </c>
      <c r="I397" t="inlineStr">
        <is>
          <t>MANUTENÇÃO DE VEÍCULOS/MAQUINAS</t>
        </is>
      </c>
      <c r="J397" t="n">
        <v>421.43</v>
      </c>
      <c r="K397" t="n">
        <v>-421.43</v>
      </c>
    </row>
    <row r="398" hidden="1" s="154">
      <c r="A398" t="n">
        <v>2025</v>
      </c>
      <c r="B398" t="inlineStr">
        <is>
          <t>2025-10</t>
        </is>
      </c>
      <c r="C398" t="inlineStr">
        <is>
          <t>Dourados</t>
        </is>
      </c>
      <c r="D398" t="inlineStr">
        <is>
          <t>HYUNDAI</t>
        </is>
      </c>
      <c r="E398" t="inlineStr">
        <is>
          <t>EHH0044</t>
        </is>
      </c>
      <c r="F398" t="inlineStr">
        <is>
          <t>EKIPA LOCACOES E SERV G&amp;S</t>
        </is>
      </c>
      <c r="G398" t="inlineStr">
        <is>
          <t>G&amp;S PRUDENTE</t>
        </is>
      </c>
      <c r="H398" t="inlineStr">
        <is>
          <t>7.1.2</t>
        </is>
      </c>
      <c r="I398" t="inlineStr">
        <is>
          <t>MANUTENÇÃO DE VEÍCULOS/MAQUINAS</t>
        </is>
      </c>
      <c r="J398" t="n">
        <v>460</v>
      </c>
      <c r="K398" t="n">
        <v>-460</v>
      </c>
    </row>
    <row r="399" hidden="1" s="154">
      <c r="A399" t="n">
        <v>2025</v>
      </c>
      <c r="B399" t="inlineStr">
        <is>
          <t>2025-10</t>
        </is>
      </c>
      <c r="C399" t="inlineStr">
        <is>
          <t>Dourados</t>
        </is>
      </c>
      <c r="D399" t="inlineStr">
        <is>
          <t>HYUNDAI</t>
        </is>
      </c>
      <c r="E399" t="inlineStr">
        <is>
          <t>EHH0044</t>
        </is>
      </c>
      <c r="F399" t="inlineStr">
        <is>
          <t>EKIPA LOCACOES E SERV G&amp;S</t>
        </is>
      </c>
      <c r="G399" t="inlineStr">
        <is>
          <t>G&amp;S PRUDENTE</t>
        </is>
      </c>
      <c r="H399" t="inlineStr">
        <is>
          <t>7.1.2</t>
        </is>
      </c>
      <c r="I399" t="inlineStr">
        <is>
          <t>MANUTENÇÃO DE VEÍCULOS/MAQUINAS</t>
        </is>
      </c>
      <c r="J399" t="n">
        <v>306</v>
      </c>
      <c r="K399" t="n">
        <v>-306</v>
      </c>
    </row>
    <row r="400" hidden="1" s="154">
      <c r="A400" t="n">
        <v>2025</v>
      </c>
      <c r="B400" t="inlineStr">
        <is>
          <t>2025-10</t>
        </is>
      </c>
      <c r="C400" t="inlineStr">
        <is>
          <t>Dourados</t>
        </is>
      </c>
      <c r="D400" t="inlineStr">
        <is>
          <t>HYUNDAI</t>
        </is>
      </c>
      <c r="E400" t="inlineStr">
        <is>
          <t>EHH0044</t>
        </is>
      </c>
      <c r="F400" t="inlineStr">
        <is>
          <t>EKIPA LOCACOES E SERV G&amp;S</t>
        </is>
      </c>
      <c r="G400" t="inlineStr">
        <is>
          <t>G&amp;S PRUDENTE</t>
        </is>
      </c>
      <c r="H400" t="inlineStr">
        <is>
          <t>7.1.2</t>
        </is>
      </c>
      <c r="I400" t="inlineStr">
        <is>
          <t>MANUTENÇÃO DE VEÍCULOS/MAQUINAS</t>
        </is>
      </c>
      <c r="J400" t="n">
        <v>924</v>
      </c>
      <c r="K400" t="n">
        <v>-924</v>
      </c>
    </row>
    <row r="401" hidden="1" s="154">
      <c r="A401" t="n">
        <v>2025</v>
      </c>
      <c r="B401" t="inlineStr">
        <is>
          <t>2025-10</t>
        </is>
      </c>
      <c r="C401" t="inlineStr">
        <is>
          <t>Dourados</t>
        </is>
      </c>
      <c r="D401" t="inlineStr">
        <is>
          <t>HYUNDAI</t>
        </is>
      </c>
      <c r="E401" t="inlineStr">
        <is>
          <t>EHH0044</t>
        </is>
      </c>
      <c r="F401" t="inlineStr">
        <is>
          <t>SELETIVA</t>
        </is>
      </c>
      <c r="G401" t="inlineStr">
        <is>
          <t>G&amp;S PRUDENTE</t>
        </is>
      </c>
      <c r="H401" t="inlineStr">
        <is>
          <t>7.1.2</t>
        </is>
      </c>
      <c r="I401" t="inlineStr">
        <is>
          <t>MANUTENÇÃO DE VEÍCULOS/MAQUINAS</t>
        </is>
      </c>
      <c r="J401" t="n">
        <v>75.55</v>
      </c>
      <c r="K401" t="n">
        <v>-75.55</v>
      </c>
    </row>
    <row r="402" hidden="1" s="154">
      <c r="A402" t="n">
        <v>2025</v>
      </c>
      <c r="B402" t="inlineStr">
        <is>
          <t>2025-10</t>
        </is>
      </c>
      <c r="C402" t="inlineStr">
        <is>
          <t>Dourados</t>
        </is>
      </c>
      <c r="D402" t="inlineStr">
        <is>
          <t>HYUNDAI</t>
        </is>
      </c>
      <c r="E402" t="inlineStr">
        <is>
          <t>EHH0044</t>
        </is>
      </c>
      <c r="F402" t="inlineStr">
        <is>
          <t>EKIPA LOCACOES E SERV G&amp;S</t>
        </is>
      </c>
      <c r="G402" t="inlineStr">
        <is>
          <t>G&amp;S PRUDENTE</t>
        </is>
      </c>
      <c r="H402" t="inlineStr">
        <is>
          <t>7.1.2</t>
        </is>
      </c>
      <c r="I402" t="inlineStr">
        <is>
          <t>MANUTENÇÃO DE VEÍCULOS/MAQUINAS</t>
        </is>
      </c>
      <c r="J402" t="n">
        <v>124.41</v>
      </c>
      <c r="K402" t="n">
        <v>-124.41</v>
      </c>
    </row>
    <row r="403" hidden="1" s="154">
      <c r="A403" t="n">
        <v>2025</v>
      </c>
      <c r="B403" t="inlineStr">
        <is>
          <t>2025-10</t>
        </is>
      </c>
      <c r="C403" t="inlineStr">
        <is>
          <t>Dourados</t>
        </is>
      </c>
      <c r="D403" t="inlineStr">
        <is>
          <t>HYUNDAI</t>
        </is>
      </c>
      <c r="E403" t="inlineStr">
        <is>
          <t>EHH0044</t>
        </is>
      </c>
      <c r="F403" t="inlineStr">
        <is>
          <t>EKIPA LOCACOES E SERV G&amp;S</t>
        </is>
      </c>
      <c r="G403" t="inlineStr">
        <is>
          <t>G3S PRUDENTE</t>
        </is>
      </c>
      <c r="H403" t="inlineStr">
        <is>
          <t>7.1.2</t>
        </is>
      </c>
      <c r="I403" t="inlineStr">
        <is>
          <t>MANUTENÇÃO DE VEÍCULOS/MAQUINAS</t>
        </is>
      </c>
      <c r="J403" t="n">
        <v>2500</v>
      </c>
      <c r="K403" t="n">
        <v>-2500</v>
      </c>
    </row>
    <row r="404" hidden="1" s="154">
      <c r="A404" t="n">
        <v>2025</v>
      </c>
      <c r="B404" t="inlineStr">
        <is>
          <t>2025-10</t>
        </is>
      </c>
      <c r="C404" t="inlineStr">
        <is>
          <t>Dourados</t>
        </is>
      </c>
      <c r="D404" t="inlineStr">
        <is>
          <t>HYUNDAI</t>
        </is>
      </c>
      <c r="E404" t="inlineStr">
        <is>
          <t>EHH0044</t>
        </is>
      </c>
      <c r="F404" t="inlineStr">
        <is>
          <t>EKIPA LOCACOES E SERV G&amp;S</t>
        </is>
      </c>
      <c r="G404" t="inlineStr">
        <is>
          <t>G&amp;S PRUDENTE</t>
        </is>
      </c>
      <c r="H404" t="inlineStr">
        <is>
          <t>7.1.2</t>
        </is>
      </c>
      <c r="I404" t="inlineStr">
        <is>
          <t>MANUTENÇÃO DE VEÍCULOS/MAQUINAS</t>
        </is>
      </c>
      <c r="J404" t="n">
        <v>4395</v>
      </c>
      <c r="K404" t="n">
        <v>-4395</v>
      </c>
    </row>
    <row r="405" hidden="1" s="154">
      <c r="A405" t="n">
        <v>2025</v>
      </c>
      <c r="B405" t="inlineStr">
        <is>
          <t>2025-10</t>
        </is>
      </c>
      <c r="C405" t="inlineStr">
        <is>
          <t>Dourados</t>
        </is>
      </c>
      <c r="D405" t="inlineStr">
        <is>
          <t>HYUNDAI</t>
        </is>
      </c>
      <c r="E405" t="inlineStr">
        <is>
          <t>EHH0044</t>
        </is>
      </c>
      <c r="F405" t="inlineStr">
        <is>
          <t>EKIPA LOCACOES E SERV G&amp;S</t>
        </is>
      </c>
      <c r="G405" t="inlineStr">
        <is>
          <t>G&amp;S PRUDENTE</t>
        </is>
      </c>
      <c r="H405" t="inlineStr">
        <is>
          <t>7.1.2</t>
        </is>
      </c>
      <c r="I405" t="inlineStr">
        <is>
          <t>MANUTENÇÃO DE VEÍCULOS/MAQUINAS</t>
        </is>
      </c>
      <c r="J405" t="n">
        <v>3334.5</v>
      </c>
      <c r="K405" t="n">
        <v>-3334.5</v>
      </c>
    </row>
    <row r="406" hidden="1" s="154">
      <c r="A406" t="n">
        <v>2025</v>
      </c>
      <c r="B406" t="inlineStr">
        <is>
          <t>2025-10</t>
        </is>
      </c>
      <c r="C406" t="inlineStr">
        <is>
          <t>Dourados</t>
        </is>
      </c>
      <c r="D406" t="inlineStr">
        <is>
          <t>HYUNDAI</t>
        </is>
      </c>
      <c r="E406" t="inlineStr">
        <is>
          <t>EHH0044</t>
        </is>
      </c>
      <c r="F406" t="inlineStr">
        <is>
          <t>EKIPA LOCACOES E SERV G&amp;S</t>
        </is>
      </c>
      <c r="G406" t="inlineStr">
        <is>
          <t>G&amp;S PRUDENTE</t>
        </is>
      </c>
      <c r="H406" t="inlineStr">
        <is>
          <t>7.1.2</t>
        </is>
      </c>
      <c r="I406" t="inlineStr">
        <is>
          <t>MANUTENÇÃO DE VEÍCULOS/MAQUINAS</t>
        </is>
      </c>
      <c r="J406" t="n">
        <v>4395</v>
      </c>
      <c r="K406" t="n">
        <v>-4395</v>
      </c>
    </row>
    <row r="407" hidden="1" s="154">
      <c r="A407" t="n">
        <v>2025</v>
      </c>
      <c r="B407" t="inlineStr">
        <is>
          <t>2025-10</t>
        </is>
      </c>
      <c r="C407" t="inlineStr">
        <is>
          <t>Dourados</t>
        </is>
      </c>
      <c r="D407" t="inlineStr">
        <is>
          <t>HYUNDAI</t>
        </is>
      </c>
      <c r="E407" t="inlineStr">
        <is>
          <t>EHH0044</t>
        </is>
      </c>
      <c r="F407" t="inlineStr">
        <is>
          <t>EKIPA LOCACOES E SERV G&amp;S</t>
        </is>
      </c>
      <c r="G407" t="inlineStr">
        <is>
          <t>G&amp;S PRUDENTE</t>
        </is>
      </c>
      <c r="H407" t="inlineStr">
        <is>
          <t>7.1.2</t>
        </is>
      </c>
      <c r="I407" t="inlineStr">
        <is>
          <t>MANUTENÇÃO DE VEÍCULOS/MAQUINAS</t>
        </is>
      </c>
      <c r="J407" t="n">
        <v>3334.5</v>
      </c>
      <c r="K407" t="n">
        <v>-3334.5</v>
      </c>
    </row>
    <row r="408" hidden="1" s="154">
      <c r="A408" t="n">
        <v>2025</v>
      </c>
      <c r="B408" t="inlineStr">
        <is>
          <t>2025-10</t>
        </is>
      </c>
      <c r="C408" t="inlineStr">
        <is>
          <t>Dourados</t>
        </is>
      </c>
      <c r="D408" t="inlineStr">
        <is>
          <t>HYUNDAI</t>
        </is>
      </c>
      <c r="E408" t="inlineStr">
        <is>
          <t>EHH0044</t>
        </is>
      </c>
      <c r="F408" t="inlineStr">
        <is>
          <t>EKIPA LOCACOES E SERV G&amp;S</t>
        </is>
      </c>
      <c r="G408" t="inlineStr">
        <is>
          <t>G&amp;S PRUDENTE</t>
        </is>
      </c>
      <c r="H408" t="inlineStr">
        <is>
          <t>7.1.2</t>
        </is>
      </c>
      <c r="I408" t="inlineStr">
        <is>
          <t>MANUTENÇÃO DE VEÍCULOS/MAQUINAS</t>
        </is>
      </c>
      <c r="J408" t="n">
        <v>212</v>
      </c>
      <c r="K408" t="n">
        <v>-212</v>
      </c>
    </row>
    <row r="409" hidden="1" s="154">
      <c r="A409" t="n">
        <v>2025</v>
      </c>
      <c r="B409" t="inlineStr">
        <is>
          <t>2025-10</t>
        </is>
      </c>
      <c r="C409" t="inlineStr">
        <is>
          <t>Dourados</t>
        </is>
      </c>
      <c r="D409" t="inlineStr">
        <is>
          <t>HYUNDAI</t>
        </is>
      </c>
      <c r="E409" t="inlineStr">
        <is>
          <t>EHH0044</t>
        </is>
      </c>
      <c r="F409" t="inlineStr">
        <is>
          <t>EKIPA LOCACOES E SERV G&amp;S</t>
        </is>
      </c>
      <c r="G409" t="inlineStr">
        <is>
          <t>G&amp;S PRUDENTE</t>
        </is>
      </c>
      <c r="H409" t="inlineStr">
        <is>
          <t>7.1.2</t>
        </is>
      </c>
      <c r="I409" t="inlineStr">
        <is>
          <t>MANUTENÇÃO DE VEÍCULOS/MAQUINAS</t>
        </is>
      </c>
      <c r="J409" t="n">
        <v>934.5</v>
      </c>
      <c r="K409" t="n">
        <v>-934.5</v>
      </c>
    </row>
    <row r="410" hidden="1" s="154">
      <c r="A410" t="n">
        <v>2025</v>
      </c>
      <c r="B410" t="inlineStr">
        <is>
          <t>2025-11</t>
        </is>
      </c>
      <c r="C410" t="inlineStr">
        <is>
          <t>Dourados</t>
        </is>
      </c>
      <c r="D410" t="inlineStr">
        <is>
          <t>HYUNDAI</t>
        </is>
      </c>
      <c r="E410" t="inlineStr">
        <is>
          <t>EHH0044</t>
        </is>
      </c>
      <c r="F410" t="inlineStr">
        <is>
          <t>EKIPA LOCACOES E SERV G&amp;S</t>
        </is>
      </c>
      <c r="G410" t="inlineStr">
        <is>
          <t>G&amp;S PRUDENTE</t>
        </is>
      </c>
      <c r="H410" t="inlineStr">
        <is>
          <t>7.1.2</t>
        </is>
      </c>
      <c r="I410" t="inlineStr">
        <is>
          <t>MANUTENÇÃO DE VEÍCULOS/MAQUINAS</t>
        </is>
      </c>
      <c r="J410" t="n">
        <v>2951.63</v>
      </c>
      <c r="K410" t="n">
        <v>-2951.63</v>
      </c>
    </row>
    <row r="411" hidden="1" s="154">
      <c r="A411" t="n">
        <v>2025</v>
      </c>
      <c r="B411" t="inlineStr">
        <is>
          <t>2025-11</t>
        </is>
      </c>
      <c r="C411" t="inlineStr">
        <is>
          <t>Dourados</t>
        </is>
      </c>
      <c r="D411" t="inlineStr">
        <is>
          <t>HYUNDAI</t>
        </is>
      </c>
      <c r="E411" t="inlineStr">
        <is>
          <t>EHH0044</t>
        </is>
      </c>
      <c r="F411" t="inlineStr">
        <is>
          <t>EKIPA LOCACOES E SERV G&amp;S</t>
        </is>
      </c>
      <c r="G411" t="inlineStr">
        <is>
          <t>G&amp;S PRUDENTE</t>
        </is>
      </c>
      <c r="H411" t="inlineStr">
        <is>
          <t>7.1.2</t>
        </is>
      </c>
      <c r="I411" t="inlineStr">
        <is>
          <t>MANUTENÇÃO DE VEÍCULOS/MAQUINAS</t>
        </is>
      </c>
      <c r="J411" t="n">
        <v>94</v>
      </c>
      <c r="K411" t="n">
        <v>-94</v>
      </c>
    </row>
    <row r="412" hidden="1" s="154">
      <c r="A412" t="n">
        <v>2025</v>
      </c>
      <c r="B412" t="inlineStr">
        <is>
          <t>2025-11</t>
        </is>
      </c>
      <c r="C412" t="inlineStr">
        <is>
          <t>Dourados</t>
        </is>
      </c>
      <c r="D412" t="inlineStr">
        <is>
          <t>HYUNDAI</t>
        </is>
      </c>
      <c r="E412" t="inlineStr">
        <is>
          <t>EHH0044</t>
        </is>
      </c>
      <c r="F412" t="inlineStr">
        <is>
          <t>EKIPA LOCACOES E SERV G&amp;S</t>
        </is>
      </c>
      <c r="G412" t="inlineStr">
        <is>
          <t>G&amp;S PRUDENTE</t>
        </is>
      </c>
      <c r="H412" t="inlineStr">
        <is>
          <t>7.1.2</t>
        </is>
      </c>
      <c r="I412" t="inlineStr">
        <is>
          <t>MANUTENÇÃO DE VEÍCULOS/MAQUINAS</t>
        </is>
      </c>
      <c r="J412" t="n">
        <v>231.68</v>
      </c>
      <c r="K412" t="n">
        <v>-231.68</v>
      </c>
    </row>
    <row r="413" hidden="1" s="154">
      <c r="A413" t="n">
        <v>2025</v>
      </c>
      <c r="B413" t="inlineStr">
        <is>
          <t>2025-11</t>
        </is>
      </c>
      <c r="C413" t="inlineStr">
        <is>
          <t>Dourados</t>
        </is>
      </c>
      <c r="D413" t="inlineStr">
        <is>
          <t>HYUNDAI</t>
        </is>
      </c>
      <c r="E413" t="inlineStr">
        <is>
          <t>EHH0044</t>
        </is>
      </c>
      <c r="F413" t="inlineStr">
        <is>
          <t>EKIPA LOCACOES E SERV G&amp;S</t>
        </is>
      </c>
      <c r="G413" t="inlineStr">
        <is>
          <t>G&amp;S PRUDENTE</t>
        </is>
      </c>
      <c r="H413" t="inlineStr">
        <is>
          <t>7.1.2</t>
        </is>
      </c>
      <c r="I413" t="inlineStr">
        <is>
          <t>MANUTENÇÃO DE VEÍCULOS/MAQUINAS</t>
        </is>
      </c>
      <c r="J413" t="n">
        <v>1200</v>
      </c>
      <c r="K413" t="n">
        <v>-1200</v>
      </c>
    </row>
    <row r="414" hidden="1" s="154">
      <c r="A414" t="n">
        <v>2025</v>
      </c>
      <c r="B414" t="inlineStr">
        <is>
          <t>2025-11</t>
        </is>
      </c>
      <c r="C414" t="inlineStr">
        <is>
          <t>Dourados</t>
        </is>
      </c>
      <c r="D414" t="inlineStr">
        <is>
          <t>HYUNDAI</t>
        </is>
      </c>
      <c r="E414" t="inlineStr">
        <is>
          <t>EHH0044</t>
        </is>
      </c>
      <c r="F414" t="inlineStr">
        <is>
          <t>EKIPA LOCACOES E SERV G&amp;S</t>
        </is>
      </c>
      <c r="G414" t="inlineStr">
        <is>
          <t>G&amp;S PRUDENTE</t>
        </is>
      </c>
      <c r="H414" t="inlineStr">
        <is>
          <t>7.1.2</t>
        </is>
      </c>
      <c r="I414" t="inlineStr">
        <is>
          <t>MANUTENÇÃO DE VEÍCULOS/MAQUINAS</t>
        </is>
      </c>
      <c r="J414" t="n">
        <v>3573.23</v>
      </c>
      <c r="K414" t="n">
        <v>-3573.23</v>
      </c>
    </row>
    <row r="415" hidden="1" s="154">
      <c r="A415" t="n">
        <v>2025</v>
      </c>
      <c r="B415" t="inlineStr">
        <is>
          <t>2025-11</t>
        </is>
      </c>
      <c r="C415" t="inlineStr">
        <is>
          <t>Dourados</t>
        </is>
      </c>
      <c r="D415" t="inlineStr">
        <is>
          <t>HYUNDAI</t>
        </is>
      </c>
      <c r="E415" t="inlineStr">
        <is>
          <t>EHH0044</t>
        </is>
      </c>
      <c r="F415" t="inlineStr">
        <is>
          <t>EKIPA LOCACOES E SERV G&amp;S</t>
        </is>
      </c>
      <c r="G415" t="inlineStr">
        <is>
          <t>G&amp;S PRUDENTE</t>
        </is>
      </c>
      <c r="H415" t="inlineStr">
        <is>
          <t>7.1.2</t>
        </is>
      </c>
      <c r="I415" t="inlineStr">
        <is>
          <t>MANUTENÇÃO DE VEÍCULOS/MAQUINAS</t>
        </is>
      </c>
      <c r="J415" t="n">
        <v>450</v>
      </c>
      <c r="K415" t="n">
        <v>-450</v>
      </c>
    </row>
    <row r="416" hidden="1" s="154">
      <c r="A416" t="n">
        <v>2025</v>
      </c>
      <c r="B416" t="inlineStr">
        <is>
          <t>2025-11</t>
        </is>
      </c>
      <c r="C416" t="inlineStr">
        <is>
          <t>Dourados</t>
        </is>
      </c>
      <c r="D416" t="inlineStr">
        <is>
          <t>HYUNDAI</t>
        </is>
      </c>
      <c r="E416" t="inlineStr">
        <is>
          <t>EHH0044</t>
        </is>
      </c>
      <c r="F416" t="inlineStr">
        <is>
          <t>EKIPA LOCACOES E SERV G&amp;S</t>
        </is>
      </c>
      <c r="G416" t="inlineStr">
        <is>
          <t>G&amp;S PRUDENTE</t>
        </is>
      </c>
      <c r="H416" t="inlineStr">
        <is>
          <t>7.1.2</t>
        </is>
      </c>
      <c r="I416" t="inlineStr">
        <is>
          <t>MANUTENÇÃO DE VEÍCULOS/MAQUINAS</t>
        </is>
      </c>
      <c r="J416" t="n">
        <v>800</v>
      </c>
      <c r="K416" t="n">
        <v>-800</v>
      </c>
    </row>
    <row r="417" hidden="1" s="154">
      <c r="A417" t="n">
        <v>2025</v>
      </c>
      <c r="B417" t="inlineStr">
        <is>
          <t>2025-11</t>
        </is>
      </c>
      <c r="C417" t="inlineStr">
        <is>
          <t>Dourados</t>
        </is>
      </c>
      <c r="D417" t="inlineStr">
        <is>
          <t>HYUNDAI</t>
        </is>
      </c>
      <c r="E417" t="inlineStr">
        <is>
          <t>EHH0044</t>
        </is>
      </c>
      <c r="F417" t="inlineStr">
        <is>
          <t>EKIPA LOCACOES E SERV G&amp;S</t>
        </is>
      </c>
      <c r="G417" t="inlineStr">
        <is>
          <t>G&amp;S PRUDENTE</t>
        </is>
      </c>
      <c r="H417" t="inlineStr">
        <is>
          <t>7.1.2</t>
        </is>
      </c>
      <c r="I417" t="inlineStr">
        <is>
          <t>MANUTENÇÃO DE VEÍCULOS/MAQUINAS</t>
        </is>
      </c>
      <c r="J417" t="n">
        <v>620</v>
      </c>
      <c r="K417" t="n">
        <v>-620</v>
      </c>
    </row>
    <row r="418" hidden="1" s="154">
      <c r="A418" t="n">
        <v>2025</v>
      </c>
      <c r="B418" t="inlineStr">
        <is>
          <t>2025-11</t>
        </is>
      </c>
      <c r="C418" t="inlineStr">
        <is>
          <t>Dourados</t>
        </is>
      </c>
      <c r="D418" t="inlineStr">
        <is>
          <t>HYUNDAI</t>
        </is>
      </c>
      <c r="E418" t="inlineStr">
        <is>
          <t>EHH0044</t>
        </is>
      </c>
      <c r="F418" t="inlineStr">
        <is>
          <t>EKIPA LOCACOES E SERV G&amp;S</t>
        </is>
      </c>
      <c r="G418" t="inlineStr">
        <is>
          <t>G&amp;S PRUDENTE</t>
        </is>
      </c>
      <c r="H418" t="inlineStr">
        <is>
          <t>7.1.2</t>
        </is>
      </c>
      <c r="I418" t="inlineStr">
        <is>
          <t>MANUTENÇÃO DE VEÍCULOS/MAQUINAS</t>
        </is>
      </c>
      <c r="J418" t="n">
        <v>784.65</v>
      </c>
      <c r="K418" t="n">
        <v>-784.65</v>
      </c>
    </row>
    <row r="419" hidden="1" s="154">
      <c r="A419" t="n">
        <v>2025</v>
      </c>
      <c r="B419" t="inlineStr">
        <is>
          <t>2025-11</t>
        </is>
      </c>
      <c r="C419" t="inlineStr">
        <is>
          <t>Dourados</t>
        </is>
      </c>
      <c r="D419" t="inlineStr">
        <is>
          <t>HYUNDAI</t>
        </is>
      </c>
      <c r="E419" t="inlineStr">
        <is>
          <t>EHH0044</t>
        </is>
      </c>
      <c r="F419" t="inlineStr">
        <is>
          <t>EKIPA LOCACOES E SERV G&amp;S</t>
        </is>
      </c>
      <c r="G419" t="inlineStr">
        <is>
          <t>G&amp;S PRUDENTE</t>
        </is>
      </c>
      <c r="H419" t="inlineStr">
        <is>
          <t>7.1.2</t>
        </is>
      </c>
      <c r="I419" t="inlineStr">
        <is>
          <t>MANUTENÇÃO DE VEÍCULOS/MAQUINAS</t>
        </is>
      </c>
      <c r="J419" t="n">
        <v>844.2</v>
      </c>
      <c r="K419" t="n">
        <v>-844.2</v>
      </c>
    </row>
    <row r="420" hidden="1" s="154">
      <c r="A420" t="n">
        <v>2025</v>
      </c>
      <c r="B420" t="inlineStr">
        <is>
          <t>2025-11</t>
        </is>
      </c>
      <c r="C420" t="inlineStr">
        <is>
          <t>Dourados</t>
        </is>
      </c>
      <c r="D420" t="inlineStr">
        <is>
          <t>HYUNDAI</t>
        </is>
      </c>
      <c r="E420" t="inlineStr">
        <is>
          <t>EHH0044</t>
        </is>
      </c>
      <c r="F420" t="inlineStr">
        <is>
          <t>EKIPA LOCACOES E SERV G&amp;S</t>
        </is>
      </c>
      <c r="G420" t="inlineStr">
        <is>
          <t>G&amp;S PRUDENTE</t>
        </is>
      </c>
      <c r="H420" t="inlineStr">
        <is>
          <t>7.1.2</t>
        </is>
      </c>
      <c r="I420" t="inlineStr">
        <is>
          <t>MANUTENÇÃO DE VEÍCULOS/MAQUINAS</t>
        </is>
      </c>
      <c r="J420" t="n">
        <v>320</v>
      </c>
      <c r="K420" t="n">
        <v>-320</v>
      </c>
    </row>
    <row r="421" hidden="1" s="154">
      <c r="A421" t="n">
        <v>2025</v>
      </c>
      <c r="B421" t="inlineStr">
        <is>
          <t>2025-11</t>
        </is>
      </c>
      <c r="C421" t="inlineStr">
        <is>
          <t>Dourados</t>
        </is>
      </c>
      <c r="D421" t="inlineStr">
        <is>
          <t>HYUNDAI</t>
        </is>
      </c>
      <c r="E421" t="inlineStr">
        <is>
          <t>EHH0044</t>
        </is>
      </c>
      <c r="F421" t="inlineStr">
        <is>
          <t>EKIPA LOCACOES E SERV G&amp;S</t>
        </is>
      </c>
      <c r="G421" t="inlineStr">
        <is>
          <t>G&amp;S PRUDENTE</t>
        </is>
      </c>
      <c r="H421" t="inlineStr">
        <is>
          <t>7.1.2</t>
        </is>
      </c>
      <c r="I421" t="inlineStr">
        <is>
          <t>MANUTENÇÃO DE VEÍCULOS/MAQUINAS</t>
        </is>
      </c>
      <c r="J421" t="n">
        <v>19.2</v>
      </c>
      <c r="K421" t="n">
        <v>-19.2</v>
      </c>
    </row>
    <row r="422" hidden="1" s="154">
      <c r="A422" t="n">
        <v>2025</v>
      </c>
      <c r="B422" t="inlineStr">
        <is>
          <t>2025-11</t>
        </is>
      </c>
      <c r="C422" t="inlineStr">
        <is>
          <t>Dourados</t>
        </is>
      </c>
      <c r="D422" t="inlineStr">
        <is>
          <t>HYUNDAI</t>
        </is>
      </c>
      <c r="E422" t="inlineStr">
        <is>
          <t>EHH0044</t>
        </is>
      </c>
      <c r="F422" t="inlineStr">
        <is>
          <t>SELETIVA</t>
        </is>
      </c>
      <c r="G422" t="inlineStr">
        <is>
          <t>G3S PRUDENTE</t>
        </is>
      </c>
      <c r="H422" t="inlineStr">
        <is>
          <t>7.1.2</t>
        </is>
      </c>
      <c r="I422" t="inlineStr">
        <is>
          <t>MANUTENÇÃO DE VEÍCULOS/MAQUINAS</t>
        </is>
      </c>
      <c r="J422" t="n">
        <v>197.5</v>
      </c>
      <c r="K422" t="n">
        <v>-197.5</v>
      </c>
    </row>
    <row r="423" hidden="1" s="154">
      <c r="A423" t="n">
        <v>2025</v>
      </c>
      <c r="B423" t="inlineStr">
        <is>
          <t>2025-11</t>
        </is>
      </c>
      <c r="C423" t="inlineStr">
        <is>
          <t>Dourados</t>
        </is>
      </c>
      <c r="D423" t="inlineStr">
        <is>
          <t>HYUNDAI</t>
        </is>
      </c>
      <c r="E423" t="inlineStr">
        <is>
          <t>EHH0044</t>
        </is>
      </c>
      <c r="F423" t="inlineStr">
        <is>
          <t>EKIPA LOCACOES E SERV G&amp;S</t>
        </is>
      </c>
      <c r="G423" t="inlineStr">
        <is>
          <t>G3S PRUDENTE</t>
        </is>
      </c>
      <c r="H423" t="inlineStr">
        <is>
          <t>7.1.2</t>
        </is>
      </c>
      <c r="I423" t="inlineStr">
        <is>
          <t>MANUTENÇÃO DE VEÍCULOS/MAQUINAS</t>
        </is>
      </c>
      <c r="J423" t="n">
        <v>197.5</v>
      </c>
      <c r="K423" t="n">
        <v>-197.5</v>
      </c>
    </row>
    <row r="424" hidden="1" s="154">
      <c r="A424" t="n">
        <v>2025</v>
      </c>
      <c r="B424" t="inlineStr">
        <is>
          <t>2025-11</t>
        </is>
      </c>
      <c r="C424" t="inlineStr">
        <is>
          <t>Dourados</t>
        </is>
      </c>
      <c r="D424" t="inlineStr">
        <is>
          <t>HYUNDAI</t>
        </is>
      </c>
      <c r="E424" t="inlineStr">
        <is>
          <t>EHH0044</t>
        </is>
      </c>
      <c r="F424" t="inlineStr">
        <is>
          <t>EKIPA LOCACOES E SERV G&amp;S</t>
        </is>
      </c>
      <c r="G424" t="inlineStr">
        <is>
          <t>G&amp;S PRUDENTE</t>
        </is>
      </c>
      <c r="H424" t="inlineStr">
        <is>
          <t>7.1.2</t>
        </is>
      </c>
      <c r="I424" t="inlineStr">
        <is>
          <t>MANUTENÇÃO DE VEÍCULOS/MAQUINAS</t>
        </is>
      </c>
      <c r="J424" t="n">
        <v>1400</v>
      </c>
      <c r="K424" t="n">
        <v>-1400</v>
      </c>
    </row>
    <row r="425" hidden="1" s="154">
      <c r="A425" t="n">
        <v>2025</v>
      </c>
      <c r="B425" t="inlineStr">
        <is>
          <t>2025-12</t>
        </is>
      </c>
      <c r="C425" t="inlineStr">
        <is>
          <t>Dourados</t>
        </is>
      </c>
      <c r="D425" t="inlineStr">
        <is>
          <t>HYUNDAI</t>
        </is>
      </c>
      <c r="E425" t="inlineStr">
        <is>
          <t>EHH0044</t>
        </is>
      </c>
      <c r="F425" t="inlineStr">
        <is>
          <t>EKIPA LOCACOES E SERV G&amp;S</t>
        </is>
      </c>
      <c r="G425" t="inlineStr">
        <is>
          <t>G&amp;S PRUDENTE</t>
        </is>
      </c>
      <c r="H425" t="inlineStr">
        <is>
          <t>7.1.2</t>
        </is>
      </c>
      <c r="I425" t="inlineStr">
        <is>
          <t>MANUTENÇÃO DE VEÍCULOS/MAQUINAS</t>
        </is>
      </c>
      <c r="J425" t="n">
        <v>742.86</v>
      </c>
      <c r="K425" t="n">
        <v>-742.86</v>
      </c>
    </row>
    <row r="426" hidden="1" s="154">
      <c r="A426" t="n">
        <v>2025</v>
      </c>
      <c r="B426" t="inlineStr">
        <is>
          <t>2025-12</t>
        </is>
      </c>
      <c r="C426" t="inlineStr">
        <is>
          <t>Dourados</t>
        </is>
      </c>
      <c r="D426" t="inlineStr">
        <is>
          <t>HYUNDAI</t>
        </is>
      </c>
      <c r="E426" t="inlineStr">
        <is>
          <t>EHH0044</t>
        </is>
      </c>
      <c r="F426" t="inlineStr">
        <is>
          <t>EKIPA LOCACOES E SERV G&amp;S</t>
        </is>
      </c>
      <c r="G426" t="inlineStr">
        <is>
          <t>G&amp;S PRUDENTE</t>
        </is>
      </c>
      <c r="H426" t="inlineStr">
        <is>
          <t>7.1.2</t>
        </is>
      </c>
      <c r="I426" t="inlineStr">
        <is>
          <t>MANUTENÇÃO DE VEÍCULOS/MAQUINAS</t>
        </is>
      </c>
      <c r="J426" t="n">
        <v>1698</v>
      </c>
      <c r="K426" t="n">
        <v>-1698</v>
      </c>
    </row>
    <row r="427" hidden="1" s="154">
      <c r="A427" t="n">
        <v>2025</v>
      </c>
      <c r="B427" t="inlineStr">
        <is>
          <t>2025-12</t>
        </is>
      </c>
      <c r="C427" t="inlineStr">
        <is>
          <t>Dourados</t>
        </is>
      </c>
      <c r="D427" t="inlineStr">
        <is>
          <t>HYUNDAI</t>
        </is>
      </c>
      <c r="E427" t="inlineStr">
        <is>
          <t>EHH0044</t>
        </is>
      </c>
      <c r="F427" t="inlineStr">
        <is>
          <t>EKIPA LOCACOES E SERV G&amp;S</t>
        </is>
      </c>
      <c r="G427" t="inlineStr">
        <is>
          <t>G&amp;S PRUDENTE</t>
        </is>
      </c>
      <c r="H427" t="inlineStr">
        <is>
          <t>7.1.2</t>
        </is>
      </c>
      <c r="I427" t="inlineStr">
        <is>
          <t>MANUTENÇÃO DE VEÍCULOS/MAQUINAS</t>
        </is>
      </c>
      <c r="J427" t="n">
        <v>230</v>
      </c>
      <c r="K427" t="n">
        <v>-230</v>
      </c>
    </row>
    <row r="428" hidden="1" s="154">
      <c r="A428" t="n">
        <v>2026</v>
      </c>
      <c r="B428" t="inlineStr">
        <is>
          <t>2026-01</t>
        </is>
      </c>
      <c r="C428" t="inlineStr">
        <is>
          <t>Dourados</t>
        </is>
      </c>
      <c r="D428" t="inlineStr">
        <is>
          <t>HYUNDAI</t>
        </is>
      </c>
      <c r="E428" t="inlineStr">
        <is>
          <t>EHH0044</t>
        </is>
      </c>
      <c r="F428" t="inlineStr">
        <is>
          <t>EKIPA LOCACOES E SERV G&amp;S</t>
        </is>
      </c>
      <c r="G428" t="inlineStr">
        <is>
          <t>G3S PRUDENTE</t>
        </is>
      </c>
      <c r="H428" t="inlineStr">
        <is>
          <t>7.1.2</t>
        </is>
      </c>
      <c r="I428" t="inlineStr">
        <is>
          <t>MANUTENÇÃO DE VEÍCULOS/MAQUINAS</t>
        </is>
      </c>
      <c r="J428" t="n">
        <v>48.05</v>
      </c>
      <c r="K428" t="n">
        <v>-48.05</v>
      </c>
    </row>
    <row r="429" hidden="1" s="154">
      <c r="A429" t="n">
        <v>2026</v>
      </c>
      <c r="B429" t="inlineStr">
        <is>
          <t>2026-01</t>
        </is>
      </c>
      <c r="C429" t="inlineStr">
        <is>
          <t>Dourados</t>
        </is>
      </c>
      <c r="D429" t="inlineStr">
        <is>
          <t>HYUNDAI</t>
        </is>
      </c>
      <c r="E429" t="inlineStr">
        <is>
          <t>EHH0044</t>
        </is>
      </c>
      <c r="F429" t="inlineStr">
        <is>
          <t>EKIPA LOCACOES E SERV G&amp;S</t>
        </is>
      </c>
      <c r="G429" t="inlineStr">
        <is>
          <t>G3S PRUDENTE</t>
        </is>
      </c>
      <c r="H429" t="inlineStr">
        <is>
          <t>7.1.2</t>
        </is>
      </c>
      <c r="I429" t="inlineStr">
        <is>
          <t>MANUTENÇÃO DE VEÍCULOS/MAQUINAS</t>
        </is>
      </c>
      <c r="J429" t="n">
        <v>48.05</v>
      </c>
      <c r="K429" t="n">
        <v>-48.05</v>
      </c>
    </row>
    <row r="430" hidden="1" s="154">
      <c r="A430" t="n">
        <v>2026</v>
      </c>
      <c r="B430" t="inlineStr">
        <is>
          <t>2026-01</t>
        </is>
      </c>
      <c r="C430" t="inlineStr">
        <is>
          <t>Dourados</t>
        </is>
      </c>
      <c r="D430" t="inlineStr">
        <is>
          <t>HYUNDAI</t>
        </is>
      </c>
      <c r="E430" t="inlineStr">
        <is>
          <t>EHH0044</t>
        </is>
      </c>
      <c r="F430" t="inlineStr">
        <is>
          <t>EKIPA LOCACOES E SERV G&amp;S</t>
        </is>
      </c>
      <c r="G430" t="inlineStr">
        <is>
          <t>G3S PRUDENTE</t>
        </is>
      </c>
      <c r="H430" t="inlineStr">
        <is>
          <t>7.1.2</t>
        </is>
      </c>
      <c r="I430" t="inlineStr">
        <is>
          <t>MANUTENÇÃO DE VEÍCULOS/MAQUINAS</t>
        </is>
      </c>
      <c r="J430" t="n">
        <v>48.05</v>
      </c>
      <c r="K430" t="n">
        <v>-48.05</v>
      </c>
    </row>
    <row r="431" hidden="1" s="154">
      <c r="A431" t="n">
        <v>2026</v>
      </c>
      <c r="B431" t="inlineStr">
        <is>
          <t>2026-01</t>
        </is>
      </c>
      <c r="C431" t="inlineStr">
        <is>
          <t>Dourados</t>
        </is>
      </c>
      <c r="D431" t="inlineStr">
        <is>
          <t>HYUNDAI</t>
        </is>
      </c>
      <c r="E431" t="inlineStr">
        <is>
          <t>EHH0044</t>
        </is>
      </c>
      <c r="F431" t="inlineStr">
        <is>
          <t>EKIPA LOCACOES E SERV G&amp;S</t>
        </is>
      </c>
      <c r="G431" t="inlineStr">
        <is>
          <t>G3S PRUDENTE</t>
        </is>
      </c>
      <c r="H431" t="inlineStr">
        <is>
          <t>7.1.2</t>
        </is>
      </c>
      <c r="I431" t="inlineStr">
        <is>
          <t>MANUTENÇÃO DE VEÍCULOS/MAQUINAS</t>
        </is>
      </c>
      <c r="J431" t="n">
        <v>48.05</v>
      </c>
      <c r="K431" t="n">
        <v>-48.05</v>
      </c>
    </row>
    <row r="432" hidden="1" s="154">
      <c r="A432" t="n">
        <v>2026</v>
      </c>
      <c r="B432" t="inlineStr">
        <is>
          <t>2026-01</t>
        </is>
      </c>
      <c r="C432" t="inlineStr">
        <is>
          <t>Dourados</t>
        </is>
      </c>
      <c r="D432" t="inlineStr">
        <is>
          <t>HYUNDAI</t>
        </is>
      </c>
      <c r="E432" t="inlineStr">
        <is>
          <t>EHH0044</t>
        </is>
      </c>
      <c r="F432" t="inlineStr">
        <is>
          <t>EKIPA LOCACOES E SERV G&amp;S</t>
        </is>
      </c>
      <c r="G432" t="inlineStr">
        <is>
          <t>G3S PRUDENTE</t>
        </is>
      </c>
      <c r="H432" t="inlineStr">
        <is>
          <t>7.1.2</t>
        </is>
      </c>
      <c r="I432" t="inlineStr">
        <is>
          <t>MANUTENÇÃO DE VEÍCULOS/MAQUINAS</t>
        </is>
      </c>
      <c r="J432" t="n">
        <v>48.05</v>
      </c>
      <c r="K432" t="n">
        <v>-48.05</v>
      </c>
    </row>
    <row r="433" hidden="1" s="154">
      <c r="A433" t="n">
        <v>2026</v>
      </c>
      <c r="B433" t="inlineStr">
        <is>
          <t>2026-01</t>
        </is>
      </c>
      <c r="C433" t="inlineStr">
        <is>
          <t>Dourados</t>
        </is>
      </c>
      <c r="D433" t="inlineStr">
        <is>
          <t>HYUNDAI</t>
        </is>
      </c>
      <c r="E433" t="inlineStr">
        <is>
          <t>EHH0044</t>
        </is>
      </c>
      <c r="F433" t="inlineStr">
        <is>
          <t>EKIPA LOCACOES E SERV G&amp;S</t>
        </is>
      </c>
      <c r="G433" t="inlineStr">
        <is>
          <t>G&amp;S PRUDENTE</t>
        </is>
      </c>
      <c r="H433" t="inlineStr">
        <is>
          <t>7.1.2</t>
        </is>
      </c>
      <c r="I433" t="inlineStr">
        <is>
          <t>MANUTENÇÃO DE VEÍCULOS/MAQUINAS</t>
        </is>
      </c>
      <c r="J433" t="n">
        <v>540</v>
      </c>
      <c r="K433" t="n">
        <v>-540</v>
      </c>
    </row>
    <row r="434" hidden="1" s="154">
      <c r="A434" t="n">
        <v>2026</v>
      </c>
      <c r="B434" t="inlineStr">
        <is>
          <t>2026-01</t>
        </is>
      </c>
      <c r="C434" t="inlineStr">
        <is>
          <t>Dourados</t>
        </is>
      </c>
      <c r="D434" t="inlineStr">
        <is>
          <t>HYUNDAI</t>
        </is>
      </c>
      <c r="E434" t="inlineStr">
        <is>
          <t>EHH0044</t>
        </is>
      </c>
      <c r="F434" t="inlineStr">
        <is>
          <t>EKIPA LOCACOES E SERV G&amp;S</t>
        </is>
      </c>
      <c r="G434" t="inlineStr">
        <is>
          <t>G3S CAMPO GRANDE</t>
        </is>
      </c>
      <c r="H434" t="inlineStr">
        <is>
          <t>7.1.1</t>
        </is>
      </c>
      <c r="I434" t="inlineStr">
        <is>
          <t>PEÇAS DE MANUTENÇÃO</t>
        </is>
      </c>
      <c r="J434" t="n">
        <v>8.109999999999999</v>
      </c>
      <c r="K434" t="n">
        <v>-8.109999999999999</v>
      </c>
    </row>
    <row r="435" hidden="1" s="154">
      <c r="A435" t="n">
        <v>2026</v>
      </c>
      <c r="B435" t="inlineStr">
        <is>
          <t>2026-01</t>
        </is>
      </c>
      <c r="C435" t="inlineStr">
        <is>
          <t>Dourados</t>
        </is>
      </c>
      <c r="D435" t="inlineStr">
        <is>
          <t>HYUNDAI</t>
        </is>
      </c>
      <c r="E435" t="inlineStr">
        <is>
          <t>EHH0044</t>
        </is>
      </c>
      <c r="F435" t="inlineStr">
        <is>
          <t>EKIPA LOCACOES E SERV G&amp;S</t>
        </is>
      </c>
      <c r="G435" t="inlineStr">
        <is>
          <t>G3S PRUDENTE</t>
        </is>
      </c>
      <c r="H435" t="inlineStr">
        <is>
          <t>7.1.2</t>
        </is>
      </c>
      <c r="I435" t="inlineStr">
        <is>
          <t>MANUTENÇÃO DE VEÍCULOS/MAQUINAS</t>
        </is>
      </c>
      <c r="J435" t="n">
        <v>48.05</v>
      </c>
      <c r="K435" t="n">
        <v>-48.05</v>
      </c>
    </row>
    <row r="436" hidden="1" s="154">
      <c r="A436" t="n">
        <v>2026</v>
      </c>
      <c r="B436" t="inlineStr">
        <is>
          <t>2026-02</t>
        </is>
      </c>
      <c r="C436" t="inlineStr">
        <is>
          <t>Dourados</t>
        </is>
      </c>
      <c r="D436" t="inlineStr">
        <is>
          <t>HYUNDAI</t>
        </is>
      </c>
      <c r="E436" t="inlineStr">
        <is>
          <t>EHH0044</t>
        </is>
      </c>
      <c r="F436" t="inlineStr">
        <is>
          <t>EKIPA LOCACOES E SERV G&amp;S</t>
        </is>
      </c>
      <c r="G436" t="inlineStr">
        <is>
          <t>G&amp;S PRUDENTE</t>
        </is>
      </c>
      <c r="H436" t="inlineStr">
        <is>
          <t>7.1.2</t>
        </is>
      </c>
      <c r="I436" t="inlineStr">
        <is>
          <t>MANUTENÇÃO DE VEÍCULOS/MAQUINAS</t>
        </is>
      </c>
      <c r="J436" t="n">
        <v>1270</v>
      </c>
      <c r="K436" t="n">
        <v>-1270</v>
      </c>
    </row>
    <row r="437" hidden="1" s="154">
      <c r="A437" t="n">
        <v>2026</v>
      </c>
      <c r="B437" t="inlineStr">
        <is>
          <t>2026-02</t>
        </is>
      </c>
      <c r="C437" t="inlineStr">
        <is>
          <t>Dourados</t>
        </is>
      </c>
      <c r="D437" t="inlineStr">
        <is>
          <t>HYUNDAI</t>
        </is>
      </c>
      <c r="E437" t="inlineStr">
        <is>
          <t>EHH0044</t>
        </is>
      </c>
      <c r="F437" t="inlineStr">
        <is>
          <t>EKIPA LOCACOES E SERV G&amp;S</t>
        </is>
      </c>
      <c r="G437" t="inlineStr">
        <is>
          <t>G&amp;S PRUDENTE</t>
        </is>
      </c>
      <c r="H437" t="inlineStr">
        <is>
          <t>7.1.2</t>
        </is>
      </c>
      <c r="I437" t="inlineStr">
        <is>
          <t>MANUTENÇÃO DE VEÍCULOS/MAQUINAS</t>
        </is>
      </c>
      <c r="J437" t="n">
        <v>1680</v>
      </c>
      <c r="K437" t="n">
        <v>-1680</v>
      </c>
    </row>
    <row r="438" hidden="1" s="154">
      <c r="A438" t="n">
        <v>2026</v>
      </c>
      <c r="B438" t="inlineStr">
        <is>
          <t>2026-02</t>
        </is>
      </c>
      <c r="C438" t="inlineStr">
        <is>
          <t>Dourados</t>
        </is>
      </c>
      <c r="D438" t="inlineStr">
        <is>
          <t>HYUNDAI</t>
        </is>
      </c>
      <c r="E438" t="inlineStr">
        <is>
          <t>EHH0044</t>
        </is>
      </c>
      <c r="F438" t="inlineStr">
        <is>
          <t>EKIPA LOCACOES E SERV G&amp;S</t>
        </is>
      </c>
      <c r="G438" t="inlineStr">
        <is>
          <t>G&amp;S PRUDENTE</t>
        </is>
      </c>
      <c r="H438" t="inlineStr">
        <is>
          <t>7.1.2</t>
        </is>
      </c>
      <c r="I438" t="inlineStr">
        <is>
          <t>MANUTENÇÃO DE VEÍCULOS/MAQUINAS</t>
        </is>
      </c>
      <c r="J438" t="n">
        <v>644</v>
      </c>
      <c r="K438" t="n">
        <v>-644</v>
      </c>
    </row>
    <row r="439" hidden="1" s="154">
      <c r="A439" t="n">
        <v>2026</v>
      </c>
      <c r="B439" t="inlineStr">
        <is>
          <t>2026-02</t>
        </is>
      </c>
      <c r="C439" t="inlineStr">
        <is>
          <t>Dourados</t>
        </is>
      </c>
      <c r="D439" t="inlineStr">
        <is>
          <t>HYUNDAI</t>
        </is>
      </c>
      <c r="E439" t="inlineStr">
        <is>
          <t>EHH0044</t>
        </is>
      </c>
      <c r="F439" t="inlineStr">
        <is>
          <t>EKIPA LOCACOES E SERV G&amp;S</t>
        </is>
      </c>
      <c r="G439" t="inlineStr">
        <is>
          <t>G&amp;S PRUDENTE</t>
        </is>
      </c>
      <c r="H439" t="inlineStr">
        <is>
          <t>7.1.2</t>
        </is>
      </c>
      <c r="I439" t="inlineStr">
        <is>
          <t>MANUTENÇÃO DE VEÍCULOS/MAQUINAS</t>
        </is>
      </c>
      <c r="J439" t="n">
        <v>880</v>
      </c>
      <c r="K439" t="n">
        <v>-880</v>
      </c>
    </row>
    <row r="440" hidden="1" s="154">
      <c r="A440" t="n">
        <v>2026</v>
      </c>
      <c r="B440" t="inlineStr">
        <is>
          <t>2026-02</t>
        </is>
      </c>
      <c r="C440" t="inlineStr">
        <is>
          <t>Dourados</t>
        </is>
      </c>
      <c r="D440" t="inlineStr">
        <is>
          <t>HYUNDAI</t>
        </is>
      </c>
      <c r="E440" t="inlineStr">
        <is>
          <t>EHH0044</t>
        </is>
      </c>
      <c r="F440" t="inlineStr">
        <is>
          <t>EKIPA LOCACOES E SERV G&amp;S</t>
        </is>
      </c>
      <c r="G440" t="inlineStr">
        <is>
          <t>G&amp;S PRUDENTE</t>
        </is>
      </c>
      <c r="H440" t="inlineStr">
        <is>
          <t>7.1.2</t>
        </is>
      </c>
      <c r="I440" t="inlineStr">
        <is>
          <t>MANUTENÇÃO DE VEÍCULOS/MAQUINAS</t>
        </is>
      </c>
      <c r="J440" t="n">
        <v>1580</v>
      </c>
      <c r="K440" t="n">
        <v>-1580</v>
      </c>
    </row>
    <row r="441" hidden="1" s="154">
      <c r="A441" t="n">
        <v>2026</v>
      </c>
      <c r="B441" t="inlineStr">
        <is>
          <t>2026-02</t>
        </is>
      </c>
      <c r="C441" t="inlineStr">
        <is>
          <t>Dourados</t>
        </is>
      </c>
      <c r="D441" t="inlineStr">
        <is>
          <t>HYUNDAI</t>
        </is>
      </c>
      <c r="E441" t="inlineStr">
        <is>
          <t>EHH0044</t>
        </is>
      </c>
      <c r="F441" t="inlineStr">
        <is>
          <t>EKIPA LOCACOES E SERV G&amp;S</t>
        </is>
      </c>
      <c r="G441" t="inlineStr">
        <is>
          <t>G&amp;S PRUDENTE</t>
        </is>
      </c>
      <c r="H441" t="inlineStr">
        <is>
          <t>7.1.2</t>
        </is>
      </c>
      <c r="I441" t="inlineStr">
        <is>
          <t>MANUTENÇÃO DE VEÍCULOS/MAQUINAS</t>
        </is>
      </c>
      <c r="J441" t="n">
        <v>86.56</v>
      </c>
      <c r="K441" t="n">
        <v>-86.56</v>
      </c>
    </row>
    <row r="442" hidden="1" s="154">
      <c r="A442" t="n">
        <v>2026</v>
      </c>
      <c r="B442" t="inlineStr">
        <is>
          <t>2026-02</t>
        </is>
      </c>
      <c r="C442" t="inlineStr">
        <is>
          <t>Dourados</t>
        </is>
      </c>
      <c r="D442" t="inlineStr">
        <is>
          <t>HYUNDAI</t>
        </is>
      </c>
      <c r="E442" t="inlineStr">
        <is>
          <t>EHH0044</t>
        </is>
      </c>
      <c r="F442" t="inlineStr">
        <is>
          <t>EKIPA LOCACOES E SERV G&amp;S</t>
        </is>
      </c>
      <c r="G442" t="inlineStr">
        <is>
          <t>G3S PRUDENTE</t>
        </is>
      </c>
      <c r="H442" t="inlineStr">
        <is>
          <t>7.1.2</t>
        </is>
      </c>
      <c r="I442" t="inlineStr">
        <is>
          <t>MANUTENÇÃO DE VEÍCULOS/MAQUINAS</t>
        </is>
      </c>
      <c r="J442" t="n">
        <v>25.65</v>
      </c>
      <c r="K442" t="n">
        <v>-25.65</v>
      </c>
    </row>
    <row r="443" hidden="1" s="154">
      <c r="A443" t="n">
        <v>2026</v>
      </c>
      <c r="B443" t="inlineStr">
        <is>
          <t>2026-02</t>
        </is>
      </c>
      <c r="C443" t="inlineStr">
        <is>
          <t>Dourados</t>
        </is>
      </c>
      <c r="D443" t="inlineStr">
        <is>
          <t>HYUNDAI</t>
        </is>
      </c>
      <c r="E443" t="inlineStr">
        <is>
          <t>EHH0044</t>
        </is>
      </c>
      <c r="F443" t="inlineStr">
        <is>
          <t>EKIPA LOCACOES E SERV G&amp;S</t>
        </is>
      </c>
      <c r="G443" t="inlineStr">
        <is>
          <t>G&amp;S PRUDENTE</t>
        </is>
      </c>
      <c r="H443" t="inlineStr">
        <is>
          <t>7.1.2</t>
        </is>
      </c>
      <c r="I443" t="inlineStr">
        <is>
          <t>MANUTENÇÃO DE VEÍCULOS/MAQUINAS</t>
        </is>
      </c>
      <c r="J443" t="n">
        <v>160.56</v>
      </c>
      <c r="K443" t="n">
        <v>-160.56</v>
      </c>
    </row>
    <row r="444" hidden="1" s="154">
      <c r="A444" t="n">
        <v>2026</v>
      </c>
      <c r="B444" t="inlineStr">
        <is>
          <t>2026-02</t>
        </is>
      </c>
      <c r="C444" t="inlineStr">
        <is>
          <t>Dourados</t>
        </is>
      </c>
      <c r="D444" t="inlineStr">
        <is>
          <t>HYUNDAI</t>
        </is>
      </c>
      <c r="E444" t="inlineStr">
        <is>
          <t>EHH0044</t>
        </is>
      </c>
      <c r="F444" t="inlineStr">
        <is>
          <t>EKIPA LOCACOES E SERV G&amp;S</t>
        </is>
      </c>
      <c r="G444" t="inlineStr">
        <is>
          <t>G&amp;S PRUDENTE</t>
        </is>
      </c>
      <c r="H444" t="inlineStr">
        <is>
          <t>7.1.2</t>
        </is>
      </c>
      <c r="I444" t="inlineStr">
        <is>
          <t>MANUTENÇÃO DE VEÍCULOS/MAQUINAS</t>
        </is>
      </c>
      <c r="J444" t="n">
        <v>1017</v>
      </c>
      <c r="K444" t="n">
        <v>-1017</v>
      </c>
    </row>
    <row r="445" hidden="1" s="154">
      <c r="A445" t="n">
        <v>2026</v>
      </c>
      <c r="B445" t="inlineStr">
        <is>
          <t>2026-02</t>
        </is>
      </c>
      <c r="C445" t="inlineStr">
        <is>
          <t>Dourados</t>
        </is>
      </c>
      <c r="D445" t="inlineStr">
        <is>
          <t>HYUNDAI</t>
        </is>
      </c>
      <c r="E445" t="inlineStr">
        <is>
          <t>EHH0044</t>
        </is>
      </c>
      <c r="F445" t="inlineStr">
        <is>
          <t>EKIPA LOCACOES E SERV G&amp;S</t>
        </is>
      </c>
      <c r="G445" t="inlineStr">
        <is>
          <t>G&amp;S PRUDENTE</t>
        </is>
      </c>
      <c r="H445" t="inlineStr">
        <is>
          <t>7.1.2</t>
        </is>
      </c>
      <c r="I445" t="inlineStr">
        <is>
          <t>MANUTENÇÃO DE VEÍCULOS/MAQUINAS</t>
        </is>
      </c>
      <c r="J445" t="n">
        <v>890</v>
      </c>
      <c r="K445" t="n">
        <v>-890</v>
      </c>
    </row>
    <row r="446" hidden="1" s="154">
      <c r="A446" t="n">
        <v>2026</v>
      </c>
      <c r="B446" t="inlineStr">
        <is>
          <t>2026-02</t>
        </is>
      </c>
      <c r="C446" t="inlineStr">
        <is>
          <t>Dourados</t>
        </is>
      </c>
      <c r="D446" t="inlineStr">
        <is>
          <t>HYUNDAI</t>
        </is>
      </c>
      <c r="E446" t="inlineStr">
        <is>
          <t>EHH0044</t>
        </is>
      </c>
      <c r="F446" t="inlineStr">
        <is>
          <t>EKIPA LOCACOES E SERV G&amp;S</t>
        </is>
      </c>
      <c r="G446" t="inlineStr">
        <is>
          <t>G&amp;S PRUDENTE</t>
        </is>
      </c>
      <c r="H446" t="inlineStr">
        <is>
          <t>7.1.2</t>
        </is>
      </c>
      <c r="I446" t="inlineStr">
        <is>
          <t>MANUTENÇÃO DE VEÍCULOS/MAQUINAS</t>
        </is>
      </c>
      <c r="J446" t="n">
        <v>360</v>
      </c>
      <c r="K446" t="n">
        <v>-360</v>
      </c>
    </row>
    <row r="447" hidden="1" s="154">
      <c r="A447" t="n">
        <v>2026</v>
      </c>
      <c r="B447" t="inlineStr">
        <is>
          <t>2026-03</t>
        </is>
      </c>
      <c r="C447" t="inlineStr">
        <is>
          <t>Dourados</t>
        </is>
      </c>
      <c r="D447" t="inlineStr">
        <is>
          <t>HYUNDAI</t>
        </is>
      </c>
      <c r="E447" t="inlineStr">
        <is>
          <t>EHH0044</t>
        </is>
      </c>
      <c r="F447" t="inlineStr">
        <is>
          <t>EKIPA LOCACOES E SERV G&amp;S</t>
        </is>
      </c>
      <c r="G447" t="inlineStr">
        <is>
          <t>G3S CAMPO GRANDE</t>
        </is>
      </c>
      <c r="H447" t="inlineStr">
        <is>
          <t>7.1.1</t>
        </is>
      </c>
      <c r="I447" t="inlineStr">
        <is>
          <t>PEÇAS DE MANUTENÇÃO</t>
        </is>
      </c>
      <c r="J447" t="n">
        <v>41.06</v>
      </c>
      <c r="K447" t="n">
        <v>-41.06</v>
      </c>
    </row>
    <row r="448" hidden="1" s="154">
      <c r="A448" t="n">
        <v>2026</v>
      </c>
      <c r="B448" t="inlineStr">
        <is>
          <t>2026-03</t>
        </is>
      </c>
      <c r="C448" t="inlineStr">
        <is>
          <t>Dourados</t>
        </is>
      </c>
      <c r="D448" t="inlineStr">
        <is>
          <t>HYUNDAI</t>
        </is>
      </c>
      <c r="E448" t="inlineStr">
        <is>
          <t>EHH0044</t>
        </is>
      </c>
      <c r="F448" t="inlineStr">
        <is>
          <t>EKIPA LOCACOES E SERV G&amp;S</t>
        </is>
      </c>
      <c r="G448" t="inlineStr">
        <is>
          <t>G&amp;S PRUDENTE</t>
        </is>
      </c>
      <c r="H448" t="inlineStr">
        <is>
          <t>7.1.2</t>
        </is>
      </c>
      <c r="I448" t="inlineStr">
        <is>
          <t>MANUTENÇÃO DE VEÍCULOS/MAQUINAS</t>
        </is>
      </c>
      <c r="J448" t="n">
        <v>2475</v>
      </c>
      <c r="K448" t="n">
        <v>-2475</v>
      </c>
    </row>
    <row r="449" hidden="1" s="154">
      <c r="A449" t="n">
        <v>2026</v>
      </c>
      <c r="B449" t="inlineStr">
        <is>
          <t>2026-03</t>
        </is>
      </c>
      <c r="C449" t="inlineStr">
        <is>
          <t>Dourados</t>
        </is>
      </c>
      <c r="D449" t="inlineStr">
        <is>
          <t>HYUNDAI</t>
        </is>
      </c>
      <c r="E449" t="inlineStr">
        <is>
          <t>EHH0044</t>
        </is>
      </c>
      <c r="F449" t="inlineStr">
        <is>
          <t>EKIPA LOCACOES E SERV G&amp;S</t>
        </is>
      </c>
      <c r="G449" t="inlineStr">
        <is>
          <t>G&amp;S PRUDENTE</t>
        </is>
      </c>
      <c r="H449" t="inlineStr">
        <is>
          <t>7.1.2</t>
        </is>
      </c>
      <c r="I449" t="inlineStr">
        <is>
          <t>MANUTENÇÃO DE VEÍCULOS/MAQUINAS</t>
        </is>
      </c>
      <c r="J449" t="n">
        <v>2475</v>
      </c>
      <c r="K449" t="n">
        <v>-2475</v>
      </c>
    </row>
    <row r="450" hidden="1" s="154">
      <c r="A450" t="n">
        <v>2026</v>
      </c>
      <c r="B450" t="inlineStr">
        <is>
          <t>2026-03</t>
        </is>
      </c>
      <c r="C450" t="inlineStr">
        <is>
          <t>Dourados</t>
        </is>
      </c>
      <c r="D450" t="inlineStr">
        <is>
          <t>HYUNDAI</t>
        </is>
      </c>
      <c r="E450" t="inlineStr">
        <is>
          <t>EHH0044</t>
        </is>
      </c>
      <c r="F450" t="inlineStr">
        <is>
          <t>EKIPA LOCACOES E SERV G&amp;S</t>
        </is>
      </c>
      <c r="G450" t="inlineStr">
        <is>
          <t>G&amp;S PRUDENTE</t>
        </is>
      </c>
      <c r="H450" t="inlineStr">
        <is>
          <t>7.1.2</t>
        </is>
      </c>
      <c r="I450" t="inlineStr">
        <is>
          <t>MANUTENÇÃO DE VEÍCULOS/MAQUINAS</t>
        </is>
      </c>
      <c r="J450" t="n">
        <v>1520</v>
      </c>
      <c r="K450" t="n">
        <v>-1520</v>
      </c>
    </row>
    <row r="451" hidden="1" s="154">
      <c r="A451" t="n">
        <v>2025</v>
      </c>
      <c r="B451" t="inlineStr">
        <is>
          <t>2025-06</t>
        </is>
      </c>
      <c r="C451" t="inlineStr">
        <is>
          <t>Dourados</t>
        </is>
      </c>
      <c r="D451" t="inlineStr">
        <is>
          <t>LIEBHERR</t>
        </is>
      </c>
      <c r="E451" t="inlineStr">
        <is>
          <t>EHL0042</t>
        </is>
      </c>
      <c r="F451" t="inlineStr">
        <is>
          <t>SELETIVA</t>
        </is>
      </c>
      <c r="G451" t="inlineStr">
        <is>
          <t>CTA</t>
        </is>
      </c>
      <c r="H451" t="inlineStr">
        <is>
          <t>7.1.22</t>
        </is>
      </c>
      <c r="I451" t="inlineStr">
        <is>
          <t>COMBUSTÍVEL - DIESEL (INTERNO)</t>
        </is>
      </c>
      <c r="J451" t="n">
        <v>1664.79</v>
      </c>
      <c r="K451" t="n">
        <v>-1664.79</v>
      </c>
    </row>
    <row r="452" hidden="1" s="154">
      <c r="A452" t="n">
        <v>2025</v>
      </c>
      <c r="B452" t="inlineStr">
        <is>
          <t>2025-07</t>
        </is>
      </c>
      <c r="C452" t="inlineStr">
        <is>
          <t>Dourados</t>
        </is>
      </c>
      <c r="D452" t="inlineStr">
        <is>
          <t>LIEBHERR</t>
        </is>
      </c>
      <c r="E452" t="inlineStr">
        <is>
          <t>EHL0042</t>
        </is>
      </c>
      <c r="F452" t="inlineStr">
        <is>
          <t>SELETIVA</t>
        </is>
      </c>
      <c r="G452" t="inlineStr">
        <is>
          <t>G3S PRUDENTE</t>
        </is>
      </c>
      <c r="H452" t="inlineStr">
        <is>
          <t>7.1.18</t>
        </is>
      </c>
      <c r="I452" t="inlineStr">
        <is>
          <t>FRETES E CARRETOS</t>
        </is>
      </c>
      <c r="J452" t="n">
        <v>58.97</v>
      </c>
      <c r="K452" t="n">
        <v>-58.97</v>
      </c>
    </row>
    <row r="453" hidden="1" s="154">
      <c r="A453" t="n">
        <v>2025</v>
      </c>
      <c r="B453" t="inlineStr">
        <is>
          <t>2025-07</t>
        </is>
      </c>
      <c r="C453" t="inlineStr">
        <is>
          <t>Dourados</t>
        </is>
      </c>
      <c r="D453" t="inlineStr">
        <is>
          <t>LIEBHERR</t>
        </is>
      </c>
      <c r="E453" t="inlineStr">
        <is>
          <t>EHL0042</t>
        </is>
      </c>
      <c r="F453" t="inlineStr">
        <is>
          <t>SELETIVA</t>
        </is>
      </c>
      <c r="G453" t="inlineStr">
        <is>
          <t>G&amp;S PRUDENTE</t>
        </is>
      </c>
      <c r="H453" t="inlineStr">
        <is>
          <t>7.1.2</t>
        </is>
      </c>
      <c r="I453" t="inlineStr">
        <is>
          <t>MANUTENÇÃO DE VEÍCULOS/MAQUINAS</t>
        </is>
      </c>
      <c r="J453" t="n">
        <v>1491</v>
      </c>
      <c r="K453" t="n">
        <v>-1491</v>
      </c>
    </row>
    <row r="454" hidden="1" s="154">
      <c r="A454" t="n">
        <v>2025</v>
      </c>
      <c r="B454" t="inlineStr">
        <is>
          <t>2025-07</t>
        </is>
      </c>
      <c r="C454" t="inlineStr">
        <is>
          <t>Dourados</t>
        </is>
      </c>
      <c r="D454" t="inlineStr">
        <is>
          <t>LIEBHERR</t>
        </is>
      </c>
      <c r="E454" t="inlineStr">
        <is>
          <t>EHL0042</t>
        </is>
      </c>
      <c r="F454" t="inlineStr">
        <is>
          <t>SELETIVA</t>
        </is>
      </c>
      <c r="G454" t="inlineStr">
        <is>
          <t>G&amp;S PRUDENTE</t>
        </is>
      </c>
      <c r="H454" t="inlineStr">
        <is>
          <t>7.1.2</t>
        </is>
      </c>
      <c r="I454" t="inlineStr">
        <is>
          <t>MANUTENÇÃO DE VEÍCULOS/MAQUINAS</t>
        </is>
      </c>
      <c r="J454" t="n">
        <v>670.04</v>
      </c>
      <c r="K454" t="n">
        <v>-670.04</v>
      </c>
    </row>
    <row r="455" hidden="1" s="154">
      <c r="A455" t="n">
        <v>2025</v>
      </c>
      <c r="B455" t="inlineStr">
        <is>
          <t>2025-07</t>
        </is>
      </c>
      <c r="C455" t="inlineStr">
        <is>
          <t>Dourados</t>
        </is>
      </c>
      <c r="D455" t="inlineStr">
        <is>
          <t>LIEBHERR</t>
        </is>
      </c>
      <c r="E455" t="inlineStr">
        <is>
          <t>EHL0042</t>
        </is>
      </c>
      <c r="F455" t="inlineStr">
        <is>
          <t>SELETIVA</t>
        </is>
      </c>
      <c r="G455" t="inlineStr">
        <is>
          <t>CTA</t>
        </is>
      </c>
      <c r="H455" t="inlineStr">
        <is>
          <t>7.1.22</t>
        </is>
      </c>
      <c r="I455" t="inlineStr">
        <is>
          <t>COMBUSTÍVEL - DIESEL (INTERNO)</t>
        </is>
      </c>
      <c r="J455" t="n">
        <v>3346.55</v>
      </c>
      <c r="K455" t="n">
        <v>-3346.55</v>
      </c>
    </row>
    <row r="456" hidden="1" s="154">
      <c r="A456" t="n">
        <v>2025</v>
      </c>
      <c r="B456" t="inlineStr">
        <is>
          <t>2025-08</t>
        </is>
      </c>
      <c r="C456" t="inlineStr">
        <is>
          <t>Dourados</t>
        </is>
      </c>
      <c r="D456" t="inlineStr">
        <is>
          <t>LIEBHERR</t>
        </is>
      </c>
      <c r="E456" t="inlineStr">
        <is>
          <t>EHL0042</t>
        </is>
      </c>
      <c r="F456" t="inlineStr">
        <is>
          <t>SELETIVA</t>
        </is>
      </c>
      <c r="G456" t="inlineStr">
        <is>
          <t>CTA</t>
        </is>
      </c>
      <c r="H456" t="inlineStr">
        <is>
          <t>7.1.22</t>
        </is>
      </c>
      <c r="I456" t="inlineStr">
        <is>
          <t>COMBUSTÍVEL - DIESEL (INTERNO)</t>
        </is>
      </c>
      <c r="J456" t="n">
        <v>6520.91</v>
      </c>
      <c r="K456" t="n">
        <v>-6520.91</v>
      </c>
    </row>
    <row r="457" hidden="1" s="154">
      <c r="A457" t="n">
        <v>2025</v>
      </c>
      <c r="B457" t="inlineStr">
        <is>
          <t>2025-09</t>
        </is>
      </c>
      <c r="C457" t="inlineStr">
        <is>
          <t>Dourados</t>
        </is>
      </c>
      <c r="D457" t="inlineStr">
        <is>
          <t>LIEBHERR</t>
        </is>
      </c>
      <c r="E457" t="inlineStr">
        <is>
          <t>EHL0042</t>
        </is>
      </c>
      <c r="F457" t="inlineStr">
        <is>
          <t>SELETIVA</t>
        </is>
      </c>
      <c r="G457" t="inlineStr">
        <is>
          <t>CTA</t>
        </is>
      </c>
      <c r="H457" t="inlineStr">
        <is>
          <t>7.1.22</t>
        </is>
      </c>
      <c r="I457" t="inlineStr">
        <is>
          <t>COMBUSTÍVEL - DIESEL (INTERNO)</t>
        </is>
      </c>
      <c r="J457" t="n">
        <v>5009.63</v>
      </c>
      <c r="K457" t="n">
        <v>-5009.63</v>
      </c>
    </row>
    <row r="458" hidden="1" s="154">
      <c r="A458" t="n">
        <v>2025</v>
      </c>
      <c r="B458" t="inlineStr">
        <is>
          <t>2025-10</t>
        </is>
      </c>
      <c r="C458" t="inlineStr">
        <is>
          <t>Dourados</t>
        </is>
      </c>
      <c r="D458" t="inlineStr">
        <is>
          <t>LIEBHERR</t>
        </is>
      </c>
      <c r="E458" t="inlineStr">
        <is>
          <t>EHL0042</t>
        </is>
      </c>
      <c r="F458" t="inlineStr">
        <is>
          <t>SELETIVA</t>
        </is>
      </c>
      <c r="G458" t="inlineStr">
        <is>
          <t>G&amp;S DOURADOS</t>
        </is>
      </c>
      <c r="H458" t="inlineStr">
        <is>
          <t>7.1.18</t>
        </is>
      </c>
      <c r="I458" t="inlineStr">
        <is>
          <t>FRETES E CARRETOS</t>
        </is>
      </c>
      <c r="J458" t="n">
        <v>274.32</v>
      </c>
      <c r="K458" t="n">
        <v>-274.32</v>
      </c>
    </row>
    <row r="459" hidden="1" s="154">
      <c r="A459" t="n">
        <v>2025</v>
      </c>
      <c r="B459" t="inlineStr">
        <is>
          <t>2025-10</t>
        </is>
      </c>
      <c r="C459" t="inlineStr">
        <is>
          <t>Dourados</t>
        </is>
      </c>
      <c r="D459" t="inlineStr">
        <is>
          <t>LIEBHERR</t>
        </is>
      </c>
      <c r="E459" t="inlineStr">
        <is>
          <t>EHL0042</t>
        </is>
      </c>
      <c r="F459" t="inlineStr">
        <is>
          <t>SELETIVA</t>
        </is>
      </c>
      <c r="G459" t="inlineStr">
        <is>
          <t>G&amp;S DOURADOS</t>
        </is>
      </c>
      <c r="H459" t="inlineStr">
        <is>
          <t>7.1.2</t>
        </is>
      </c>
      <c r="I459" t="inlineStr">
        <is>
          <t>MANUTENÇÃO DE VEÍCULOS/MAQUINAS</t>
        </is>
      </c>
      <c r="J459" t="n">
        <v>5880.32</v>
      </c>
      <c r="K459" t="n">
        <v>-5880.32</v>
      </c>
    </row>
    <row r="460" hidden="1" s="154">
      <c r="A460" t="n">
        <v>2025</v>
      </c>
      <c r="B460" t="inlineStr">
        <is>
          <t>2025-10</t>
        </is>
      </c>
      <c r="C460" t="inlineStr">
        <is>
          <t>Dourados</t>
        </is>
      </c>
      <c r="D460" t="inlineStr">
        <is>
          <t>LIEBHERR</t>
        </is>
      </c>
      <c r="E460" t="inlineStr">
        <is>
          <t>EHL0042</t>
        </is>
      </c>
      <c r="F460" t="inlineStr">
        <is>
          <t>SELETIVA</t>
        </is>
      </c>
      <c r="G460" t="inlineStr">
        <is>
          <t>CTA</t>
        </is>
      </c>
      <c r="H460" t="inlineStr">
        <is>
          <t>7.1.22</t>
        </is>
      </c>
      <c r="I460" t="inlineStr">
        <is>
          <t>COMBUSTÍVEL - DIESEL (INTERNO)</t>
        </is>
      </c>
      <c r="J460" t="n">
        <v>3362.65</v>
      </c>
      <c r="K460" t="n">
        <v>-3362.65</v>
      </c>
    </row>
    <row r="461" hidden="1" s="154">
      <c r="A461" t="n">
        <v>2025</v>
      </c>
      <c r="B461" t="inlineStr">
        <is>
          <t>2025-11</t>
        </is>
      </c>
      <c r="C461" t="inlineStr">
        <is>
          <t>Dourados</t>
        </is>
      </c>
      <c r="D461" t="inlineStr">
        <is>
          <t>LIEBHERR</t>
        </is>
      </c>
      <c r="E461" t="inlineStr">
        <is>
          <t>EHL0042</t>
        </is>
      </c>
      <c r="F461" t="inlineStr">
        <is>
          <t>SELETIVA</t>
        </is>
      </c>
      <c r="G461" t="inlineStr">
        <is>
          <t>G&amp;S DOURADOS</t>
        </is>
      </c>
      <c r="H461" t="inlineStr">
        <is>
          <t>7.1.18</t>
        </is>
      </c>
      <c r="I461" t="inlineStr">
        <is>
          <t>FRETES E CARRETOS</t>
        </is>
      </c>
      <c r="J461" t="n">
        <v>524.5700000000001</v>
      </c>
      <c r="K461" t="n">
        <v>-524.5700000000001</v>
      </c>
    </row>
    <row r="462" hidden="1" s="154">
      <c r="A462" t="n">
        <v>2025</v>
      </c>
      <c r="B462" t="inlineStr">
        <is>
          <t>2025-11</t>
        </is>
      </c>
      <c r="C462" t="inlineStr">
        <is>
          <t>Dourados</t>
        </is>
      </c>
      <c r="D462" t="inlineStr">
        <is>
          <t>LIEBHERR</t>
        </is>
      </c>
      <c r="E462" t="inlineStr">
        <is>
          <t>EHL0042</t>
        </is>
      </c>
      <c r="F462" t="inlineStr">
        <is>
          <t>SELETIVA</t>
        </is>
      </c>
      <c r="G462" t="inlineStr">
        <is>
          <t>G&amp;S DOURADOS</t>
        </is>
      </c>
      <c r="H462" t="inlineStr">
        <is>
          <t>7.1.2</t>
        </is>
      </c>
      <c r="I462" t="inlineStr">
        <is>
          <t>MANUTENÇÃO DE VEÍCULOS/MAQUINAS</t>
        </is>
      </c>
      <c r="J462" t="n">
        <v>29388.65</v>
      </c>
      <c r="K462" t="n">
        <v>-29388.65</v>
      </c>
    </row>
    <row r="463" hidden="1" s="154">
      <c r="A463" t="n">
        <v>2025</v>
      </c>
      <c r="B463" t="inlineStr">
        <is>
          <t>2025-11</t>
        </is>
      </c>
      <c r="C463" t="inlineStr">
        <is>
          <t>Dourados</t>
        </is>
      </c>
      <c r="D463" t="inlineStr">
        <is>
          <t>LIEBHERR</t>
        </is>
      </c>
      <c r="E463" t="inlineStr">
        <is>
          <t>EHL0042</t>
        </is>
      </c>
      <c r="F463" t="inlineStr">
        <is>
          <t>SELETIVA</t>
        </is>
      </c>
      <c r="G463" t="inlineStr">
        <is>
          <t>G&amp;S PRUDENTE</t>
        </is>
      </c>
      <c r="H463" t="inlineStr">
        <is>
          <t>7.1.2</t>
        </is>
      </c>
      <c r="I463" t="inlineStr">
        <is>
          <t>MANUTENÇÃO DE VEÍCULOS/MAQUINAS</t>
        </is>
      </c>
      <c r="J463" t="n">
        <v>381.46</v>
      </c>
      <c r="K463" t="n">
        <v>-381.46</v>
      </c>
    </row>
    <row r="464" hidden="1" s="154">
      <c r="A464" t="n">
        <v>2025</v>
      </c>
      <c r="B464" t="inlineStr">
        <is>
          <t>2025-11</t>
        </is>
      </c>
      <c r="C464" t="inlineStr">
        <is>
          <t>Dourados</t>
        </is>
      </c>
      <c r="D464" t="inlineStr">
        <is>
          <t>LIEBHERR</t>
        </is>
      </c>
      <c r="E464" t="inlineStr">
        <is>
          <t>EHL0042</t>
        </is>
      </c>
      <c r="F464" t="inlineStr">
        <is>
          <t>SELETIVA</t>
        </is>
      </c>
      <c r="G464" t="inlineStr">
        <is>
          <t>G&amp;S PRUDENTE</t>
        </is>
      </c>
      <c r="H464" t="inlineStr">
        <is>
          <t>7.1.2</t>
        </is>
      </c>
      <c r="I464" t="inlineStr">
        <is>
          <t>MANUTENÇÃO DE VEÍCULOS/MAQUINAS</t>
        </is>
      </c>
      <c r="J464" t="n">
        <v>1720.69</v>
      </c>
      <c r="K464" t="n">
        <v>-1720.69</v>
      </c>
    </row>
    <row r="465" hidden="1" s="154">
      <c r="A465" t="n">
        <v>2025</v>
      </c>
      <c r="B465" t="inlineStr">
        <is>
          <t>2025-11</t>
        </is>
      </c>
      <c r="C465" t="inlineStr">
        <is>
          <t>Dourados</t>
        </is>
      </c>
      <c r="D465" t="inlineStr">
        <is>
          <t>LIEBHERR</t>
        </is>
      </c>
      <c r="E465" t="inlineStr">
        <is>
          <t>EHL0042</t>
        </is>
      </c>
      <c r="F465" t="inlineStr">
        <is>
          <t>SELETIVA</t>
        </is>
      </c>
      <c r="G465" t="inlineStr">
        <is>
          <t>CTA</t>
        </is>
      </c>
      <c r="H465" t="inlineStr">
        <is>
          <t>7.1.22</t>
        </is>
      </c>
      <c r="I465" t="inlineStr">
        <is>
          <t>COMBUSTÍVEL - DIESEL (INTERNO)</t>
        </is>
      </c>
      <c r="J465" t="n">
        <v>847.48</v>
      </c>
      <c r="K465" t="n">
        <v>-847.48</v>
      </c>
    </row>
    <row r="466" hidden="1" s="154">
      <c r="A466" t="n">
        <v>2025</v>
      </c>
      <c r="B466" t="inlineStr">
        <is>
          <t>2025-12</t>
        </is>
      </c>
      <c r="C466" t="inlineStr">
        <is>
          <t>Dourados</t>
        </is>
      </c>
      <c r="D466" t="inlineStr">
        <is>
          <t>LIEBHERR</t>
        </is>
      </c>
      <c r="E466" t="inlineStr">
        <is>
          <t>EHL0042</t>
        </is>
      </c>
      <c r="F466" t="inlineStr">
        <is>
          <t>SELETIVA</t>
        </is>
      </c>
      <c r="G466" t="inlineStr">
        <is>
          <t>G&amp;S PRUDENTE</t>
        </is>
      </c>
      <c r="H466" t="inlineStr">
        <is>
          <t>7.1.2</t>
        </is>
      </c>
      <c r="I466" t="inlineStr">
        <is>
          <t>MANUTENÇÃO DE VEÍCULOS/MAQUINAS</t>
        </is>
      </c>
      <c r="J466" t="n">
        <v>9761.530000000001</v>
      </c>
      <c r="K466" t="n">
        <v>-9761.530000000001</v>
      </c>
    </row>
    <row r="467" hidden="1" s="154">
      <c r="A467" t="n">
        <v>2025</v>
      </c>
      <c r="B467" t="inlineStr">
        <is>
          <t>2025-12</t>
        </is>
      </c>
      <c r="C467" t="inlineStr">
        <is>
          <t>Dourados</t>
        </is>
      </c>
      <c r="D467" t="inlineStr">
        <is>
          <t>LIEBHERR</t>
        </is>
      </c>
      <c r="E467" t="inlineStr">
        <is>
          <t>EHL0042</t>
        </is>
      </c>
      <c r="F467" t="inlineStr">
        <is>
          <t>SELETIVA</t>
        </is>
      </c>
      <c r="G467" t="inlineStr">
        <is>
          <t>G&amp;S DOURADOS</t>
        </is>
      </c>
      <c r="H467" t="inlineStr">
        <is>
          <t>7.1.2</t>
        </is>
      </c>
      <c r="I467" t="inlineStr">
        <is>
          <t>MANUTENÇÃO DE VEÍCULOS/MAQUINAS</t>
        </is>
      </c>
      <c r="J467" t="n">
        <v>2383.66</v>
      </c>
      <c r="K467" t="n">
        <v>-2383.66</v>
      </c>
    </row>
    <row r="468" hidden="1" s="154">
      <c r="A468" t="n">
        <v>2025</v>
      </c>
      <c r="B468" t="inlineStr">
        <is>
          <t>2025-12</t>
        </is>
      </c>
      <c r="C468" t="inlineStr">
        <is>
          <t>Dourados</t>
        </is>
      </c>
      <c r="D468" t="inlineStr">
        <is>
          <t>LIEBHERR</t>
        </is>
      </c>
      <c r="E468" t="inlineStr">
        <is>
          <t>EHL0042</t>
        </is>
      </c>
      <c r="F468" t="inlineStr">
        <is>
          <t>SELETIVA</t>
        </is>
      </c>
      <c r="G468" t="inlineStr">
        <is>
          <t>G&amp;S DOURADOS</t>
        </is>
      </c>
      <c r="H468" t="inlineStr">
        <is>
          <t>7.1.18</t>
        </is>
      </c>
      <c r="I468" t="inlineStr">
        <is>
          <t>FRETES E CARRETOS</t>
        </is>
      </c>
      <c r="J468" t="n">
        <v>201.48</v>
      </c>
      <c r="K468" t="n">
        <v>-201.48</v>
      </c>
    </row>
    <row r="469" hidden="1" s="154">
      <c r="A469" t="n">
        <v>2025</v>
      </c>
      <c r="B469" t="inlineStr">
        <is>
          <t>2025-12</t>
        </is>
      </c>
      <c r="C469" t="inlineStr">
        <is>
          <t>Dourados</t>
        </is>
      </c>
      <c r="D469" t="inlineStr">
        <is>
          <t>LIEBHERR</t>
        </is>
      </c>
      <c r="E469" t="inlineStr">
        <is>
          <t>EHL0042</t>
        </is>
      </c>
      <c r="F469" t="inlineStr">
        <is>
          <t>SELETIVA</t>
        </is>
      </c>
      <c r="G469" t="inlineStr">
        <is>
          <t>CTA</t>
        </is>
      </c>
      <c r="H469" t="inlineStr">
        <is>
          <t>7.1.22</t>
        </is>
      </c>
      <c r="I469" t="inlineStr">
        <is>
          <t>COMBUSTÍVEL - DIESEL (INTERNO)</t>
        </is>
      </c>
      <c r="J469" t="n">
        <v>1660.05</v>
      </c>
      <c r="K469" t="n">
        <v>-1660.05</v>
      </c>
    </row>
    <row r="470" hidden="1" s="154">
      <c r="A470" t="n">
        <v>2026</v>
      </c>
      <c r="B470" t="inlineStr">
        <is>
          <t>2026-01</t>
        </is>
      </c>
      <c r="C470" t="inlineStr">
        <is>
          <t>Dourados</t>
        </is>
      </c>
      <c r="D470" t="inlineStr">
        <is>
          <t>LIEBHERR</t>
        </is>
      </c>
      <c r="E470" t="inlineStr">
        <is>
          <t>EHL0042</t>
        </is>
      </c>
      <c r="F470" t="inlineStr">
        <is>
          <t>SELETIVA</t>
        </is>
      </c>
      <c r="G470" t="inlineStr">
        <is>
          <t>G&amp;S PRUDENTE</t>
        </is>
      </c>
      <c r="H470" t="inlineStr">
        <is>
          <t>7.1.2</t>
        </is>
      </c>
      <c r="I470" t="inlineStr">
        <is>
          <t>MANUTENÇÃO DE VEÍCULOS/MAQUINAS</t>
        </is>
      </c>
      <c r="J470" t="n">
        <v>1988</v>
      </c>
      <c r="K470" t="n">
        <v>-1988</v>
      </c>
    </row>
    <row r="471" hidden="1" s="154">
      <c r="A471" t="n">
        <v>2026</v>
      </c>
      <c r="B471" t="inlineStr">
        <is>
          <t>2026-01</t>
        </is>
      </c>
      <c r="C471" t="inlineStr">
        <is>
          <t>Dourados</t>
        </is>
      </c>
      <c r="D471" t="inlineStr">
        <is>
          <t>LIEBHERR</t>
        </is>
      </c>
      <c r="E471" t="inlineStr">
        <is>
          <t>EHL0042</t>
        </is>
      </c>
      <c r="F471" t="inlineStr">
        <is>
          <t>SELETIVA</t>
        </is>
      </c>
      <c r="G471" t="inlineStr">
        <is>
          <t>G&amp;S PRUDENTE</t>
        </is>
      </c>
      <c r="H471" t="inlineStr">
        <is>
          <t>7.1.18</t>
        </is>
      </c>
      <c r="I471" t="inlineStr">
        <is>
          <t>FRETES E CARRETOS</t>
        </is>
      </c>
      <c r="J471" t="n">
        <v>68.59999999999999</v>
      </c>
      <c r="K471" t="n">
        <v>-68.59999999999999</v>
      </c>
    </row>
    <row r="472" hidden="1" s="154">
      <c r="A472" t="n">
        <v>2026</v>
      </c>
      <c r="B472" t="inlineStr">
        <is>
          <t>2026-02</t>
        </is>
      </c>
      <c r="C472" t="inlineStr">
        <is>
          <t>Dourados</t>
        </is>
      </c>
      <c r="D472" t="inlineStr">
        <is>
          <t>LIEBHERR</t>
        </is>
      </c>
      <c r="E472" t="inlineStr">
        <is>
          <t>EHL0042</t>
        </is>
      </c>
      <c r="F472" t="inlineStr">
        <is>
          <t>SELETIVA</t>
        </is>
      </c>
      <c r="G472" t="inlineStr">
        <is>
          <t>G&amp;S DOURADOS</t>
        </is>
      </c>
      <c r="H472" t="inlineStr">
        <is>
          <t>7.1.2</t>
        </is>
      </c>
      <c r="I472" t="inlineStr">
        <is>
          <t>MANUTENÇÃO DE VEÍCULOS/MAQUINAS</t>
        </is>
      </c>
      <c r="J472" t="n">
        <v>86.83</v>
      </c>
      <c r="K472" t="n">
        <v>-86.83</v>
      </c>
    </row>
    <row r="473" hidden="1" s="154">
      <c r="A473" t="n">
        <v>2026</v>
      </c>
      <c r="B473" t="inlineStr">
        <is>
          <t>2026-02</t>
        </is>
      </c>
      <c r="C473" t="inlineStr">
        <is>
          <t>Dourados</t>
        </is>
      </c>
      <c r="D473" t="inlineStr">
        <is>
          <t>LIEBHERR</t>
        </is>
      </c>
      <c r="E473" t="inlineStr">
        <is>
          <t>EHL0042</t>
        </is>
      </c>
      <c r="F473" t="inlineStr">
        <is>
          <t>SELETIVA</t>
        </is>
      </c>
      <c r="G473" t="inlineStr">
        <is>
          <t>G&amp;S DOURADOS</t>
        </is>
      </c>
      <c r="H473" t="inlineStr">
        <is>
          <t>7.1.2</t>
        </is>
      </c>
      <c r="I473" t="inlineStr">
        <is>
          <t>MANUTENÇÃO DE VEÍCULOS/MAQUINAS</t>
        </is>
      </c>
      <c r="J473" t="n">
        <v>735.46</v>
      </c>
      <c r="K473" t="n">
        <v>-735.46</v>
      </c>
    </row>
    <row r="474" hidden="1" s="154">
      <c r="A474" t="n">
        <v>2026</v>
      </c>
      <c r="B474" t="inlineStr">
        <is>
          <t>2026-02</t>
        </is>
      </c>
      <c r="C474" t="inlineStr">
        <is>
          <t>Dourados</t>
        </is>
      </c>
      <c r="D474" t="inlineStr">
        <is>
          <t>LIEBHERR</t>
        </is>
      </c>
      <c r="E474" t="inlineStr">
        <is>
          <t>EHL0042</t>
        </is>
      </c>
      <c r="F474" t="inlineStr">
        <is>
          <t>SELETIVA</t>
        </is>
      </c>
      <c r="G474" t="inlineStr">
        <is>
          <t>G&amp;S DOURADOS</t>
        </is>
      </c>
      <c r="H474" t="inlineStr">
        <is>
          <t>7.1.2</t>
        </is>
      </c>
      <c r="I474" t="inlineStr">
        <is>
          <t>MANUTENÇÃO DE VEÍCULOS/MAQUINAS</t>
        </is>
      </c>
      <c r="J474" t="n">
        <v>171.42</v>
      </c>
      <c r="K474" t="n">
        <v>-171.42</v>
      </c>
    </row>
    <row r="475" hidden="1" s="154">
      <c r="A475" t="n">
        <v>2026</v>
      </c>
      <c r="B475" t="inlineStr">
        <is>
          <t>2026-02</t>
        </is>
      </c>
      <c r="C475" t="inlineStr">
        <is>
          <t>Dourados</t>
        </is>
      </c>
      <c r="D475" t="inlineStr">
        <is>
          <t>LIEBHERR</t>
        </is>
      </c>
      <c r="E475" t="inlineStr">
        <is>
          <t>EHL0042</t>
        </is>
      </c>
      <c r="F475" t="inlineStr">
        <is>
          <t>SELETIVA</t>
        </is>
      </c>
      <c r="G475" t="inlineStr">
        <is>
          <t>G&amp;S DOURADOS</t>
        </is>
      </c>
      <c r="H475" t="inlineStr">
        <is>
          <t>7.1.2</t>
        </is>
      </c>
      <c r="I475" t="inlineStr">
        <is>
          <t>MANUTENÇÃO DE VEÍCULOS/MAQUINAS</t>
        </is>
      </c>
      <c r="J475" t="n">
        <v>540.51</v>
      </c>
      <c r="K475" t="n">
        <v>-540.51</v>
      </c>
    </row>
    <row r="476" hidden="1" s="154">
      <c r="A476" t="n">
        <v>2026</v>
      </c>
      <c r="B476" t="inlineStr">
        <is>
          <t>2026-02</t>
        </is>
      </c>
      <c r="C476" t="inlineStr">
        <is>
          <t>Dourados</t>
        </is>
      </c>
      <c r="D476" t="inlineStr">
        <is>
          <t>LIEBHERR</t>
        </is>
      </c>
      <c r="E476" t="inlineStr">
        <is>
          <t>EHL0042</t>
        </is>
      </c>
      <c r="F476" t="inlineStr">
        <is>
          <t>SELETIVA</t>
        </is>
      </c>
      <c r="G476" t="inlineStr">
        <is>
          <t>G&amp;S DOURADOS</t>
        </is>
      </c>
      <c r="H476" t="inlineStr">
        <is>
          <t>7.1.2</t>
        </is>
      </c>
      <c r="I476" t="inlineStr">
        <is>
          <t>MANUTENÇÃO DE VEÍCULOS/MAQUINAS</t>
        </is>
      </c>
      <c r="J476" t="n">
        <v>525.83</v>
      </c>
      <c r="K476" t="n">
        <v>-525.83</v>
      </c>
    </row>
    <row r="477" hidden="1" s="154">
      <c r="A477" t="n">
        <v>2026</v>
      </c>
      <c r="B477" t="inlineStr">
        <is>
          <t>2026-03</t>
        </is>
      </c>
      <c r="C477" t="inlineStr">
        <is>
          <t>Dourados</t>
        </is>
      </c>
      <c r="D477" t="inlineStr">
        <is>
          <t>LIEBHERR</t>
        </is>
      </c>
      <c r="E477" t="inlineStr">
        <is>
          <t>EHL0042</t>
        </is>
      </c>
      <c r="F477" t="inlineStr">
        <is>
          <t>SELETIVA</t>
        </is>
      </c>
      <c r="G477" t="inlineStr">
        <is>
          <t>G&amp;S DOURADOS</t>
        </is>
      </c>
      <c r="H477" t="inlineStr">
        <is>
          <t>7.1.2</t>
        </is>
      </c>
      <c r="I477" t="inlineStr">
        <is>
          <t>MANUTENÇÃO DE VEÍCULOS/MAQUINAS</t>
        </is>
      </c>
      <c r="J477" t="n">
        <v>5880.32</v>
      </c>
      <c r="K477" t="n">
        <v>-5880.32</v>
      </c>
    </row>
    <row r="478" hidden="1" s="154">
      <c r="A478" t="n">
        <v>2026</v>
      </c>
      <c r="B478" t="inlineStr">
        <is>
          <t>2026-03</t>
        </is>
      </c>
      <c r="C478" t="inlineStr">
        <is>
          <t>Dourados</t>
        </is>
      </c>
      <c r="D478" t="inlineStr">
        <is>
          <t>LIEBHERR</t>
        </is>
      </c>
      <c r="E478" t="inlineStr">
        <is>
          <t>EHL0042</t>
        </is>
      </c>
      <c r="F478" t="inlineStr">
        <is>
          <t>SELETIVA</t>
        </is>
      </c>
      <c r="G478" t="inlineStr">
        <is>
          <t>G&amp;S DOURADOS</t>
        </is>
      </c>
      <c r="H478" t="inlineStr">
        <is>
          <t>7.1.2</t>
        </is>
      </c>
      <c r="I478" t="inlineStr">
        <is>
          <t>MANUTENÇÃO DE VEÍCULOS/MAQUINAS</t>
        </is>
      </c>
      <c r="J478" t="n">
        <v>1031.2</v>
      </c>
      <c r="K478" t="n">
        <v>-1031.2</v>
      </c>
    </row>
    <row r="479" hidden="1" s="154">
      <c r="A479" t="n">
        <v>2026</v>
      </c>
      <c r="B479" t="inlineStr">
        <is>
          <t>2026-03</t>
        </is>
      </c>
      <c r="C479" t="inlineStr">
        <is>
          <t>Dourados</t>
        </is>
      </c>
      <c r="D479" t="inlineStr">
        <is>
          <t>LIEBHERR</t>
        </is>
      </c>
      <c r="E479" t="inlineStr">
        <is>
          <t>EHL0042</t>
        </is>
      </c>
      <c r="F479" t="inlineStr">
        <is>
          <t>SELETIVA</t>
        </is>
      </c>
      <c r="G479" t="inlineStr">
        <is>
          <t>G&amp;S DOURADOS</t>
        </is>
      </c>
      <c r="H479" t="inlineStr">
        <is>
          <t>7.1.18</t>
        </is>
      </c>
      <c r="I479" t="inlineStr">
        <is>
          <t>FRETES E CARRETOS</t>
        </is>
      </c>
      <c r="J479" t="n">
        <v>198.27</v>
      </c>
      <c r="K479" t="n">
        <v>-198.27</v>
      </c>
    </row>
    <row r="480" hidden="1" s="154">
      <c r="A480" t="n">
        <v>2026</v>
      </c>
      <c r="B480" t="inlineStr">
        <is>
          <t>2026-03</t>
        </is>
      </c>
      <c r="C480" t="inlineStr">
        <is>
          <t>Dourados</t>
        </is>
      </c>
      <c r="D480" t="inlineStr">
        <is>
          <t>LIEBHERR</t>
        </is>
      </c>
      <c r="E480" t="inlineStr">
        <is>
          <t>EHL0042</t>
        </is>
      </c>
      <c r="F480" t="inlineStr">
        <is>
          <t>SELETIVA</t>
        </is>
      </c>
      <c r="G480" t="inlineStr">
        <is>
          <t>G&amp;S DOURADOS</t>
        </is>
      </c>
      <c r="H480" t="inlineStr">
        <is>
          <t>7.1.18</t>
        </is>
      </c>
      <c r="I480" t="inlineStr">
        <is>
          <t>FRETES E CARRETOS</t>
        </is>
      </c>
      <c r="J480" t="n">
        <v>285.88</v>
      </c>
      <c r="K480" t="n">
        <v>-285.88</v>
      </c>
    </row>
    <row r="481" hidden="1" s="154">
      <c r="A481" t="n">
        <v>2026</v>
      </c>
      <c r="B481" t="inlineStr">
        <is>
          <t>2026-03</t>
        </is>
      </c>
      <c r="C481" t="inlineStr">
        <is>
          <t>Dourados</t>
        </is>
      </c>
      <c r="D481" t="inlineStr">
        <is>
          <t>LIEBHERR</t>
        </is>
      </c>
      <c r="E481" t="inlineStr">
        <is>
          <t>EHL0042</t>
        </is>
      </c>
      <c r="F481" t="inlineStr">
        <is>
          <t>SELETIVA</t>
        </is>
      </c>
      <c r="G481" t="inlineStr">
        <is>
          <t>G&amp;S DOURADOS</t>
        </is>
      </c>
      <c r="H481" t="inlineStr">
        <is>
          <t>7.1.2</t>
        </is>
      </c>
      <c r="I481" t="inlineStr">
        <is>
          <t>MANUTENÇÃO DE VEÍCULOS/MAQUINAS</t>
        </is>
      </c>
      <c r="J481" t="n">
        <v>442.25</v>
      </c>
      <c r="K481" t="n">
        <v>-442.25</v>
      </c>
    </row>
    <row r="482" hidden="1" s="154">
      <c r="A482" t="n">
        <v>2026</v>
      </c>
      <c r="B482" t="inlineStr">
        <is>
          <t>2026-03</t>
        </is>
      </c>
      <c r="C482" t="inlineStr">
        <is>
          <t>Dourados</t>
        </is>
      </c>
      <c r="D482" t="inlineStr">
        <is>
          <t>LIEBHERR</t>
        </is>
      </c>
      <c r="E482" t="inlineStr">
        <is>
          <t>EHL0042</t>
        </is>
      </c>
      <c r="F482" t="inlineStr">
        <is>
          <t>SELETIVA</t>
        </is>
      </c>
      <c r="G482" t="inlineStr">
        <is>
          <t>G&amp;S PRUDENTE</t>
        </is>
      </c>
      <c r="H482" t="inlineStr">
        <is>
          <t>7.1.2</t>
        </is>
      </c>
      <c r="I482" t="inlineStr">
        <is>
          <t>MANUTENÇÃO DE VEÍCULOS/MAQUINAS</t>
        </is>
      </c>
      <c r="J482" t="n">
        <v>4244.4</v>
      </c>
      <c r="K482" t="n">
        <v>-4244.4</v>
      </c>
    </row>
    <row r="483" hidden="1" s="154">
      <c r="A483" t="n">
        <v>2026</v>
      </c>
      <c r="B483" t="inlineStr">
        <is>
          <t>2026-03</t>
        </is>
      </c>
      <c r="C483" t="inlineStr">
        <is>
          <t>Dourados</t>
        </is>
      </c>
      <c r="D483" t="inlineStr">
        <is>
          <t>LIEBHERR</t>
        </is>
      </c>
      <c r="E483" t="inlineStr">
        <is>
          <t>EHL0042</t>
        </is>
      </c>
      <c r="F483" t="inlineStr">
        <is>
          <t>SELETIVA</t>
        </is>
      </c>
      <c r="G483" t="inlineStr">
        <is>
          <t>G&amp;S PRUDENTE</t>
        </is>
      </c>
      <c r="H483" t="inlineStr">
        <is>
          <t>7.1.2</t>
        </is>
      </c>
      <c r="I483" t="inlineStr">
        <is>
          <t>MANUTENÇÃO DE VEÍCULOS/MAQUINAS</t>
        </is>
      </c>
      <c r="J483" t="n">
        <v>1362.5</v>
      </c>
      <c r="K483" t="n">
        <v>-1362.5</v>
      </c>
    </row>
    <row r="484" hidden="1" s="154">
      <c r="A484" t="n">
        <v>2026</v>
      </c>
      <c r="B484" t="inlineStr">
        <is>
          <t>2026-03</t>
        </is>
      </c>
      <c r="C484" t="inlineStr">
        <is>
          <t>Dourados</t>
        </is>
      </c>
      <c r="D484" t="inlineStr">
        <is>
          <t>LIEBHERR</t>
        </is>
      </c>
      <c r="E484" t="inlineStr">
        <is>
          <t>EHL0042</t>
        </is>
      </c>
      <c r="F484" t="inlineStr">
        <is>
          <t>SELETIVA</t>
        </is>
      </c>
      <c r="G484" t="inlineStr">
        <is>
          <t>G&amp;S PRUDENTE</t>
        </is>
      </c>
      <c r="H484" t="inlineStr">
        <is>
          <t>7.1.2</t>
        </is>
      </c>
      <c r="I484" t="inlineStr">
        <is>
          <t>MANUTENÇÃO DE VEÍCULOS/MAQUINAS</t>
        </is>
      </c>
      <c r="J484" t="n">
        <v>55.53</v>
      </c>
      <c r="K484" t="n">
        <v>-55.53</v>
      </c>
    </row>
    <row r="485" hidden="1" s="154">
      <c r="A485" t="n">
        <v>2026</v>
      </c>
      <c r="B485" t="inlineStr">
        <is>
          <t>2026-03</t>
        </is>
      </c>
      <c r="C485" t="inlineStr">
        <is>
          <t>Dourados</t>
        </is>
      </c>
      <c r="D485" t="inlineStr">
        <is>
          <t>LIEBHERR</t>
        </is>
      </c>
      <c r="E485" t="inlineStr">
        <is>
          <t>EHL0042</t>
        </is>
      </c>
      <c r="F485" t="inlineStr">
        <is>
          <t>SELETIVA</t>
        </is>
      </c>
      <c r="G485" t="inlineStr">
        <is>
          <t>G&amp;S PRUDENTE</t>
        </is>
      </c>
      <c r="H485" t="inlineStr">
        <is>
          <t>7.1.18</t>
        </is>
      </c>
      <c r="I485" t="inlineStr">
        <is>
          <t>FRETES E CARRETOS</t>
        </is>
      </c>
      <c r="J485" t="n">
        <v>55.53</v>
      </c>
      <c r="K485" t="n">
        <v>-55.53</v>
      </c>
    </row>
    <row r="486" hidden="1" s="154">
      <c r="A486" t="n">
        <v>2025</v>
      </c>
      <c r="B486" t="inlineStr">
        <is>
          <t>2025-01</t>
        </is>
      </c>
      <c r="C486" t="inlineStr">
        <is>
          <t>Londrina</t>
        </is>
      </c>
      <c r="D486" t="inlineStr">
        <is>
          <t>HYUNDAI</t>
        </is>
      </c>
      <c r="E486" t="inlineStr">
        <is>
          <t>EHH0008</t>
        </is>
      </c>
      <c r="F486" t="inlineStr">
        <is>
          <t>SELETIVA</t>
        </is>
      </c>
      <c r="G486" t="inlineStr">
        <is>
          <t>G&amp;G MATRIZ</t>
        </is>
      </c>
      <c r="H486" t="inlineStr">
        <is>
          <t>7.1.22</t>
        </is>
      </c>
      <c r="I486" t="inlineStr">
        <is>
          <t>COMBUSTÍVEL - DIESEL (INTERNO)</t>
        </is>
      </c>
      <c r="J486" t="n">
        <v>1259.85</v>
      </c>
      <c r="K486" t="n">
        <v>1259.85</v>
      </c>
    </row>
    <row r="487" hidden="1" s="154">
      <c r="A487" t="n">
        <v>2025</v>
      </c>
      <c r="B487" t="inlineStr">
        <is>
          <t>2025-01</t>
        </is>
      </c>
      <c r="C487" t="inlineStr">
        <is>
          <t>Londrina</t>
        </is>
      </c>
      <c r="D487" t="inlineStr">
        <is>
          <t>HYUNDAI</t>
        </is>
      </c>
      <c r="E487" t="inlineStr">
        <is>
          <t>EHH0008</t>
        </is>
      </c>
      <c r="F487" t="inlineStr">
        <is>
          <t>SELETIVA</t>
        </is>
      </c>
      <c r="G487" t="inlineStr">
        <is>
          <t>G&amp;G MARINGA</t>
        </is>
      </c>
      <c r="H487" t="inlineStr">
        <is>
          <t>7.1.4</t>
        </is>
      </c>
      <c r="I487" t="inlineStr">
        <is>
          <t>COMBUSTÍVEL - DIESEL (POSTO)</t>
        </is>
      </c>
      <c r="J487" t="n">
        <v>960</v>
      </c>
      <c r="K487" t="n">
        <v>960</v>
      </c>
    </row>
    <row r="488" hidden="1" s="154">
      <c r="A488" t="n">
        <v>2025</v>
      </c>
      <c r="B488" t="inlineStr">
        <is>
          <t>2025-01</t>
        </is>
      </c>
      <c r="C488" t="inlineStr">
        <is>
          <t>Londrina</t>
        </is>
      </c>
      <c r="D488" t="inlineStr">
        <is>
          <t>HYUNDAI</t>
        </is>
      </c>
      <c r="E488" t="inlineStr">
        <is>
          <t>EHH0008</t>
        </is>
      </c>
      <c r="F488" t="inlineStr">
        <is>
          <t>SELETIVA</t>
        </is>
      </c>
      <c r="G488" t="inlineStr">
        <is>
          <t>G&amp;G MATRIZ</t>
        </is>
      </c>
      <c r="H488" t="inlineStr">
        <is>
          <t>7.1.22</t>
        </is>
      </c>
      <c r="I488" t="inlineStr">
        <is>
          <t>COMBUSTÍVEL - DIESEL (INTERNO)</t>
        </is>
      </c>
      <c r="J488" t="n">
        <v>1378.6</v>
      </c>
      <c r="K488" t="n">
        <v>1378.6</v>
      </c>
    </row>
    <row r="489" hidden="1" s="154">
      <c r="A489" t="n">
        <v>2025</v>
      </c>
      <c r="B489" t="inlineStr">
        <is>
          <t>2025-02</t>
        </is>
      </c>
      <c r="C489" t="inlineStr">
        <is>
          <t>Londrina</t>
        </is>
      </c>
      <c r="D489" t="inlineStr">
        <is>
          <t>HYUNDAI</t>
        </is>
      </c>
      <c r="E489" t="inlineStr">
        <is>
          <t>EHH0008</t>
        </is>
      </c>
      <c r="F489" t="inlineStr">
        <is>
          <t>SELETIVA</t>
        </is>
      </c>
      <c r="G489" t="inlineStr">
        <is>
          <t>G&amp;G MATRIZ</t>
        </is>
      </c>
      <c r="H489" t="inlineStr">
        <is>
          <t>7.1.22</t>
        </is>
      </c>
      <c r="I489" t="inlineStr">
        <is>
          <t>COMBUSTÍVEL - DIESEL (INTERNO)</t>
        </is>
      </c>
      <c r="J489" t="n">
        <v>1316.45</v>
      </c>
      <c r="K489" t="n">
        <v>1316.45</v>
      </c>
    </row>
    <row r="490" hidden="1" s="154">
      <c r="A490" t="n">
        <v>2025</v>
      </c>
      <c r="B490" t="inlineStr">
        <is>
          <t>2025-02</t>
        </is>
      </c>
      <c r="C490" t="inlineStr">
        <is>
          <t>Londrina</t>
        </is>
      </c>
      <c r="D490" t="inlineStr">
        <is>
          <t>HYUNDAI</t>
        </is>
      </c>
      <c r="E490" t="inlineStr">
        <is>
          <t>EHH0008</t>
        </is>
      </c>
      <c r="F490" t="inlineStr">
        <is>
          <t>SELETIVA</t>
        </is>
      </c>
      <c r="G490" t="inlineStr">
        <is>
          <t>G&amp;G MARINGA</t>
        </is>
      </c>
      <c r="H490" t="inlineStr">
        <is>
          <t>7.1.4</t>
        </is>
      </c>
      <c r="I490" t="inlineStr">
        <is>
          <t>COMBUSTÍVEL - DIESEL (POSTO)</t>
        </is>
      </c>
      <c r="J490" t="n">
        <v>1147.5</v>
      </c>
      <c r="K490" t="n">
        <v>1147.5</v>
      </c>
    </row>
    <row r="491" hidden="1" s="154">
      <c r="A491" t="n">
        <v>2025</v>
      </c>
      <c r="B491" t="inlineStr">
        <is>
          <t>2025-02</t>
        </is>
      </c>
      <c r="C491" t="inlineStr">
        <is>
          <t>Londrina</t>
        </is>
      </c>
      <c r="D491" t="inlineStr">
        <is>
          <t>HYUNDAI</t>
        </is>
      </c>
      <c r="E491" t="inlineStr">
        <is>
          <t>EHH0008</t>
        </is>
      </c>
      <c r="F491" t="inlineStr">
        <is>
          <t>SELETIVA</t>
        </is>
      </c>
      <c r="G491" t="inlineStr">
        <is>
          <t>G&amp;G MATRIZ</t>
        </is>
      </c>
      <c r="H491" t="inlineStr">
        <is>
          <t>7.1.22</t>
        </is>
      </c>
      <c r="I491" t="inlineStr">
        <is>
          <t>COMBUSTÍVEL - DIESEL (INTERNO)</t>
        </is>
      </c>
      <c r="J491" t="n">
        <v>1234.53</v>
      </c>
      <c r="K491" t="n">
        <v>1234.53</v>
      </c>
    </row>
    <row r="492" hidden="1" s="154">
      <c r="A492" t="n">
        <v>2025</v>
      </c>
      <c r="B492" t="inlineStr">
        <is>
          <t>2025-02</t>
        </is>
      </c>
      <c r="C492" t="inlineStr">
        <is>
          <t>Londrina</t>
        </is>
      </c>
      <c r="D492" t="inlineStr">
        <is>
          <t>HYUNDAI</t>
        </is>
      </c>
      <c r="E492" t="inlineStr">
        <is>
          <t>EHH0008</t>
        </is>
      </c>
      <c r="F492" t="inlineStr">
        <is>
          <t>SELETIVA</t>
        </is>
      </c>
      <c r="G492" t="inlineStr">
        <is>
          <t>G&amp;G MARINGA</t>
        </is>
      </c>
      <c r="H492" t="inlineStr">
        <is>
          <t>7.1.1</t>
        </is>
      </c>
      <c r="I492" t="inlineStr">
        <is>
          <t>PEÇAS DE MANUTENÇÃO</t>
        </is>
      </c>
      <c r="J492" t="n">
        <v>82.8</v>
      </c>
      <c r="K492" t="n">
        <v>82.8</v>
      </c>
    </row>
    <row r="493" hidden="1" s="154">
      <c r="A493" t="n">
        <v>2025</v>
      </c>
      <c r="B493" t="inlineStr">
        <is>
          <t>2025-02</t>
        </is>
      </c>
      <c r="C493" t="inlineStr">
        <is>
          <t>Londrina</t>
        </is>
      </c>
      <c r="D493" t="inlineStr">
        <is>
          <t>HYUNDAI</t>
        </is>
      </c>
      <c r="E493" t="inlineStr">
        <is>
          <t>EHH0008</t>
        </is>
      </c>
      <c r="F493" t="inlineStr">
        <is>
          <t>SELETIVA</t>
        </is>
      </c>
      <c r="G493" t="inlineStr">
        <is>
          <t>G&amp;G MARINGA</t>
        </is>
      </c>
      <c r="H493" t="inlineStr">
        <is>
          <t>7.1.1</t>
        </is>
      </c>
      <c r="I493" t="inlineStr">
        <is>
          <t>PEÇAS DE MANUTENÇÃO</t>
        </is>
      </c>
      <c r="J493" t="n">
        <v>441</v>
      </c>
      <c r="K493" t="n">
        <v>441</v>
      </c>
    </row>
    <row r="494" hidden="1" s="154">
      <c r="A494" t="n">
        <v>2025</v>
      </c>
      <c r="B494" t="inlineStr">
        <is>
          <t>2025-03</t>
        </is>
      </c>
      <c r="C494" t="inlineStr">
        <is>
          <t>Londrina</t>
        </is>
      </c>
      <c r="D494" t="inlineStr">
        <is>
          <t>HYUNDAI</t>
        </is>
      </c>
      <c r="E494" t="inlineStr">
        <is>
          <t>EHH0008</t>
        </is>
      </c>
      <c r="F494" t="inlineStr">
        <is>
          <t>SELETIVA</t>
        </is>
      </c>
      <c r="G494" t="inlineStr">
        <is>
          <t>G&amp;G MATRIZ</t>
        </is>
      </c>
      <c r="H494" t="inlineStr">
        <is>
          <t>7.1.22</t>
        </is>
      </c>
      <c r="I494" t="inlineStr">
        <is>
          <t>COMBUSTÍVEL - DIESEL (INTERNO)</t>
        </is>
      </c>
      <c r="J494" t="n">
        <v>1310.17</v>
      </c>
      <c r="K494" t="n">
        <v>1310.17</v>
      </c>
    </row>
    <row r="495" hidden="1" s="154">
      <c r="A495" t="n">
        <v>2025</v>
      </c>
      <c r="B495" t="inlineStr">
        <is>
          <t>2025-03</t>
        </is>
      </c>
      <c r="C495" t="inlineStr">
        <is>
          <t>Londrina</t>
        </is>
      </c>
      <c r="D495" t="inlineStr">
        <is>
          <t>HYUNDAI</t>
        </is>
      </c>
      <c r="E495" t="inlineStr">
        <is>
          <t>EHH0008</t>
        </is>
      </c>
      <c r="F495" t="inlineStr">
        <is>
          <t>SELETIVA</t>
        </is>
      </c>
      <c r="G495" t="inlineStr">
        <is>
          <t>G&amp;G MARINGA</t>
        </is>
      </c>
      <c r="H495" t="inlineStr">
        <is>
          <t>7.1.4</t>
        </is>
      </c>
      <c r="I495" t="inlineStr">
        <is>
          <t>COMBUSTÍVEL - DIESEL (POSTO)</t>
        </is>
      </c>
      <c r="J495" t="n">
        <v>730</v>
      </c>
      <c r="K495" t="n">
        <v>730</v>
      </c>
    </row>
    <row r="496" hidden="1" s="154">
      <c r="A496" t="n">
        <v>2025</v>
      </c>
      <c r="B496" t="inlineStr">
        <is>
          <t>2025-03</t>
        </is>
      </c>
      <c r="C496" t="inlineStr">
        <is>
          <t>Londrina</t>
        </is>
      </c>
      <c r="D496" t="inlineStr">
        <is>
          <t>HYUNDAI</t>
        </is>
      </c>
      <c r="E496" t="inlineStr">
        <is>
          <t>EHH0008</t>
        </is>
      </c>
      <c r="F496" t="inlineStr">
        <is>
          <t>SELETIVA</t>
        </is>
      </c>
      <c r="G496" t="inlineStr">
        <is>
          <t>G&amp;G MATRIZ</t>
        </is>
      </c>
      <c r="H496" t="inlineStr">
        <is>
          <t>7.1.22</t>
        </is>
      </c>
      <c r="I496" t="inlineStr">
        <is>
          <t>COMBUSTÍVEL - DIESEL (INTERNO)</t>
        </is>
      </c>
      <c r="J496" t="n">
        <v>1228.88</v>
      </c>
      <c r="K496" t="n">
        <v>1228.88</v>
      </c>
    </row>
    <row r="497" hidden="1" s="154">
      <c r="A497" t="n">
        <v>2025</v>
      </c>
      <c r="B497" t="inlineStr">
        <is>
          <t>2025-03</t>
        </is>
      </c>
      <c r="C497" t="inlineStr">
        <is>
          <t>Londrina</t>
        </is>
      </c>
      <c r="D497" t="inlineStr">
        <is>
          <t>HYUNDAI</t>
        </is>
      </c>
      <c r="E497" t="inlineStr">
        <is>
          <t>EHH0008</t>
        </is>
      </c>
      <c r="F497" t="inlineStr">
        <is>
          <t>SELETIVA</t>
        </is>
      </c>
      <c r="G497" t="inlineStr">
        <is>
          <t>G&amp;G MATRIZ</t>
        </is>
      </c>
      <c r="H497" t="inlineStr">
        <is>
          <t>7.1.22</t>
        </is>
      </c>
      <c r="I497" t="inlineStr">
        <is>
          <t>COMBUSTÍVEL - DIESEL (INTERNO)</t>
        </is>
      </c>
      <c r="J497" t="n">
        <v>1485.95</v>
      </c>
      <c r="K497" t="n">
        <v>1485.95</v>
      </c>
    </row>
    <row r="498" hidden="1" s="154">
      <c r="A498" t="n">
        <v>2025</v>
      </c>
      <c r="B498" t="inlineStr">
        <is>
          <t>2025-03</t>
        </is>
      </c>
      <c r="C498" t="inlineStr">
        <is>
          <t>Londrina</t>
        </is>
      </c>
      <c r="D498" t="inlineStr">
        <is>
          <t>HYUNDAI</t>
        </is>
      </c>
      <c r="E498" t="inlineStr">
        <is>
          <t>EHH0008</t>
        </is>
      </c>
      <c r="F498" t="inlineStr">
        <is>
          <t>SELETIVA</t>
        </is>
      </c>
      <c r="G498" t="inlineStr">
        <is>
          <t>G&amp;G MARINGA</t>
        </is>
      </c>
      <c r="H498" t="inlineStr">
        <is>
          <t>7.1.1</t>
        </is>
      </c>
      <c r="I498" t="inlineStr">
        <is>
          <t>PEÇAS DE MANUTENÇÃO</t>
        </is>
      </c>
      <c r="J498" t="n">
        <v>1350</v>
      </c>
      <c r="K498" t="n">
        <v>1350</v>
      </c>
    </row>
    <row r="499" hidden="1" s="154">
      <c r="A499" t="n">
        <v>2025</v>
      </c>
      <c r="B499" t="inlineStr">
        <is>
          <t>2025-04</t>
        </is>
      </c>
      <c r="C499" t="inlineStr">
        <is>
          <t>Londrina</t>
        </is>
      </c>
      <c r="D499" t="inlineStr">
        <is>
          <t>HYUNDAI</t>
        </is>
      </c>
      <c r="E499" t="inlineStr">
        <is>
          <t>EHH0008</t>
        </is>
      </c>
      <c r="F499" t="inlineStr">
        <is>
          <t>SELETIVA</t>
        </is>
      </c>
      <c r="G499" t="inlineStr">
        <is>
          <t>G&amp;G MARINGA</t>
        </is>
      </c>
      <c r="H499" t="inlineStr">
        <is>
          <t>7.1.4</t>
        </is>
      </c>
      <c r="I499" t="inlineStr">
        <is>
          <t>COMBUSTÍVEL - DIESEL (POSTO)</t>
        </is>
      </c>
      <c r="J499" t="n">
        <v>980</v>
      </c>
      <c r="K499" t="n">
        <v>980</v>
      </c>
    </row>
    <row r="500" hidden="1" s="154">
      <c r="A500" t="n">
        <v>2025</v>
      </c>
      <c r="B500" t="inlineStr">
        <is>
          <t>2025-04</t>
        </is>
      </c>
      <c r="C500" t="inlineStr">
        <is>
          <t>Londrina</t>
        </is>
      </c>
      <c r="D500" t="inlineStr">
        <is>
          <t>HYUNDAI</t>
        </is>
      </c>
      <c r="E500" t="inlineStr">
        <is>
          <t>EHH0008</t>
        </is>
      </c>
      <c r="F500" t="inlineStr">
        <is>
          <t>SELETIVA</t>
        </is>
      </c>
      <c r="G500" t="inlineStr">
        <is>
          <t>G&amp;G MATRIZ</t>
        </is>
      </c>
      <c r="H500" t="inlineStr">
        <is>
          <t>7.1.22</t>
        </is>
      </c>
      <c r="I500" t="inlineStr">
        <is>
          <t>COMBUSTÍVEL - DIESEL (INTERNO)</t>
        </is>
      </c>
      <c r="J500" t="n">
        <v>1326.45</v>
      </c>
      <c r="K500" t="n">
        <v>1326.45</v>
      </c>
    </row>
    <row r="501" hidden="1" s="154">
      <c r="A501" t="n">
        <v>2025</v>
      </c>
      <c r="B501" t="inlineStr">
        <is>
          <t>2025-04</t>
        </is>
      </c>
      <c r="C501" t="inlineStr">
        <is>
          <t>Londrina</t>
        </is>
      </c>
      <c r="D501" t="inlineStr">
        <is>
          <t>HYUNDAI</t>
        </is>
      </c>
      <c r="E501" t="inlineStr">
        <is>
          <t>EHH0008</t>
        </is>
      </c>
      <c r="F501" t="inlineStr">
        <is>
          <t>SELETIVA</t>
        </is>
      </c>
      <c r="G501" t="inlineStr">
        <is>
          <t>G&amp;G MARINGA</t>
        </is>
      </c>
      <c r="H501" t="inlineStr">
        <is>
          <t>7.1.4</t>
        </is>
      </c>
      <c r="I501" t="inlineStr">
        <is>
          <t>COMBUSTÍVEL - DIESEL (POSTO)</t>
        </is>
      </c>
      <c r="J501" t="n">
        <v>490</v>
      </c>
      <c r="K501" t="n">
        <v>490</v>
      </c>
    </row>
    <row r="502" hidden="1" s="154">
      <c r="A502" t="n">
        <v>2025</v>
      </c>
      <c r="B502" t="inlineStr">
        <is>
          <t>2025-04</t>
        </is>
      </c>
      <c r="C502" t="inlineStr">
        <is>
          <t>Londrina</t>
        </is>
      </c>
      <c r="D502" t="inlineStr">
        <is>
          <t>HYUNDAI</t>
        </is>
      </c>
      <c r="E502" t="inlineStr">
        <is>
          <t>EHH0008</t>
        </is>
      </c>
      <c r="F502" t="inlineStr">
        <is>
          <t>SELETIVA</t>
        </is>
      </c>
      <c r="G502" t="inlineStr">
        <is>
          <t>G&amp;G MATRIZ</t>
        </is>
      </c>
      <c r="H502" t="inlineStr">
        <is>
          <t>7.1.1</t>
        </is>
      </c>
      <c r="I502" t="inlineStr">
        <is>
          <t>PEÇAS DE MANUTENÇÃO</t>
        </is>
      </c>
      <c r="J502" t="n">
        <v>1000</v>
      </c>
      <c r="K502" t="n">
        <v>1000</v>
      </c>
    </row>
    <row r="503" hidden="1" s="154">
      <c r="A503" t="n">
        <v>2025</v>
      </c>
      <c r="B503" t="inlineStr">
        <is>
          <t>2025-04</t>
        </is>
      </c>
      <c r="C503" t="inlineStr">
        <is>
          <t>Londrina</t>
        </is>
      </c>
      <c r="D503" t="inlineStr">
        <is>
          <t>HYUNDAI</t>
        </is>
      </c>
      <c r="E503" t="inlineStr">
        <is>
          <t>EHH0008</t>
        </is>
      </c>
      <c r="F503" t="inlineStr">
        <is>
          <t>SELETIVA</t>
        </is>
      </c>
      <c r="G503" t="inlineStr">
        <is>
          <t>G&amp;G MARINGA</t>
        </is>
      </c>
      <c r="H503" t="inlineStr">
        <is>
          <t>7.1.1</t>
        </is>
      </c>
      <c r="I503" t="inlineStr">
        <is>
          <t>PEÇAS DE MANUTENÇÃO</t>
        </is>
      </c>
      <c r="J503" t="n">
        <v>1575.95</v>
      </c>
      <c r="K503" t="n">
        <v>1575.95</v>
      </c>
    </row>
    <row r="504" hidden="1" s="154">
      <c r="A504" t="n">
        <v>2025</v>
      </c>
      <c r="B504" t="inlineStr">
        <is>
          <t>2025-04</t>
        </is>
      </c>
      <c r="C504" t="inlineStr">
        <is>
          <t>Londrina</t>
        </is>
      </c>
      <c r="D504" t="inlineStr">
        <is>
          <t>HYUNDAI</t>
        </is>
      </c>
      <c r="E504" t="inlineStr">
        <is>
          <t>EHH0008</t>
        </is>
      </c>
      <c r="F504" t="inlineStr">
        <is>
          <t>SELETIVA</t>
        </is>
      </c>
      <c r="G504" t="inlineStr">
        <is>
          <t>G&amp;G MATRIZ</t>
        </is>
      </c>
      <c r="H504" t="inlineStr">
        <is>
          <t>7.1.22</t>
        </is>
      </c>
      <c r="I504" t="inlineStr">
        <is>
          <t>COMBUSTÍVEL - DIESEL (INTERNO)</t>
        </is>
      </c>
      <c r="J504" t="n">
        <v>1123.88</v>
      </c>
      <c r="K504" t="n">
        <v>1123.88</v>
      </c>
    </row>
    <row r="505" hidden="1" s="154">
      <c r="A505" t="n">
        <v>2025</v>
      </c>
      <c r="B505" t="inlineStr">
        <is>
          <t>2025-05</t>
        </is>
      </c>
      <c r="C505" t="inlineStr">
        <is>
          <t>Londrina</t>
        </is>
      </c>
      <c r="D505" t="inlineStr">
        <is>
          <t>HYUNDAI</t>
        </is>
      </c>
      <c r="E505" t="inlineStr">
        <is>
          <t>EHH0008</t>
        </is>
      </c>
      <c r="F505" t="inlineStr">
        <is>
          <t>SELETIVA</t>
        </is>
      </c>
      <c r="G505" t="inlineStr">
        <is>
          <t>G&amp;G MARINGA</t>
        </is>
      </c>
      <c r="H505" t="inlineStr">
        <is>
          <t>7.1.2</t>
        </is>
      </c>
      <c r="I505" t="inlineStr">
        <is>
          <t>MANUTENÇÃO DE VEÍCULOS/MAQUINAS</t>
        </is>
      </c>
      <c r="J505" t="n">
        <v>1909</v>
      </c>
      <c r="K505" t="n">
        <v>1909</v>
      </c>
    </row>
    <row r="506" hidden="1" s="154">
      <c r="A506" t="n">
        <v>2025</v>
      </c>
      <c r="B506" t="inlineStr">
        <is>
          <t>2025-05</t>
        </is>
      </c>
      <c r="C506" t="inlineStr">
        <is>
          <t>Londrina</t>
        </is>
      </c>
      <c r="D506" t="inlineStr">
        <is>
          <t>HYUNDAI</t>
        </is>
      </c>
      <c r="E506" t="inlineStr">
        <is>
          <t>EHH0008</t>
        </is>
      </c>
      <c r="F506" t="inlineStr">
        <is>
          <t>SELETIVA</t>
        </is>
      </c>
      <c r="G506" t="inlineStr">
        <is>
          <t>G&amp;G MARINGA</t>
        </is>
      </c>
      <c r="H506" t="inlineStr">
        <is>
          <t>7.1.1</t>
        </is>
      </c>
      <c r="I506" t="inlineStr">
        <is>
          <t>PEÇAS DE MANUTENÇÃO</t>
        </is>
      </c>
      <c r="J506" t="n">
        <v>1491.97</v>
      </c>
      <c r="K506" t="n">
        <v>1491.97</v>
      </c>
    </row>
    <row r="507" hidden="1" s="154">
      <c r="A507" t="n">
        <v>2025</v>
      </c>
      <c r="B507" t="inlineStr">
        <is>
          <t>2025-05</t>
        </is>
      </c>
      <c r="C507" t="inlineStr">
        <is>
          <t>Londrina</t>
        </is>
      </c>
      <c r="D507" t="inlineStr">
        <is>
          <t>HYUNDAI</t>
        </is>
      </c>
      <c r="E507" t="inlineStr">
        <is>
          <t>EHH0008</t>
        </is>
      </c>
      <c r="F507" t="inlineStr">
        <is>
          <t>SELETIVA</t>
        </is>
      </c>
      <c r="G507" t="inlineStr">
        <is>
          <t>G&amp;G MARINGA</t>
        </is>
      </c>
      <c r="H507" t="inlineStr">
        <is>
          <t>7.1.2</t>
        </is>
      </c>
      <c r="I507" t="inlineStr">
        <is>
          <t>MANUTENÇÃO DE VEÍCULOS/MAQUINAS</t>
        </is>
      </c>
      <c r="J507" t="n">
        <v>2174</v>
      </c>
      <c r="K507" t="n">
        <v>2174</v>
      </c>
    </row>
    <row r="508" hidden="1" s="154">
      <c r="A508" t="n">
        <v>2025</v>
      </c>
      <c r="B508" t="inlineStr">
        <is>
          <t>2025-05</t>
        </is>
      </c>
      <c r="C508" t="inlineStr">
        <is>
          <t>Londrina</t>
        </is>
      </c>
      <c r="D508" t="inlineStr">
        <is>
          <t>HYUNDAI</t>
        </is>
      </c>
      <c r="E508" t="inlineStr">
        <is>
          <t>EHH0008</t>
        </is>
      </c>
      <c r="F508" t="inlineStr">
        <is>
          <t>SELETIVA</t>
        </is>
      </c>
      <c r="G508" t="inlineStr">
        <is>
          <t>G&amp;G MATRIZ</t>
        </is>
      </c>
      <c r="H508" t="inlineStr">
        <is>
          <t>7.1.22</t>
        </is>
      </c>
      <c r="I508" t="inlineStr">
        <is>
          <t>COMBUSTÍVEL - DIESEL (INTERNO)</t>
        </is>
      </c>
      <c r="J508" t="n">
        <v>1111.88</v>
      </c>
      <c r="K508" t="n">
        <v>1111.88</v>
      </c>
    </row>
    <row r="509" hidden="1" s="154">
      <c r="A509" t="n">
        <v>2025</v>
      </c>
      <c r="B509" t="inlineStr">
        <is>
          <t>2025-05</t>
        </is>
      </c>
      <c r="C509" t="inlineStr">
        <is>
          <t>Londrina</t>
        </is>
      </c>
      <c r="D509" t="inlineStr">
        <is>
          <t>HYUNDAI</t>
        </is>
      </c>
      <c r="E509" t="inlineStr">
        <is>
          <t>EHH0008</t>
        </is>
      </c>
      <c r="F509" t="inlineStr">
        <is>
          <t>SELETIVA</t>
        </is>
      </c>
      <c r="G509" t="inlineStr">
        <is>
          <t>G&amp;G MATRIZ</t>
        </is>
      </c>
      <c r="H509" t="inlineStr">
        <is>
          <t>7.1.22</t>
        </is>
      </c>
      <c r="I509" t="inlineStr">
        <is>
          <t>COMBUSTÍVEL - DIESEL (INTERNO)</t>
        </is>
      </c>
      <c r="J509" t="n">
        <v>1146.46</v>
      </c>
      <c r="K509" t="n">
        <v>1146.46</v>
      </c>
    </row>
    <row r="510" hidden="1" s="154">
      <c r="A510" t="n">
        <v>2025</v>
      </c>
      <c r="B510" t="inlineStr">
        <is>
          <t>2025-05</t>
        </is>
      </c>
      <c r="C510" t="inlineStr">
        <is>
          <t>Londrina</t>
        </is>
      </c>
      <c r="D510" t="inlineStr">
        <is>
          <t>HYUNDAI</t>
        </is>
      </c>
      <c r="E510" t="inlineStr">
        <is>
          <t>EHH0008</t>
        </is>
      </c>
      <c r="F510" t="inlineStr">
        <is>
          <t>SELETIVA</t>
        </is>
      </c>
      <c r="G510" t="inlineStr">
        <is>
          <t>G&amp;G MATRIZ</t>
        </is>
      </c>
      <c r="H510" t="inlineStr">
        <is>
          <t>7.1.22</t>
        </is>
      </c>
      <c r="I510" t="inlineStr">
        <is>
          <t>COMBUSTÍVEL - DIESEL (INTERNO)</t>
        </is>
      </c>
      <c r="J510" t="n">
        <v>71.81999999999999</v>
      </c>
      <c r="K510" t="n">
        <v>71.81999999999999</v>
      </c>
    </row>
    <row r="511" hidden="1" s="154">
      <c r="A511" t="n">
        <v>2025</v>
      </c>
      <c r="B511" t="inlineStr">
        <is>
          <t>2025-05</t>
        </is>
      </c>
      <c r="C511" t="inlineStr">
        <is>
          <t>Londrina</t>
        </is>
      </c>
      <c r="D511" t="inlineStr">
        <is>
          <t>HYUNDAI</t>
        </is>
      </c>
      <c r="E511" t="inlineStr">
        <is>
          <t>EHH0008</t>
        </is>
      </c>
      <c r="F511" t="inlineStr">
        <is>
          <t>SELETIVA</t>
        </is>
      </c>
      <c r="G511" t="inlineStr">
        <is>
          <t>G&amp;G MATRIZ</t>
        </is>
      </c>
      <c r="H511" t="inlineStr">
        <is>
          <t>7.1.22</t>
        </is>
      </c>
      <c r="I511" t="inlineStr">
        <is>
          <t>COMBUSTÍVEL - DIESEL (INTERNO)</t>
        </is>
      </c>
      <c r="J511" t="n">
        <v>981.4400000000001</v>
      </c>
      <c r="K511" t="n">
        <v>981.4400000000001</v>
      </c>
    </row>
    <row r="512" hidden="1" s="154">
      <c r="A512" t="n">
        <v>2025</v>
      </c>
      <c r="B512" t="inlineStr">
        <is>
          <t>2025-06</t>
        </is>
      </c>
      <c r="C512" t="inlineStr">
        <is>
          <t>Londrina</t>
        </is>
      </c>
      <c r="D512" t="inlineStr">
        <is>
          <t>HYUNDAI</t>
        </is>
      </c>
      <c r="E512" t="inlineStr">
        <is>
          <t>EHH0008</t>
        </is>
      </c>
      <c r="F512" t="inlineStr">
        <is>
          <t>SELETIVA</t>
        </is>
      </c>
      <c r="G512" t="inlineStr">
        <is>
          <t>CTA</t>
        </is>
      </c>
      <c r="H512" t="inlineStr">
        <is>
          <t>7.1.22</t>
        </is>
      </c>
      <c r="I512" t="inlineStr">
        <is>
          <t>COMBUSTÍVEL - DIESEL (INTERNO)</t>
        </is>
      </c>
      <c r="J512" t="n">
        <v>2196.06</v>
      </c>
      <c r="K512" t="n">
        <v>-2196.06</v>
      </c>
    </row>
    <row r="513" hidden="1" s="154">
      <c r="A513" t="n">
        <v>2025</v>
      </c>
      <c r="B513" t="inlineStr">
        <is>
          <t>2025-07</t>
        </is>
      </c>
      <c r="C513" t="inlineStr">
        <is>
          <t>Londrina</t>
        </is>
      </c>
      <c r="D513" t="inlineStr">
        <is>
          <t>HYUNDAI</t>
        </is>
      </c>
      <c r="E513" t="inlineStr">
        <is>
          <t>EHH0008</t>
        </is>
      </c>
      <c r="F513" t="inlineStr">
        <is>
          <t>SELETIVA</t>
        </is>
      </c>
      <c r="G513" t="inlineStr">
        <is>
          <t>G&amp;S MARINGA</t>
        </is>
      </c>
      <c r="H513" t="inlineStr">
        <is>
          <t>7.1.2</t>
        </is>
      </c>
      <c r="I513" t="inlineStr">
        <is>
          <t>MANUTENÇÃO DE VEÍCULOS/MAQUINAS</t>
        </is>
      </c>
      <c r="J513" t="n">
        <v>1551.2</v>
      </c>
      <c r="K513" t="n">
        <v>-1551.2</v>
      </c>
    </row>
    <row r="514" hidden="1" s="154">
      <c r="A514" t="n">
        <v>2025</v>
      </c>
      <c r="B514" t="inlineStr">
        <is>
          <t>2025-07</t>
        </is>
      </c>
      <c r="C514" t="inlineStr">
        <is>
          <t>Londrina</t>
        </is>
      </c>
      <c r="D514" t="inlineStr">
        <is>
          <t>HYUNDAI</t>
        </is>
      </c>
      <c r="E514" t="inlineStr">
        <is>
          <t>EHH0008</t>
        </is>
      </c>
      <c r="F514" t="inlineStr">
        <is>
          <t>SELETIVA</t>
        </is>
      </c>
      <c r="G514" t="inlineStr">
        <is>
          <t>CTA</t>
        </is>
      </c>
      <c r="H514" t="inlineStr">
        <is>
          <t>7.1.22</t>
        </is>
      </c>
      <c r="I514" t="inlineStr">
        <is>
          <t>COMBUSTÍVEL - DIESEL (INTERNO)</t>
        </is>
      </c>
      <c r="J514" t="n">
        <v>3910.31</v>
      </c>
      <c r="K514" t="n">
        <v>-3910.31</v>
      </c>
    </row>
    <row r="515" hidden="1" s="154">
      <c r="A515" t="n">
        <v>2025</v>
      </c>
      <c r="B515" t="inlineStr">
        <is>
          <t>2025-08</t>
        </is>
      </c>
      <c r="C515" t="inlineStr">
        <is>
          <t>Londrina</t>
        </is>
      </c>
      <c r="D515" t="inlineStr">
        <is>
          <t>HYUNDAI</t>
        </is>
      </c>
      <c r="E515" t="inlineStr">
        <is>
          <t>EHH0008</t>
        </is>
      </c>
      <c r="F515" t="inlineStr">
        <is>
          <t>SELETIVA</t>
        </is>
      </c>
      <c r="G515" t="inlineStr">
        <is>
          <t>CTA</t>
        </is>
      </c>
      <c r="H515" t="inlineStr">
        <is>
          <t>7.1.22</t>
        </is>
      </c>
      <c r="I515" t="inlineStr">
        <is>
          <t>COMBUSTÍVEL - DIESEL (INTERNO)</t>
        </is>
      </c>
      <c r="J515" t="n">
        <v>1254.81</v>
      </c>
      <c r="K515" t="n">
        <v>-1254.81</v>
      </c>
    </row>
    <row r="516" hidden="1" s="154">
      <c r="A516" t="n">
        <v>2025</v>
      </c>
      <c r="B516" t="inlineStr">
        <is>
          <t>2025-08</t>
        </is>
      </c>
      <c r="C516" t="inlineStr">
        <is>
          <t>Londrina</t>
        </is>
      </c>
      <c r="D516" t="inlineStr">
        <is>
          <t>HYUNDAI</t>
        </is>
      </c>
      <c r="E516" t="inlineStr">
        <is>
          <t>EHH0008</t>
        </is>
      </c>
      <c r="F516" t="inlineStr">
        <is>
          <t>SELETIVA</t>
        </is>
      </c>
      <c r="G516" t="inlineStr">
        <is>
          <t>G&amp;S PRUDENTE</t>
        </is>
      </c>
      <c r="H516" t="inlineStr">
        <is>
          <t>7.1.2</t>
        </is>
      </c>
      <c r="I516" t="inlineStr">
        <is>
          <t>MANUTENÇÃO DE VEÍCULOS/MAQUINAS</t>
        </is>
      </c>
      <c r="J516" t="n">
        <v>700</v>
      </c>
      <c r="K516" t="n">
        <v>-700</v>
      </c>
    </row>
    <row r="517" hidden="1" s="154">
      <c r="A517" t="n">
        <v>2025</v>
      </c>
      <c r="B517" t="inlineStr">
        <is>
          <t>2025-08</t>
        </is>
      </c>
      <c r="C517" t="inlineStr">
        <is>
          <t>Londrina</t>
        </is>
      </c>
      <c r="D517" t="inlineStr">
        <is>
          <t>HYUNDAI</t>
        </is>
      </c>
      <c r="E517" t="inlineStr">
        <is>
          <t>EHH0008</t>
        </is>
      </c>
      <c r="F517" t="inlineStr">
        <is>
          <t>SELETIVA</t>
        </is>
      </c>
      <c r="G517" t="inlineStr">
        <is>
          <t>G&amp;S MARINGA</t>
        </is>
      </c>
      <c r="H517" t="inlineStr">
        <is>
          <t>7.1.2</t>
        </is>
      </c>
      <c r="I517" t="inlineStr">
        <is>
          <t>MANUTENÇÃO DE VEÍCULOS/MAQUINAS</t>
        </is>
      </c>
      <c r="J517" t="n">
        <v>7800</v>
      </c>
      <c r="K517" t="n">
        <v>-7800</v>
      </c>
    </row>
    <row r="518" hidden="1" s="154">
      <c r="A518" t="n">
        <v>2025</v>
      </c>
      <c r="B518" t="inlineStr">
        <is>
          <t>2025-08</t>
        </is>
      </c>
      <c r="C518" t="inlineStr">
        <is>
          <t>Londrina</t>
        </is>
      </c>
      <c r="D518" t="inlineStr">
        <is>
          <t>HYUNDAI</t>
        </is>
      </c>
      <c r="E518" t="inlineStr">
        <is>
          <t>EHH0008</t>
        </is>
      </c>
      <c r="F518" t="inlineStr">
        <is>
          <t>SELETIVA</t>
        </is>
      </c>
      <c r="G518" t="inlineStr">
        <is>
          <t>G&amp;S MARINGA</t>
        </is>
      </c>
      <c r="H518" t="inlineStr">
        <is>
          <t>7.1.2</t>
        </is>
      </c>
      <c r="I518" t="inlineStr">
        <is>
          <t>MANUTENÇÃO DE VEÍCULOS/MAQUINAS</t>
        </is>
      </c>
      <c r="J518" t="n">
        <v>7800</v>
      </c>
      <c r="K518" t="n">
        <v>-7800</v>
      </c>
    </row>
    <row r="519" hidden="1" s="154">
      <c r="A519" t="n">
        <v>2025</v>
      </c>
      <c r="B519" t="inlineStr">
        <is>
          <t>2025-08</t>
        </is>
      </c>
      <c r="C519" t="inlineStr">
        <is>
          <t>Londrina</t>
        </is>
      </c>
      <c r="D519" t="inlineStr">
        <is>
          <t>HYUNDAI</t>
        </is>
      </c>
      <c r="E519" t="inlineStr">
        <is>
          <t>EHH0008</t>
        </is>
      </c>
      <c r="F519" t="inlineStr">
        <is>
          <t>SELETIVA</t>
        </is>
      </c>
      <c r="G519" t="inlineStr">
        <is>
          <t>G&amp;S LONDRINA</t>
        </is>
      </c>
      <c r="H519" t="inlineStr">
        <is>
          <t>7.1.2</t>
        </is>
      </c>
      <c r="I519" t="inlineStr">
        <is>
          <t>MANUTENÇÃO DE VEÍCULOS/MAQUINAS</t>
        </is>
      </c>
      <c r="J519" t="n">
        <v>700.8</v>
      </c>
      <c r="K519" t="n">
        <v>-700.8</v>
      </c>
    </row>
    <row r="520" hidden="1" s="154">
      <c r="A520" t="n">
        <v>2025</v>
      </c>
      <c r="B520" t="inlineStr">
        <is>
          <t>2025-08</t>
        </is>
      </c>
      <c r="C520" t="inlineStr">
        <is>
          <t>Londrina</t>
        </is>
      </c>
      <c r="D520" t="inlineStr">
        <is>
          <t>HYUNDAI</t>
        </is>
      </c>
      <c r="E520" t="inlineStr">
        <is>
          <t>EHH0008</t>
        </is>
      </c>
      <c r="F520" t="inlineStr">
        <is>
          <t>SELETIVA</t>
        </is>
      </c>
      <c r="G520" t="inlineStr">
        <is>
          <t>G&amp;S LONDRINA</t>
        </is>
      </c>
      <c r="H520" t="inlineStr">
        <is>
          <t>7.1.2</t>
        </is>
      </c>
      <c r="I520" t="inlineStr">
        <is>
          <t>MANUTENÇÃO DE VEÍCULOS/MAQUINAS</t>
        </is>
      </c>
      <c r="J520" t="n">
        <v>700.8</v>
      </c>
      <c r="K520" t="n">
        <v>-700.8</v>
      </c>
    </row>
    <row r="521" hidden="1" s="154">
      <c r="A521" t="n">
        <v>2025</v>
      </c>
      <c r="B521" t="inlineStr">
        <is>
          <t>2025-09</t>
        </is>
      </c>
      <c r="C521" t="inlineStr">
        <is>
          <t>Londrina</t>
        </is>
      </c>
      <c r="D521" t="inlineStr">
        <is>
          <t>HYUNDAI</t>
        </is>
      </c>
      <c r="E521" t="inlineStr">
        <is>
          <t>EHH0008</t>
        </is>
      </c>
      <c r="F521" t="inlineStr">
        <is>
          <t>SELETIVA</t>
        </is>
      </c>
      <c r="G521" t="inlineStr">
        <is>
          <t>G&amp;S LONDRINA</t>
        </is>
      </c>
      <c r="H521" t="inlineStr">
        <is>
          <t>7.1.18</t>
        </is>
      </c>
      <c r="I521" t="inlineStr">
        <is>
          <t>FRETES E CARRETOS</t>
        </is>
      </c>
      <c r="J521" t="n">
        <v>100</v>
      </c>
      <c r="K521" t="n">
        <v>-100</v>
      </c>
    </row>
    <row r="522" hidden="1" s="154">
      <c r="A522" t="n">
        <v>2025</v>
      </c>
      <c r="B522" t="inlineStr">
        <is>
          <t>2025-09</t>
        </is>
      </c>
      <c r="C522" t="inlineStr">
        <is>
          <t>Londrina</t>
        </is>
      </c>
      <c r="D522" t="inlineStr">
        <is>
          <t>HYUNDAI</t>
        </is>
      </c>
      <c r="E522" t="inlineStr">
        <is>
          <t>EHH0008</t>
        </is>
      </c>
      <c r="F522" t="inlineStr">
        <is>
          <t>SELETIVA</t>
        </is>
      </c>
      <c r="G522" t="inlineStr">
        <is>
          <t>G&amp;S PRUDENTE</t>
        </is>
      </c>
      <c r="H522" t="inlineStr">
        <is>
          <t>7.1.2</t>
        </is>
      </c>
      <c r="I522" t="inlineStr">
        <is>
          <t>MANUTENÇÃO DE VEÍCULOS/MAQUINAS</t>
        </is>
      </c>
      <c r="J522" t="n">
        <v>2800</v>
      </c>
      <c r="K522" t="n">
        <v>-2800</v>
      </c>
    </row>
    <row r="523" hidden="1" s="154">
      <c r="A523" t="n">
        <v>2025</v>
      </c>
      <c r="B523" t="inlineStr">
        <is>
          <t>2025-09</t>
        </is>
      </c>
      <c r="C523" t="inlineStr">
        <is>
          <t>Londrina</t>
        </is>
      </c>
      <c r="D523" t="inlineStr">
        <is>
          <t>HYUNDAI</t>
        </is>
      </c>
      <c r="E523" t="inlineStr">
        <is>
          <t>EHH0008</t>
        </is>
      </c>
      <c r="F523" t="inlineStr">
        <is>
          <t>SELETIVA</t>
        </is>
      </c>
      <c r="G523" t="inlineStr">
        <is>
          <t>CTA</t>
        </is>
      </c>
      <c r="H523" t="inlineStr">
        <is>
          <t>7.1.22</t>
        </is>
      </c>
      <c r="I523" t="inlineStr">
        <is>
          <t>COMBUSTÍVEL - DIESEL (INTERNO)</t>
        </is>
      </c>
      <c r="J523" t="n">
        <v>2321.81</v>
      </c>
      <c r="K523" t="n">
        <v>-2321.81</v>
      </c>
    </row>
    <row r="524" hidden="1" s="154">
      <c r="A524" t="n">
        <v>2025</v>
      </c>
      <c r="B524" t="inlineStr">
        <is>
          <t>2025-10</t>
        </is>
      </c>
      <c r="C524" t="inlineStr">
        <is>
          <t>Londrina</t>
        </is>
      </c>
      <c r="D524" t="inlineStr">
        <is>
          <t>HYUNDAI</t>
        </is>
      </c>
      <c r="E524" t="inlineStr">
        <is>
          <t>EHH0008</t>
        </is>
      </c>
      <c r="F524" t="inlineStr">
        <is>
          <t>SELETIVA</t>
        </is>
      </c>
      <c r="G524" t="inlineStr">
        <is>
          <t>G&amp;S LONDRINA</t>
        </is>
      </c>
      <c r="H524" t="inlineStr">
        <is>
          <t>7.1.2</t>
        </is>
      </c>
      <c r="I524" t="inlineStr">
        <is>
          <t>MANUTENÇÃO DE VEÍCULOS/MAQUINAS</t>
        </is>
      </c>
      <c r="J524" t="n">
        <v>1753.12</v>
      </c>
      <c r="K524" t="n">
        <v>-1753.12</v>
      </c>
    </row>
    <row r="525" hidden="1" s="154">
      <c r="A525" t="n">
        <v>2025</v>
      </c>
      <c r="B525" t="inlineStr">
        <is>
          <t>2025-10</t>
        </is>
      </c>
      <c r="C525" t="inlineStr">
        <is>
          <t>Londrina</t>
        </is>
      </c>
      <c r="D525" t="inlineStr">
        <is>
          <t>HYUNDAI</t>
        </is>
      </c>
      <c r="E525" t="inlineStr">
        <is>
          <t>EHH0008</t>
        </is>
      </c>
      <c r="F525" t="inlineStr">
        <is>
          <t>SELETIVA</t>
        </is>
      </c>
      <c r="G525" t="inlineStr">
        <is>
          <t>G&amp;S LONDRINA</t>
        </is>
      </c>
      <c r="H525" t="inlineStr">
        <is>
          <t>7.1.2</t>
        </is>
      </c>
      <c r="I525" t="inlineStr">
        <is>
          <t>MANUTENÇÃO DE VEÍCULOS/MAQUINAS</t>
        </is>
      </c>
      <c r="J525" t="n">
        <v>2131</v>
      </c>
      <c r="K525" t="n">
        <v>-2131</v>
      </c>
    </row>
    <row r="526" hidden="1" s="154">
      <c r="A526" t="n">
        <v>2025</v>
      </c>
      <c r="B526" t="inlineStr">
        <is>
          <t>2025-10</t>
        </is>
      </c>
      <c r="C526" t="inlineStr">
        <is>
          <t>Londrina</t>
        </is>
      </c>
      <c r="D526" t="inlineStr">
        <is>
          <t>HYUNDAI</t>
        </is>
      </c>
      <c r="E526" t="inlineStr">
        <is>
          <t>EHH0008</t>
        </is>
      </c>
      <c r="F526" t="inlineStr">
        <is>
          <t>SELETIVA</t>
        </is>
      </c>
      <c r="G526" t="inlineStr">
        <is>
          <t>G&amp;S LONDRINA</t>
        </is>
      </c>
      <c r="H526" t="inlineStr">
        <is>
          <t>7.1.2</t>
        </is>
      </c>
      <c r="I526" t="inlineStr">
        <is>
          <t>MANUTENÇÃO DE VEÍCULOS/MAQUINAS</t>
        </is>
      </c>
      <c r="J526" t="n">
        <v>3369</v>
      </c>
      <c r="K526" t="n">
        <v>-3369</v>
      </c>
    </row>
    <row r="527" hidden="1" s="154">
      <c r="A527" t="n">
        <v>2025</v>
      </c>
      <c r="B527" t="inlineStr">
        <is>
          <t>2025-10</t>
        </is>
      </c>
      <c r="C527" t="inlineStr">
        <is>
          <t>Londrina</t>
        </is>
      </c>
      <c r="D527" t="inlineStr">
        <is>
          <t>HYUNDAI</t>
        </is>
      </c>
      <c r="E527" t="inlineStr">
        <is>
          <t>EHH0008</t>
        </is>
      </c>
      <c r="F527" t="inlineStr">
        <is>
          <t>SELETIVA</t>
        </is>
      </c>
      <c r="G527" t="inlineStr">
        <is>
          <t>G3S LONDRINA</t>
        </is>
      </c>
      <c r="H527" t="inlineStr">
        <is>
          <t>7.1.2</t>
        </is>
      </c>
      <c r="I527" t="inlineStr">
        <is>
          <t>MANUTENÇÃO DE VEÍCULOS/MAQUINAS</t>
        </is>
      </c>
      <c r="J527" t="n">
        <v>243</v>
      </c>
      <c r="K527" t="n">
        <v>-243</v>
      </c>
    </row>
    <row r="528" hidden="1" s="154">
      <c r="A528" t="n">
        <v>2025</v>
      </c>
      <c r="B528" t="inlineStr">
        <is>
          <t>2025-10</t>
        </is>
      </c>
      <c r="C528" t="inlineStr">
        <is>
          <t>Londrina</t>
        </is>
      </c>
      <c r="D528" t="inlineStr">
        <is>
          <t>HYUNDAI</t>
        </is>
      </c>
      <c r="E528" t="inlineStr">
        <is>
          <t>EHH0008</t>
        </is>
      </c>
      <c r="F528" t="inlineStr">
        <is>
          <t>SELETIVA</t>
        </is>
      </c>
      <c r="G528" t="inlineStr">
        <is>
          <t>G&amp;S LONDRINA</t>
        </is>
      </c>
      <c r="H528" t="inlineStr">
        <is>
          <t>7.1.2</t>
        </is>
      </c>
      <c r="I528" t="inlineStr">
        <is>
          <t>MANUTENÇÃO DE VEÍCULOS/MAQUINAS</t>
        </is>
      </c>
      <c r="J528" t="n">
        <v>1600</v>
      </c>
      <c r="K528" t="n">
        <v>-1600</v>
      </c>
    </row>
    <row r="529" hidden="1" s="154">
      <c r="A529" t="n">
        <v>2025</v>
      </c>
      <c r="B529" t="inlineStr">
        <is>
          <t>2025-10</t>
        </is>
      </c>
      <c r="C529" t="inlineStr">
        <is>
          <t>Londrina</t>
        </is>
      </c>
      <c r="D529" t="inlineStr">
        <is>
          <t>HYUNDAI</t>
        </is>
      </c>
      <c r="E529" t="inlineStr">
        <is>
          <t>EHH0008</t>
        </is>
      </c>
      <c r="F529" t="inlineStr">
        <is>
          <t>SELETIVA</t>
        </is>
      </c>
      <c r="G529" t="inlineStr">
        <is>
          <t>CTA</t>
        </is>
      </c>
      <c r="H529" t="inlineStr">
        <is>
          <t>7.1.22</t>
        </is>
      </c>
      <c r="I529" t="inlineStr">
        <is>
          <t>COMBUSTÍVEL - DIESEL (INTERNO)</t>
        </is>
      </c>
      <c r="J529" t="n">
        <v>2580.35</v>
      </c>
      <c r="K529" t="n">
        <v>-2580.35</v>
      </c>
    </row>
    <row r="530" hidden="1" s="154">
      <c r="A530" t="n">
        <v>2025</v>
      </c>
      <c r="B530" t="inlineStr">
        <is>
          <t>2025-11</t>
        </is>
      </c>
      <c r="C530" t="inlineStr">
        <is>
          <t>Londrina</t>
        </is>
      </c>
      <c r="D530" t="inlineStr">
        <is>
          <t>HYUNDAI</t>
        </is>
      </c>
      <c r="E530" t="inlineStr">
        <is>
          <t>EHH0008</t>
        </is>
      </c>
      <c r="F530" t="inlineStr">
        <is>
          <t>SELETIVA</t>
        </is>
      </c>
      <c r="G530" t="inlineStr">
        <is>
          <t>G&amp;S LONDRINA</t>
        </is>
      </c>
      <c r="H530" t="inlineStr">
        <is>
          <t>7.1.18</t>
        </is>
      </c>
      <c r="I530" t="inlineStr">
        <is>
          <t>FRETES E CARRETOS</t>
        </is>
      </c>
      <c r="J530" t="n">
        <v>220.44</v>
      </c>
      <c r="K530" t="n">
        <v>-220.44</v>
      </c>
    </row>
    <row r="531" hidden="1" s="154">
      <c r="A531" t="n">
        <v>2025</v>
      </c>
      <c r="B531" t="inlineStr">
        <is>
          <t>2025-11</t>
        </is>
      </c>
      <c r="C531" t="inlineStr">
        <is>
          <t>Londrina</t>
        </is>
      </c>
      <c r="D531" t="inlineStr">
        <is>
          <t>HYUNDAI</t>
        </is>
      </c>
      <c r="E531" t="inlineStr">
        <is>
          <t>EHH0008</t>
        </is>
      </c>
      <c r="F531" t="inlineStr">
        <is>
          <t>SELETIVA</t>
        </is>
      </c>
      <c r="G531" t="inlineStr">
        <is>
          <t>CTA</t>
        </is>
      </c>
      <c r="H531" t="inlineStr">
        <is>
          <t>7.1.22</t>
        </is>
      </c>
      <c r="I531" t="inlineStr">
        <is>
          <t>COMBUSTÍVEL - DIESEL (INTERNO)</t>
        </is>
      </c>
      <c r="J531" t="n">
        <v>1239.22</v>
      </c>
      <c r="K531" t="n">
        <v>-1239.22</v>
      </c>
    </row>
    <row r="532" hidden="1" s="154">
      <c r="A532" t="n">
        <v>2025</v>
      </c>
      <c r="B532" t="inlineStr">
        <is>
          <t>2025-12</t>
        </is>
      </c>
      <c r="C532" t="inlineStr">
        <is>
          <t>Londrina</t>
        </is>
      </c>
      <c r="D532" t="inlineStr">
        <is>
          <t>HYUNDAI</t>
        </is>
      </c>
      <c r="E532" t="inlineStr">
        <is>
          <t>EHH0008</t>
        </is>
      </c>
      <c r="F532" t="inlineStr">
        <is>
          <t>SELETIVA</t>
        </is>
      </c>
      <c r="G532" t="inlineStr">
        <is>
          <t>G&amp;S LONDRINA</t>
        </is>
      </c>
      <c r="H532" t="inlineStr">
        <is>
          <t>7.1.2</t>
        </is>
      </c>
      <c r="I532" t="inlineStr">
        <is>
          <t>MANUTENÇÃO DE VEÍCULOS/MAQUINAS</t>
        </is>
      </c>
      <c r="J532" t="n">
        <v>2622.68</v>
      </c>
      <c r="K532" t="n">
        <v>-2622.68</v>
      </c>
    </row>
    <row r="533" hidden="1" s="154">
      <c r="A533" t="n">
        <v>2025</v>
      </c>
      <c r="B533" t="inlineStr">
        <is>
          <t>2025-12</t>
        </is>
      </c>
      <c r="C533" t="inlineStr">
        <is>
          <t>Londrina</t>
        </is>
      </c>
      <c r="D533" t="inlineStr">
        <is>
          <t>HYUNDAI</t>
        </is>
      </c>
      <c r="E533" t="inlineStr">
        <is>
          <t>EHH0008</t>
        </is>
      </c>
      <c r="F533" t="inlineStr">
        <is>
          <t>SELETIVA</t>
        </is>
      </c>
      <c r="G533" t="inlineStr">
        <is>
          <t>G&amp;S LONDRINA</t>
        </is>
      </c>
      <c r="H533" t="inlineStr">
        <is>
          <t>7.1.2</t>
        </is>
      </c>
      <c r="I533" t="inlineStr">
        <is>
          <t>MANUTENÇÃO DE VEÍCULOS/MAQUINAS</t>
        </is>
      </c>
      <c r="J533" t="n">
        <v>275</v>
      </c>
      <c r="K533" t="n">
        <v>-275</v>
      </c>
    </row>
    <row r="534" hidden="1" s="154">
      <c r="A534" t="n">
        <v>2025</v>
      </c>
      <c r="B534" t="inlineStr">
        <is>
          <t>2025-12</t>
        </is>
      </c>
      <c r="C534" t="inlineStr">
        <is>
          <t>Londrina</t>
        </is>
      </c>
      <c r="D534" t="inlineStr">
        <is>
          <t>HYUNDAI</t>
        </is>
      </c>
      <c r="E534" t="inlineStr">
        <is>
          <t>EHH0008</t>
        </is>
      </c>
      <c r="F534" t="inlineStr">
        <is>
          <t>SELETIVA</t>
        </is>
      </c>
      <c r="G534" t="inlineStr">
        <is>
          <t>G&amp;S PRUDENTE</t>
        </is>
      </c>
      <c r="H534" t="inlineStr">
        <is>
          <t>7.1.2</t>
        </is>
      </c>
      <c r="I534" t="inlineStr">
        <is>
          <t>MANUTENÇÃO DE VEÍCULOS/MAQUINAS</t>
        </is>
      </c>
      <c r="J534" t="n">
        <v>2400</v>
      </c>
      <c r="K534" t="n">
        <v>-2400</v>
      </c>
    </row>
    <row r="535" hidden="1" s="154">
      <c r="A535" t="n">
        <v>2025</v>
      </c>
      <c r="B535" t="inlineStr">
        <is>
          <t>2025-12</t>
        </is>
      </c>
      <c r="C535" t="inlineStr">
        <is>
          <t>Londrina</t>
        </is>
      </c>
      <c r="D535" t="inlineStr">
        <is>
          <t>HYUNDAI</t>
        </is>
      </c>
      <c r="E535" t="inlineStr">
        <is>
          <t>EHH0008</t>
        </is>
      </c>
      <c r="F535" t="inlineStr">
        <is>
          <t>SELETIVA</t>
        </is>
      </c>
      <c r="G535" t="inlineStr">
        <is>
          <t>G&amp;S LONDRINA</t>
        </is>
      </c>
      <c r="H535" t="inlineStr">
        <is>
          <t>7.1.2</t>
        </is>
      </c>
      <c r="I535" t="inlineStr">
        <is>
          <t>MANUTENÇÃO DE VEÍCULOS/MAQUINAS</t>
        </is>
      </c>
      <c r="J535" t="n">
        <v>1023</v>
      </c>
      <c r="K535" t="n">
        <v>-1023</v>
      </c>
    </row>
    <row r="536" hidden="1" s="154">
      <c r="A536" t="n">
        <v>2026</v>
      </c>
      <c r="B536" t="inlineStr">
        <is>
          <t>2026-02</t>
        </is>
      </c>
      <c r="C536" t="inlineStr">
        <is>
          <t>Londrina</t>
        </is>
      </c>
      <c r="D536" t="inlineStr">
        <is>
          <t>HYUNDAI</t>
        </is>
      </c>
      <c r="E536" t="inlineStr">
        <is>
          <t>EHH0008</t>
        </is>
      </c>
      <c r="F536" t="inlineStr">
        <is>
          <t>SELETIVA</t>
        </is>
      </c>
      <c r="G536" t="inlineStr">
        <is>
          <t>G&amp;S LONDRINA</t>
        </is>
      </c>
      <c r="H536" t="inlineStr">
        <is>
          <t>7.1.2</t>
        </is>
      </c>
      <c r="I536" t="inlineStr">
        <is>
          <t>MANUTENÇÃO DE VEÍCULOS/MAQUINAS</t>
        </is>
      </c>
      <c r="J536" t="n">
        <v>1416.57</v>
      </c>
      <c r="K536" t="n">
        <v>-1416.57</v>
      </c>
    </row>
    <row r="537" hidden="1" s="154">
      <c r="A537" t="n">
        <v>2026</v>
      </c>
      <c r="B537" t="inlineStr">
        <is>
          <t>2026-02</t>
        </is>
      </c>
      <c r="C537" t="inlineStr">
        <is>
          <t>Londrina</t>
        </is>
      </c>
      <c r="D537" t="inlineStr">
        <is>
          <t>HYUNDAI</t>
        </is>
      </c>
      <c r="E537" t="inlineStr">
        <is>
          <t>EHH0008</t>
        </is>
      </c>
      <c r="F537" t="inlineStr">
        <is>
          <t>SELETIVA</t>
        </is>
      </c>
      <c r="G537" t="inlineStr">
        <is>
          <t>G&amp;S PRUDENTE</t>
        </is>
      </c>
      <c r="H537" t="inlineStr">
        <is>
          <t>7.1.2</t>
        </is>
      </c>
      <c r="I537" t="inlineStr">
        <is>
          <t>MANUTENÇÃO DE VEÍCULOS/MAQUINAS</t>
        </is>
      </c>
      <c r="J537" t="n">
        <v>890</v>
      </c>
      <c r="K537" t="n">
        <v>-890</v>
      </c>
    </row>
    <row r="538" hidden="1" s="154">
      <c r="A538" t="n">
        <v>2026</v>
      </c>
      <c r="B538" t="inlineStr">
        <is>
          <t>2026-02</t>
        </is>
      </c>
      <c r="C538" t="inlineStr">
        <is>
          <t>Londrina</t>
        </is>
      </c>
      <c r="D538" t="inlineStr">
        <is>
          <t>HYUNDAI</t>
        </is>
      </c>
      <c r="E538" t="inlineStr">
        <is>
          <t>EHH0008</t>
        </is>
      </c>
      <c r="F538" t="inlineStr">
        <is>
          <t>SELETIVA</t>
        </is>
      </c>
      <c r="G538" t="inlineStr">
        <is>
          <t>G&amp;S PRUDENTE</t>
        </is>
      </c>
      <c r="H538" t="inlineStr">
        <is>
          <t>7.1.2</t>
        </is>
      </c>
      <c r="I538" t="inlineStr">
        <is>
          <t>MANUTENÇÃO DE VEÍCULOS/MAQUINAS</t>
        </is>
      </c>
      <c r="J538" t="n">
        <v>1663.51</v>
      </c>
      <c r="K538" t="n">
        <v>-1663.51</v>
      </c>
    </row>
    <row r="539" hidden="1" s="154">
      <c r="A539" t="n">
        <v>2026</v>
      </c>
      <c r="B539" t="inlineStr">
        <is>
          <t>2026-02</t>
        </is>
      </c>
      <c r="C539" t="inlineStr">
        <is>
          <t>Londrina</t>
        </is>
      </c>
      <c r="D539" t="inlineStr">
        <is>
          <t>HYUNDAI</t>
        </is>
      </c>
      <c r="E539" t="inlineStr">
        <is>
          <t>EHH0008</t>
        </is>
      </c>
      <c r="F539" t="inlineStr">
        <is>
          <t>SELETIVA</t>
        </is>
      </c>
      <c r="G539" t="inlineStr">
        <is>
          <t>G&amp;S LONDRINA</t>
        </is>
      </c>
      <c r="H539" t="inlineStr">
        <is>
          <t>7.1.2</t>
        </is>
      </c>
      <c r="I539" t="inlineStr">
        <is>
          <t>MANUTENÇÃO DE VEÍCULOS/MAQUINAS</t>
        </is>
      </c>
      <c r="J539" t="n">
        <v>650</v>
      </c>
      <c r="K539" t="n">
        <v>-650</v>
      </c>
    </row>
    <row r="540" hidden="1" s="154">
      <c r="A540" t="n">
        <v>2026</v>
      </c>
      <c r="B540" t="inlineStr">
        <is>
          <t>2026-02</t>
        </is>
      </c>
      <c r="C540" t="inlineStr">
        <is>
          <t>Londrina</t>
        </is>
      </c>
      <c r="D540" t="inlineStr">
        <is>
          <t>HYUNDAI</t>
        </is>
      </c>
      <c r="E540" t="inlineStr">
        <is>
          <t>EHH0008</t>
        </is>
      </c>
      <c r="F540" t="inlineStr">
        <is>
          <t>SELETIVA</t>
        </is>
      </c>
      <c r="G540" t="inlineStr">
        <is>
          <t>G&amp;S LONDRINA</t>
        </is>
      </c>
      <c r="H540" t="inlineStr">
        <is>
          <t>7.1.18</t>
        </is>
      </c>
      <c r="I540" t="inlineStr">
        <is>
          <t>FRETES E CARRETOS</t>
        </is>
      </c>
      <c r="J540" t="n">
        <v>65.98</v>
      </c>
      <c r="K540" t="n">
        <v>-65.98</v>
      </c>
    </row>
    <row r="541" hidden="1" s="154">
      <c r="A541" t="n">
        <v>2026</v>
      </c>
      <c r="B541" t="inlineStr">
        <is>
          <t>2026-03</t>
        </is>
      </c>
      <c r="C541" t="inlineStr">
        <is>
          <t>Londrina</t>
        </is>
      </c>
      <c r="D541" t="inlineStr">
        <is>
          <t>HYUNDAI</t>
        </is>
      </c>
      <c r="E541" t="inlineStr">
        <is>
          <t>EHH0008</t>
        </is>
      </c>
      <c r="F541" t="inlineStr">
        <is>
          <t>SELETIVA</t>
        </is>
      </c>
      <c r="G541" t="inlineStr">
        <is>
          <t>G3S LONDRINA</t>
        </is>
      </c>
      <c r="H541" t="inlineStr">
        <is>
          <t>7.1.2</t>
        </is>
      </c>
      <c r="I541" t="inlineStr">
        <is>
          <t>MANUTENÇÃO DE VEÍCULOS/MAQUINAS</t>
        </is>
      </c>
      <c r="J541" t="n">
        <v>40</v>
      </c>
      <c r="K541" t="n">
        <v>-40</v>
      </c>
    </row>
    <row r="542" hidden="1" s="154">
      <c r="A542" t="n">
        <v>2026</v>
      </c>
      <c r="B542" t="inlineStr">
        <is>
          <t>2026-03</t>
        </is>
      </c>
      <c r="C542" t="inlineStr">
        <is>
          <t>Londrina</t>
        </is>
      </c>
      <c r="D542" t="inlineStr">
        <is>
          <t>HYUNDAI</t>
        </is>
      </c>
      <c r="E542" t="inlineStr">
        <is>
          <t>EHH0008</t>
        </is>
      </c>
      <c r="F542" t="inlineStr">
        <is>
          <t>SELETIVA</t>
        </is>
      </c>
      <c r="G542" t="inlineStr">
        <is>
          <t>G&amp;S LONDRINA</t>
        </is>
      </c>
      <c r="H542" t="inlineStr">
        <is>
          <t>7.1.2</t>
        </is>
      </c>
      <c r="I542" t="inlineStr">
        <is>
          <t>MANUTENÇÃO DE VEÍCULOS/MAQUINAS</t>
        </is>
      </c>
      <c r="J542" t="n">
        <v>1550</v>
      </c>
      <c r="K542" t="n">
        <v>-1550</v>
      </c>
    </row>
    <row r="543" hidden="1" s="154">
      <c r="A543" t="n">
        <v>2025</v>
      </c>
      <c r="B543" t="inlineStr">
        <is>
          <t>2025-01</t>
        </is>
      </c>
      <c r="C543" t="inlineStr">
        <is>
          <t>Londrina</t>
        </is>
      </c>
      <c r="D543" t="inlineStr">
        <is>
          <t>HYUNDAI</t>
        </is>
      </c>
      <c r="E543" t="inlineStr">
        <is>
          <t>EHH0040</t>
        </is>
      </c>
      <c r="F543" t="inlineStr">
        <is>
          <t>SELETIVA</t>
        </is>
      </c>
      <c r="G543" t="inlineStr">
        <is>
          <t>G&amp;G MATRIZ</t>
        </is>
      </c>
      <c r="H543" t="inlineStr">
        <is>
          <t>7.1.22</t>
        </is>
      </c>
      <c r="I543" t="inlineStr">
        <is>
          <t>COMBUSTÍVEL - DIESEL (INTERNO)</t>
        </is>
      </c>
      <c r="J543" t="n">
        <v>1248.75</v>
      </c>
      <c r="K543" t="n">
        <v>1248.75</v>
      </c>
    </row>
    <row r="544" hidden="1" s="154">
      <c r="A544" t="n">
        <v>2025</v>
      </c>
      <c r="B544" t="inlineStr">
        <is>
          <t>2025-01</t>
        </is>
      </c>
      <c r="C544" t="inlineStr">
        <is>
          <t>Londrina</t>
        </is>
      </c>
      <c r="D544" t="inlineStr">
        <is>
          <t>HYUNDAI</t>
        </is>
      </c>
      <c r="E544" t="inlineStr">
        <is>
          <t>EHH0040</t>
        </is>
      </c>
      <c r="F544" t="inlineStr">
        <is>
          <t>SELETIVA</t>
        </is>
      </c>
      <c r="G544" t="inlineStr">
        <is>
          <t>G&amp;G MATRIZ</t>
        </is>
      </c>
      <c r="H544" t="inlineStr">
        <is>
          <t>7.1.22</t>
        </is>
      </c>
      <c r="I544" t="inlineStr">
        <is>
          <t>COMBUSTÍVEL - DIESEL (INTERNO)</t>
        </is>
      </c>
      <c r="J544" t="n">
        <v>1556.78</v>
      </c>
      <c r="K544" t="n">
        <v>1556.78</v>
      </c>
    </row>
    <row r="545" hidden="1" s="154">
      <c r="A545" t="n">
        <v>2025</v>
      </c>
      <c r="B545" t="inlineStr">
        <is>
          <t>2025-01</t>
        </is>
      </c>
      <c r="C545" t="inlineStr">
        <is>
          <t>Londrina</t>
        </is>
      </c>
      <c r="D545" t="inlineStr">
        <is>
          <t>HYUNDAI</t>
        </is>
      </c>
      <c r="E545" t="inlineStr">
        <is>
          <t>EHH0040</t>
        </is>
      </c>
      <c r="F545" t="inlineStr">
        <is>
          <t>SELETIVA</t>
        </is>
      </c>
      <c r="G545" t="inlineStr">
        <is>
          <t>G&amp;G MARINGA</t>
        </is>
      </c>
      <c r="H545" t="inlineStr">
        <is>
          <t>7.1.4</t>
        </is>
      </c>
      <c r="I545" t="inlineStr">
        <is>
          <t>COMBUSTÍVEL - DIESEL (POSTO)</t>
        </is>
      </c>
      <c r="J545" t="n">
        <v>960</v>
      </c>
      <c r="K545" t="n">
        <v>960</v>
      </c>
    </row>
    <row r="546" hidden="1" s="154">
      <c r="A546" t="n">
        <v>2025</v>
      </c>
      <c r="B546" t="inlineStr">
        <is>
          <t>2025-01</t>
        </is>
      </c>
      <c r="C546" t="inlineStr">
        <is>
          <t>Londrina</t>
        </is>
      </c>
      <c r="D546" t="inlineStr">
        <is>
          <t>HYUNDAI</t>
        </is>
      </c>
      <c r="E546" t="inlineStr">
        <is>
          <t>EHH0040</t>
        </is>
      </c>
      <c r="F546" t="inlineStr">
        <is>
          <t>SELETIVA</t>
        </is>
      </c>
      <c r="G546" t="inlineStr">
        <is>
          <t>G&amp;G MATRIZ</t>
        </is>
      </c>
      <c r="H546" t="inlineStr">
        <is>
          <t>7.1.22</t>
        </is>
      </c>
      <c r="I546" t="inlineStr">
        <is>
          <t>COMBUSTÍVEL - DIESEL (INTERNO)</t>
        </is>
      </c>
      <c r="J546" t="n">
        <v>1487.4</v>
      </c>
      <c r="K546" t="n">
        <v>1487.4</v>
      </c>
    </row>
    <row r="547" hidden="1" s="154">
      <c r="A547" t="n">
        <v>2025</v>
      </c>
      <c r="B547" t="inlineStr">
        <is>
          <t>2025-01</t>
        </is>
      </c>
      <c r="C547" t="inlineStr">
        <is>
          <t>Londrina</t>
        </is>
      </c>
      <c r="D547" t="inlineStr">
        <is>
          <t>HYUNDAI</t>
        </is>
      </c>
      <c r="E547" t="inlineStr">
        <is>
          <t>EHH0040</t>
        </is>
      </c>
      <c r="F547" t="inlineStr">
        <is>
          <t>SELETIVA</t>
        </is>
      </c>
      <c r="G547" t="inlineStr">
        <is>
          <t>G&amp;G MATRIZ</t>
        </is>
      </c>
      <c r="H547" t="inlineStr">
        <is>
          <t>7.1.22</t>
        </is>
      </c>
      <c r="I547" t="inlineStr">
        <is>
          <t>COMBUSTÍVEL - DIESEL (INTERNO)</t>
        </is>
      </c>
      <c r="J547" t="n">
        <v>1663.92</v>
      </c>
      <c r="K547" t="n">
        <v>1663.92</v>
      </c>
    </row>
    <row r="548" hidden="1" s="154">
      <c r="A548" t="n">
        <v>2025</v>
      </c>
      <c r="B548" t="inlineStr">
        <is>
          <t>2025-01</t>
        </is>
      </c>
      <c r="C548" t="inlineStr">
        <is>
          <t>Londrina</t>
        </is>
      </c>
      <c r="D548" t="inlineStr">
        <is>
          <t>HYUNDAI</t>
        </is>
      </c>
      <c r="E548" t="inlineStr">
        <is>
          <t>EHH0040</t>
        </is>
      </c>
      <c r="F548" t="inlineStr">
        <is>
          <t>SELETIVA</t>
        </is>
      </c>
      <c r="G548" t="inlineStr">
        <is>
          <t>G&amp;G MATRIZ</t>
        </is>
      </c>
      <c r="H548" t="inlineStr">
        <is>
          <t>7.1.22</t>
        </is>
      </c>
      <c r="I548" t="inlineStr">
        <is>
          <t>COMBUSTÍVEL - DIESEL (INTERNO)</t>
        </is>
      </c>
      <c r="J548" t="n">
        <v>1598.95</v>
      </c>
      <c r="K548" t="n">
        <v>1598.95</v>
      </c>
    </row>
    <row r="549" hidden="1" s="154">
      <c r="A549" t="n">
        <v>2025</v>
      </c>
      <c r="B549" t="inlineStr">
        <is>
          <t>2025-01</t>
        </is>
      </c>
      <c r="C549" t="inlineStr">
        <is>
          <t>Londrina</t>
        </is>
      </c>
      <c r="D549" t="inlineStr">
        <is>
          <t>HYUNDAI</t>
        </is>
      </c>
      <c r="E549" t="inlineStr">
        <is>
          <t>EHH0040</t>
        </is>
      </c>
      <c r="F549" t="inlineStr">
        <is>
          <t>SELETIVA</t>
        </is>
      </c>
      <c r="G549" t="inlineStr">
        <is>
          <t>G&amp;G MARINGA</t>
        </is>
      </c>
      <c r="H549" t="inlineStr">
        <is>
          <t>7.1.4</t>
        </is>
      </c>
      <c r="I549" t="inlineStr">
        <is>
          <t>COMBUSTÍVEL - DIESEL (POSTO)</t>
        </is>
      </c>
      <c r="J549" t="n">
        <v>784</v>
      </c>
      <c r="K549" t="n">
        <v>784</v>
      </c>
    </row>
    <row r="550" hidden="1" s="154">
      <c r="A550" t="n">
        <v>2025</v>
      </c>
      <c r="B550" t="inlineStr">
        <is>
          <t>2025-01</t>
        </is>
      </c>
      <c r="C550" t="inlineStr">
        <is>
          <t>Londrina</t>
        </is>
      </c>
      <c r="D550" t="inlineStr">
        <is>
          <t>HYUNDAI</t>
        </is>
      </c>
      <c r="E550" t="inlineStr">
        <is>
          <t>EHH0040</t>
        </is>
      </c>
      <c r="F550" t="inlineStr">
        <is>
          <t>SELETIVA</t>
        </is>
      </c>
      <c r="G550" t="inlineStr">
        <is>
          <t>G&amp;G MATRIZ</t>
        </is>
      </c>
      <c r="H550" t="inlineStr">
        <is>
          <t>7.1.1</t>
        </is>
      </c>
      <c r="I550" t="inlineStr">
        <is>
          <t>PEÇAS DE MANUTENÇÃO</t>
        </is>
      </c>
      <c r="J550" t="n">
        <v>900</v>
      </c>
      <c r="K550" t="n">
        <v>900</v>
      </c>
    </row>
    <row r="551" hidden="1" s="154">
      <c r="A551" t="n">
        <v>2025</v>
      </c>
      <c r="B551" t="inlineStr">
        <is>
          <t>2025-01</t>
        </is>
      </c>
      <c r="C551" t="inlineStr">
        <is>
          <t>Londrina</t>
        </is>
      </c>
      <c r="D551" t="inlineStr">
        <is>
          <t>HYUNDAI</t>
        </is>
      </c>
      <c r="E551" t="inlineStr">
        <is>
          <t>EHH0040</t>
        </is>
      </c>
      <c r="F551" t="inlineStr">
        <is>
          <t>SELETIVA</t>
        </is>
      </c>
      <c r="G551" t="inlineStr">
        <is>
          <t>G&amp;G MATRIZ</t>
        </is>
      </c>
      <c r="H551" t="inlineStr">
        <is>
          <t>7.1.2</t>
        </is>
      </c>
      <c r="I551" t="inlineStr">
        <is>
          <t>MANUTENÇÃO DE VEÍCULOS/MAQUINAS</t>
        </is>
      </c>
      <c r="J551" t="n">
        <v>569.3200000000001</v>
      </c>
      <c r="K551" t="n">
        <v>569.3200000000001</v>
      </c>
    </row>
    <row r="552" hidden="1" s="154">
      <c r="A552" t="n">
        <v>2025</v>
      </c>
      <c r="B552" t="inlineStr">
        <is>
          <t>2025-01</t>
        </is>
      </c>
      <c r="C552" t="inlineStr">
        <is>
          <t>Londrina</t>
        </is>
      </c>
      <c r="D552" t="inlineStr">
        <is>
          <t>HYUNDAI</t>
        </is>
      </c>
      <c r="E552" t="inlineStr">
        <is>
          <t>EHH0040</t>
        </is>
      </c>
      <c r="F552" t="inlineStr">
        <is>
          <t>SELETIVA</t>
        </is>
      </c>
      <c r="G552" t="inlineStr">
        <is>
          <t>G&amp;G MATRIZ</t>
        </is>
      </c>
      <c r="H552" t="inlineStr">
        <is>
          <t>7.1.1</t>
        </is>
      </c>
      <c r="I552" t="inlineStr">
        <is>
          <t>PEÇAS DE MANUTENÇÃO</t>
        </is>
      </c>
      <c r="J552" t="n">
        <v>1094.93</v>
      </c>
      <c r="K552" t="n">
        <v>1094.93</v>
      </c>
    </row>
    <row r="553" hidden="1" s="154">
      <c r="A553" t="n">
        <v>2025</v>
      </c>
      <c r="B553" t="inlineStr">
        <is>
          <t>2025-01</t>
        </is>
      </c>
      <c r="C553" t="inlineStr">
        <is>
          <t>Londrina</t>
        </is>
      </c>
      <c r="D553" t="inlineStr">
        <is>
          <t>HYUNDAI</t>
        </is>
      </c>
      <c r="E553" t="inlineStr">
        <is>
          <t>EHH0040</t>
        </is>
      </c>
      <c r="F553" t="inlineStr">
        <is>
          <t>SELETIVA</t>
        </is>
      </c>
      <c r="G553" t="inlineStr">
        <is>
          <t>G&amp;G MATRIZ</t>
        </is>
      </c>
      <c r="H553" t="inlineStr">
        <is>
          <t>7.1.1</t>
        </is>
      </c>
      <c r="I553" t="inlineStr">
        <is>
          <t>PEÇAS DE MANUTENÇÃO</t>
        </is>
      </c>
      <c r="J553" t="n">
        <v>1113.19</v>
      </c>
      <c r="K553" t="n">
        <v>1113.19</v>
      </c>
    </row>
    <row r="554" hidden="1" s="154">
      <c r="A554" t="n">
        <v>2025</v>
      </c>
      <c r="B554" t="inlineStr">
        <is>
          <t>2025-02</t>
        </is>
      </c>
      <c r="C554" t="inlineStr">
        <is>
          <t>Londrina</t>
        </is>
      </c>
      <c r="D554" t="inlineStr">
        <is>
          <t>HYUNDAI</t>
        </is>
      </c>
      <c r="E554" t="inlineStr">
        <is>
          <t>EHH0040</t>
        </is>
      </c>
      <c r="F554" t="inlineStr">
        <is>
          <t>SELETIVA</t>
        </is>
      </c>
      <c r="G554" t="inlineStr">
        <is>
          <t>G&amp;G MATRIZ</t>
        </is>
      </c>
      <c r="H554" t="inlineStr">
        <is>
          <t>7.1.22</t>
        </is>
      </c>
      <c r="I554" t="inlineStr">
        <is>
          <t>COMBUSTÍVEL - DIESEL (INTERNO)</t>
        </is>
      </c>
      <c r="J554" t="n">
        <v>1364.47</v>
      </c>
      <c r="K554" t="n">
        <v>1364.47</v>
      </c>
    </row>
    <row r="555" hidden="1" s="154">
      <c r="A555" t="n">
        <v>2025</v>
      </c>
      <c r="B555" t="inlineStr">
        <is>
          <t>2025-02</t>
        </is>
      </c>
      <c r="C555" t="inlineStr">
        <is>
          <t>Londrina</t>
        </is>
      </c>
      <c r="D555" t="inlineStr">
        <is>
          <t>HYUNDAI</t>
        </is>
      </c>
      <c r="E555" t="inlineStr">
        <is>
          <t>EHH0040</t>
        </is>
      </c>
      <c r="F555" t="inlineStr">
        <is>
          <t>SELETIVA</t>
        </is>
      </c>
      <c r="G555" t="inlineStr">
        <is>
          <t>G&amp;G MATRIZ</t>
        </is>
      </c>
      <c r="H555" t="inlineStr">
        <is>
          <t>7.1.22</t>
        </is>
      </c>
      <c r="I555" t="inlineStr">
        <is>
          <t>COMBUSTÍVEL - DIESEL (INTERNO)</t>
        </is>
      </c>
      <c r="J555" t="n">
        <v>1711.95</v>
      </c>
      <c r="K555" t="n">
        <v>1711.95</v>
      </c>
    </row>
    <row r="556" hidden="1" s="154">
      <c r="A556" t="n">
        <v>2025</v>
      </c>
      <c r="B556" t="inlineStr">
        <is>
          <t>2025-02</t>
        </is>
      </c>
      <c r="C556" t="inlineStr">
        <is>
          <t>Londrina</t>
        </is>
      </c>
      <c r="D556" t="inlineStr">
        <is>
          <t>HYUNDAI</t>
        </is>
      </c>
      <c r="E556" t="inlineStr">
        <is>
          <t>EHH0040</t>
        </is>
      </c>
      <c r="F556" t="inlineStr">
        <is>
          <t>SELETIVA</t>
        </is>
      </c>
      <c r="G556" t="inlineStr">
        <is>
          <t>G&amp;G MARINGA</t>
        </is>
      </c>
      <c r="H556" t="inlineStr">
        <is>
          <t>7.1.4</t>
        </is>
      </c>
      <c r="I556" t="inlineStr">
        <is>
          <t>COMBUSTÍVEL - DIESEL (POSTO)</t>
        </is>
      </c>
      <c r="J556" t="n">
        <v>1147.5</v>
      </c>
      <c r="K556" t="n">
        <v>1147.5</v>
      </c>
    </row>
    <row r="557" hidden="1" s="154">
      <c r="A557" t="n">
        <v>2025</v>
      </c>
      <c r="B557" t="inlineStr">
        <is>
          <t>2025-02</t>
        </is>
      </c>
      <c r="C557" t="inlineStr">
        <is>
          <t>Londrina</t>
        </is>
      </c>
      <c r="D557" t="inlineStr">
        <is>
          <t>HYUNDAI</t>
        </is>
      </c>
      <c r="E557" t="inlineStr">
        <is>
          <t>EHH0040</t>
        </is>
      </c>
      <c r="F557" t="inlineStr">
        <is>
          <t>SELETIVA</t>
        </is>
      </c>
      <c r="G557" t="inlineStr">
        <is>
          <t>G&amp;G MATRIZ</t>
        </is>
      </c>
      <c r="H557" t="inlineStr">
        <is>
          <t>7.1.22</t>
        </is>
      </c>
      <c r="I557" t="inlineStr">
        <is>
          <t>COMBUSTÍVEL - DIESEL (INTERNO)</t>
        </is>
      </c>
      <c r="J557" t="n">
        <v>1615.9</v>
      </c>
      <c r="K557" t="n">
        <v>1615.9</v>
      </c>
    </row>
    <row r="558" hidden="1" s="154">
      <c r="A558" t="n">
        <v>2025</v>
      </c>
      <c r="B558" t="inlineStr">
        <is>
          <t>2025-03</t>
        </is>
      </c>
      <c r="C558" t="inlineStr">
        <is>
          <t>Londrina</t>
        </is>
      </c>
      <c r="D558" t="inlineStr">
        <is>
          <t>HYUNDAI</t>
        </is>
      </c>
      <c r="E558" t="inlineStr">
        <is>
          <t>EHH0040</t>
        </is>
      </c>
      <c r="F558" t="inlineStr">
        <is>
          <t>SELETIVA</t>
        </is>
      </c>
      <c r="G558" t="inlineStr">
        <is>
          <t>G&amp;G MATRIZ</t>
        </is>
      </c>
      <c r="H558" t="inlineStr">
        <is>
          <t>7.1.22</t>
        </is>
      </c>
      <c r="I558" t="inlineStr">
        <is>
          <t>COMBUSTÍVEL - DIESEL (INTERNO)</t>
        </is>
      </c>
      <c r="J558" t="n">
        <v>1488.7</v>
      </c>
      <c r="K558" t="n">
        <v>1488.7</v>
      </c>
    </row>
    <row r="559" hidden="1" s="154">
      <c r="A559" t="n">
        <v>2025</v>
      </c>
      <c r="B559" t="inlineStr">
        <is>
          <t>2025-03</t>
        </is>
      </c>
      <c r="C559" t="inlineStr">
        <is>
          <t>Londrina</t>
        </is>
      </c>
      <c r="D559" t="inlineStr">
        <is>
          <t>HYUNDAI</t>
        </is>
      </c>
      <c r="E559" t="inlineStr">
        <is>
          <t>EHH0040</t>
        </is>
      </c>
      <c r="F559" t="inlineStr">
        <is>
          <t>SELETIVA</t>
        </is>
      </c>
      <c r="G559" t="inlineStr">
        <is>
          <t>G&amp;G MATRIZ</t>
        </is>
      </c>
      <c r="H559" t="inlineStr">
        <is>
          <t>7.1.22</t>
        </is>
      </c>
      <c r="I559" t="inlineStr">
        <is>
          <t>COMBUSTÍVEL - DIESEL (INTERNO)</t>
        </is>
      </c>
      <c r="J559" t="n">
        <v>1698.9</v>
      </c>
      <c r="K559" t="n">
        <v>1698.9</v>
      </c>
    </row>
    <row r="560" hidden="1" s="154">
      <c r="A560" t="n">
        <v>2025</v>
      </c>
      <c r="B560" t="inlineStr">
        <is>
          <t>2025-03</t>
        </is>
      </c>
      <c r="C560" t="inlineStr">
        <is>
          <t>Londrina</t>
        </is>
      </c>
      <c r="D560" t="inlineStr">
        <is>
          <t>HYUNDAI</t>
        </is>
      </c>
      <c r="E560" t="inlineStr">
        <is>
          <t>EHH0040</t>
        </is>
      </c>
      <c r="F560" t="inlineStr">
        <is>
          <t>SELETIVA</t>
        </is>
      </c>
      <c r="G560" t="inlineStr">
        <is>
          <t>G&amp;G MATRIZ</t>
        </is>
      </c>
      <c r="H560" t="inlineStr">
        <is>
          <t>7.1.22</t>
        </is>
      </c>
      <c r="I560" t="inlineStr">
        <is>
          <t>COMBUSTÍVEL - DIESEL (INTERNO)</t>
        </is>
      </c>
      <c r="J560" t="n">
        <v>1664.35</v>
      </c>
      <c r="K560" t="n">
        <v>1664.35</v>
      </c>
    </row>
    <row r="561" hidden="1" s="154">
      <c r="A561" t="n">
        <v>2025</v>
      </c>
      <c r="B561" t="inlineStr">
        <is>
          <t>2025-03</t>
        </is>
      </c>
      <c r="C561" t="inlineStr">
        <is>
          <t>Londrina</t>
        </is>
      </c>
      <c r="D561" t="inlineStr">
        <is>
          <t>HYUNDAI</t>
        </is>
      </c>
      <c r="E561" t="inlineStr">
        <is>
          <t>EHH0040</t>
        </is>
      </c>
      <c r="F561" t="inlineStr">
        <is>
          <t>SELETIVA</t>
        </is>
      </c>
      <c r="G561" t="inlineStr">
        <is>
          <t>G&amp;G MATRIZ</t>
        </is>
      </c>
      <c r="H561" t="inlineStr">
        <is>
          <t>7.1.22</t>
        </is>
      </c>
      <c r="I561" t="inlineStr">
        <is>
          <t>COMBUSTÍVEL - DIESEL (INTERNO)</t>
        </is>
      </c>
      <c r="J561" t="n">
        <v>1831.36</v>
      </c>
      <c r="K561" t="n">
        <v>1831.36</v>
      </c>
    </row>
    <row r="562" hidden="1" s="154">
      <c r="A562" t="n">
        <v>2025</v>
      </c>
      <c r="B562" t="inlineStr">
        <is>
          <t>2025-03</t>
        </is>
      </c>
      <c r="C562" t="inlineStr">
        <is>
          <t>Londrina</t>
        </is>
      </c>
      <c r="D562" t="inlineStr">
        <is>
          <t>HYUNDAI</t>
        </is>
      </c>
      <c r="E562" t="inlineStr">
        <is>
          <t>EHH0040</t>
        </is>
      </c>
      <c r="F562" t="inlineStr">
        <is>
          <t>SELETIVA</t>
        </is>
      </c>
      <c r="G562" t="inlineStr">
        <is>
          <t>G&amp;G MATRIZ</t>
        </is>
      </c>
      <c r="H562" t="inlineStr">
        <is>
          <t>7.1.22</t>
        </is>
      </c>
      <c r="I562" t="inlineStr">
        <is>
          <t>COMBUSTÍVEL - DIESEL (INTERNO)</t>
        </is>
      </c>
      <c r="J562" t="n">
        <v>1420.97</v>
      </c>
      <c r="K562" t="n">
        <v>1420.97</v>
      </c>
    </row>
    <row r="563" hidden="1" s="154">
      <c r="A563" t="n">
        <v>2025</v>
      </c>
      <c r="B563" t="inlineStr">
        <is>
          <t>2025-03</t>
        </is>
      </c>
      <c r="C563" t="inlineStr">
        <is>
          <t>Londrina</t>
        </is>
      </c>
      <c r="D563" t="inlineStr">
        <is>
          <t>HYUNDAI</t>
        </is>
      </c>
      <c r="E563" t="inlineStr">
        <is>
          <t>EHH0040</t>
        </is>
      </c>
      <c r="F563" t="inlineStr">
        <is>
          <t>SELETIVA</t>
        </is>
      </c>
      <c r="G563" t="inlineStr">
        <is>
          <t>G&amp;G MATRIZ</t>
        </is>
      </c>
      <c r="H563" t="inlineStr">
        <is>
          <t>7.1.22</t>
        </is>
      </c>
      <c r="I563" t="inlineStr">
        <is>
          <t>COMBUSTÍVEL - DIESEL (INTERNO)</t>
        </is>
      </c>
      <c r="J563" t="n">
        <v>1666.75</v>
      </c>
      <c r="K563" t="n">
        <v>1666.75</v>
      </c>
    </row>
    <row r="564" hidden="1" s="154">
      <c r="A564" t="n">
        <v>2025</v>
      </c>
      <c r="B564" t="inlineStr">
        <is>
          <t>2025-03</t>
        </is>
      </c>
      <c r="C564" t="inlineStr">
        <is>
          <t>Londrina</t>
        </is>
      </c>
      <c r="D564" t="inlineStr">
        <is>
          <t>HYUNDAI</t>
        </is>
      </c>
      <c r="E564" t="inlineStr">
        <is>
          <t>EHH0040</t>
        </is>
      </c>
      <c r="F564" t="inlineStr">
        <is>
          <t>SELETIVA</t>
        </is>
      </c>
      <c r="G564" t="inlineStr">
        <is>
          <t>G&amp;G MATRIZ</t>
        </is>
      </c>
      <c r="H564" t="inlineStr">
        <is>
          <t>7.1.22</t>
        </is>
      </c>
      <c r="I564" t="inlineStr">
        <is>
          <t>COMBUSTÍVEL - DIESEL (INTERNO)</t>
        </is>
      </c>
      <c r="J564" t="n">
        <v>1782.58</v>
      </c>
      <c r="K564" t="n">
        <v>1782.58</v>
      </c>
    </row>
    <row r="565" hidden="1" s="154">
      <c r="A565" t="n">
        <v>2025</v>
      </c>
      <c r="B565" t="inlineStr">
        <is>
          <t>2025-03</t>
        </is>
      </c>
      <c r="C565" t="inlineStr">
        <is>
          <t>Londrina</t>
        </is>
      </c>
      <c r="D565" t="inlineStr">
        <is>
          <t>HYUNDAI</t>
        </is>
      </c>
      <c r="E565" t="inlineStr">
        <is>
          <t>EHH0040</t>
        </is>
      </c>
      <c r="F565" t="inlineStr">
        <is>
          <t>SELETIVA</t>
        </is>
      </c>
      <c r="G565" t="inlineStr">
        <is>
          <t>G&amp;G MATRIZ</t>
        </is>
      </c>
      <c r="H565" t="inlineStr">
        <is>
          <t>7.1.22</t>
        </is>
      </c>
      <c r="I565" t="inlineStr">
        <is>
          <t>COMBUSTÍVEL - DIESEL (INTERNO)</t>
        </is>
      </c>
      <c r="J565" t="n">
        <v>1646.97</v>
      </c>
      <c r="K565" t="n">
        <v>1646.97</v>
      </c>
    </row>
    <row r="566" hidden="1" s="154">
      <c r="A566" t="n">
        <v>2025</v>
      </c>
      <c r="B566" t="inlineStr">
        <is>
          <t>2025-03</t>
        </is>
      </c>
      <c r="C566" t="inlineStr">
        <is>
          <t>Londrina</t>
        </is>
      </c>
      <c r="D566" t="inlineStr">
        <is>
          <t>HYUNDAI</t>
        </is>
      </c>
      <c r="E566" t="inlineStr">
        <is>
          <t>EHH0040</t>
        </is>
      </c>
      <c r="F566" t="inlineStr">
        <is>
          <t>SELETIVA</t>
        </is>
      </c>
      <c r="G566" t="inlineStr">
        <is>
          <t>G&amp;G MATRIZ</t>
        </is>
      </c>
      <c r="H566" t="inlineStr">
        <is>
          <t>7.1.22</t>
        </is>
      </c>
      <c r="I566" t="inlineStr">
        <is>
          <t>COMBUSTÍVEL - DIESEL (INTERNO)</t>
        </is>
      </c>
      <c r="J566" t="n">
        <v>1531.15</v>
      </c>
      <c r="K566" t="n">
        <v>1531.15</v>
      </c>
    </row>
    <row r="567" hidden="1" s="154">
      <c r="A567" t="n">
        <v>2025</v>
      </c>
      <c r="B567" t="inlineStr">
        <is>
          <t>2025-04</t>
        </is>
      </c>
      <c r="C567" t="inlineStr">
        <is>
          <t>Londrina</t>
        </is>
      </c>
      <c r="D567" t="inlineStr">
        <is>
          <t>HYUNDAI</t>
        </is>
      </c>
      <c r="E567" t="inlineStr">
        <is>
          <t>EHH0040</t>
        </is>
      </c>
      <c r="F567" t="inlineStr">
        <is>
          <t>SELETIVA</t>
        </is>
      </c>
      <c r="G567" t="inlineStr">
        <is>
          <t>G&amp;G MATRIZ</t>
        </is>
      </c>
      <c r="H567" t="inlineStr">
        <is>
          <t>7.1.22</t>
        </is>
      </c>
      <c r="I567" t="inlineStr">
        <is>
          <t>COMBUSTÍVEL - DIESEL (INTERNO)</t>
        </is>
      </c>
      <c r="J567" t="n">
        <v>1354.2</v>
      </c>
      <c r="K567" t="n">
        <v>1354.2</v>
      </c>
    </row>
    <row r="568" hidden="1" s="154">
      <c r="A568" t="n">
        <v>2025</v>
      </c>
      <c r="B568" t="inlineStr">
        <is>
          <t>2025-04</t>
        </is>
      </c>
      <c r="C568" t="inlineStr">
        <is>
          <t>Londrina</t>
        </is>
      </c>
      <c r="D568" t="inlineStr">
        <is>
          <t>HYUNDAI</t>
        </is>
      </c>
      <c r="E568" t="inlineStr">
        <is>
          <t>EHH0040</t>
        </is>
      </c>
      <c r="F568" t="inlineStr">
        <is>
          <t>SELETIVA</t>
        </is>
      </c>
      <c r="G568" t="inlineStr">
        <is>
          <t>G&amp;G MATRIZ</t>
        </is>
      </c>
      <c r="H568" t="inlineStr">
        <is>
          <t>7.1.22</t>
        </is>
      </c>
      <c r="I568" t="inlineStr">
        <is>
          <t>COMBUSTÍVEL - DIESEL (INTERNO)</t>
        </is>
      </c>
      <c r="J568" t="n">
        <v>1470.75</v>
      </c>
      <c r="K568" t="n">
        <v>1470.75</v>
      </c>
    </row>
    <row r="569" hidden="1" s="154">
      <c r="A569" t="n">
        <v>2025</v>
      </c>
      <c r="B569" t="inlineStr">
        <is>
          <t>2025-04</t>
        </is>
      </c>
      <c r="C569" t="inlineStr">
        <is>
          <t>Londrina</t>
        </is>
      </c>
      <c r="D569" t="inlineStr">
        <is>
          <t>HYUNDAI</t>
        </is>
      </c>
      <c r="E569" t="inlineStr">
        <is>
          <t>EHH0040</t>
        </is>
      </c>
      <c r="F569" t="inlineStr">
        <is>
          <t>SELETIVA</t>
        </is>
      </c>
      <c r="G569" t="inlineStr">
        <is>
          <t>G&amp;G MATRIZ</t>
        </is>
      </c>
      <c r="H569" t="inlineStr">
        <is>
          <t>7.1.22</t>
        </is>
      </c>
      <c r="I569" t="inlineStr">
        <is>
          <t>COMBUSTÍVEL - DIESEL (INTERNO)</t>
        </is>
      </c>
      <c r="J569" t="n">
        <v>1465.2</v>
      </c>
      <c r="K569" t="n">
        <v>1465.2</v>
      </c>
    </row>
    <row r="570" hidden="1" s="154">
      <c r="A570" t="n">
        <v>2025</v>
      </c>
      <c r="B570" t="inlineStr">
        <is>
          <t>2025-04</t>
        </is>
      </c>
      <c r="C570" t="inlineStr">
        <is>
          <t>Londrina</t>
        </is>
      </c>
      <c r="D570" t="inlineStr">
        <is>
          <t>HYUNDAI</t>
        </is>
      </c>
      <c r="E570" t="inlineStr">
        <is>
          <t>EHH0040</t>
        </is>
      </c>
      <c r="F570" t="inlineStr">
        <is>
          <t>SELETIVA</t>
        </is>
      </c>
      <c r="G570" t="inlineStr">
        <is>
          <t>G&amp;G MATRIZ</t>
        </is>
      </c>
      <c r="H570" t="inlineStr">
        <is>
          <t>7.1.22</t>
        </is>
      </c>
      <c r="I570" t="inlineStr">
        <is>
          <t>COMBUSTÍVEL - DIESEL (INTERNO)</t>
        </is>
      </c>
      <c r="J570" t="n">
        <v>1184.92</v>
      </c>
      <c r="K570" t="n">
        <v>1184.92</v>
      </c>
    </row>
    <row r="571" hidden="1" s="154">
      <c r="A571" t="n">
        <v>2025</v>
      </c>
      <c r="B571" t="inlineStr">
        <is>
          <t>2025-04</t>
        </is>
      </c>
      <c r="C571" t="inlineStr">
        <is>
          <t>Londrina</t>
        </is>
      </c>
      <c r="D571" t="inlineStr">
        <is>
          <t>HYUNDAI</t>
        </is>
      </c>
      <c r="E571" t="inlineStr">
        <is>
          <t>EHH0040</t>
        </is>
      </c>
      <c r="F571" t="inlineStr">
        <is>
          <t>SELETIVA</t>
        </is>
      </c>
      <c r="G571" t="inlineStr">
        <is>
          <t>G&amp;G MATRIZ</t>
        </is>
      </c>
      <c r="H571" t="inlineStr">
        <is>
          <t>7.1.22</t>
        </is>
      </c>
      <c r="I571" t="inlineStr">
        <is>
          <t>COMBUSTÍVEL - DIESEL (INTERNO)</t>
        </is>
      </c>
      <c r="J571" t="n">
        <v>1315.35</v>
      </c>
      <c r="K571" t="n">
        <v>1315.35</v>
      </c>
    </row>
    <row r="572" hidden="1" s="154">
      <c r="A572" t="n">
        <v>2025</v>
      </c>
      <c r="B572" t="inlineStr">
        <is>
          <t>2025-05</t>
        </is>
      </c>
      <c r="C572" t="inlineStr">
        <is>
          <t>Londrina</t>
        </is>
      </c>
      <c r="D572" t="inlineStr">
        <is>
          <t>HYUNDAI</t>
        </is>
      </c>
      <c r="E572" t="inlineStr">
        <is>
          <t>EHH0040</t>
        </is>
      </c>
      <c r="F572" t="inlineStr">
        <is>
          <t>SELETIVA</t>
        </is>
      </c>
      <c r="G572" t="inlineStr">
        <is>
          <t>G&amp;G MARINGA</t>
        </is>
      </c>
      <c r="H572" t="inlineStr">
        <is>
          <t>7.1.1</t>
        </is>
      </c>
      <c r="I572" t="inlineStr">
        <is>
          <t>PEÇAS DE MANUTENÇÃO</t>
        </is>
      </c>
      <c r="J572" t="n">
        <v>150</v>
      </c>
      <c r="K572" t="n">
        <v>150</v>
      </c>
    </row>
    <row r="573" hidden="1" s="154">
      <c r="A573" t="n">
        <v>2025</v>
      </c>
      <c r="B573" t="inlineStr">
        <is>
          <t>2025-05</t>
        </is>
      </c>
      <c r="C573" t="inlineStr">
        <is>
          <t>Londrina</t>
        </is>
      </c>
      <c r="D573" t="inlineStr">
        <is>
          <t>HYUNDAI</t>
        </is>
      </c>
      <c r="E573" t="inlineStr">
        <is>
          <t>EHH0040</t>
        </is>
      </c>
      <c r="F573" t="inlineStr">
        <is>
          <t>SELETIVA</t>
        </is>
      </c>
      <c r="G573" t="inlineStr">
        <is>
          <t>G&amp;G MATRIZ</t>
        </is>
      </c>
      <c r="H573" t="inlineStr">
        <is>
          <t>7.1.22</t>
        </is>
      </c>
      <c r="I573" t="inlineStr">
        <is>
          <t>COMBUSTÍVEL - DIESEL (INTERNO)</t>
        </is>
      </c>
      <c r="J573" t="n">
        <v>1191.68</v>
      </c>
      <c r="K573" t="n">
        <v>1191.68</v>
      </c>
    </row>
    <row r="574" hidden="1" s="154">
      <c r="A574" t="n">
        <v>2025</v>
      </c>
      <c r="B574" t="inlineStr">
        <is>
          <t>2025-05</t>
        </is>
      </c>
      <c r="C574" t="inlineStr">
        <is>
          <t>Londrina</t>
        </is>
      </c>
      <c r="D574" t="inlineStr">
        <is>
          <t>HYUNDAI</t>
        </is>
      </c>
      <c r="E574" t="inlineStr">
        <is>
          <t>EHH0040</t>
        </is>
      </c>
      <c r="F574" t="inlineStr">
        <is>
          <t>SELETIVA</t>
        </is>
      </c>
      <c r="G574" t="inlineStr">
        <is>
          <t>G&amp;G MATRIZ</t>
        </is>
      </c>
      <c r="H574" t="inlineStr">
        <is>
          <t>7.1.22</t>
        </is>
      </c>
      <c r="I574" t="inlineStr">
        <is>
          <t>COMBUSTÍVEL - DIESEL (INTERNO)</t>
        </is>
      </c>
      <c r="J574" t="n">
        <v>603.8200000000001</v>
      </c>
      <c r="K574" t="n">
        <v>603.8200000000001</v>
      </c>
    </row>
    <row r="575" hidden="1" s="154">
      <c r="A575" t="n">
        <v>2025</v>
      </c>
      <c r="B575" t="inlineStr">
        <is>
          <t>2025-05</t>
        </is>
      </c>
      <c r="C575" t="inlineStr">
        <is>
          <t>Londrina</t>
        </is>
      </c>
      <c r="D575" t="inlineStr">
        <is>
          <t>HYUNDAI</t>
        </is>
      </c>
      <c r="E575" t="inlineStr">
        <is>
          <t>EHH0040</t>
        </is>
      </c>
      <c r="F575" t="inlineStr">
        <is>
          <t>SELETIVA</t>
        </is>
      </c>
      <c r="G575" t="inlineStr">
        <is>
          <t>G&amp;G MATRIZ</t>
        </is>
      </c>
      <c r="H575" t="inlineStr">
        <is>
          <t>7.1.22</t>
        </is>
      </c>
      <c r="I575" t="inlineStr">
        <is>
          <t>COMBUSTÍVEL - DIESEL (INTERNO)</t>
        </is>
      </c>
      <c r="J575" t="n">
        <v>1090.6</v>
      </c>
      <c r="K575" t="n">
        <v>1090.6</v>
      </c>
    </row>
    <row r="576" hidden="1" s="154">
      <c r="A576" t="n">
        <v>2025</v>
      </c>
      <c r="B576" t="inlineStr">
        <is>
          <t>2025-05</t>
        </is>
      </c>
      <c r="C576" t="inlineStr">
        <is>
          <t>Londrina</t>
        </is>
      </c>
      <c r="D576" t="inlineStr">
        <is>
          <t>HYUNDAI</t>
        </is>
      </c>
      <c r="E576" t="inlineStr">
        <is>
          <t>EHH0040</t>
        </is>
      </c>
      <c r="F576" t="inlineStr">
        <is>
          <t>SELETIVA</t>
        </is>
      </c>
      <c r="G576" t="inlineStr">
        <is>
          <t>G&amp;G MATRIZ</t>
        </is>
      </c>
      <c r="H576" t="inlineStr">
        <is>
          <t>7.1.22</t>
        </is>
      </c>
      <c r="I576" t="inlineStr">
        <is>
          <t>COMBUSTÍVEL - DIESEL (INTERNO)</t>
        </is>
      </c>
      <c r="J576" t="n">
        <v>1444.38</v>
      </c>
      <c r="K576" t="n">
        <v>1444.38</v>
      </c>
    </row>
    <row r="577" hidden="1" s="154">
      <c r="A577" t="n">
        <v>2025</v>
      </c>
      <c r="B577" t="inlineStr">
        <is>
          <t>2025-05</t>
        </is>
      </c>
      <c r="C577" t="inlineStr">
        <is>
          <t>Londrina</t>
        </is>
      </c>
      <c r="D577" t="inlineStr">
        <is>
          <t>HYUNDAI</t>
        </is>
      </c>
      <c r="E577" t="inlineStr">
        <is>
          <t>EHH0040</t>
        </is>
      </c>
      <c r="F577" t="inlineStr">
        <is>
          <t>SELETIVA</t>
        </is>
      </c>
      <c r="G577" t="inlineStr">
        <is>
          <t>G&amp;G MATRIZ</t>
        </is>
      </c>
      <c r="H577" t="inlineStr">
        <is>
          <t>7.1.22</t>
        </is>
      </c>
      <c r="I577" t="inlineStr">
        <is>
          <t>COMBUSTÍVEL - DIESEL (INTERNO)</t>
        </is>
      </c>
      <c r="J577" t="n">
        <v>1220.94</v>
      </c>
      <c r="K577" t="n">
        <v>1220.94</v>
      </c>
    </row>
    <row r="578" hidden="1" s="154">
      <c r="A578" t="n">
        <v>2025</v>
      </c>
      <c r="B578" t="inlineStr">
        <is>
          <t>2025-05</t>
        </is>
      </c>
      <c r="C578" t="inlineStr">
        <is>
          <t>Londrina</t>
        </is>
      </c>
      <c r="D578" t="inlineStr">
        <is>
          <t>HYUNDAI</t>
        </is>
      </c>
      <c r="E578" t="inlineStr">
        <is>
          <t>EHH0040</t>
        </is>
      </c>
      <c r="F578" t="inlineStr">
        <is>
          <t>SELETIVA</t>
        </is>
      </c>
      <c r="G578" t="inlineStr">
        <is>
          <t>G&amp;G MATRIZ</t>
        </is>
      </c>
      <c r="H578" t="inlineStr">
        <is>
          <t>7.1.22</t>
        </is>
      </c>
      <c r="I578" t="inlineStr">
        <is>
          <t>COMBUSTÍVEL - DIESEL (INTERNO)</t>
        </is>
      </c>
      <c r="J578" t="n">
        <v>1098.58</v>
      </c>
      <c r="K578" t="n">
        <v>1098.58</v>
      </c>
    </row>
    <row r="579" hidden="1" s="154">
      <c r="A579" t="n">
        <v>2025</v>
      </c>
      <c r="B579" t="inlineStr">
        <is>
          <t>2025-05</t>
        </is>
      </c>
      <c r="C579" t="inlineStr">
        <is>
          <t>Londrina</t>
        </is>
      </c>
      <c r="D579" t="inlineStr">
        <is>
          <t>HYUNDAI</t>
        </is>
      </c>
      <c r="E579" t="inlineStr">
        <is>
          <t>EHH0040</t>
        </is>
      </c>
      <c r="F579" t="inlineStr">
        <is>
          <t>SELETIVA</t>
        </is>
      </c>
      <c r="G579" t="inlineStr">
        <is>
          <t>G&amp;G MATRIZ</t>
        </is>
      </c>
      <c r="H579" t="inlineStr">
        <is>
          <t>7.1.22</t>
        </is>
      </c>
      <c r="I579" t="inlineStr">
        <is>
          <t>COMBUSTÍVEL - DIESEL (INTERNO)</t>
        </is>
      </c>
      <c r="J579" t="n">
        <v>1178.38</v>
      </c>
      <c r="K579" t="n">
        <v>1178.38</v>
      </c>
    </row>
    <row r="580" hidden="1" s="154">
      <c r="A580" t="n">
        <v>2025</v>
      </c>
      <c r="B580" t="inlineStr">
        <is>
          <t>2025-05</t>
        </is>
      </c>
      <c r="C580" t="inlineStr">
        <is>
          <t>Londrina</t>
        </is>
      </c>
      <c r="D580" t="inlineStr">
        <is>
          <t>HYUNDAI</t>
        </is>
      </c>
      <c r="E580" t="inlineStr">
        <is>
          <t>EHH0040</t>
        </is>
      </c>
      <c r="F580" t="inlineStr">
        <is>
          <t>SELETIVA</t>
        </is>
      </c>
      <c r="G580" t="inlineStr">
        <is>
          <t>G&amp;G MATRIZ</t>
        </is>
      </c>
      <c r="H580" t="inlineStr">
        <is>
          <t>7.1.22</t>
        </is>
      </c>
      <c r="I580" t="inlineStr">
        <is>
          <t>COMBUSTÍVEL - DIESEL (INTERNO)</t>
        </is>
      </c>
      <c r="J580" t="n">
        <v>1097.39</v>
      </c>
      <c r="K580" t="n">
        <v>1097.39</v>
      </c>
    </row>
    <row r="581" hidden="1" s="154">
      <c r="A581" t="n">
        <v>2025</v>
      </c>
      <c r="B581" t="inlineStr">
        <is>
          <t>2025-05</t>
        </is>
      </c>
      <c r="C581" t="inlineStr">
        <is>
          <t>Londrina</t>
        </is>
      </c>
      <c r="D581" t="inlineStr">
        <is>
          <t>HYUNDAI</t>
        </is>
      </c>
      <c r="E581" t="inlineStr">
        <is>
          <t>EHH0040</t>
        </is>
      </c>
      <c r="F581" t="inlineStr">
        <is>
          <t>SELETIVA</t>
        </is>
      </c>
      <c r="G581" t="inlineStr">
        <is>
          <t>G&amp;G MATRIZ</t>
        </is>
      </c>
      <c r="H581" t="inlineStr">
        <is>
          <t>7.1.22</t>
        </is>
      </c>
      <c r="I581" t="inlineStr">
        <is>
          <t>COMBUSTÍVEL - DIESEL (INTERNO)</t>
        </is>
      </c>
      <c r="J581" t="n">
        <v>927.77</v>
      </c>
      <c r="K581" t="n">
        <v>927.77</v>
      </c>
    </row>
    <row r="582" hidden="1" s="154">
      <c r="A582" t="n">
        <v>2025</v>
      </c>
      <c r="B582" t="inlineStr">
        <is>
          <t>2025-05</t>
        </is>
      </c>
      <c r="C582" t="inlineStr">
        <is>
          <t>Londrina</t>
        </is>
      </c>
      <c r="D582" t="inlineStr">
        <is>
          <t>HYUNDAI</t>
        </is>
      </c>
      <c r="E582" t="inlineStr">
        <is>
          <t>EHH0040</t>
        </is>
      </c>
      <c r="F582" t="inlineStr">
        <is>
          <t>SELETIVA</t>
        </is>
      </c>
      <c r="G582" t="inlineStr">
        <is>
          <t>G&amp;G MATRIZ</t>
        </is>
      </c>
      <c r="H582" t="inlineStr">
        <is>
          <t>7.1.22</t>
        </is>
      </c>
      <c r="I582" t="inlineStr">
        <is>
          <t>COMBUSTÍVEL - DIESEL (INTERNO)</t>
        </is>
      </c>
      <c r="J582" t="n">
        <v>1318.41</v>
      </c>
      <c r="K582" t="n">
        <v>1318.41</v>
      </c>
    </row>
    <row r="583" hidden="1" s="154">
      <c r="A583" t="n">
        <v>2025</v>
      </c>
      <c r="B583" t="inlineStr">
        <is>
          <t>2025-05</t>
        </is>
      </c>
      <c r="C583" t="inlineStr">
        <is>
          <t>Londrina</t>
        </is>
      </c>
      <c r="D583" t="inlineStr">
        <is>
          <t>HYUNDAI</t>
        </is>
      </c>
      <c r="E583" t="inlineStr">
        <is>
          <t>EHH0040</t>
        </is>
      </c>
      <c r="F583" t="inlineStr">
        <is>
          <t>SELETIVA</t>
        </is>
      </c>
      <c r="G583" t="inlineStr">
        <is>
          <t>G&amp;G MARINGA</t>
        </is>
      </c>
      <c r="H583" t="inlineStr">
        <is>
          <t>7.1.1</t>
        </is>
      </c>
      <c r="I583" t="inlineStr">
        <is>
          <t>PEÇAS DE MANUTENÇÃO</t>
        </is>
      </c>
      <c r="J583" t="n">
        <v>1863.92</v>
      </c>
      <c r="K583" t="n">
        <v>1863.92</v>
      </c>
    </row>
    <row r="584" hidden="1" s="154">
      <c r="A584" t="n">
        <v>2025</v>
      </c>
      <c r="B584" t="inlineStr">
        <is>
          <t>2025-06</t>
        </is>
      </c>
      <c r="C584" t="inlineStr">
        <is>
          <t>Londrina</t>
        </is>
      </c>
      <c r="D584" t="inlineStr">
        <is>
          <t>HYUNDAI</t>
        </is>
      </c>
      <c r="E584" t="inlineStr">
        <is>
          <t>EHH0040</t>
        </is>
      </c>
      <c r="F584" t="inlineStr">
        <is>
          <t>SELETIVA</t>
        </is>
      </c>
      <c r="G584" t="inlineStr">
        <is>
          <t>G&amp;S MARINGA</t>
        </is>
      </c>
      <c r="H584" t="inlineStr">
        <is>
          <t>7.1.2</t>
        </is>
      </c>
      <c r="I584" t="inlineStr">
        <is>
          <t>MANUTENÇÃO DE VEÍCULOS/MAQUINAS</t>
        </is>
      </c>
      <c r="J584" t="n">
        <v>1334.4</v>
      </c>
      <c r="K584" t="n">
        <v>-1334.4</v>
      </c>
    </row>
    <row r="585" hidden="1" s="154">
      <c r="A585" t="n">
        <v>2025</v>
      </c>
      <c r="B585" t="inlineStr">
        <is>
          <t>2025-06</t>
        </is>
      </c>
      <c r="C585" t="inlineStr">
        <is>
          <t>Londrina</t>
        </is>
      </c>
      <c r="D585" t="inlineStr">
        <is>
          <t>HYUNDAI</t>
        </is>
      </c>
      <c r="E585" t="inlineStr">
        <is>
          <t>EHH0040</t>
        </is>
      </c>
      <c r="F585" t="inlineStr">
        <is>
          <t>SELETIVA</t>
        </is>
      </c>
      <c r="G585" t="inlineStr">
        <is>
          <t>G&amp;S LONDRINA</t>
        </is>
      </c>
      <c r="H585" t="inlineStr">
        <is>
          <t>7.1.2</t>
        </is>
      </c>
      <c r="I585" t="inlineStr">
        <is>
          <t>MANUTENÇÃO DE VEÍCULOS/MAQUINAS</t>
        </is>
      </c>
      <c r="J585" t="n">
        <v>850</v>
      </c>
      <c r="K585" t="n">
        <v>-850</v>
      </c>
    </row>
    <row r="586" hidden="1" s="154">
      <c r="A586" t="n">
        <v>2025</v>
      </c>
      <c r="B586" t="inlineStr">
        <is>
          <t>2025-06</t>
        </is>
      </c>
      <c r="C586" t="inlineStr">
        <is>
          <t>Londrina</t>
        </is>
      </c>
      <c r="D586" t="inlineStr">
        <is>
          <t>HYUNDAI</t>
        </is>
      </c>
      <c r="E586" t="inlineStr">
        <is>
          <t>EHH0040</t>
        </is>
      </c>
      <c r="F586" t="inlineStr">
        <is>
          <t>SELETIVA</t>
        </is>
      </c>
      <c r="G586" t="inlineStr">
        <is>
          <t>CTA</t>
        </is>
      </c>
      <c r="H586" t="inlineStr">
        <is>
          <t>7.1.22</t>
        </is>
      </c>
      <c r="I586" t="inlineStr">
        <is>
          <t>COMBUSTÍVEL - DIESEL (INTERNO)</t>
        </is>
      </c>
      <c r="J586" t="n">
        <v>6939.27</v>
      </c>
      <c r="K586" t="n">
        <v>-6939.27</v>
      </c>
    </row>
    <row r="587" hidden="1" s="154">
      <c r="A587" t="n">
        <v>2025</v>
      </c>
      <c r="B587" t="inlineStr">
        <is>
          <t>2025-07</t>
        </is>
      </c>
      <c r="C587" t="inlineStr">
        <is>
          <t>Londrina</t>
        </is>
      </c>
      <c r="D587" t="inlineStr">
        <is>
          <t>HYUNDAI</t>
        </is>
      </c>
      <c r="E587" t="inlineStr">
        <is>
          <t>EHH0040</t>
        </is>
      </c>
      <c r="F587" t="inlineStr">
        <is>
          <t>SELETIVA</t>
        </is>
      </c>
      <c r="G587" t="inlineStr">
        <is>
          <t>G&amp;S LONDRINA</t>
        </is>
      </c>
      <c r="H587" t="inlineStr">
        <is>
          <t>7.1.2</t>
        </is>
      </c>
      <c r="I587" t="inlineStr">
        <is>
          <t>MANUTENÇÃO DE VEÍCULOS/MAQUINAS</t>
        </is>
      </c>
      <c r="J587" t="n">
        <v>1400</v>
      </c>
      <c r="K587" t="n">
        <v>-1400</v>
      </c>
    </row>
    <row r="588" hidden="1" s="154">
      <c r="A588" t="n">
        <v>2025</v>
      </c>
      <c r="B588" t="inlineStr">
        <is>
          <t>2025-07</t>
        </is>
      </c>
      <c r="C588" t="inlineStr">
        <is>
          <t>Londrina</t>
        </is>
      </c>
      <c r="D588" t="inlineStr">
        <is>
          <t>HYUNDAI</t>
        </is>
      </c>
      <c r="E588" t="inlineStr">
        <is>
          <t>EHH0040</t>
        </is>
      </c>
      <c r="F588" t="inlineStr">
        <is>
          <t>SELETIVA</t>
        </is>
      </c>
      <c r="G588" t="inlineStr">
        <is>
          <t>G&amp;S LONDRINA</t>
        </is>
      </c>
      <c r="H588" t="inlineStr">
        <is>
          <t>7.1.2</t>
        </is>
      </c>
      <c r="I588" t="inlineStr">
        <is>
          <t>MANUTENÇÃO DE VEÍCULOS/MAQUINAS</t>
        </is>
      </c>
      <c r="J588" t="n">
        <v>1360</v>
      </c>
      <c r="K588" t="n">
        <v>-1360</v>
      </c>
    </row>
    <row r="589" hidden="1" s="154">
      <c r="A589" t="n">
        <v>2025</v>
      </c>
      <c r="B589" t="inlineStr">
        <is>
          <t>2025-07</t>
        </is>
      </c>
      <c r="C589" t="inlineStr">
        <is>
          <t>Londrina</t>
        </is>
      </c>
      <c r="D589" t="inlineStr">
        <is>
          <t>HYUNDAI</t>
        </is>
      </c>
      <c r="E589" t="inlineStr">
        <is>
          <t>EHH0040</t>
        </is>
      </c>
      <c r="F589" t="inlineStr">
        <is>
          <t>SELETIVA</t>
        </is>
      </c>
      <c r="G589" t="inlineStr">
        <is>
          <t>G&amp;S MARINGA</t>
        </is>
      </c>
      <c r="H589" t="inlineStr">
        <is>
          <t>7.1.2</t>
        </is>
      </c>
      <c r="I589" t="inlineStr">
        <is>
          <t>MANUTENÇÃO DE VEÍCULOS/MAQUINAS</t>
        </is>
      </c>
      <c r="J589" t="n">
        <v>173.7</v>
      </c>
      <c r="K589" t="n">
        <v>-173.7</v>
      </c>
    </row>
    <row r="590" hidden="1" s="154">
      <c r="A590" t="n">
        <v>2025</v>
      </c>
      <c r="B590" t="inlineStr">
        <is>
          <t>2025-07</t>
        </is>
      </c>
      <c r="C590" t="inlineStr">
        <is>
          <t>Londrina</t>
        </is>
      </c>
      <c r="D590" t="inlineStr">
        <is>
          <t>HYUNDAI</t>
        </is>
      </c>
      <c r="E590" t="inlineStr">
        <is>
          <t>EHH0040</t>
        </is>
      </c>
      <c r="F590" t="inlineStr">
        <is>
          <t>SELETIVA</t>
        </is>
      </c>
      <c r="G590" t="inlineStr">
        <is>
          <t>G&amp;S MARINGA</t>
        </is>
      </c>
      <c r="H590" t="inlineStr">
        <is>
          <t>7.1.2</t>
        </is>
      </c>
      <c r="I590" t="inlineStr">
        <is>
          <t>MANUTENÇÃO DE VEÍCULOS/MAQUINAS</t>
        </is>
      </c>
      <c r="J590" t="n">
        <v>173.7</v>
      </c>
      <c r="K590" t="n">
        <v>-173.7</v>
      </c>
    </row>
    <row r="591" hidden="1" s="154">
      <c r="A591" t="n">
        <v>2025</v>
      </c>
      <c r="B591" t="inlineStr">
        <is>
          <t>2025-07</t>
        </is>
      </c>
      <c r="C591" t="inlineStr">
        <is>
          <t>Londrina</t>
        </is>
      </c>
      <c r="D591" t="inlineStr">
        <is>
          <t>HYUNDAI</t>
        </is>
      </c>
      <c r="E591" t="inlineStr">
        <is>
          <t>EHH0040</t>
        </is>
      </c>
      <c r="F591" t="inlineStr">
        <is>
          <t>SELETIVA</t>
        </is>
      </c>
      <c r="G591" t="inlineStr">
        <is>
          <t>G&amp;S LONDRINA</t>
        </is>
      </c>
      <c r="H591" t="inlineStr">
        <is>
          <t>7.1.2</t>
        </is>
      </c>
      <c r="I591" t="inlineStr">
        <is>
          <t>MANUTENÇÃO DE VEÍCULOS/MAQUINAS</t>
        </is>
      </c>
      <c r="J591" t="n">
        <v>830</v>
      </c>
      <c r="K591" t="n">
        <v>-830</v>
      </c>
    </row>
    <row r="592" hidden="1" s="154">
      <c r="A592" t="n">
        <v>2025</v>
      </c>
      <c r="B592" t="inlineStr">
        <is>
          <t>2025-07</t>
        </is>
      </c>
      <c r="C592" t="inlineStr">
        <is>
          <t>Londrina</t>
        </is>
      </c>
      <c r="D592" t="inlineStr">
        <is>
          <t>HYUNDAI</t>
        </is>
      </c>
      <c r="E592" t="inlineStr">
        <is>
          <t>EHH0040</t>
        </is>
      </c>
      <c r="F592" t="inlineStr">
        <is>
          <t>SELETIVA</t>
        </is>
      </c>
      <c r="G592" t="inlineStr">
        <is>
          <t>G&amp;S LONDRINA</t>
        </is>
      </c>
      <c r="H592" t="inlineStr">
        <is>
          <t>7.1.2</t>
        </is>
      </c>
      <c r="I592" t="inlineStr">
        <is>
          <t>MANUTENÇÃO DE VEÍCULOS/MAQUINAS</t>
        </is>
      </c>
      <c r="J592" t="n">
        <v>300</v>
      </c>
      <c r="K592" t="n">
        <v>-300</v>
      </c>
    </row>
    <row r="593" hidden="1" s="154">
      <c r="A593" t="n">
        <v>2025</v>
      </c>
      <c r="B593" t="inlineStr">
        <is>
          <t>2025-07</t>
        </is>
      </c>
      <c r="C593" t="inlineStr">
        <is>
          <t>Londrina</t>
        </is>
      </c>
      <c r="D593" t="inlineStr">
        <is>
          <t>HYUNDAI</t>
        </is>
      </c>
      <c r="E593" t="inlineStr">
        <is>
          <t>EHH0040</t>
        </is>
      </c>
      <c r="F593" t="inlineStr">
        <is>
          <t>SELETIVA</t>
        </is>
      </c>
      <c r="G593" t="inlineStr">
        <is>
          <t>G&amp;S MARINGA</t>
        </is>
      </c>
      <c r="H593" t="inlineStr">
        <is>
          <t>7.1.2</t>
        </is>
      </c>
      <c r="I593" t="inlineStr">
        <is>
          <t>MANUTENÇÃO DE VEÍCULOS/MAQUINAS</t>
        </is>
      </c>
      <c r="J593" t="n">
        <v>760.5</v>
      </c>
      <c r="K593" t="n">
        <v>-760.5</v>
      </c>
    </row>
    <row r="594" hidden="1" s="154">
      <c r="A594" t="n">
        <v>2025</v>
      </c>
      <c r="B594" t="inlineStr">
        <is>
          <t>2025-07</t>
        </is>
      </c>
      <c r="C594" t="inlineStr">
        <is>
          <t>Londrina</t>
        </is>
      </c>
      <c r="D594" t="inlineStr">
        <is>
          <t>HYUNDAI</t>
        </is>
      </c>
      <c r="E594" t="inlineStr">
        <is>
          <t>EHH0040</t>
        </is>
      </c>
      <c r="F594" t="inlineStr">
        <is>
          <t>SELETIVA</t>
        </is>
      </c>
      <c r="G594" t="inlineStr">
        <is>
          <t>CTA</t>
        </is>
      </c>
      <c r="H594" t="inlineStr">
        <is>
          <t>7.1.22</t>
        </is>
      </c>
      <c r="I594" t="inlineStr">
        <is>
          <t>COMBUSTÍVEL - DIESEL (INTERNO)</t>
        </is>
      </c>
      <c r="J594" t="n">
        <v>11137.88</v>
      </c>
      <c r="K594" t="n">
        <v>-11137.88</v>
      </c>
    </row>
    <row r="595" hidden="1" s="154">
      <c r="A595" t="n">
        <v>2025</v>
      </c>
      <c r="B595" t="inlineStr">
        <is>
          <t>2025-08</t>
        </is>
      </c>
      <c r="C595" t="inlineStr">
        <is>
          <t>Londrina</t>
        </is>
      </c>
      <c r="D595" t="inlineStr">
        <is>
          <t>HYUNDAI</t>
        </is>
      </c>
      <c r="E595" t="inlineStr">
        <is>
          <t>EHH0040</t>
        </is>
      </c>
      <c r="F595" t="inlineStr">
        <is>
          <t>SELETIVA</t>
        </is>
      </c>
      <c r="G595" t="inlineStr">
        <is>
          <t>CTA</t>
        </is>
      </c>
      <c r="H595" t="inlineStr">
        <is>
          <t>7.1.22</t>
        </is>
      </c>
      <c r="I595" t="inlineStr">
        <is>
          <t>COMBUSTÍVEL - DIESEL (INTERNO)</t>
        </is>
      </c>
      <c r="J595" t="n">
        <v>8473.82</v>
      </c>
      <c r="K595" t="n">
        <v>-8473.82</v>
      </c>
    </row>
    <row r="596" hidden="1" s="154">
      <c r="A596" t="n">
        <v>2025</v>
      </c>
      <c r="B596" t="inlineStr">
        <is>
          <t>2025-08</t>
        </is>
      </c>
      <c r="C596" t="inlineStr">
        <is>
          <t>Londrina</t>
        </is>
      </c>
      <c r="D596" t="inlineStr">
        <is>
          <t>HYUNDAI</t>
        </is>
      </c>
      <c r="E596" t="inlineStr">
        <is>
          <t>EHH0040</t>
        </is>
      </c>
      <c r="F596" t="inlineStr">
        <is>
          <t>SELETIVA</t>
        </is>
      </c>
      <c r="G596" t="inlineStr">
        <is>
          <t>G&amp;S LONDRINA</t>
        </is>
      </c>
      <c r="H596" t="inlineStr">
        <is>
          <t>7.1.2</t>
        </is>
      </c>
      <c r="I596" t="inlineStr">
        <is>
          <t>MANUTENÇÃO DE VEÍCULOS/MAQUINAS</t>
        </is>
      </c>
      <c r="J596" t="n">
        <v>880</v>
      </c>
      <c r="K596" t="n">
        <v>-880</v>
      </c>
    </row>
    <row r="597" hidden="1" s="154">
      <c r="A597" t="n">
        <v>2025</v>
      </c>
      <c r="B597" t="inlineStr">
        <is>
          <t>2025-08</t>
        </is>
      </c>
      <c r="C597" t="inlineStr">
        <is>
          <t>Londrina</t>
        </is>
      </c>
      <c r="D597" t="inlineStr">
        <is>
          <t>HYUNDAI</t>
        </is>
      </c>
      <c r="E597" t="inlineStr">
        <is>
          <t>EHH0040</t>
        </is>
      </c>
      <c r="F597" t="inlineStr">
        <is>
          <t>SELETIVA</t>
        </is>
      </c>
      <c r="G597" t="inlineStr">
        <is>
          <t>G&amp;S MARINGA</t>
        </is>
      </c>
      <c r="H597" t="inlineStr">
        <is>
          <t>7.1.2</t>
        </is>
      </c>
      <c r="I597" t="inlineStr">
        <is>
          <t>MANUTENÇÃO DE VEÍCULOS/MAQUINAS</t>
        </is>
      </c>
      <c r="J597" t="n">
        <v>318</v>
      </c>
      <c r="K597" t="n">
        <v>-318</v>
      </c>
    </row>
    <row r="598" hidden="1" s="154">
      <c r="A598" t="n">
        <v>2025</v>
      </c>
      <c r="B598" t="inlineStr">
        <is>
          <t>2025-08</t>
        </is>
      </c>
      <c r="C598" t="inlineStr">
        <is>
          <t>Londrina</t>
        </is>
      </c>
      <c r="D598" t="inlineStr">
        <is>
          <t>HYUNDAI</t>
        </is>
      </c>
      <c r="E598" t="inlineStr">
        <is>
          <t>EHH0040</t>
        </is>
      </c>
      <c r="F598" t="inlineStr">
        <is>
          <t>SELETIVA</t>
        </is>
      </c>
      <c r="G598" t="inlineStr">
        <is>
          <t>G&amp;S MARINGA</t>
        </is>
      </c>
      <c r="H598" t="inlineStr">
        <is>
          <t>7.1.2</t>
        </is>
      </c>
      <c r="I598" t="inlineStr">
        <is>
          <t>MANUTENÇÃO DE VEÍCULOS/MAQUINAS</t>
        </is>
      </c>
      <c r="J598" t="n">
        <v>923.55</v>
      </c>
      <c r="K598" t="n">
        <v>-923.55</v>
      </c>
    </row>
    <row r="599" hidden="1" s="154">
      <c r="A599" t="n">
        <v>2025</v>
      </c>
      <c r="B599" t="inlineStr">
        <is>
          <t>2025-09</t>
        </is>
      </c>
      <c r="C599" t="inlineStr">
        <is>
          <t>Londrina</t>
        </is>
      </c>
      <c r="D599" t="inlineStr">
        <is>
          <t>HYUNDAI</t>
        </is>
      </c>
      <c r="E599" t="inlineStr">
        <is>
          <t>EHH0040</t>
        </is>
      </c>
      <c r="F599" t="inlineStr">
        <is>
          <t>SELETIVA</t>
        </is>
      </c>
      <c r="G599" t="inlineStr">
        <is>
          <t>G&amp;S LONDRINA</t>
        </is>
      </c>
      <c r="H599" t="inlineStr">
        <is>
          <t>7.1.2</t>
        </is>
      </c>
      <c r="I599" t="inlineStr">
        <is>
          <t>MANUTENÇÃO DE VEÍCULOS/MAQUINAS</t>
        </is>
      </c>
      <c r="J599" t="n">
        <v>720</v>
      </c>
      <c r="K599" t="n">
        <v>-720</v>
      </c>
    </row>
    <row r="600" hidden="1" s="154">
      <c r="A600" t="n">
        <v>2025</v>
      </c>
      <c r="B600" t="inlineStr">
        <is>
          <t>2025-09</t>
        </is>
      </c>
      <c r="C600" t="inlineStr">
        <is>
          <t>Londrina</t>
        </is>
      </c>
      <c r="D600" t="inlineStr">
        <is>
          <t>HYUNDAI</t>
        </is>
      </c>
      <c r="E600" t="inlineStr">
        <is>
          <t>EHH0040</t>
        </is>
      </c>
      <c r="F600" t="inlineStr">
        <is>
          <t>SELETIVA</t>
        </is>
      </c>
      <c r="G600" t="inlineStr">
        <is>
          <t>G&amp;S LONDRINA</t>
        </is>
      </c>
      <c r="H600" t="inlineStr">
        <is>
          <t>7.1.2</t>
        </is>
      </c>
      <c r="I600" t="inlineStr">
        <is>
          <t>MANUTENÇÃO DE VEÍCULOS/MAQUINAS</t>
        </is>
      </c>
      <c r="J600" t="n">
        <v>1412.58</v>
      </c>
      <c r="K600" t="n">
        <v>-1412.58</v>
      </c>
    </row>
    <row r="601" hidden="1" s="154">
      <c r="A601" t="n">
        <v>2025</v>
      </c>
      <c r="B601" t="inlineStr">
        <is>
          <t>2025-09</t>
        </is>
      </c>
      <c r="C601" t="inlineStr">
        <is>
          <t>Londrina</t>
        </is>
      </c>
      <c r="D601" t="inlineStr">
        <is>
          <t>HYUNDAI</t>
        </is>
      </c>
      <c r="E601" t="inlineStr">
        <is>
          <t>EHH0040</t>
        </is>
      </c>
      <c r="F601" t="inlineStr">
        <is>
          <t>SELETIVA</t>
        </is>
      </c>
      <c r="G601" t="inlineStr">
        <is>
          <t>G&amp;S MARINGA</t>
        </is>
      </c>
      <c r="H601" t="inlineStr">
        <is>
          <t>7.1.2</t>
        </is>
      </c>
      <c r="I601" t="inlineStr">
        <is>
          <t>MANUTENÇÃO DE VEÍCULOS/MAQUINAS</t>
        </is>
      </c>
      <c r="J601" t="n">
        <v>670</v>
      </c>
      <c r="K601" t="n">
        <v>-670</v>
      </c>
    </row>
    <row r="602" hidden="1" s="154">
      <c r="A602" t="n">
        <v>2025</v>
      </c>
      <c r="B602" t="inlineStr">
        <is>
          <t>2025-09</t>
        </is>
      </c>
      <c r="C602" t="inlineStr">
        <is>
          <t>Londrina</t>
        </is>
      </c>
      <c r="D602" t="inlineStr">
        <is>
          <t>HYUNDAI</t>
        </is>
      </c>
      <c r="E602" t="inlineStr">
        <is>
          <t>EHH0040</t>
        </is>
      </c>
      <c r="F602" t="inlineStr">
        <is>
          <t>SELETIVA</t>
        </is>
      </c>
      <c r="G602" t="inlineStr">
        <is>
          <t>G&amp;S MARINGA</t>
        </is>
      </c>
      <c r="H602" t="inlineStr">
        <is>
          <t>7.1.2</t>
        </is>
      </c>
      <c r="I602" t="inlineStr">
        <is>
          <t>MANUTENÇÃO DE VEÍCULOS/MAQUINAS</t>
        </is>
      </c>
      <c r="J602" t="n">
        <v>216.38</v>
      </c>
      <c r="K602" t="n">
        <v>-216.38</v>
      </c>
    </row>
    <row r="603" hidden="1" s="154">
      <c r="A603" t="n">
        <v>2025</v>
      </c>
      <c r="B603" t="inlineStr">
        <is>
          <t>2025-09</t>
        </is>
      </c>
      <c r="C603" t="inlineStr">
        <is>
          <t>Londrina</t>
        </is>
      </c>
      <c r="D603" t="inlineStr">
        <is>
          <t>HYUNDAI</t>
        </is>
      </c>
      <c r="E603" t="inlineStr">
        <is>
          <t>EHH0040</t>
        </is>
      </c>
      <c r="F603" t="inlineStr">
        <is>
          <t>SELETIVA</t>
        </is>
      </c>
      <c r="G603" t="inlineStr">
        <is>
          <t>CTA</t>
        </is>
      </c>
      <c r="H603" t="inlineStr">
        <is>
          <t>7.1.22</t>
        </is>
      </c>
      <c r="I603" t="inlineStr">
        <is>
          <t>COMBUSTÍVEL - DIESEL (INTERNO)</t>
        </is>
      </c>
      <c r="J603" t="n">
        <v>6984.34</v>
      </c>
      <c r="K603" t="n">
        <v>-6984.34</v>
      </c>
    </row>
    <row r="604" hidden="1" s="154">
      <c r="A604" t="n">
        <v>2025</v>
      </c>
      <c r="B604" t="inlineStr">
        <is>
          <t>2025-10</t>
        </is>
      </c>
      <c r="C604" t="inlineStr">
        <is>
          <t>Londrina</t>
        </is>
      </c>
      <c r="D604" t="inlineStr">
        <is>
          <t>HYUNDAI</t>
        </is>
      </c>
      <c r="E604" t="inlineStr">
        <is>
          <t>EHH0040</t>
        </is>
      </c>
      <c r="F604" t="inlineStr">
        <is>
          <t>SELETIVA</t>
        </is>
      </c>
      <c r="G604" t="inlineStr">
        <is>
          <t>G&amp;S LONDRINA</t>
        </is>
      </c>
      <c r="H604" t="inlineStr">
        <is>
          <t>7.1.18</t>
        </is>
      </c>
      <c r="I604" t="inlineStr">
        <is>
          <t>FRETES E CARRETOS</t>
        </is>
      </c>
      <c r="J604" t="n">
        <v>92.36</v>
      </c>
      <c r="K604" t="n">
        <v>-92.36</v>
      </c>
    </row>
    <row r="605" hidden="1" s="154">
      <c r="A605" t="n">
        <v>2025</v>
      </c>
      <c r="B605" t="inlineStr">
        <is>
          <t>2025-10</t>
        </is>
      </c>
      <c r="C605" t="inlineStr">
        <is>
          <t>Londrina</t>
        </is>
      </c>
      <c r="D605" t="inlineStr">
        <is>
          <t>HYUNDAI</t>
        </is>
      </c>
      <c r="E605" t="inlineStr">
        <is>
          <t>EHH0040</t>
        </is>
      </c>
      <c r="F605" t="inlineStr">
        <is>
          <t>SELETIVA</t>
        </is>
      </c>
      <c r="G605" t="inlineStr">
        <is>
          <t>G&amp;S LONDRINA</t>
        </is>
      </c>
      <c r="H605" t="inlineStr">
        <is>
          <t>7.1.2</t>
        </is>
      </c>
      <c r="I605" t="inlineStr">
        <is>
          <t>MANUTENÇÃO DE VEÍCULOS/MAQUINAS</t>
        </is>
      </c>
      <c r="J605" t="n">
        <v>1000</v>
      </c>
      <c r="K605" t="n">
        <v>-1000</v>
      </c>
    </row>
    <row r="606" hidden="1" s="154">
      <c r="A606" t="n">
        <v>2025</v>
      </c>
      <c r="B606" t="inlineStr">
        <is>
          <t>2025-10</t>
        </is>
      </c>
      <c r="C606" t="inlineStr">
        <is>
          <t>Londrina</t>
        </is>
      </c>
      <c r="D606" t="inlineStr">
        <is>
          <t>HYUNDAI</t>
        </is>
      </c>
      <c r="E606" t="inlineStr">
        <is>
          <t>EHH0040</t>
        </is>
      </c>
      <c r="F606" t="inlineStr">
        <is>
          <t>SELETIVA</t>
        </is>
      </c>
      <c r="G606" t="inlineStr">
        <is>
          <t>G&amp;S LONDRINA</t>
        </is>
      </c>
      <c r="H606" t="inlineStr">
        <is>
          <t>7.1.2</t>
        </is>
      </c>
      <c r="I606" t="inlineStr">
        <is>
          <t>MANUTENÇÃO DE VEÍCULOS/MAQUINAS</t>
        </is>
      </c>
      <c r="J606" t="n">
        <v>214.2</v>
      </c>
      <c r="K606" t="n">
        <v>-214.2</v>
      </c>
    </row>
    <row r="607" hidden="1" s="154">
      <c r="A607" t="n">
        <v>2025</v>
      </c>
      <c r="B607" t="inlineStr">
        <is>
          <t>2025-10</t>
        </is>
      </c>
      <c r="C607" t="inlineStr">
        <is>
          <t>Londrina</t>
        </is>
      </c>
      <c r="D607" t="inlineStr">
        <is>
          <t>HYUNDAI</t>
        </is>
      </c>
      <c r="E607" t="inlineStr">
        <is>
          <t>EHH0040</t>
        </is>
      </c>
      <c r="F607" t="inlineStr">
        <is>
          <t>SELETIVA</t>
        </is>
      </c>
      <c r="G607" t="inlineStr">
        <is>
          <t>G&amp;S LONDRINA</t>
        </is>
      </c>
      <c r="H607" t="inlineStr">
        <is>
          <t>7.1.2</t>
        </is>
      </c>
      <c r="I607" t="inlineStr">
        <is>
          <t>MANUTENÇÃO DE VEÍCULOS/MAQUINAS</t>
        </is>
      </c>
      <c r="J607" t="n">
        <v>630</v>
      </c>
      <c r="K607" t="n">
        <v>-630</v>
      </c>
    </row>
    <row r="608" hidden="1" s="154">
      <c r="A608" t="n">
        <v>2025</v>
      </c>
      <c r="B608" t="inlineStr">
        <is>
          <t>2025-10</t>
        </is>
      </c>
      <c r="C608" t="inlineStr">
        <is>
          <t>Londrina</t>
        </is>
      </c>
      <c r="D608" t="inlineStr">
        <is>
          <t>HYUNDAI</t>
        </is>
      </c>
      <c r="E608" t="inlineStr">
        <is>
          <t>EHH0040</t>
        </is>
      </c>
      <c r="F608" t="inlineStr">
        <is>
          <t>SELETIVA</t>
        </is>
      </c>
      <c r="G608" t="inlineStr">
        <is>
          <t>G&amp;S PRUDENTE</t>
        </is>
      </c>
      <c r="H608" t="inlineStr">
        <is>
          <t>7.1.2</t>
        </is>
      </c>
      <c r="I608" t="inlineStr">
        <is>
          <t>MANUTENÇÃO DE VEÍCULOS/MAQUINAS</t>
        </is>
      </c>
      <c r="J608" t="n">
        <v>1700</v>
      </c>
      <c r="K608" t="n">
        <v>-1700</v>
      </c>
    </row>
    <row r="609" hidden="1" s="154">
      <c r="A609" t="n">
        <v>2025</v>
      </c>
      <c r="B609" t="inlineStr">
        <is>
          <t>2025-10</t>
        </is>
      </c>
      <c r="C609" t="inlineStr">
        <is>
          <t>Londrina</t>
        </is>
      </c>
      <c r="D609" t="inlineStr">
        <is>
          <t>HYUNDAI</t>
        </is>
      </c>
      <c r="E609" t="inlineStr">
        <is>
          <t>EHH0040</t>
        </is>
      </c>
      <c r="F609" t="inlineStr">
        <is>
          <t>SELETIVA</t>
        </is>
      </c>
      <c r="G609" t="inlineStr">
        <is>
          <t>G&amp;S PRUDENTE</t>
        </is>
      </c>
      <c r="H609" t="inlineStr">
        <is>
          <t>7.1.2</t>
        </is>
      </c>
      <c r="I609" t="inlineStr">
        <is>
          <t>MANUTENÇÃO DE VEÍCULOS/MAQUINAS</t>
        </is>
      </c>
      <c r="J609" t="n">
        <v>2350</v>
      </c>
      <c r="K609" t="n">
        <v>-2350</v>
      </c>
    </row>
    <row r="610" hidden="1" s="154">
      <c r="A610" t="n">
        <v>2025</v>
      </c>
      <c r="B610" t="inlineStr">
        <is>
          <t>2025-10</t>
        </is>
      </c>
      <c r="C610" t="inlineStr">
        <is>
          <t>Londrina</t>
        </is>
      </c>
      <c r="D610" t="inlineStr">
        <is>
          <t>HYUNDAI</t>
        </is>
      </c>
      <c r="E610" t="inlineStr">
        <is>
          <t>EHH0040</t>
        </is>
      </c>
      <c r="F610" t="inlineStr">
        <is>
          <t>SELETIVA</t>
        </is>
      </c>
      <c r="G610" t="inlineStr">
        <is>
          <t>G&amp;S MARINGA</t>
        </is>
      </c>
      <c r="H610" t="inlineStr">
        <is>
          <t>7.1.2</t>
        </is>
      </c>
      <c r="I610" t="inlineStr">
        <is>
          <t>MANUTENÇÃO DE VEÍCULOS/MAQUINAS</t>
        </is>
      </c>
      <c r="J610" t="n">
        <v>1596.7</v>
      </c>
      <c r="K610" t="n">
        <v>-1596.7</v>
      </c>
    </row>
    <row r="611" hidden="1" s="154">
      <c r="A611" t="n">
        <v>2025</v>
      </c>
      <c r="B611" t="inlineStr">
        <is>
          <t>2025-10</t>
        </is>
      </c>
      <c r="C611" t="inlineStr">
        <is>
          <t>Londrina</t>
        </is>
      </c>
      <c r="D611" t="inlineStr">
        <is>
          <t>HYUNDAI</t>
        </is>
      </c>
      <c r="E611" t="inlineStr">
        <is>
          <t>EHH0040</t>
        </is>
      </c>
      <c r="F611" t="inlineStr">
        <is>
          <t>SELETIVA</t>
        </is>
      </c>
      <c r="G611" t="inlineStr">
        <is>
          <t>CTA</t>
        </is>
      </c>
      <c r="H611" t="inlineStr">
        <is>
          <t>7.1.22</t>
        </is>
      </c>
      <c r="I611" t="inlineStr">
        <is>
          <t>COMBUSTÍVEL - DIESEL (INTERNO)</t>
        </is>
      </c>
      <c r="J611" t="n">
        <v>7690.39</v>
      </c>
      <c r="K611" t="n">
        <v>-7690.39</v>
      </c>
    </row>
    <row r="612" hidden="1" s="154">
      <c r="A612" t="n">
        <v>2025</v>
      </c>
      <c r="B612" t="inlineStr">
        <is>
          <t>2025-11</t>
        </is>
      </c>
      <c r="C612" t="inlineStr">
        <is>
          <t>Londrina</t>
        </is>
      </c>
      <c r="D612" t="inlineStr">
        <is>
          <t>HYUNDAI</t>
        </is>
      </c>
      <c r="E612" t="inlineStr">
        <is>
          <t>EHH0040</t>
        </is>
      </c>
      <c r="F612" t="inlineStr">
        <is>
          <t>SELETIVA</t>
        </is>
      </c>
      <c r="G612" t="inlineStr">
        <is>
          <t>G&amp;S PRUDENTE</t>
        </is>
      </c>
      <c r="H612" t="inlineStr">
        <is>
          <t>7.1.2</t>
        </is>
      </c>
      <c r="I612" t="inlineStr">
        <is>
          <t>MANUTENÇÃO DE VEÍCULOS/MAQUINAS</t>
        </is>
      </c>
      <c r="J612" t="n">
        <v>2275</v>
      </c>
      <c r="K612" t="n">
        <v>-2275</v>
      </c>
    </row>
    <row r="613" hidden="1" s="154">
      <c r="A613" t="n">
        <v>2025</v>
      </c>
      <c r="B613" t="inlineStr">
        <is>
          <t>2025-11</t>
        </is>
      </c>
      <c r="C613" t="inlineStr">
        <is>
          <t>Londrina</t>
        </is>
      </c>
      <c r="D613" t="inlineStr">
        <is>
          <t>HYUNDAI</t>
        </is>
      </c>
      <c r="E613" t="inlineStr">
        <is>
          <t>EHH0040</t>
        </is>
      </c>
      <c r="F613" t="inlineStr">
        <is>
          <t>SELETIVA</t>
        </is>
      </c>
      <c r="G613" t="inlineStr">
        <is>
          <t>G&amp;S PRUDENTE</t>
        </is>
      </c>
      <c r="H613" t="inlineStr">
        <is>
          <t>7.1.2</t>
        </is>
      </c>
      <c r="I613" t="inlineStr">
        <is>
          <t>MANUTENÇÃO DE VEÍCULOS/MAQUINAS</t>
        </is>
      </c>
      <c r="J613" t="n">
        <v>800</v>
      </c>
      <c r="K613" t="n">
        <v>-800</v>
      </c>
    </row>
    <row r="614" hidden="1" s="154">
      <c r="A614" t="n">
        <v>2025</v>
      </c>
      <c r="B614" t="inlineStr">
        <is>
          <t>2025-11</t>
        </is>
      </c>
      <c r="C614" t="inlineStr">
        <is>
          <t>Londrina</t>
        </is>
      </c>
      <c r="D614" t="inlineStr">
        <is>
          <t>HYUNDAI</t>
        </is>
      </c>
      <c r="E614" t="inlineStr">
        <is>
          <t>EHH0040</t>
        </is>
      </c>
      <c r="F614" t="inlineStr">
        <is>
          <t>SELETIVA</t>
        </is>
      </c>
      <c r="G614" t="inlineStr">
        <is>
          <t>G&amp;S MARINGA</t>
        </is>
      </c>
      <c r="H614" t="inlineStr">
        <is>
          <t>7.1.2</t>
        </is>
      </c>
      <c r="I614" t="inlineStr">
        <is>
          <t>MANUTENÇÃO DE VEÍCULOS/MAQUINAS</t>
        </is>
      </c>
      <c r="J614" t="n">
        <v>419</v>
      </c>
      <c r="K614" t="n">
        <v>-419</v>
      </c>
    </row>
    <row r="615" hidden="1" s="154">
      <c r="A615" t="n">
        <v>2025</v>
      </c>
      <c r="B615" t="inlineStr">
        <is>
          <t>2025-11</t>
        </is>
      </c>
      <c r="C615" t="inlineStr">
        <is>
          <t>Londrina</t>
        </is>
      </c>
      <c r="D615" t="inlineStr">
        <is>
          <t>HYUNDAI</t>
        </is>
      </c>
      <c r="E615" t="inlineStr">
        <is>
          <t>EHH0040</t>
        </is>
      </c>
      <c r="F615" t="inlineStr">
        <is>
          <t>SELETIVA</t>
        </is>
      </c>
      <c r="G615" t="inlineStr">
        <is>
          <t>CTA</t>
        </is>
      </c>
      <c r="H615" t="inlineStr">
        <is>
          <t>7.1.22</t>
        </is>
      </c>
      <c r="I615" t="inlineStr">
        <is>
          <t>COMBUSTÍVEL - DIESEL (INTERNO)</t>
        </is>
      </c>
      <c r="J615" t="n">
        <v>4844.97</v>
      </c>
      <c r="K615" t="n">
        <v>-4844.97</v>
      </c>
    </row>
    <row r="616" hidden="1" s="154">
      <c r="A616" t="n">
        <v>2025</v>
      </c>
      <c r="B616" t="inlineStr">
        <is>
          <t>2025-12</t>
        </is>
      </c>
      <c r="C616" t="inlineStr">
        <is>
          <t>Londrina</t>
        </is>
      </c>
      <c r="D616" t="inlineStr">
        <is>
          <t>HYUNDAI</t>
        </is>
      </c>
      <c r="E616" t="inlineStr">
        <is>
          <t>EHH0040</t>
        </is>
      </c>
      <c r="F616" t="inlineStr">
        <is>
          <t>SELETIVA</t>
        </is>
      </c>
      <c r="G616" t="inlineStr">
        <is>
          <t>G&amp;S LONDRINA</t>
        </is>
      </c>
      <c r="H616" t="inlineStr">
        <is>
          <t>7.1.2</t>
        </is>
      </c>
      <c r="I616" t="inlineStr">
        <is>
          <t>MANUTENÇÃO DE VEÍCULOS/MAQUINAS</t>
        </is>
      </c>
      <c r="J616" t="n">
        <v>383.8</v>
      </c>
      <c r="K616" t="n">
        <v>-383.8</v>
      </c>
    </row>
    <row r="617" hidden="1" s="154">
      <c r="A617" t="n">
        <v>2025</v>
      </c>
      <c r="B617" t="inlineStr">
        <is>
          <t>2025-12</t>
        </is>
      </c>
      <c r="C617" t="inlineStr">
        <is>
          <t>Londrina</t>
        </is>
      </c>
      <c r="D617" t="inlineStr">
        <is>
          <t>HYUNDAI</t>
        </is>
      </c>
      <c r="E617" t="inlineStr">
        <is>
          <t>EHH0040</t>
        </is>
      </c>
      <c r="F617" t="inlineStr">
        <is>
          <t>SELETIVA</t>
        </is>
      </c>
      <c r="G617" t="inlineStr">
        <is>
          <t>CTA</t>
        </is>
      </c>
      <c r="H617" t="inlineStr">
        <is>
          <t>7.1.22</t>
        </is>
      </c>
      <c r="I617" t="inlineStr">
        <is>
          <t>COMBUSTÍVEL - DIESEL (INTERNO)</t>
        </is>
      </c>
      <c r="J617" t="n">
        <v>1901.79</v>
      </c>
      <c r="K617" t="n">
        <v>-1901.79</v>
      </c>
    </row>
    <row r="618" hidden="1" s="154">
      <c r="A618" t="n">
        <v>2026</v>
      </c>
      <c r="B618" t="inlineStr">
        <is>
          <t>2026-01</t>
        </is>
      </c>
      <c r="C618" t="inlineStr">
        <is>
          <t>Londrina</t>
        </is>
      </c>
      <c r="D618" t="inlineStr">
        <is>
          <t>HYUNDAI</t>
        </is>
      </c>
      <c r="E618" t="inlineStr">
        <is>
          <t>EHH0040</t>
        </is>
      </c>
      <c r="F618" t="inlineStr">
        <is>
          <t>SELETIVA</t>
        </is>
      </c>
      <c r="G618" t="inlineStr">
        <is>
          <t>G&amp;S PRUDENTE</t>
        </is>
      </c>
      <c r="H618" t="inlineStr">
        <is>
          <t>7.1.2</t>
        </is>
      </c>
      <c r="I618" t="inlineStr">
        <is>
          <t>MANUTENÇÃO DE VEÍCULOS/MAQUINAS</t>
        </is>
      </c>
      <c r="J618" t="n">
        <v>612.76</v>
      </c>
      <c r="K618" t="n">
        <v>-612.76</v>
      </c>
    </row>
    <row r="619" hidden="1" s="154">
      <c r="A619" t="n">
        <v>2026</v>
      </c>
      <c r="B619" t="inlineStr">
        <is>
          <t>2026-02</t>
        </is>
      </c>
      <c r="C619" t="inlineStr">
        <is>
          <t>Londrina</t>
        </is>
      </c>
      <c r="D619" t="inlineStr">
        <is>
          <t>HYUNDAI</t>
        </is>
      </c>
      <c r="E619" t="inlineStr">
        <is>
          <t>EHH0040</t>
        </is>
      </c>
      <c r="F619" t="inlineStr">
        <is>
          <t>SELETIVA</t>
        </is>
      </c>
      <c r="G619" t="inlineStr">
        <is>
          <t>G&amp;S LONDRINA</t>
        </is>
      </c>
      <c r="H619" t="inlineStr">
        <is>
          <t>7.1.2</t>
        </is>
      </c>
      <c r="I619" t="inlineStr">
        <is>
          <t>MANUTENÇÃO DE VEÍCULOS/MAQUINAS</t>
        </is>
      </c>
      <c r="J619" t="n">
        <v>1416.57</v>
      </c>
      <c r="K619" t="n">
        <v>-1416.57</v>
      </c>
    </row>
    <row r="620" hidden="1" s="154">
      <c r="A620" t="n">
        <v>2026</v>
      </c>
      <c r="B620" t="inlineStr">
        <is>
          <t>2026-02</t>
        </is>
      </c>
      <c r="C620" t="inlineStr">
        <is>
          <t>Londrina</t>
        </is>
      </c>
      <c r="D620" t="inlineStr">
        <is>
          <t>HYUNDAI</t>
        </is>
      </c>
      <c r="E620" t="inlineStr">
        <is>
          <t>EHH0040</t>
        </is>
      </c>
      <c r="F620" t="inlineStr">
        <is>
          <t>SELETIVA</t>
        </is>
      </c>
      <c r="G620" t="inlineStr">
        <is>
          <t>G&amp;S PRUDENTE</t>
        </is>
      </c>
      <c r="H620" t="inlineStr">
        <is>
          <t>7.1.2</t>
        </is>
      </c>
      <c r="I620" t="inlineStr">
        <is>
          <t>MANUTENÇÃO DE VEÍCULOS/MAQUINAS</t>
        </is>
      </c>
      <c r="J620" t="n">
        <v>1640.67</v>
      </c>
      <c r="K620" t="n">
        <v>-1640.67</v>
      </c>
    </row>
    <row r="621" hidden="1" s="154">
      <c r="A621" t="n">
        <v>2026</v>
      </c>
      <c r="B621" t="inlineStr">
        <is>
          <t>2026-02</t>
        </is>
      </c>
      <c r="C621" t="inlineStr">
        <is>
          <t>Londrina</t>
        </is>
      </c>
      <c r="D621" t="inlineStr">
        <is>
          <t>HYUNDAI</t>
        </is>
      </c>
      <c r="E621" t="inlineStr">
        <is>
          <t>EHH0040</t>
        </is>
      </c>
      <c r="F621" t="inlineStr">
        <is>
          <t>SELETIVA</t>
        </is>
      </c>
      <c r="G621" t="inlineStr">
        <is>
          <t>G&amp;S MARINGA</t>
        </is>
      </c>
      <c r="H621" t="inlineStr">
        <is>
          <t>7.1.2</t>
        </is>
      </c>
      <c r="I621" t="inlineStr">
        <is>
          <t>MANUTENÇÃO DE VEÍCULOS/MAQUINAS</t>
        </is>
      </c>
      <c r="J621" t="n">
        <v>1202.53</v>
      </c>
      <c r="K621" t="n">
        <v>-1202.53</v>
      </c>
    </row>
    <row r="622" hidden="1" s="154">
      <c r="A622" t="n">
        <v>2026</v>
      </c>
      <c r="B622" t="inlineStr">
        <is>
          <t>2026-02</t>
        </is>
      </c>
      <c r="C622" t="inlineStr">
        <is>
          <t>Londrina</t>
        </is>
      </c>
      <c r="D622" t="inlineStr">
        <is>
          <t>HYUNDAI</t>
        </is>
      </c>
      <c r="E622" t="inlineStr">
        <is>
          <t>EHH0040</t>
        </is>
      </c>
      <c r="F622" t="inlineStr">
        <is>
          <t>SELETIVA</t>
        </is>
      </c>
      <c r="G622" t="inlineStr">
        <is>
          <t>G&amp;S LONDRINA</t>
        </is>
      </c>
      <c r="H622" t="inlineStr">
        <is>
          <t>7.1.18</t>
        </is>
      </c>
      <c r="I622" t="inlineStr">
        <is>
          <t>FRETES E CARRETOS</t>
        </is>
      </c>
      <c r="J622" t="n">
        <v>65.98</v>
      </c>
      <c r="K622" t="n">
        <v>-65.98</v>
      </c>
    </row>
    <row r="623" hidden="1" s="154">
      <c r="A623" t="n">
        <v>2026</v>
      </c>
      <c r="B623" t="inlineStr">
        <is>
          <t>2026-03</t>
        </is>
      </c>
      <c r="C623" t="inlineStr">
        <is>
          <t>Londrina</t>
        </is>
      </c>
      <c r="D623" t="inlineStr">
        <is>
          <t>HYUNDAI</t>
        </is>
      </c>
      <c r="E623" t="inlineStr">
        <is>
          <t>EHH0040</t>
        </is>
      </c>
      <c r="F623" t="inlineStr">
        <is>
          <t>SELETIVA</t>
        </is>
      </c>
      <c r="G623" t="inlineStr">
        <is>
          <t>G&amp;S MARINGA</t>
        </is>
      </c>
      <c r="H623" t="inlineStr">
        <is>
          <t>7.1.2</t>
        </is>
      </c>
      <c r="I623" t="inlineStr">
        <is>
          <t>MANUTENÇÃO DE VEÍCULOS/MAQUINAS</t>
        </is>
      </c>
      <c r="J623" t="n">
        <v>1335</v>
      </c>
      <c r="K623" t="n">
        <v>-1335</v>
      </c>
    </row>
    <row r="624" hidden="1" s="154">
      <c r="A624" t="n">
        <v>2026</v>
      </c>
      <c r="B624" t="inlineStr">
        <is>
          <t>2026-03</t>
        </is>
      </c>
      <c r="C624" t="inlineStr">
        <is>
          <t>Londrina</t>
        </is>
      </c>
      <c r="D624" t="inlineStr">
        <is>
          <t>HYUNDAI</t>
        </is>
      </c>
      <c r="E624" t="inlineStr">
        <is>
          <t>EHH0040</t>
        </is>
      </c>
      <c r="F624" t="inlineStr">
        <is>
          <t>SELETIVA</t>
        </is>
      </c>
      <c r="G624" t="inlineStr">
        <is>
          <t>G3S LONDRINA</t>
        </is>
      </c>
      <c r="H624" t="inlineStr">
        <is>
          <t>7.1.2</t>
        </is>
      </c>
      <c r="I624" t="inlineStr">
        <is>
          <t>MANUTENÇÃO DE VEÍCULOS/MAQUINAS</t>
        </is>
      </c>
      <c r="J624" t="n">
        <v>40</v>
      </c>
      <c r="K624" t="n">
        <v>-40</v>
      </c>
    </row>
    <row r="625" hidden="1" s="154">
      <c r="A625" t="n">
        <v>2026</v>
      </c>
      <c r="B625" t="inlineStr">
        <is>
          <t>2026-03</t>
        </is>
      </c>
      <c r="C625" t="inlineStr">
        <is>
          <t>Londrina</t>
        </is>
      </c>
      <c r="D625" t="inlineStr">
        <is>
          <t>HYUNDAI</t>
        </is>
      </c>
      <c r="E625" t="inlineStr">
        <is>
          <t>EHH0040</t>
        </is>
      </c>
      <c r="F625" t="inlineStr">
        <is>
          <t>SELETIVA</t>
        </is>
      </c>
      <c r="G625" t="inlineStr">
        <is>
          <t>G&amp;S PRUDENTE</t>
        </is>
      </c>
      <c r="H625" t="inlineStr">
        <is>
          <t>7.1.2</t>
        </is>
      </c>
      <c r="I625" t="inlineStr">
        <is>
          <t>MANUTENÇÃO DE VEÍCULOS/MAQUINAS</t>
        </is>
      </c>
      <c r="J625" t="n">
        <v>890</v>
      </c>
      <c r="K625" t="n">
        <v>-890</v>
      </c>
    </row>
    <row r="626" hidden="1" s="154">
      <c r="A626" t="n">
        <v>2026</v>
      </c>
      <c r="B626" t="inlineStr">
        <is>
          <t>2026-03</t>
        </is>
      </c>
      <c r="C626" t="inlineStr">
        <is>
          <t>Londrina</t>
        </is>
      </c>
      <c r="D626" t="inlineStr">
        <is>
          <t>HYUNDAI</t>
        </is>
      </c>
      <c r="E626" t="inlineStr">
        <is>
          <t>EHH0040</t>
        </is>
      </c>
      <c r="F626" t="inlineStr">
        <is>
          <t>SELETIVA</t>
        </is>
      </c>
      <c r="G626" t="inlineStr">
        <is>
          <t>G&amp;S MARINGA</t>
        </is>
      </c>
      <c r="H626" t="inlineStr">
        <is>
          <t>7.1.2</t>
        </is>
      </c>
      <c r="I626" t="inlineStr">
        <is>
          <t>MANUTENÇÃO DE VEÍCULOS/MAQUINAS</t>
        </is>
      </c>
      <c r="J626" t="n">
        <v>1285</v>
      </c>
      <c r="K626" t="n">
        <v>-1285</v>
      </c>
    </row>
    <row r="627" hidden="1" s="154">
      <c r="A627" t="n">
        <v>2026</v>
      </c>
      <c r="B627" t="inlineStr">
        <is>
          <t>2026-03</t>
        </is>
      </c>
      <c r="C627" t="inlineStr">
        <is>
          <t>Londrina</t>
        </is>
      </c>
      <c r="D627" t="inlineStr">
        <is>
          <t>HYUNDAI</t>
        </is>
      </c>
      <c r="E627" t="inlineStr">
        <is>
          <t>EHH0040</t>
        </is>
      </c>
      <c r="F627" t="inlineStr">
        <is>
          <t>SELETIVA</t>
        </is>
      </c>
      <c r="G627" t="inlineStr">
        <is>
          <t>G&amp;S LONDRINA</t>
        </is>
      </c>
      <c r="H627" t="inlineStr">
        <is>
          <t>7.1.2</t>
        </is>
      </c>
      <c r="I627" t="inlineStr">
        <is>
          <t>MANUTENÇÃO DE VEÍCULOS/MAQUINAS</t>
        </is>
      </c>
      <c r="J627" t="n">
        <v>1739</v>
      </c>
      <c r="K627" t="n">
        <v>-1739</v>
      </c>
    </row>
    <row r="628" hidden="1" s="154">
      <c r="A628" t="n">
        <v>2025</v>
      </c>
      <c r="B628" t="inlineStr">
        <is>
          <t>2025-01</t>
        </is>
      </c>
      <c r="C628" t="inlineStr">
        <is>
          <t>Maringá</t>
        </is>
      </c>
      <c r="D628" t="inlineStr">
        <is>
          <t>HYUNDAI</t>
        </is>
      </c>
      <c r="E628" t="inlineStr">
        <is>
          <t>EHH0002</t>
        </is>
      </c>
      <c r="F628" t="inlineStr">
        <is>
          <t>EKIPA LOCACOES E SERV G&amp;S</t>
        </is>
      </c>
      <c r="G628" t="inlineStr">
        <is>
          <t>G&amp;G MATRIZ</t>
        </is>
      </c>
      <c r="H628" t="inlineStr">
        <is>
          <t>7.1.22</t>
        </is>
      </c>
      <c r="I628" t="inlineStr">
        <is>
          <t>COMBUSTÍVEL - DIESEL (INTERNO)</t>
        </is>
      </c>
      <c r="J628" t="n">
        <v>1145.4</v>
      </c>
      <c r="K628" t="n">
        <v>1145.4</v>
      </c>
    </row>
    <row r="629" hidden="1" s="154">
      <c r="A629" t="n">
        <v>2025</v>
      </c>
      <c r="B629" t="inlineStr">
        <is>
          <t>2025-02</t>
        </is>
      </c>
      <c r="C629" t="inlineStr">
        <is>
          <t>Maringá</t>
        </is>
      </c>
      <c r="D629" t="inlineStr">
        <is>
          <t>HYUNDAI</t>
        </is>
      </c>
      <c r="E629" t="inlineStr">
        <is>
          <t>EHH0002</t>
        </is>
      </c>
      <c r="F629" t="inlineStr">
        <is>
          <t>EKIPA LOCACOES E SERV G&amp;S</t>
        </is>
      </c>
      <c r="G629" t="inlineStr">
        <is>
          <t>G&amp;G MARINGA</t>
        </is>
      </c>
      <c r="H629" t="inlineStr">
        <is>
          <t>7.1.1</t>
        </is>
      </c>
      <c r="I629" t="inlineStr">
        <is>
          <t>PEÇAS DE MANUTENÇÃO</t>
        </is>
      </c>
      <c r="J629" t="n">
        <v>230</v>
      </c>
      <c r="K629" t="n">
        <v>230</v>
      </c>
    </row>
    <row r="630" hidden="1" s="154">
      <c r="A630" t="n">
        <v>2025</v>
      </c>
      <c r="B630" t="inlineStr">
        <is>
          <t>2025-04</t>
        </is>
      </c>
      <c r="C630" t="inlineStr">
        <is>
          <t>Maringá</t>
        </is>
      </c>
      <c r="D630" t="inlineStr">
        <is>
          <t>HYUNDAI</t>
        </is>
      </c>
      <c r="E630" t="inlineStr">
        <is>
          <t>EHH0002</t>
        </is>
      </c>
      <c r="F630" t="inlineStr">
        <is>
          <t>EKIPA LOCACOES E SERV G&amp;S</t>
        </is>
      </c>
      <c r="G630" t="inlineStr">
        <is>
          <t>G&amp;G MARINGA</t>
        </is>
      </c>
      <c r="H630" t="inlineStr">
        <is>
          <t>7.1.1</t>
        </is>
      </c>
      <c r="I630" t="inlineStr">
        <is>
          <t>PEÇAS DE MANUTENÇÃO</t>
        </is>
      </c>
      <c r="J630" t="n">
        <v>115</v>
      </c>
      <c r="K630" t="n">
        <v>115</v>
      </c>
    </row>
    <row r="631" hidden="1" s="154">
      <c r="A631" t="n">
        <v>2025</v>
      </c>
      <c r="B631" t="inlineStr">
        <is>
          <t>2025-04</t>
        </is>
      </c>
      <c r="C631" t="inlineStr">
        <is>
          <t>Maringá</t>
        </is>
      </c>
      <c r="D631" t="inlineStr">
        <is>
          <t>HYUNDAI</t>
        </is>
      </c>
      <c r="E631" t="inlineStr">
        <is>
          <t>EHH0002</t>
        </is>
      </c>
      <c r="F631" t="inlineStr">
        <is>
          <t>EKIPA LOCACOES E SERV G&amp;S</t>
        </is>
      </c>
      <c r="G631" t="inlineStr">
        <is>
          <t>G&amp;G MARINGA</t>
        </is>
      </c>
      <c r="H631" t="inlineStr">
        <is>
          <t>7.1.1</t>
        </is>
      </c>
      <c r="I631" t="inlineStr">
        <is>
          <t>PEÇAS DE MANUTENÇÃO</t>
        </is>
      </c>
      <c r="J631" t="n">
        <v>55</v>
      </c>
      <c r="K631" t="n">
        <v>55</v>
      </c>
    </row>
    <row r="632" hidden="1" s="154">
      <c r="A632" t="n">
        <v>2025</v>
      </c>
      <c r="B632" t="inlineStr">
        <is>
          <t>2025-04</t>
        </is>
      </c>
      <c r="C632" t="inlineStr">
        <is>
          <t>Maringá</t>
        </is>
      </c>
      <c r="D632" t="inlineStr">
        <is>
          <t>HYUNDAI</t>
        </is>
      </c>
      <c r="E632" t="inlineStr">
        <is>
          <t>EHH0002</t>
        </is>
      </c>
      <c r="F632" t="inlineStr">
        <is>
          <t>EKIPA LOCACOES E SERV G&amp;S</t>
        </is>
      </c>
      <c r="G632" t="inlineStr">
        <is>
          <t>G&amp;G MARINGA</t>
        </is>
      </c>
      <c r="H632" t="inlineStr">
        <is>
          <t>7.1.4</t>
        </is>
      </c>
      <c r="I632" t="inlineStr">
        <is>
          <t>COMBUSTÍVEL - DIESEL (POSTO)</t>
        </is>
      </c>
      <c r="J632" t="n">
        <v>1232.1</v>
      </c>
      <c r="K632" t="n">
        <v>1232.1</v>
      </c>
    </row>
    <row r="633" hidden="1" s="154">
      <c r="A633" t="n">
        <v>2025</v>
      </c>
      <c r="B633" t="inlineStr">
        <is>
          <t>2025-04</t>
        </is>
      </c>
      <c r="C633" t="inlineStr">
        <is>
          <t>Maringá</t>
        </is>
      </c>
      <c r="D633" t="inlineStr">
        <is>
          <t>HYUNDAI</t>
        </is>
      </c>
      <c r="E633" t="inlineStr">
        <is>
          <t>EHH0002</t>
        </is>
      </c>
      <c r="F633" t="inlineStr">
        <is>
          <t>EKIPA LOCACOES E SERV G&amp;S</t>
        </is>
      </c>
      <c r="G633" t="inlineStr">
        <is>
          <t>G&amp;G MARINGA</t>
        </is>
      </c>
      <c r="H633" t="inlineStr">
        <is>
          <t>7.1.2</t>
        </is>
      </c>
      <c r="I633" t="inlineStr">
        <is>
          <t>MANUTENÇÃO DE VEÍCULOS/MAQUINAS</t>
        </is>
      </c>
      <c r="J633" t="n">
        <v>460</v>
      </c>
      <c r="K633" t="n">
        <v>460</v>
      </c>
    </row>
    <row r="634" hidden="1" s="154">
      <c r="A634" t="n">
        <v>2025</v>
      </c>
      <c r="B634" t="inlineStr">
        <is>
          <t>2025-08</t>
        </is>
      </c>
      <c r="C634" t="inlineStr">
        <is>
          <t>Maringá</t>
        </is>
      </c>
      <c r="D634" t="inlineStr">
        <is>
          <t>HYUNDAI</t>
        </is>
      </c>
      <c r="E634" t="inlineStr">
        <is>
          <t>EHH0002</t>
        </is>
      </c>
      <c r="F634" t="inlineStr">
        <is>
          <t>SELETIVA</t>
        </is>
      </c>
      <c r="G634" t="inlineStr">
        <is>
          <t>CTA</t>
        </is>
      </c>
      <c r="H634" t="inlineStr">
        <is>
          <t>7.1.22</t>
        </is>
      </c>
      <c r="I634" t="inlineStr">
        <is>
          <t>COMBUSTÍVEL - DIESEL (INTERNO)</t>
        </is>
      </c>
      <c r="J634" t="n">
        <v>2561.32</v>
      </c>
      <c r="K634" t="n">
        <v>-2561.32</v>
      </c>
    </row>
    <row r="635" hidden="1" s="154">
      <c r="A635" t="n">
        <v>2025</v>
      </c>
      <c r="B635" t="inlineStr">
        <is>
          <t>2025-08</t>
        </is>
      </c>
      <c r="C635" t="inlineStr">
        <is>
          <t>Maringá</t>
        </is>
      </c>
      <c r="D635" t="inlineStr">
        <is>
          <t>HYUNDAI</t>
        </is>
      </c>
      <c r="E635" t="inlineStr">
        <is>
          <t>EHH0002</t>
        </is>
      </c>
      <c r="F635" t="inlineStr">
        <is>
          <t>SELETIVA</t>
        </is>
      </c>
      <c r="G635" t="inlineStr">
        <is>
          <t>G&amp;S MARINGA</t>
        </is>
      </c>
      <c r="H635" t="inlineStr">
        <is>
          <t>7.1.2</t>
        </is>
      </c>
      <c r="I635" t="inlineStr">
        <is>
          <t>MANUTENÇÃO DE VEÍCULOS/MAQUINAS</t>
        </is>
      </c>
      <c r="J635" t="n">
        <v>469.86</v>
      </c>
      <c r="K635" t="n">
        <v>-469.86</v>
      </c>
    </row>
    <row r="636" hidden="1" s="154">
      <c r="A636" t="n">
        <v>2025</v>
      </c>
      <c r="B636" t="inlineStr">
        <is>
          <t>2025-09</t>
        </is>
      </c>
      <c r="C636" t="inlineStr">
        <is>
          <t>Maringá</t>
        </is>
      </c>
      <c r="D636" t="inlineStr">
        <is>
          <t>HYUNDAI</t>
        </is>
      </c>
      <c r="E636" t="inlineStr">
        <is>
          <t>EHH0002</t>
        </is>
      </c>
      <c r="F636" t="inlineStr">
        <is>
          <t>SELETIVA</t>
        </is>
      </c>
      <c r="G636" t="inlineStr">
        <is>
          <t>G&amp;S MARINGA</t>
        </is>
      </c>
      <c r="H636" t="inlineStr">
        <is>
          <t>7.1.2</t>
        </is>
      </c>
      <c r="I636" t="inlineStr">
        <is>
          <t>MANUTENÇÃO DE VEÍCULOS/MAQUINAS</t>
        </is>
      </c>
      <c r="J636" t="n">
        <v>1800</v>
      </c>
      <c r="K636" t="n">
        <v>-1800</v>
      </c>
    </row>
    <row r="637" hidden="1" s="154">
      <c r="A637" t="n">
        <v>2025</v>
      </c>
      <c r="B637" t="inlineStr">
        <is>
          <t>2025-09</t>
        </is>
      </c>
      <c r="C637" t="inlineStr">
        <is>
          <t>Maringá</t>
        </is>
      </c>
      <c r="D637" t="inlineStr">
        <is>
          <t>HYUNDAI</t>
        </is>
      </c>
      <c r="E637" t="inlineStr">
        <is>
          <t>EHH0002</t>
        </is>
      </c>
      <c r="F637" t="inlineStr">
        <is>
          <t>SELETIVA</t>
        </is>
      </c>
      <c r="G637" t="inlineStr">
        <is>
          <t>G&amp;S MARINGA</t>
        </is>
      </c>
      <c r="H637" t="inlineStr">
        <is>
          <t>7.1.2</t>
        </is>
      </c>
      <c r="I637" t="inlineStr">
        <is>
          <t>MANUTENÇÃO DE VEÍCULOS/MAQUINAS</t>
        </is>
      </c>
      <c r="J637" t="n">
        <v>734.52</v>
      </c>
      <c r="K637" t="n">
        <v>-734.52</v>
      </c>
    </row>
    <row r="638" hidden="1" s="154">
      <c r="A638" t="n">
        <v>2025</v>
      </c>
      <c r="B638" t="inlineStr">
        <is>
          <t>2025-09</t>
        </is>
      </c>
      <c r="C638" t="inlineStr">
        <is>
          <t>Maringá</t>
        </is>
      </c>
      <c r="D638" t="inlineStr">
        <is>
          <t>HYUNDAI</t>
        </is>
      </c>
      <c r="E638" t="inlineStr">
        <is>
          <t>EHH0002</t>
        </is>
      </c>
      <c r="F638" t="inlineStr">
        <is>
          <t>SELETIVA</t>
        </is>
      </c>
      <c r="G638" t="inlineStr">
        <is>
          <t>G&amp;S MARINGA</t>
        </is>
      </c>
      <c r="H638" t="inlineStr">
        <is>
          <t>7.1.2</t>
        </is>
      </c>
      <c r="I638" t="inlineStr">
        <is>
          <t>MANUTENÇÃO DE VEÍCULOS/MAQUINAS</t>
        </is>
      </c>
      <c r="J638" t="n">
        <v>600</v>
      </c>
      <c r="K638" t="n">
        <v>-600</v>
      </c>
    </row>
    <row r="639" hidden="1" s="154">
      <c r="A639" t="n">
        <v>2025</v>
      </c>
      <c r="B639" t="inlineStr">
        <is>
          <t>2025-09</t>
        </is>
      </c>
      <c r="C639" t="inlineStr">
        <is>
          <t>Maringá</t>
        </is>
      </c>
      <c r="D639" t="inlineStr">
        <is>
          <t>HYUNDAI</t>
        </is>
      </c>
      <c r="E639" t="inlineStr">
        <is>
          <t>EHH0002</t>
        </is>
      </c>
      <c r="F639" t="inlineStr">
        <is>
          <t>SELETIVA</t>
        </is>
      </c>
      <c r="G639" t="inlineStr">
        <is>
          <t>G&amp;S MARINGA</t>
        </is>
      </c>
      <c r="H639" t="inlineStr">
        <is>
          <t>7.1.2</t>
        </is>
      </c>
      <c r="I639" t="inlineStr">
        <is>
          <t>MANUTENÇÃO DE VEÍCULOS/MAQUINAS</t>
        </is>
      </c>
      <c r="J639" t="n">
        <v>165</v>
      </c>
      <c r="K639" t="n">
        <v>-165</v>
      </c>
    </row>
    <row r="640" hidden="1" s="154">
      <c r="A640" t="n">
        <v>2025</v>
      </c>
      <c r="B640" t="inlineStr">
        <is>
          <t>2025-10</t>
        </is>
      </c>
      <c r="C640" t="inlineStr">
        <is>
          <t>Maringá</t>
        </is>
      </c>
      <c r="D640" t="inlineStr">
        <is>
          <t>HYUNDAI</t>
        </is>
      </c>
      <c r="E640" t="inlineStr">
        <is>
          <t>EHH0002</t>
        </is>
      </c>
      <c r="F640" t="inlineStr">
        <is>
          <t>SELETIVA</t>
        </is>
      </c>
      <c r="G640" t="inlineStr">
        <is>
          <t>G&amp;S MARINGA</t>
        </is>
      </c>
      <c r="H640" t="inlineStr">
        <is>
          <t>7.1.18</t>
        </is>
      </c>
      <c r="I640" t="inlineStr">
        <is>
          <t>FRETES E CARRETOS</t>
        </is>
      </c>
      <c r="J640" t="n">
        <v>100.6</v>
      </c>
      <c r="K640" t="n">
        <v>-100.6</v>
      </c>
    </row>
    <row r="641" hidden="1" s="154">
      <c r="A641" t="n">
        <v>2025</v>
      </c>
      <c r="B641" t="inlineStr">
        <is>
          <t>2025-10</t>
        </is>
      </c>
      <c r="C641" t="inlineStr">
        <is>
          <t>Maringá</t>
        </is>
      </c>
      <c r="D641" t="inlineStr">
        <is>
          <t>HYUNDAI</t>
        </is>
      </c>
      <c r="E641" t="inlineStr">
        <is>
          <t>EHH0002</t>
        </is>
      </c>
      <c r="F641" t="inlineStr">
        <is>
          <t>SELETIVA</t>
        </is>
      </c>
      <c r="G641" t="inlineStr">
        <is>
          <t>G&amp;S MARINGA</t>
        </is>
      </c>
      <c r="H641" t="inlineStr">
        <is>
          <t>7.1.2</t>
        </is>
      </c>
      <c r="I641" t="inlineStr">
        <is>
          <t>MANUTENÇÃO DE VEÍCULOS/MAQUINAS</t>
        </is>
      </c>
      <c r="J641" t="n">
        <v>4720</v>
      </c>
      <c r="K641" t="n">
        <v>-4720</v>
      </c>
    </row>
    <row r="642" hidden="1" s="154">
      <c r="A642" t="n">
        <v>2025</v>
      </c>
      <c r="B642" t="inlineStr">
        <is>
          <t>2025-10</t>
        </is>
      </c>
      <c r="C642" t="inlineStr">
        <is>
          <t>Maringá</t>
        </is>
      </c>
      <c r="D642" t="inlineStr">
        <is>
          <t>HYUNDAI</t>
        </is>
      </c>
      <c r="E642" t="inlineStr">
        <is>
          <t>EHH0002</t>
        </is>
      </c>
      <c r="F642" t="inlineStr">
        <is>
          <t>SELETIVA</t>
        </is>
      </c>
      <c r="G642" t="inlineStr">
        <is>
          <t>G&amp;S MARINGA</t>
        </is>
      </c>
      <c r="H642" t="inlineStr">
        <is>
          <t>7.1.2</t>
        </is>
      </c>
      <c r="I642" t="inlineStr">
        <is>
          <t>MANUTENÇÃO DE VEÍCULOS/MAQUINAS</t>
        </is>
      </c>
      <c r="J642" t="n">
        <v>1838</v>
      </c>
      <c r="K642" t="n">
        <v>-1838</v>
      </c>
    </row>
    <row r="643" hidden="1" s="154">
      <c r="A643" t="n">
        <v>2025</v>
      </c>
      <c r="B643" t="inlineStr">
        <is>
          <t>2025-10</t>
        </is>
      </c>
      <c r="C643" t="inlineStr">
        <is>
          <t>Maringá</t>
        </is>
      </c>
      <c r="D643" t="inlineStr">
        <is>
          <t>HYUNDAI</t>
        </is>
      </c>
      <c r="E643" t="inlineStr">
        <is>
          <t>EHH0002</t>
        </is>
      </c>
      <c r="F643" t="inlineStr">
        <is>
          <t>SELETIVA</t>
        </is>
      </c>
      <c r="G643" t="inlineStr">
        <is>
          <t>G&amp;S MARINGA</t>
        </is>
      </c>
      <c r="H643" t="inlineStr">
        <is>
          <t>7.1.2</t>
        </is>
      </c>
      <c r="I643" t="inlineStr">
        <is>
          <t>MANUTENÇÃO DE VEÍCULOS/MAQUINAS</t>
        </is>
      </c>
      <c r="J643" t="n">
        <v>265</v>
      </c>
      <c r="K643" t="n">
        <v>-265</v>
      </c>
    </row>
    <row r="644" hidden="1" s="154">
      <c r="A644" t="n">
        <v>2026</v>
      </c>
      <c r="B644" t="inlineStr">
        <is>
          <t>2026-02</t>
        </is>
      </c>
      <c r="C644" t="inlineStr">
        <is>
          <t>Maringá</t>
        </is>
      </c>
      <c r="D644" t="inlineStr">
        <is>
          <t>HYUNDAI</t>
        </is>
      </c>
      <c r="E644" t="inlineStr">
        <is>
          <t>EHH0002</t>
        </is>
      </c>
      <c r="F644" t="inlineStr">
        <is>
          <t>SELETIVA</t>
        </is>
      </c>
      <c r="G644" t="inlineStr">
        <is>
          <t>G&amp;S PRUDENTE</t>
        </is>
      </c>
      <c r="H644" t="inlineStr">
        <is>
          <t>7.1.2</t>
        </is>
      </c>
      <c r="I644" t="inlineStr">
        <is>
          <t>MANUTENÇÃO DE VEÍCULOS/MAQUINAS</t>
        </is>
      </c>
      <c r="J644" t="n">
        <v>1150</v>
      </c>
      <c r="K644" t="n">
        <v>-1150</v>
      </c>
    </row>
    <row r="645" hidden="1" s="154">
      <c r="A645" t="n">
        <v>2026</v>
      </c>
      <c r="B645" t="inlineStr">
        <is>
          <t>2026-02</t>
        </is>
      </c>
      <c r="C645" t="inlineStr">
        <is>
          <t>Maringá</t>
        </is>
      </c>
      <c r="D645" t="inlineStr">
        <is>
          <t>HYUNDAI</t>
        </is>
      </c>
      <c r="E645" t="inlineStr">
        <is>
          <t>EHH0002</t>
        </is>
      </c>
      <c r="F645" t="inlineStr">
        <is>
          <t>SELETIVA</t>
        </is>
      </c>
      <c r="G645" t="inlineStr">
        <is>
          <t>G&amp;S LONDRINA</t>
        </is>
      </c>
      <c r="H645" t="inlineStr">
        <is>
          <t>7.1.2</t>
        </is>
      </c>
      <c r="I645" t="inlineStr">
        <is>
          <t>MANUTENÇÃO DE VEÍCULOS/MAQUINAS</t>
        </is>
      </c>
      <c r="J645" t="n">
        <v>1416.56</v>
      </c>
      <c r="K645" t="n">
        <v>-1416.56</v>
      </c>
    </row>
    <row r="646" hidden="1" s="154">
      <c r="A646" t="n">
        <v>2026</v>
      </c>
      <c r="B646" t="inlineStr">
        <is>
          <t>2026-02</t>
        </is>
      </c>
      <c r="C646" t="inlineStr">
        <is>
          <t>Maringá</t>
        </is>
      </c>
      <c r="D646" t="inlineStr">
        <is>
          <t>HYUNDAI</t>
        </is>
      </c>
      <c r="E646" t="inlineStr">
        <is>
          <t>EHH0002</t>
        </is>
      </c>
      <c r="F646" t="inlineStr">
        <is>
          <t>SELETIVA</t>
        </is>
      </c>
      <c r="G646" t="inlineStr">
        <is>
          <t>G&amp;S PRUDENTE</t>
        </is>
      </c>
      <c r="H646" t="inlineStr">
        <is>
          <t>7.1.2</t>
        </is>
      </c>
      <c r="I646" t="inlineStr">
        <is>
          <t>MANUTENÇÃO DE VEÍCULOS/MAQUINAS</t>
        </is>
      </c>
      <c r="J646" t="n">
        <v>1728.28</v>
      </c>
      <c r="K646" t="n">
        <v>-1728.28</v>
      </c>
    </row>
    <row r="647" hidden="1" s="154">
      <c r="A647" t="n">
        <v>2026</v>
      </c>
      <c r="B647" t="inlineStr">
        <is>
          <t>2026-02</t>
        </is>
      </c>
      <c r="C647" t="inlineStr">
        <is>
          <t>Maringá</t>
        </is>
      </c>
      <c r="D647" t="inlineStr">
        <is>
          <t>HYUNDAI</t>
        </is>
      </c>
      <c r="E647" t="inlineStr">
        <is>
          <t>EHH0002</t>
        </is>
      </c>
      <c r="F647" t="inlineStr">
        <is>
          <t>SELETIVA</t>
        </is>
      </c>
      <c r="G647" t="inlineStr">
        <is>
          <t>G&amp;S LONDRINA</t>
        </is>
      </c>
      <c r="H647" t="inlineStr">
        <is>
          <t>7.1.2</t>
        </is>
      </c>
      <c r="I647" t="inlineStr">
        <is>
          <t>MANUTENÇÃO DE VEÍCULOS/MAQUINAS</t>
        </is>
      </c>
      <c r="J647" t="n">
        <v>280</v>
      </c>
      <c r="K647" t="n">
        <v>-280</v>
      </c>
    </row>
    <row r="648" hidden="1" s="154">
      <c r="A648" t="n">
        <v>2026</v>
      </c>
      <c r="B648" t="inlineStr">
        <is>
          <t>2026-02</t>
        </is>
      </c>
      <c r="C648" t="inlineStr">
        <is>
          <t>Maringá</t>
        </is>
      </c>
      <c r="D648" t="inlineStr">
        <is>
          <t>HYUNDAI</t>
        </is>
      </c>
      <c r="E648" t="inlineStr">
        <is>
          <t>EHH0002</t>
        </is>
      </c>
      <c r="F648" t="inlineStr">
        <is>
          <t>SELETIVA</t>
        </is>
      </c>
      <c r="G648" t="inlineStr">
        <is>
          <t>G&amp;S LONDRINA</t>
        </is>
      </c>
      <c r="H648" t="inlineStr">
        <is>
          <t>7.1.2</t>
        </is>
      </c>
      <c r="I648" t="inlineStr">
        <is>
          <t>MANUTENÇÃO DE VEÍCULOS/MAQUINAS</t>
        </is>
      </c>
      <c r="J648" t="n">
        <v>494</v>
      </c>
      <c r="K648" t="n">
        <v>-494</v>
      </c>
    </row>
    <row r="649" hidden="1" s="154">
      <c r="A649" t="n">
        <v>2026</v>
      </c>
      <c r="B649" t="inlineStr">
        <is>
          <t>2026-02</t>
        </is>
      </c>
      <c r="C649" t="inlineStr">
        <is>
          <t>Maringá</t>
        </is>
      </c>
      <c r="D649" t="inlineStr">
        <is>
          <t>HYUNDAI</t>
        </is>
      </c>
      <c r="E649" t="inlineStr">
        <is>
          <t>EHH0002</t>
        </is>
      </c>
      <c r="F649" t="inlineStr">
        <is>
          <t>SELETIVA</t>
        </is>
      </c>
      <c r="G649" t="inlineStr">
        <is>
          <t>G&amp;S LONDRINA</t>
        </is>
      </c>
      <c r="H649" t="inlineStr">
        <is>
          <t>7.1.2</t>
        </is>
      </c>
      <c r="I649" t="inlineStr">
        <is>
          <t>MANUTENÇÃO DE VEÍCULOS/MAQUINAS</t>
        </is>
      </c>
      <c r="J649" t="n">
        <v>494</v>
      </c>
      <c r="K649" t="n">
        <v>-494</v>
      </c>
    </row>
    <row r="650" hidden="1" s="154">
      <c r="A650" t="n">
        <v>2026</v>
      </c>
      <c r="B650" t="inlineStr">
        <is>
          <t>2026-02</t>
        </is>
      </c>
      <c r="C650" t="inlineStr">
        <is>
          <t>Maringá</t>
        </is>
      </c>
      <c r="D650" t="inlineStr">
        <is>
          <t>HYUNDAI</t>
        </is>
      </c>
      <c r="E650" t="inlineStr">
        <is>
          <t>EHH0002</t>
        </is>
      </c>
      <c r="F650" t="inlineStr">
        <is>
          <t>SELETIVA</t>
        </is>
      </c>
      <c r="G650" t="inlineStr">
        <is>
          <t>G&amp;S LONDRINA</t>
        </is>
      </c>
      <c r="H650" t="inlineStr">
        <is>
          <t>7.1.18</t>
        </is>
      </c>
      <c r="I650" t="inlineStr">
        <is>
          <t>FRETES E CARRETOS</t>
        </is>
      </c>
      <c r="J650" t="n">
        <v>65.98999999999999</v>
      </c>
      <c r="K650" t="n">
        <v>-65.98999999999999</v>
      </c>
    </row>
    <row r="651" hidden="1" s="154">
      <c r="A651" t="n">
        <v>2026</v>
      </c>
      <c r="B651" t="inlineStr">
        <is>
          <t>2026-02</t>
        </is>
      </c>
      <c r="C651" t="inlineStr">
        <is>
          <t>Maringá</t>
        </is>
      </c>
      <c r="D651" t="inlineStr">
        <is>
          <t>HYUNDAI</t>
        </is>
      </c>
      <c r="E651" t="inlineStr">
        <is>
          <t>EHH0002</t>
        </is>
      </c>
      <c r="F651" t="inlineStr">
        <is>
          <t>SELETIVA</t>
        </is>
      </c>
      <c r="G651" t="inlineStr">
        <is>
          <t>G&amp;S LONDRINA</t>
        </is>
      </c>
      <c r="H651" t="inlineStr">
        <is>
          <t>7.1.2</t>
        </is>
      </c>
      <c r="I651" t="inlineStr">
        <is>
          <t>MANUTENÇÃO DE VEÍCULOS/MAQUINAS</t>
        </is>
      </c>
      <c r="J651" t="n">
        <v>494</v>
      </c>
      <c r="K651" t="n">
        <v>-494</v>
      </c>
    </row>
    <row r="652" hidden="1" s="154">
      <c r="A652" t="n">
        <v>2026</v>
      </c>
      <c r="B652" t="inlineStr">
        <is>
          <t>2026-03</t>
        </is>
      </c>
      <c r="C652" t="inlineStr">
        <is>
          <t>Maringá</t>
        </is>
      </c>
      <c r="D652" t="inlineStr">
        <is>
          <t>HYUNDAI</t>
        </is>
      </c>
      <c r="E652" t="inlineStr">
        <is>
          <t>EHH0002</t>
        </is>
      </c>
      <c r="F652" t="inlineStr">
        <is>
          <t>SELETIVA</t>
        </is>
      </c>
      <c r="G652" t="inlineStr">
        <is>
          <t>G3S LONDRINA</t>
        </is>
      </c>
      <c r="H652" t="inlineStr">
        <is>
          <t>7.1.2</t>
        </is>
      </c>
      <c r="I652" t="inlineStr">
        <is>
          <t>MANUTENÇÃO DE VEÍCULOS/MAQUINAS</t>
        </is>
      </c>
      <c r="J652" t="n">
        <v>40</v>
      </c>
      <c r="K652" t="n">
        <v>-40</v>
      </c>
    </row>
    <row r="653" hidden="1" s="154">
      <c r="A653" t="n">
        <v>2026</v>
      </c>
      <c r="B653" t="inlineStr">
        <is>
          <t>2026-03</t>
        </is>
      </c>
      <c r="C653" t="inlineStr">
        <is>
          <t>Maringá</t>
        </is>
      </c>
      <c r="D653" t="inlineStr">
        <is>
          <t>HYUNDAI</t>
        </is>
      </c>
      <c r="E653" t="inlineStr">
        <is>
          <t>EHH0002</t>
        </is>
      </c>
      <c r="F653" t="inlineStr">
        <is>
          <t>SELETIVA</t>
        </is>
      </c>
      <c r="G653" t="inlineStr">
        <is>
          <t>G&amp;S MARINGA</t>
        </is>
      </c>
      <c r="H653" t="inlineStr">
        <is>
          <t>7.1.18</t>
        </is>
      </c>
      <c r="I653" t="inlineStr">
        <is>
          <t>FRETES E CARRETOS</t>
        </is>
      </c>
      <c r="J653" t="n">
        <v>89.77</v>
      </c>
      <c r="K653" t="n">
        <v>-89.77</v>
      </c>
    </row>
    <row r="654" hidden="1" s="154">
      <c r="A654" t="n">
        <v>2026</v>
      </c>
      <c r="B654" t="inlineStr">
        <is>
          <t>2026-03</t>
        </is>
      </c>
      <c r="C654" t="inlineStr">
        <is>
          <t>Maringá</t>
        </is>
      </c>
      <c r="D654" t="inlineStr">
        <is>
          <t>HYUNDAI</t>
        </is>
      </c>
      <c r="E654" t="inlineStr">
        <is>
          <t>EHH0002</t>
        </is>
      </c>
      <c r="F654" t="inlineStr">
        <is>
          <t>SELETIVA</t>
        </is>
      </c>
      <c r="G654" t="inlineStr">
        <is>
          <t>G&amp;S LONDRINA</t>
        </is>
      </c>
      <c r="H654" t="inlineStr">
        <is>
          <t>7.1.2</t>
        </is>
      </c>
      <c r="I654" t="inlineStr">
        <is>
          <t>MANUTENÇÃO DE VEÍCULOS/MAQUINAS</t>
        </is>
      </c>
      <c r="J654" t="n">
        <v>1650</v>
      </c>
      <c r="K654" t="n">
        <v>-1650</v>
      </c>
    </row>
    <row r="655" hidden="1" s="154">
      <c r="A655" t="n">
        <v>2025</v>
      </c>
      <c r="B655" t="inlineStr">
        <is>
          <t>2025-01</t>
        </is>
      </c>
      <c r="C655" t="inlineStr">
        <is>
          <t>Maringá</t>
        </is>
      </c>
      <c r="D655" t="inlineStr">
        <is>
          <t>HYUNDAI</t>
        </is>
      </c>
      <c r="E655" t="inlineStr">
        <is>
          <t>EHH0004</t>
        </is>
      </c>
      <c r="F655" t="inlineStr">
        <is>
          <t>SELETIVA</t>
        </is>
      </c>
      <c r="G655" t="inlineStr">
        <is>
          <t>G&amp;G MARINGA</t>
        </is>
      </c>
      <c r="H655" t="inlineStr">
        <is>
          <t>7.1.4</t>
        </is>
      </c>
      <c r="I655" t="inlineStr">
        <is>
          <t>COMBUSTÍVEL - DIESEL (POSTO)</t>
        </is>
      </c>
      <c r="J655" t="n">
        <v>806.5599999999999</v>
      </c>
      <c r="K655" t="n">
        <v>806.5599999999999</v>
      </c>
    </row>
    <row r="656" hidden="1" s="154">
      <c r="A656" t="n">
        <v>2025</v>
      </c>
      <c r="B656" t="inlineStr">
        <is>
          <t>2025-03</t>
        </is>
      </c>
      <c r="C656" t="inlineStr">
        <is>
          <t>Maringá</t>
        </is>
      </c>
      <c r="D656" t="inlineStr">
        <is>
          <t>HYUNDAI</t>
        </is>
      </c>
      <c r="E656" t="inlineStr">
        <is>
          <t>EHH0004</t>
        </is>
      </c>
      <c r="F656" t="inlineStr">
        <is>
          <t>SELETIVA</t>
        </is>
      </c>
      <c r="G656" t="inlineStr">
        <is>
          <t>G&amp;G MATRIZ</t>
        </is>
      </c>
      <c r="H656" t="inlineStr">
        <is>
          <t>7.1.1</t>
        </is>
      </c>
      <c r="I656" t="inlineStr">
        <is>
          <t>PEÇAS DE MANUTENÇÃO</t>
        </is>
      </c>
      <c r="J656" t="n">
        <v>2891</v>
      </c>
      <c r="K656" t="n">
        <v>2891</v>
      </c>
    </row>
    <row r="657" hidden="1" s="154">
      <c r="A657" t="n">
        <v>2025</v>
      </c>
      <c r="B657" t="inlineStr">
        <is>
          <t>2025-04</t>
        </is>
      </c>
      <c r="C657" t="inlineStr">
        <is>
          <t>Maringá</t>
        </is>
      </c>
      <c r="D657" t="inlineStr">
        <is>
          <t>HYUNDAI</t>
        </is>
      </c>
      <c r="E657" t="inlineStr">
        <is>
          <t>EHH0004</t>
        </is>
      </c>
      <c r="F657" t="inlineStr">
        <is>
          <t>SELETIVA</t>
        </is>
      </c>
      <c r="G657" t="inlineStr">
        <is>
          <t>G&amp;G MARINGA</t>
        </is>
      </c>
      <c r="H657" t="inlineStr">
        <is>
          <t>7.1.1</t>
        </is>
      </c>
      <c r="I657" t="inlineStr">
        <is>
          <t>PEÇAS DE MANUTENÇÃO</t>
        </is>
      </c>
      <c r="J657" t="n">
        <v>115</v>
      </c>
      <c r="K657" t="n">
        <v>115</v>
      </c>
    </row>
    <row r="658" hidden="1" s="154">
      <c r="A658" t="n">
        <v>2025</v>
      </c>
      <c r="B658" t="inlineStr">
        <is>
          <t>2025-04</t>
        </is>
      </c>
      <c r="C658" t="inlineStr">
        <is>
          <t>Maringá</t>
        </is>
      </c>
      <c r="D658" t="inlineStr">
        <is>
          <t>HYUNDAI</t>
        </is>
      </c>
      <c r="E658" t="inlineStr">
        <is>
          <t>EHH0004</t>
        </is>
      </c>
      <c r="F658" t="inlineStr">
        <is>
          <t>SELETIVA</t>
        </is>
      </c>
      <c r="G658" t="inlineStr">
        <is>
          <t>G&amp;G MARINGA</t>
        </is>
      </c>
      <c r="H658" t="inlineStr">
        <is>
          <t>7.1.4</t>
        </is>
      </c>
      <c r="I658" t="inlineStr">
        <is>
          <t>COMBUSTÍVEL - DIESEL (POSTO)</t>
        </is>
      </c>
      <c r="J658" t="n">
        <v>1232.1</v>
      </c>
      <c r="K658" t="n">
        <v>1232.1</v>
      </c>
    </row>
    <row r="659" hidden="1" s="154">
      <c r="A659" t="n">
        <v>2025</v>
      </c>
      <c r="B659" t="inlineStr">
        <is>
          <t>2025-04</t>
        </is>
      </c>
      <c r="C659" t="inlineStr">
        <is>
          <t>Maringá</t>
        </is>
      </c>
      <c r="D659" t="inlineStr">
        <is>
          <t>HYUNDAI</t>
        </is>
      </c>
      <c r="E659" t="inlineStr">
        <is>
          <t>EHH0004</t>
        </is>
      </c>
      <c r="F659" t="inlineStr">
        <is>
          <t>SELETIVA</t>
        </is>
      </c>
      <c r="G659" t="inlineStr">
        <is>
          <t>G&amp;G MARINGA</t>
        </is>
      </c>
      <c r="H659" t="inlineStr">
        <is>
          <t>7.1.1</t>
        </is>
      </c>
      <c r="I659" t="inlineStr">
        <is>
          <t>PEÇAS DE MANUTENÇÃO</t>
        </is>
      </c>
      <c r="J659" t="n">
        <v>55</v>
      </c>
      <c r="K659" t="n">
        <v>55</v>
      </c>
    </row>
    <row r="660" hidden="1" s="154">
      <c r="A660" t="n">
        <v>2025</v>
      </c>
      <c r="B660" t="inlineStr">
        <is>
          <t>2025-05</t>
        </is>
      </c>
      <c r="C660" t="inlineStr">
        <is>
          <t>Maringá</t>
        </is>
      </c>
      <c r="D660" t="inlineStr">
        <is>
          <t>HYUNDAI</t>
        </is>
      </c>
      <c r="E660" t="inlineStr">
        <is>
          <t>EHH0004</t>
        </is>
      </c>
      <c r="F660" t="inlineStr">
        <is>
          <t>SELETIVA</t>
        </is>
      </c>
      <c r="G660" t="inlineStr">
        <is>
          <t>G&amp;G MARINGA</t>
        </is>
      </c>
      <c r="H660" t="inlineStr">
        <is>
          <t>7.1.1</t>
        </is>
      </c>
      <c r="I660" t="inlineStr">
        <is>
          <t>PEÇAS DE MANUTENÇÃO</t>
        </is>
      </c>
      <c r="J660" t="n">
        <v>635</v>
      </c>
      <c r="K660" t="n">
        <v>635</v>
      </c>
    </row>
    <row r="661" hidden="1" s="154">
      <c r="A661" t="n">
        <v>2025</v>
      </c>
      <c r="B661" t="inlineStr">
        <is>
          <t>2025-05</t>
        </is>
      </c>
      <c r="C661" t="inlineStr">
        <is>
          <t>Maringá</t>
        </is>
      </c>
      <c r="D661" t="inlineStr">
        <is>
          <t>HYUNDAI</t>
        </is>
      </c>
      <c r="E661" t="inlineStr">
        <is>
          <t>EHH0004</t>
        </is>
      </c>
      <c r="F661" t="inlineStr">
        <is>
          <t>SELETIVA</t>
        </is>
      </c>
      <c r="G661" t="inlineStr">
        <is>
          <t>G&amp;G MARINGA</t>
        </is>
      </c>
      <c r="H661" t="inlineStr">
        <is>
          <t>7.1.2</t>
        </is>
      </c>
      <c r="I661" t="inlineStr">
        <is>
          <t>MANUTENÇÃO DE VEÍCULOS/MAQUINAS</t>
        </is>
      </c>
      <c r="J661" t="n">
        <v>200</v>
      </c>
      <c r="K661" t="n">
        <v>200</v>
      </c>
    </row>
    <row r="662" hidden="1" s="154">
      <c r="A662" t="n">
        <v>2025</v>
      </c>
      <c r="B662" t="inlineStr">
        <is>
          <t>2025-05</t>
        </is>
      </c>
      <c r="C662" t="inlineStr">
        <is>
          <t>Maringá</t>
        </is>
      </c>
      <c r="D662" t="inlineStr">
        <is>
          <t>HYUNDAI</t>
        </is>
      </c>
      <c r="E662" t="inlineStr">
        <is>
          <t>EHH0004</t>
        </is>
      </c>
      <c r="F662" t="inlineStr">
        <is>
          <t>SELETIVA</t>
        </is>
      </c>
      <c r="G662" t="inlineStr">
        <is>
          <t>G&amp;G MARINGA</t>
        </is>
      </c>
      <c r="H662" t="inlineStr">
        <is>
          <t>7.1.1</t>
        </is>
      </c>
      <c r="I662" t="inlineStr">
        <is>
          <t>PEÇAS DE MANUTENÇÃO</t>
        </is>
      </c>
      <c r="J662" t="n">
        <v>3405</v>
      </c>
      <c r="K662" t="n">
        <v>3405</v>
      </c>
    </row>
    <row r="663" hidden="1" s="154">
      <c r="A663" t="n">
        <v>2025</v>
      </c>
      <c r="B663" t="inlineStr">
        <is>
          <t>2025-05</t>
        </is>
      </c>
      <c r="C663" t="inlineStr">
        <is>
          <t>Maringá</t>
        </is>
      </c>
      <c r="D663" t="inlineStr">
        <is>
          <t>HYUNDAI</t>
        </is>
      </c>
      <c r="E663" t="inlineStr">
        <is>
          <t>EHH0004</t>
        </is>
      </c>
      <c r="F663" t="inlineStr">
        <is>
          <t>SELETIVA</t>
        </is>
      </c>
      <c r="G663" t="inlineStr">
        <is>
          <t>G&amp;G MARINGA</t>
        </is>
      </c>
      <c r="H663" t="inlineStr">
        <is>
          <t>7.1.2</t>
        </is>
      </c>
      <c r="I663" t="inlineStr">
        <is>
          <t>MANUTENÇÃO DE VEÍCULOS/MAQUINAS</t>
        </is>
      </c>
      <c r="J663" t="n">
        <v>1070</v>
      </c>
      <c r="K663" t="n">
        <v>1070</v>
      </c>
    </row>
    <row r="664" hidden="1" s="154">
      <c r="A664" t="n">
        <v>2025</v>
      </c>
      <c r="B664" t="inlineStr">
        <is>
          <t>2025-05</t>
        </is>
      </c>
      <c r="C664" t="inlineStr">
        <is>
          <t>Maringá</t>
        </is>
      </c>
      <c r="D664" t="inlineStr">
        <is>
          <t>HYUNDAI</t>
        </is>
      </c>
      <c r="E664" t="inlineStr">
        <is>
          <t>EHH0004</t>
        </is>
      </c>
      <c r="F664" t="inlineStr">
        <is>
          <t>SELETIVA</t>
        </is>
      </c>
      <c r="G664" t="inlineStr">
        <is>
          <t>G&amp;G MARINGA</t>
        </is>
      </c>
      <c r="H664" t="inlineStr">
        <is>
          <t>7.1.1</t>
        </is>
      </c>
      <c r="I664" t="inlineStr">
        <is>
          <t>PEÇAS DE MANUTENÇÃO</t>
        </is>
      </c>
      <c r="J664" t="n">
        <v>500</v>
      </c>
      <c r="K664" t="n">
        <v>500</v>
      </c>
    </row>
    <row r="665" hidden="1" s="154">
      <c r="A665" t="n">
        <v>2025</v>
      </c>
      <c r="B665" t="inlineStr">
        <is>
          <t>2025-05</t>
        </is>
      </c>
      <c r="C665" t="inlineStr">
        <is>
          <t>Maringá</t>
        </is>
      </c>
      <c r="D665" t="inlineStr">
        <is>
          <t>HYUNDAI</t>
        </is>
      </c>
      <c r="E665" t="inlineStr">
        <is>
          <t>EHH0004</t>
        </is>
      </c>
      <c r="F665" t="inlineStr">
        <is>
          <t>SELETIVA</t>
        </is>
      </c>
      <c r="G665" t="inlineStr">
        <is>
          <t>G&amp;G MARINGA</t>
        </is>
      </c>
      <c r="H665" t="inlineStr">
        <is>
          <t>7.1.1</t>
        </is>
      </c>
      <c r="I665" t="inlineStr">
        <is>
          <t>PEÇAS DE MANUTENÇÃO</t>
        </is>
      </c>
      <c r="J665" t="n">
        <v>800</v>
      </c>
      <c r="K665" t="n">
        <v>800</v>
      </c>
    </row>
    <row r="666" hidden="1" s="154">
      <c r="A666" t="n">
        <v>2025</v>
      </c>
      <c r="B666" t="inlineStr">
        <is>
          <t>2025-05</t>
        </is>
      </c>
      <c r="C666" t="inlineStr">
        <is>
          <t>Maringá</t>
        </is>
      </c>
      <c r="D666" t="inlineStr">
        <is>
          <t>HYUNDAI</t>
        </is>
      </c>
      <c r="E666" t="inlineStr">
        <is>
          <t>EHH0004</t>
        </is>
      </c>
      <c r="F666" t="inlineStr">
        <is>
          <t>EKIPA LOCACOES E SERV G&amp;S</t>
        </is>
      </c>
      <c r="G666" t="inlineStr">
        <is>
          <t>G&amp;G MARINGA</t>
        </is>
      </c>
      <c r="H666" t="inlineStr">
        <is>
          <t>7.1.4</t>
        </is>
      </c>
      <c r="I666" t="inlineStr">
        <is>
          <t>COMBUSTÍVEL - DIESEL (POSTO)</t>
        </is>
      </c>
      <c r="J666" t="n">
        <v>946.0599999999999</v>
      </c>
      <c r="K666" t="n">
        <v>946.0599999999999</v>
      </c>
    </row>
    <row r="667" hidden="1" s="154">
      <c r="A667" t="n">
        <v>2025</v>
      </c>
      <c r="B667" t="inlineStr">
        <is>
          <t>2025-05</t>
        </is>
      </c>
      <c r="C667" t="inlineStr">
        <is>
          <t>Maringá</t>
        </is>
      </c>
      <c r="D667" t="inlineStr">
        <is>
          <t>HYUNDAI</t>
        </is>
      </c>
      <c r="E667" t="inlineStr">
        <is>
          <t>EHH0004</t>
        </is>
      </c>
      <c r="F667" t="inlineStr">
        <is>
          <t>SELETIVA</t>
        </is>
      </c>
      <c r="G667" t="inlineStr">
        <is>
          <t>G&amp;G MARINGA</t>
        </is>
      </c>
      <c r="H667" t="inlineStr">
        <is>
          <t>7.1.2</t>
        </is>
      </c>
      <c r="I667" t="inlineStr">
        <is>
          <t>MANUTENÇÃO DE VEÍCULOS/MAQUINAS</t>
        </is>
      </c>
      <c r="J667" t="n">
        <v>300</v>
      </c>
      <c r="K667" t="n">
        <v>300</v>
      </c>
    </row>
    <row r="668" hidden="1" s="154">
      <c r="A668" t="n">
        <v>2025</v>
      </c>
      <c r="B668" t="inlineStr">
        <is>
          <t>2025-06</t>
        </is>
      </c>
      <c r="C668" t="inlineStr">
        <is>
          <t>Maringá</t>
        </is>
      </c>
      <c r="D668" t="inlineStr">
        <is>
          <t>HYUNDAI</t>
        </is>
      </c>
      <c r="E668" t="inlineStr">
        <is>
          <t>EHH0004</t>
        </is>
      </c>
      <c r="F668" t="inlineStr">
        <is>
          <t>SELETIVA</t>
        </is>
      </c>
      <c r="G668" t="inlineStr">
        <is>
          <t>G&amp;S MARINGA</t>
        </is>
      </c>
      <c r="H668" t="inlineStr">
        <is>
          <t>7.1.2</t>
        </is>
      </c>
      <c r="I668" t="inlineStr">
        <is>
          <t>MANUTENÇÃO DE VEÍCULOS/MAQUINAS</t>
        </is>
      </c>
      <c r="J668" t="n">
        <v>1866</v>
      </c>
      <c r="K668" t="n">
        <v>-1866</v>
      </c>
    </row>
    <row r="669" hidden="1" s="154">
      <c r="A669" t="n">
        <v>2025</v>
      </c>
      <c r="B669" t="inlineStr">
        <is>
          <t>2025-06</t>
        </is>
      </c>
      <c r="C669" t="inlineStr">
        <is>
          <t>Maringá</t>
        </is>
      </c>
      <c r="D669" t="inlineStr">
        <is>
          <t>HYUNDAI</t>
        </is>
      </c>
      <c r="E669" t="inlineStr">
        <is>
          <t>EHH0004</t>
        </is>
      </c>
      <c r="F669" t="inlineStr">
        <is>
          <t>SELETIVA</t>
        </is>
      </c>
      <c r="G669" t="inlineStr">
        <is>
          <t>G&amp;S MARINGA</t>
        </is>
      </c>
      <c r="H669" t="inlineStr">
        <is>
          <t>7.1.2</t>
        </is>
      </c>
      <c r="I669" t="inlineStr">
        <is>
          <t>MANUTENÇÃO DE VEÍCULOS/MAQUINAS</t>
        </is>
      </c>
      <c r="J669" t="n">
        <v>413.42</v>
      </c>
      <c r="K669" t="n">
        <v>-413.42</v>
      </c>
    </row>
    <row r="670" hidden="1" s="154">
      <c r="A670" t="n">
        <v>2025</v>
      </c>
      <c r="B670" t="inlineStr">
        <is>
          <t>2025-06</t>
        </is>
      </c>
      <c r="C670" t="inlineStr">
        <is>
          <t>Maringá</t>
        </is>
      </c>
      <c r="D670" t="inlineStr">
        <is>
          <t>HYUNDAI</t>
        </is>
      </c>
      <c r="E670" t="inlineStr">
        <is>
          <t>EHH0004</t>
        </is>
      </c>
      <c r="F670" t="inlineStr">
        <is>
          <t>SELETIVA</t>
        </is>
      </c>
      <c r="G670" t="inlineStr">
        <is>
          <t>G&amp;S MARINGA</t>
        </is>
      </c>
      <c r="H670" t="inlineStr">
        <is>
          <t>7.1.2</t>
        </is>
      </c>
      <c r="I670" t="inlineStr">
        <is>
          <t>MANUTENÇÃO DE VEÍCULOS/MAQUINAS</t>
        </is>
      </c>
      <c r="J670" t="n">
        <v>413.29</v>
      </c>
      <c r="K670" t="n">
        <v>-413.29</v>
      </c>
    </row>
    <row r="671" hidden="1" s="154">
      <c r="A671" t="n">
        <v>2025</v>
      </c>
      <c r="B671" t="inlineStr">
        <is>
          <t>2025-06</t>
        </is>
      </c>
      <c r="C671" t="inlineStr">
        <is>
          <t>Maringá</t>
        </is>
      </c>
      <c r="D671" t="inlineStr">
        <is>
          <t>HYUNDAI</t>
        </is>
      </c>
      <c r="E671" t="inlineStr">
        <is>
          <t>EHH0004</t>
        </is>
      </c>
      <c r="F671" t="inlineStr">
        <is>
          <t>SELETIVA</t>
        </is>
      </c>
      <c r="G671" t="inlineStr">
        <is>
          <t>G&amp;S MARINGA</t>
        </is>
      </c>
      <c r="H671" t="inlineStr">
        <is>
          <t>7.1.2</t>
        </is>
      </c>
      <c r="I671" t="inlineStr">
        <is>
          <t>MANUTENÇÃO DE VEÍCULOS/MAQUINAS</t>
        </is>
      </c>
      <c r="J671" t="n">
        <v>413.29</v>
      </c>
      <c r="K671" t="n">
        <v>-413.29</v>
      </c>
    </row>
    <row r="672" hidden="1" s="154">
      <c r="A672" t="n">
        <v>2025</v>
      </c>
      <c r="B672" t="inlineStr">
        <is>
          <t>2025-06</t>
        </is>
      </c>
      <c r="C672" t="inlineStr">
        <is>
          <t>Maringá</t>
        </is>
      </c>
      <c r="D672" t="inlineStr">
        <is>
          <t>HYUNDAI</t>
        </is>
      </c>
      <c r="E672" t="inlineStr">
        <is>
          <t>EHH0004</t>
        </is>
      </c>
      <c r="F672" t="inlineStr">
        <is>
          <t>SELETIVA</t>
        </is>
      </c>
      <c r="G672" t="inlineStr">
        <is>
          <t>CTA</t>
        </is>
      </c>
      <c r="H672" t="inlineStr">
        <is>
          <t>7.1.22</t>
        </is>
      </c>
      <c r="I672" t="inlineStr">
        <is>
          <t>COMBUSTÍVEL - DIESEL (INTERNO)</t>
        </is>
      </c>
      <c r="J672" t="n">
        <v>898.6799999999999</v>
      </c>
      <c r="K672" t="n">
        <v>-898.6799999999999</v>
      </c>
    </row>
    <row r="673" hidden="1" s="154">
      <c r="A673" t="n">
        <v>2025</v>
      </c>
      <c r="B673" t="inlineStr">
        <is>
          <t>2025-07</t>
        </is>
      </c>
      <c r="C673" t="inlineStr">
        <is>
          <t>Maringá</t>
        </is>
      </c>
      <c r="D673" t="inlineStr">
        <is>
          <t>HYUNDAI</t>
        </is>
      </c>
      <c r="E673" t="inlineStr">
        <is>
          <t>EHH0004</t>
        </is>
      </c>
      <c r="F673" t="inlineStr">
        <is>
          <t>SELETIVA</t>
        </is>
      </c>
      <c r="G673" t="inlineStr">
        <is>
          <t>CTA</t>
        </is>
      </c>
      <c r="H673" t="inlineStr">
        <is>
          <t>7.1.22</t>
        </is>
      </c>
      <c r="I673" t="inlineStr">
        <is>
          <t>COMBUSTÍVEL - DIESEL (INTERNO)</t>
        </is>
      </c>
      <c r="J673" t="n">
        <v>1224.46</v>
      </c>
      <c r="K673" t="n">
        <v>-1224.46</v>
      </c>
    </row>
    <row r="674" hidden="1" s="154">
      <c r="A674" t="n">
        <v>2025</v>
      </c>
      <c r="B674" t="inlineStr">
        <is>
          <t>2025-08</t>
        </is>
      </c>
      <c r="C674" t="inlineStr">
        <is>
          <t>Maringá</t>
        </is>
      </c>
      <c r="D674" t="inlineStr">
        <is>
          <t>HYUNDAI</t>
        </is>
      </c>
      <c r="E674" t="inlineStr">
        <is>
          <t>EHH0004</t>
        </is>
      </c>
      <c r="F674" t="inlineStr">
        <is>
          <t>SELETIVA</t>
        </is>
      </c>
      <c r="G674" t="inlineStr">
        <is>
          <t>CTA</t>
        </is>
      </c>
      <c r="H674" t="inlineStr">
        <is>
          <t>7.1.22</t>
        </is>
      </c>
      <c r="I674" t="inlineStr">
        <is>
          <t>COMBUSTÍVEL - DIESEL (INTERNO)</t>
        </is>
      </c>
      <c r="J674" t="n">
        <v>1397.02</v>
      </c>
      <c r="K674" t="n">
        <v>-1397.02</v>
      </c>
    </row>
    <row r="675" hidden="1" s="154">
      <c r="A675" t="n">
        <v>2025</v>
      </c>
      <c r="B675" t="inlineStr">
        <is>
          <t>2025-08</t>
        </is>
      </c>
      <c r="C675" t="inlineStr">
        <is>
          <t>Maringá</t>
        </is>
      </c>
      <c r="D675" t="inlineStr">
        <is>
          <t>HYUNDAI</t>
        </is>
      </c>
      <c r="E675" t="inlineStr">
        <is>
          <t>EHH0004</t>
        </is>
      </c>
      <c r="F675" t="inlineStr">
        <is>
          <t>SELETIVA</t>
        </is>
      </c>
      <c r="G675" t="inlineStr">
        <is>
          <t>G&amp;S MARINGA</t>
        </is>
      </c>
      <c r="H675" t="inlineStr">
        <is>
          <t>7.1.2</t>
        </is>
      </c>
      <c r="I675" t="inlineStr">
        <is>
          <t>MANUTENÇÃO DE VEÍCULOS/MAQUINAS</t>
        </is>
      </c>
      <c r="J675" t="n">
        <v>469.86</v>
      </c>
      <c r="K675" t="n">
        <v>-469.86</v>
      </c>
    </row>
    <row r="676" hidden="1" s="154">
      <c r="A676" t="n">
        <v>2025</v>
      </c>
      <c r="B676" t="inlineStr">
        <is>
          <t>2025-09</t>
        </is>
      </c>
      <c r="C676" t="inlineStr">
        <is>
          <t>Maringá</t>
        </is>
      </c>
      <c r="D676" t="inlineStr">
        <is>
          <t>HYUNDAI</t>
        </is>
      </c>
      <c r="E676" t="inlineStr">
        <is>
          <t>EHH0004</t>
        </is>
      </c>
      <c r="F676" t="inlineStr">
        <is>
          <t>SELETIVA</t>
        </is>
      </c>
      <c r="G676" t="inlineStr">
        <is>
          <t>G&amp;S MARINGA</t>
        </is>
      </c>
      <c r="H676" t="inlineStr">
        <is>
          <t>7.1.2</t>
        </is>
      </c>
      <c r="I676" t="inlineStr">
        <is>
          <t>MANUTENÇÃO DE VEÍCULOS/MAQUINAS</t>
        </is>
      </c>
      <c r="J676" t="n">
        <v>734.52</v>
      </c>
      <c r="K676" t="n">
        <v>-734.52</v>
      </c>
    </row>
    <row r="677" hidden="1" s="154">
      <c r="A677" t="n">
        <v>2025</v>
      </c>
      <c r="B677" t="inlineStr">
        <is>
          <t>2025-09</t>
        </is>
      </c>
      <c r="C677" t="inlineStr">
        <is>
          <t>Maringá</t>
        </is>
      </c>
      <c r="D677" t="inlineStr">
        <is>
          <t>HYUNDAI</t>
        </is>
      </c>
      <c r="E677" t="inlineStr">
        <is>
          <t>EHH0004</t>
        </is>
      </c>
      <c r="F677" t="inlineStr">
        <is>
          <t>SELETIVA</t>
        </is>
      </c>
      <c r="G677" t="inlineStr">
        <is>
          <t>G&amp;S MARINGA</t>
        </is>
      </c>
      <c r="H677" t="inlineStr">
        <is>
          <t>7.1.2</t>
        </is>
      </c>
      <c r="I677" t="inlineStr">
        <is>
          <t>MANUTENÇÃO DE VEÍCULOS/MAQUINAS</t>
        </is>
      </c>
      <c r="J677" t="n">
        <v>6154</v>
      </c>
      <c r="K677" t="n">
        <v>-6154</v>
      </c>
    </row>
    <row r="678" hidden="1" s="154">
      <c r="A678" t="n">
        <v>2025</v>
      </c>
      <c r="B678" t="inlineStr">
        <is>
          <t>2025-09</t>
        </is>
      </c>
      <c r="C678" t="inlineStr">
        <is>
          <t>Maringá</t>
        </is>
      </c>
      <c r="D678" t="inlineStr">
        <is>
          <t>HYUNDAI</t>
        </is>
      </c>
      <c r="E678" t="inlineStr">
        <is>
          <t>EHH0004</t>
        </is>
      </c>
      <c r="F678" t="inlineStr">
        <is>
          <t>SELETIVA</t>
        </is>
      </c>
      <c r="G678" t="inlineStr">
        <is>
          <t>G&amp;S MARINGA</t>
        </is>
      </c>
      <c r="H678" t="inlineStr">
        <is>
          <t>7.1.2</t>
        </is>
      </c>
      <c r="I678" t="inlineStr">
        <is>
          <t>MANUTENÇÃO DE VEÍCULOS/MAQUINAS</t>
        </is>
      </c>
      <c r="J678" t="n">
        <v>3080</v>
      </c>
      <c r="K678" t="n">
        <v>-3080</v>
      </c>
    </row>
    <row r="679" hidden="1" s="154">
      <c r="A679" t="n">
        <v>2025</v>
      </c>
      <c r="B679" t="inlineStr">
        <is>
          <t>2025-09</t>
        </is>
      </c>
      <c r="C679" t="inlineStr">
        <is>
          <t>Maringá</t>
        </is>
      </c>
      <c r="D679" t="inlineStr">
        <is>
          <t>HYUNDAI</t>
        </is>
      </c>
      <c r="E679" t="inlineStr">
        <is>
          <t>EHH0004</t>
        </is>
      </c>
      <c r="F679" t="inlineStr">
        <is>
          <t>SELETIVA</t>
        </is>
      </c>
      <c r="G679" t="inlineStr">
        <is>
          <t>G&amp;S MARINGA</t>
        </is>
      </c>
      <c r="H679" t="inlineStr">
        <is>
          <t>7.1.2</t>
        </is>
      </c>
      <c r="I679" t="inlineStr">
        <is>
          <t>MANUTENÇÃO DE VEÍCULOS/MAQUINAS</t>
        </is>
      </c>
      <c r="J679" t="n">
        <v>3000</v>
      </c>
      <c r="K679" t="n">
        <v>-3000</v>
      </c>
    </row>
    <row r="680" hidden="1" s="154">
      <c r="A680" t="n">
        <v>2025</v>
      </c>
      <c r="B680" t="inlineStr">
        <is>
          <t>2025-09</t>
        </is>
      </c>
      <c r="C680" t="inlineStr">
        <is>
          <t>Maringá</t>
        </is>
      </c>
      <c r="D680" t="inlineStr">
        <is>
          <t>HYUNDAI</t>
        </is>
      </c>
      <c r="E680" t="inlineStr">
        <is>
          <t>EHH0004</t>
        </is>
      </c>
      <c r="F680" t="inlineStr">
        <is>
          <t>SELETIVA</t>
        </is>
      </c>
      <c r="G680" t="inlineStr">
        <is>
          <t>G&amp;S MARINGA</t>
        </is>
      </c>
      <c r="H680" t="inlineStr">
        <is>
          <t>7.1.2</t>
        </is>
      </c>
      <c r="I680" t="inlineStr">
        <is>
          <t>MANUTENÇÃO DE VEÍCULOS/MAQUINAS</t>
        </is>
      </c>
      <c r="J680" t="n">
        <v>165</v>
      </c>
      <c r="K680" t="n">
        <v>-165</v>
      </c>
    </row>
    <row r="681" hidden="1" s="154">
      <c r="A681" t="n">
        <v>2025</v>
      </c>
      <c r="B681" t="inlineStr">
        <is>
          <t>2025-10</t>
        </is>
      </c>
      <c r="C681" t="inlineStr">
        <is>
          <t>Maringá</t>
        </is>
      </c>
      <c r="D681" t="inlineStr">
        <is>
          <t>HYUNDAI</t>
        </is>
      </c>
      <c r="E681" t="inlineStr">
        <is>
          <t>EHH0004</t>
        </is>
      </c>
      <c r="F681" t="inlineStr">
        <is>
          <t>SELETIVA</t>
        </is>
      </c>
      <c r="G681" t="inlineStr">
        <is>
          <t>G3S CIDADE ALTA</t>
        </is>
      </c>
      <c r="H681" t="inlineStr">
        <is>
          <t>7.1.2</t>
        </is>
      </c>
      <c r="I681" t="inlineStr">
        <is>
          <t>MANUTENÇÃO DE VEÍCULOS/MAQUINAS</t>
        </is>
      </c>
      <c r="J681" t="n">
        <v>975</v>
      </c>
      <c r="K681" t="n">
        <v>-975</v>
      </c>
    </row>
    <row r="682" hidden="1" s="154">
      <c r="A682" t="n">
        <v>2025</v>
      </c>
      <c r="B682" t="inlineStr">
        <is>
          <t>2025-10</t>
        </is>
      </c>
      <c r="C682" t="inlineStr">
        <is>
          <t>Maringá</t>
        </is>
      </c>
      <c r="D682" t="inlineStr">
        <is>
          <t>HYUNDAI</t>
        </is>
      </c>
      <c r="E682" t="inlineStr">
        <is>
          <t>EHH0004</t>
        </is>
      </c>
      <c r="F682" t="inlineStr">
        <is>
          <t>SELETIVA</t>
        </is>
      </c>
      <c r="G682" t="inlineStr">
        <is>
          <t>G&amp;S PRUDENTE</t>
        </is>
      </c>
      <c r="H682" t="inlineStr">
        <is>
          <t>7.1.2</t>
        </is>
      </c>
      <c r="I682" t="inlineStr">
        <is>
          <t>MANUTENÇÃO DE VEÍCULOS/MAQUINAS</t>
        </is>
      </c>
      <c r="J682" t="n">
        <v>1700</v>
      </c>
      <c r="K682" t="n">
        <v>-1700</v>
      </c>
    </row>
    <row r="683" hidden="1" s="154">
      <c r="A683" t="n">
        <v>2025</v>
      </c>
      <c r="B683" t="inlineStr">
        <is>
          <t>2025-10</t>
        </is>
      </c>
      <c r="C683" t="inlineStr">
        <is>
          <t>Maringá</t>
        </is>
      </c>
      <c r="D683" t="inlineStr">
        <is>
          <t>HYUNDAI</t>
        </is>
      </c>
      <c r="E683" t="inlineStr">
        <is>
          <t>EHH0004</t>
        </is>
      </c>
      <c r="F683" t="inlineStr">
        <is>
          <t>SELETIVA</t>
        </is>
      </c>
      <c r="G683" t="inlineStr">
        <is>
          <t>G&amp;S MARINGA</t>
        </is>
      </c>
      <c r="H683" t="inlineStr">
        <is>
          <t>7.1.2</t>
        </is>
      </c>
      <c r="I683" t="inlineStr">
        <is>
          <t>MANUTENÇÃO DE VEÍCULOS/MAQUINAS</t>
        </is>
      </c>
      <c r="J683" t="n">
        <v>300</v>
      </c>
      <c r="K683" t="n">
        <v>-300</v>
      </c>
    </row>
    <row r="684" hidden="1" s="154">
      <c r="A684" t="n">
        <v>2025</v>
      </c>
      <c r="B684" t="inlineStr">
        <is>
          <t>2025-11</t>
        </is>
      </c>
      <c r="C684" t="inlineStr">
        <is>
          <t>Maringá</t>
        </is>
      </c>
      <c r="D684" t="inlineStr">
        <is>
          <t>HYUNDAI</t>
        </is>
      </c>
      <c r="E684" t="inlineStr">
        <is>
          <t>EHH0004</t>
        </is>
      </c>
      <c r="F684" t="inlineStr">
        <is>
          <t>SELETIVA</t>
        </is>
      </c>
      <c r="G684" t="inlineStr">
        <is>
          <t>G&amp;S PRUDENTE</t>
        </is>
      </c>
      <c r="H684" t="inlineStr">
        <is>
          <t>7.1.2</t>
        </is>
      </c>
      <c r="I684" t="inlineStr">
        <is>
          <t>MANUTENÇÃO DE VEÍCULOS/MAQUINAS</t>
        </is>
      </c>
      <c r="J684" t="n">
        <v>5400</v>
      </c>
      <c r="K684" t="n">
        <v>-5400</v>
      </c>
    </row>
    <row r="685" hidden="1" s="154">
      <c r="A685" t="n">
        <v>2025</v>
      </c>
      <c r="B685" t="inlineStr">
        <is>
          <t>2025-11</t>
        </is>
      </c>
      <c r="C685" t="inlineStr">
        <is>
          <t>Maringá</t>
        </is>
      </c>
      <c r="D685" t="inlineStr">
        <is>
          <t>HYUNDAI</t>
        </is>
      </c>
      <c r="E685" t="inlineStr">
        <is>
          <t>EHH0004</t>
        </is>
      </c>
      <c r="F685" t="inlineStr">
        <is>
          <t>SELETIVA</t>
        </is>
      </c>
      <c r="G685" t="inlineStr">
        <is>
          <t>G&amp;S PRUDENTE</t>
        </is>
      </c>
      <c r="H685" t="inlineStr">
        <is>
          <t>7.1.2</t>
        </is>
      </c>
      <c r="I685" t="inlineStr">
        <is>
          <t>MANUTENÇÃO DE VEÍCULOS/MAQUINAS</t>
        </is>
      </c>
      <c r="J685" t="n">
        <v>1600</v>
      </c>
      <c r="K685" t="n">
        <v>-1600</v>
      </c>
    </row>
    <row r="686" hidden="1" s="154">
      <c r="A686" t="n">
        <v>2025</v>
      </c>
      <c r="B686" t="inlineStr">
        <is>
          <t>2025-11</t>
        </is>
      </c>
      <c r="C686" t="inlineStr">
        <is>
          <t>Maringá</t>
        </is>
      </c>
      <c r="D686" t="inlineStr">
        <is>
          <t>HYUNDAI</t>
        </is>
      </c>
      <c r="E686" t="inlineStr">
        <is>
          <t>EHH0004</t>
        </is>
      </c>
      <c r="F686" t="inlineStr">
        <is>
          <t>SELETIVA</t>
        </is>
      </c>
      <c r="G686" t="inlineStr">
        <is>
          <t>G&amp;S PRUDENTE</t>
        </is>
      </c>
      <c r="H686" t="inlineStr">
        <is>
          <t>7.1.2</t>
        </is>
      </c>
      <c r="I686" t="inlineStr">
        <is>
          <t>MANUTENÇÃO DE VEÍCULOS/MAQUINAS</t>
        </is>
      </c>
      <c r="J686" t="n">
        <v>506.66</v>
      </c>
      <c r="K686" t="n">
        <v>-506.66</v>
      </c>
    </row>
    <row r="687" hidden="1" s="154">
      <c r="A687" t="n">
        <v>2025</v>
      </c>
      <c r="B687" t="inlineStr">
        <is>
          <t>2025-11</t>
        </is>
      </c>
      <c r="C687" t="inlineStr">
        <is>
          <t>Maringá</t>
        </is>
      </c>
      <c r="D687" t="inlineStr">
        <is>
          <t>HYUNDAI</t>
        </is>
      </c>
      <c r="E687" t="inlineStr">
        <is>
          <t>EHH0004</t>
        </is>
      </c>
      <c r="F687" t="inlineStr">
        <is>
          <t>SELETIVA</t>
        </is>
      </c>
      <c r="G687" t="inlineStr">
        <is>
          <t>G&amp;S PRUDENTE</t>
        </is>
      </c>
      <c r="H687" t="inlineStr">
        <is>
          <t>7.1.2</t>
        </is>
      </c>
      <c r="I687" t="inlineStr">
        <is>
          <t>MANUTENÇÃO DE VEÍCULOS/MAQUINAS</t>
        </is>
      </c>
      <c r="J687" t="n">
        <v>1600</v>
      </c>
      <c r="K687" t="n">
        <v>-1600</v>
      </c>
    </row>
    <row r="688" hidden="1" s="154">
      <c r="A688" t="n">
        <v>2025</v>
      </c>
      <c r="B688" t="inlineStr">
        <is>
          <t>2025-11</t>
        </is>
      </c>
      <c r="C688" t="inlineStr">
        <is>
          <t>Maringá</t>
        </is>
      </c>
      <c r="D688" t="inlineStr">
        <is>
          <t>HYUNDAI</t>
        </is>
      </c>
      <c r="E688" t="inlineStr">
        <is>
          <t>EHH0004</t>
        </is>
      </c>
      <c r="F688" t="inlineStr">
        <is>
          <t>SELETIVA</t>
        </is>
      </c>
      <c r="G688" t="inlineStr">
        <is>
          <t>G&amp;S PRUDENTE</t>
        </is>
      </c>
      <c r="H688" t="inlineStr">
        <is>
          <t>7.1.2</t>
        </is>
      </c>
      <c r="I688" t="inlineStr">
        <is>
          <t>MANUTENÇÃO DE VEÍCULOS/MAQUINAS</t>
        </is>
      </c>
      <c r="J688" t="n">
        <v>506.67</v>
      </c>
      <c r="K688" t="n">
        <v>-506.67</v>
      </c>
    </row>
    <row r="689" hidden="1" s="154">
      <c r="A689" t="n">
        <v>2025</v>
      </c>
      <c r="B689" t="inlineStr">
        <is>
          <t>2025-11</t>
        </is>
      </c>
      <c r="C689" t="inlineStr">
        <is>
          <t>Maringá</t>
        </is>
      </c>
      <c r="D689" t="inlineStr">
        <is>
          <t>HYUNDAI</t>
        </is>
      </c>
      <c r="E689" t="inlineStr">
        <is>
          <t>EHH0004</t>
        </is>
      </c>
      <c r="F689" t="inlineStr">
        <is>
          <t>SELETIVA</t>
        </is>
      </c>
      <c r="G689" t="inlineStr">
        <is>
          <t>G&amp;S PRUDENTE</t>
        </is>
      </c>
      <c r="H689" t="inlineStr">
        <is>
          <t>7.1.2</t>
        </is>
      </c>
      <c r="I689" t="inlineStr">
        <is>
          <t>MANUTENÇÃO DE VEÍCULOS/MAQUINAS</t>
        </is>
      </c>
      <c r="J689" t="n">
        <v>1600</v>
      </c>
      <c r="K689" t="n">
        <v>-1600</v>
      </c>
    </row>
    <row r="690" hidden="1" s="154">
      <c r="A690" t="n">
        <v>2025</v>
      </c>
      <c r="B690" t="inlineStr">
        <is>
          <t>2025-11</t>
        </is>
      </c>
      <c r="C690" t="inlineStr">
        <is>
          <t>Maringá</t>
        </is>
      </c>
      <c r="D690" t="inlineStr">
        <is>
          <t>HYUNDAI</t>
        </is>
      </c>
      <c r="E690" t="inlineStr">
        <is>
          <t>EHH0004</t>
        </is>
      </c>
      <c r="F690" t="inlineStr">
        <is>
          <t>SELETIVA</t>
        </is>
      </c>
      <c r="G690" t="inlineStr">
        <is>
          <t>G&amp;S PRUDENTE</t>
        </is>
      </c>
      <c r="H690" t="inlineStr">
        <is>
          <t>7.1.2</t>
        </is>
      </c>
      <c r="I690" t="inlineStr">
        <is>
          <t>MANUTENÇÃO DE VEÍCULOS/MAQUINAS</t>
        </is>
      </c>
      <c r="J690" t="n">
        <v>506.67</v>
      </c>
      <c r="K690" t="n">
        <v>-506.67</v>
      </c>
    </row>
    <row r="691" hidden="1" s="154">
      <c r="A691" t="n">
        <v>2025</v>
      </c>
      <c r="B691" t="inlineStr">
        <is>
          <t>2025-11</t>
        </is>
      </c>
      <c r="C691" t="inlineStr">
        <is>
          <t>Maringá</t>
        </is>
      </c>
      <c r="D691" t="inlineStr">
        <is>
          <t>HYUNDAI</t>
        </is>
      </c>
      <c r="E691" t="inlineStr">
        <is>
          <t>EHH0004</t>
        </is>
      </c>
      <c r="F691" t="inlineStr">
        <is>
          <t>SELETIVA</t>
        </is>
      </c>
      <c r="G691" t="inlineStr">
        <is>
          <t>G&amp;S PRUDENTE</t>
        </is>
      </c>
      <c r="H691" t="inlineStr">
        <is>
          <t>7.1.18</t>
        </is>
      </c>
      <c r="I691" t="inlineStr">
        <is>
          <t>FRETES E CARRETOS</t>
        </is>
      </c>
      <c r="J691" t="n">
        <v>96.59</v>
      </c>
      <c r="K691" t="n">
        <v>-96.59</v>
      </c>
    </row>
    <row r="692" hidden="1" s="154">
      <c r="A692" t="n">
        <v>2025</v>
      </c>
      <c r="B692" t="inlineStr">
        <is>
          <t>2025-11</t>
        </is>
      </c>
      <c r="C692" t="inlineStr">
        <is>
          <t>Maringá</t>
        </is>
      </c>
      <c r="D692" t="inlineStr">
        <is>
          <t>HYUNDAI</t>
        </is>
      </c>
      <c r="E692" t="inlineStr">
        <is>
          <t>EHH0004</t>
        </is>
      </c>
      <c r="F692" t="inlineStr">
        <is>
          <t>SELETIVA</t>
        </is>
      </c>
      <c r="G692" t="inlineStr">
        <is>
          <t>G&amp;S PRUDENTE</t>
        </is>
      </c>
      <c r="H692" t="inlineStr">
        <is>
          <t>7.1.2</t>
        </is>
      </c>
      <c r="I692" t="inlineStr">
        <is>
          <t>MANUTENÇÃO DE VEÍCULOS/MAQUINAS</t>
        </is>
      </c>
      <c r="J692" t="n">
        <v>1391.72</v>
      </c>
      <c r="K692" t="n">
        <v>-1391.72</v>
      </c>
    </row>
    <row r="693" hidden="1" s="154">
      <c r="A693" t="n">
        <v>2025</v>
      </c>
      <c r="B693" t="inlineStr">
        <is>
          <t>2025-11</t>
        </is>
      </c>
      <c r="C693" t="inlineStr">
        <is>
          <t>Maringá</t>
        </is>
      </c>
      <c r="D693" t="inlineStr">
        <is>
          <t>HYUNDAI</t>
        </is>
      </c>
      <c r="E693" t="inlineStr">
        <is>
          <t>EHH0004</t>
        </is>
      </c>
      <c r="F693" t="inlineStr">
        <is>
          <t>SELETIVA</t>
        </is>
      </c>
      <c r="G693" t="inlineStr">
        <is>
          <t>G&amp;S PRUDENTE</t>
        </is>
      </c>
      <c r="H693" t="inlineStr">
        <is>
          <t>7.1.2</t>
        </is>
      </c>
      <c r="I693" t="inlineStr">
        <is>
          <t>MANUTENÇÃO DE VEÍCULOS/MAQUINAS</t>
        </is>
      </c>
      <c r="J693" t="n">
        <v>1395</v>
      </c>
      <c r="K693" t="n">
        <v>-1395</v>
      </c>
    </row>
    <row r="694" hidden="1" s="154">
      <c r="A694" t="n">
        <v>2025</v>
      </c>
      <c r="B694" t="inlineStr">
        <is>
          <t>2025-11</t>
        </is>
      </c>
      <c r="C694" t="inlineStr">
        <is>
          <t>Maringá</t>
        </is>
      </c>
      <c r="D694" t="inlineStr">
        <is>
          <t>HYUNDAI</t>
        </is>
      </c>
      <c r="E694" t="inlineStr">
        <is>
          <t>EHH0004</t>
        </is>
      </c>
      <c r="F694" t="inlineStr">
        <is>
          <t>SELETIVA</t>
        </is>
      </c>
      <c r="G694" t="inlineStr">
        <is>
          <t>G&amp;S PRUDENTE</t>
        </is>
      </c>
      <c r="H694" t="inlineStr">
        <is>
          <t>7.1.2</t>
        </is>
      </c>
      <c r="I694" t="inlineStr">
        <is>
          <t>MANUTENÇÃO DE VEÍCULOS/MAQUINAS</t>
        </is>
      </c>
      <c r="J694" t="n">
        <v>1395</v>
      </c>
      <c r="K694" t="n">
        <v>-1395</v>
      </c>
    </row>
    <row r="695" hidden="1" s="154">
      <c r="A695" t="n">
        <v>2025</v>
      </c>
      <c r="B695" t="inlineStr">
        <is>
          <t>2025-11</t>
        </is>
      </c>
      <c r="C695" t="inlineStr">
        <is>
          <t>Maringá</t>
        </is>
      </c>
      <c r="D695" t="inlineStr">
        <is>
          <t>HYUNDAI</t>
        </is>
      </c>
      <c r="E695" t="inlineStr">
        <is>
          <t>EHH0004</t>
        </is>
      </c>
      <c r="F695" t="inlineStr">
        <is>
          <t>SELETIVA</t>
        </is>
      </c>
      <c r="G695" t="inlineStr">
        <is>
          <t>G&amp;S PRUDENTE</t>
        </is>
      </c>
      <c r="H695" t="inlineStr">
        <is>
          <t>7.1.2</t>
        </is>
      </c>
      <c r="I695" t="inlineStr">
        <is>
          <t>MANUTENÇÃO DE VEÍCULOS/MAQUINAS</t>
        </is>
      </c>
      <c r="J695" t="n">
        <v>1235.75</v>
      </c>
      <c r="K695" t="n">
        <v>-1235.75</v>
      </c>
    </row>
    <row r="696" hidden="1" s="154">
      <c r="A696" t="n">
        <v>2025</v>
      </c>
      <c r="B696" t="inlineStr">
        <is>
          <t>2025-11</t>
        </is>
      </c>
      <c r="C696" t="inlineStr">
        <is>
          <t>Maringá</t>
        </is>
      </c>
      <c r="D696" t="inlineStr">
        <is>
          <t>HYUNDAI</t>
        </is>
      </c>
      <c r="E696" t="inlineStr">
        <is>
          <t>EHH0004</t>
        </is>
      </c>
      <c r="F696" t="inlineStr">
        <is>
          <t>SELETIVA</t>
        </is>
      </c>
      <c r="G696" t="inlineStr">
        <is>
          <t>G&amp;S PRUDENTE</t>
        </is>
      </c>
      <c r="H696" t="inlineStr">
        <is>
          <t>7.1.2</t>
        </is>
      </c>
      <c r="I696" t="inlineStr">
        <is>
          <t>MANUTENÇÃO DE VEÍCULOS/MAQUINAS</t>
        </is>
      </c>
      <c r="J696" t="n">
        <v>1235.75</v>
      </c>
      <c r="K696" t="n">
        <v>-1235.75</v>
      </c>
    </row>
    <row r="697" hidden="1" s="154">
      <c r="A697" t="n">
        <v>2025</v>
      </c>
      <c r="B697" t="inlineStr">
        <is>
          <t>2025-11</t>
        </is>
      </c>
      <c r="C697" t="inlineStr">
        <is>
          <t>Maringá</t>
        </is>
      </c>
      <c r="D697" t="inlineStr">
        <is>
          <t>HYUNDAI</t>
        </is>
      </c>
      <c r="E697" t="inlineStr">
        <is>
          <t>EHH0004</t>
        </is>
      </c>
      <c r="F697" t="inlineStr">
        <is>
          <t>SELETIVA</t>
        </is>
      </c>
      <c r="G697" t="inlineStr">
        <is>
          <t>G&amp;S PRUDENTE</t>
        </is>
      </c>
      <c r="H697" t="inlineStr">
        <is>
          <t>7.1.2</t>
        </is>
      </c>
      <c r="I697" t="inlineStr">
        <is>
          <t>MANUTENÇÃO DE VEÍCULOS/MAQUINAS</t>
        </is>
      </c>
      <c r="J697" t="n">
        <v>1235.75</v>
      </c>
      <c r="K697" t="n">
        <v>-1235.75</v>
      </c>
    </row>
    <row r="698" hidden="1" s="154">
      <c r="A698" t="n">
        <v>2025</v>
      </c>
      <c r="B698" t="inlineStr">
        <is>
          <t>2025-11</t>
        </is>
      </c>
      <c r="C698" t="inlineStr">
        <is>
          <t>Maringá</t>
        </is>
      </c>
      <c r="D698" t="inlineStr">
        <is>
          <t>HYUNDAI</t>
        </is>
      </c>
      <c r="E698" t="inlineStr">
        <is>
          <t>EHH0004</t>
        </is>
      </c>
      <c r="F698" t="inlineStr">
        <is>
          <t>SELETIVA</t>
        </is>
      </c>
      <c r="G698" t="inlineStr">
        <is>
          <t>G&amp;S PRUDENTE</t>
        </is>
      </c>
      <c r="H698" t="inlineStr">
        <is>
          <t>7.1.2</t>
        </is>
      </c>
      <c r="I698" t="inlineStr">
        <is>
          <t>MANUTENÇÃO DE VEÍCULOS/MAQUINAS</t>
        </is>
      </c>
      <c r="J698" t="n">
        <v>1235.75</v>
      </c>
      <c r="K698" t="n">
        <v>-1235.75</v>
      </c>
    </row>
    <row r="699" hidden="1" s="154">
      <c r="A699" t="n">
        <v>2025</v>
      </c>
      <c r="B699" t="inlineStr">
        <is>
          <t>2025-11</t>
        </is>
      </c>
      <c r="C699" t="inlineStr">
        <is>
          <t>Maringá</t>
        </is>
      </c>
      <c r="D699" t="inlineStr">
        <is>
          <t>HYUNDAI</t>
        </is>
      </c>
      <c r="E699" t="inlineStr">
        <is>
          <t>EHH0004</t>
        </is>
      </c>
      <c r="F699" t="inlineStr">
        <is>
          <t>SELETIVA</t>
        </is>
      </c>
      <c r="G699" t="inlineStr">
        <is>
          <t>G&amp;S PRUDENTE</t>
        </is>
      </c>
      <c r="H699" t="inlineStr">
        <is>
          <t>7.1.2</t>
        </is>
      </c>
      <c r="I699" t="inlineStr">
        <is>
          <t>MANUTENÇÃO DE VEÍCULOS/MAQUINAS</t>
        </is>
      </c>
      <c r="J699" t="n">
        <v>980</v>
      </c>
      <c r="K699" t="n">
        <v>-980</v>
      </c>
    </row>
    <row r="700" hidden="1" s="154">
      <c r="A700" t="n">
        <v>2025</v>
      </c>
      <c r="B700" t="inlineStr">
        <is>
          <t>2025-11</t>
        </is>
      </c>
      <c r="C700" t="inlineStr">
        <is>
          <t>Maringá</t>
        </is>
      </c>
      <c r="D700" t="inlineStr">
        <is>
          <t>HYUNDAI</t>
        </is>
      </c>
      <c r="E700" t="inlineStr">
        <is>
          <t>EHH0004</t>
        </is>
      </c>
      <c r="F700" t="inlineStr">
        <is>
          <t>SELETIVA</t>
        </is>
      </c>
      <c r="G700" t="inlineStr">
        <is>
          <t>G&amp;S PRUDENTE</t>
        </is>
      </c>
      <c r="H700" t="inlineStr">
        <is>
          <t>7.1.2</t>
        </is>
      </c>
      <c r="I700" t="inlineStr">
        <is>
          <t>MANUTENÇÃO DE VEÍCULOS/MAQUINAS</t>
        </is>
      </c>
      <c r="J700" t="n">
        <v>980</v>
      </c>
      <c r="K700" t="n">
        <v>-980</v>
      </c>
    </row>
    <row r="701" hidden="1" s="154">
      <c r="A701" t="n">
        <v>2025</v>
      </c>
      <c r="B701" t="inlineStr">
        <is>
          <t>2025-11</t>
        </is>
      </c>
      <c r="C701" t="inlineStr">
        <is>
          <t>Maringá</t>
        </is>
      </c>
      <c r="D701" t="inlineStr">
        <is>
          <t>HYUNDAI</t>
        </is>
      </c>
      <c r="E701" t="inlineStr">
        <is>
          <t>EHH0004</t>
        </is>
      </c>
      <c r="F701" t="inlineStr">
        <is>
          <t>SELETIVA</t>
        </is>
      </c>
      <c r="G701" t="inlineStr">
        <is>
          <t>G&amp;S PRUDENTE</t>
        </is>
      </c>
      <c r="H701" t="inlineStr">
        <is>
          <t>7.1.2</t>
        </is>
      </c>
      <c r="I701" t="inlineStr">
        <is>
          <t>MANUTENÇÃO DE VEÍCULOS/MAQUINAS</t>
        </is>
      </c>
      <c r="J701" t="n">
        <v>980</v>
      </c>
      <c r="K701" t="n">
        <v>-980</v>
      </c>
    </row>
    <row r="702" hidden="1" s="154">
      <c r="A702" t="n">
        <v>2025</v>
      </c>
      <c r="B702" t="inlineStr">
        <is>
          <t>2025-11</t>
        </is>
      </c>
      <c r="C702" t="inlineStr">
        <is>
          <t>Maringá</t>
        </is>
      </c>
      <c r="D702" t="inlineStr">
        <is>
          <t>HYUNDAI</t>
        </is>
      </c>
      <c r="E702" t="inlineStr">
        <is>
          <t>EHH0004</t>
        </is>
      </c>
      <c r="F702" t="inlineStr">
        <is>
          <t>SELETIVA</t>
        </is>
      </c>
      <c r="G702" t="inlineStr">
        <is>
          <t>G&amp;S PRUDENTE</t>
        </is>
      </c>
      <c r="H702" t="inlineStr">
        <is>
          <t>7.1.2</t>
        </is>
      </c>
      <c r="I702" t="inlineStr">
        <is>
          <t>MANUTENÇÃO DE VEÍCULOS/MAQUINAS</t>
        </is>
      </c>
      <c r="J702" t="n">
        <v>980</v>
      </c>
      <c r="K702" t="n">
        <v>-980</v>
      </c>
    </row>
    <row r="703" hidden="1" s="154">
      <c r="A703" t="n">
        <v>2025</v>
      </c>
      <c r="B703" t="inlineStr">
        <is>
          <t>2025-11</t>
        </is>
      </c>
      <c r="C703" t="inlineStr">
        <is>
          <t>Maringá</t>
        </is>
      </c>
      <c r="D703" t="inlineStr">
        <is>
          <t>HYUNDAI</t>
        </is>
      </c>
      <c r="E703" t="inlineStr">
        <is>
          <t>EHH0004</t>
        </is>
      </c>
      <c r="F703" t="inlineStr">
        <is>
          <t>SELETIVA</t>
        </is>
      </c>
      <c r="G703" t="inlineStr">
        <is>
          <t>G&amp;S PRUDENTE</t>
        </is>
      </c>
      <c r="H703" t="inlineStr">
        <is>
          <t>7.1.2</t>
        </is>
      </c>
      <c r="I703" t="inlineStr">
        <is>
          <t>MANUTENÇÃO DE VEÍCULOS/MAQUINAS</t>
        </is>
      </c>
      <c r="J703" t="n">
        <v>510</v>
      </c>
      <c r="K703" t="n">
        <v>-510</v>
      </c>
    </row>
    <row r="704" hidden="1" s="154">
      <c r="A704" t="n">
        <v>2025</v>
      </c>
      <c r="B704" t="inlineStr">
        <is>
          <t>2025-11</t>
        </is>
      </c>
      <c r="C704" t="inlineStr">
        <is>
          <t>Maringá</t>
        </is>
      </c>
      <c r="D704" t="inlineStr">
        <is>
          <t>HYUNDAI</t>
        </is>
      </c>
      <c r="E704" t="inlineStr">
        <is>
          <t>EHH0004</t>
        </is>
      </c>
      <c r="F704" t="inlineStr">
        <is>
          <t>SELETIVA</t>
        </is>
      </c>
      <c r="G704" t="inlineStr">
        <is>
          <t>G&amp;S PRUDENTE</t>
        </is>
      </c>
      <c r="H704" t="inlineStr">
        <is>
          <t>7.1.2</t>
        </is>
      </c>
      <c r="I704" t="inlineStr">
        <is>
          <t>MANUTENÇÃO DE VEÍCULOS/MAQUINAS</t>
        </is>
      </c>
      <c r="J704" t="n">
        <v>154</v>
      </c>
      <c r="K704" t="n">
        <v>-154</v>
      </c>
    </row>
    <row r="705" hidden="1" s="154">
      <c r="A705" t="n">
        <v>2025</v>
      </c>
      <c r="B705" t="inlineStr">
        <is>
          <t>2025-11</t>
        </is>
      </c>
      <c r="C705" t="inlineStr">
        <is>
          <t>Maringá</t>
        </is>
      </c>
      <c r="D705" t="inlineStr">
        <is>
          <t>HYUNDAI</t>
        </is>
      </c>
      <c r="E705" t="inlineStr">
        <is>
          <t>EHH0004</t>
        </is>
      </c>
      <c r="F705" t="inlineStr">
        <is>
          <t>SELETIVA</t>
        </is>
      </c>
      <c r="G705" t="inlineStr">
        <is>
          <t>G&amp;S PRUDENTE</t>
        </is>
      </c>
      <c r="H705" t="inlineStr">
        <is>
          <t>7.1.2</t>
        </is>
      </c>
      <c r="I705" t="inlineStr">
        <is>
          <t>MANUTENÇÃO DE VEÍCULOS/MAQUINAS</t>
        </is>
      </c>
      <c r="J705" t="n">
        <v>153</v>
      </c>
      <c r="K705" t="n">
        <v>-153</v>
      </c>
    </row>
    <row r="706" hidden="1" s="154">
      <c r="A706" t="n">
        <v>2025</v>
      </c>
      <c r="B706" t="inlineStr">
        <is>
          <t>2025-11</t>
        </is>
      </c>
      <c r="C706" t="inlineStr">
        <is>
          <t>Maringá</t>
        </is>
      </c>
      <c r="D706" t="inlineStr">
        <is>
          <t>HYUNDAI</t>
        </is>
      </c>
      <c r="E706" t="inlineStr">
        <is>
          <t>EHH0004</t>
        </is>
      </c>
      <c r="F706" t="inlineStr">
        <is>
          <t>SELETIVA</t>
        </is>
      </c>
      <c r="G706" t="inlineStr">
        <is>
          <t>G&amp;S MARINGA</t>
        </is>
      </c>
      <c r="H706" t="inlineStr">
        <is>
          <t>7.1.2</t>
        </is>
      </c>
      <c r="I706" t="inlineStr">
        <is>
          <t>MANUTENÇÃO DE VEÍCULOS/MAQUINAS</t>
        </is>
      </c>
      <c r="J706" t="n">
        <v>1264.9</v>
      </c>
      <c r="K706" t="n">
        <v>-1264.9</v>
      </c>
    </row>
    <row r="707" hidden="1" s="154">
      <c r="A707" t="n">
        <v>2025</v>
      </c>
      <c r="B707" t="inlineStr">
        <is>
          <t>2025-11</t>
        </is>
      </c>
      <c r="C707" t="inlineStr">
        <is>
          <t>Maringá</t>
        </is>
      </c>
      <c r="D707" t="inlineStr">
        <is>
          <t>HYUNDAI</t>
        </is>
      </c>
      <c r="E707" t="inlineStr">
        <is>
          <t>EHH0004</t>
        </is>
      </c>
      <c r="F707" t="inlineStr">
        <is>
          <t>SELETIVA</t>
        </is>
      </c>
      <c r="G707" t="inlineStr">
        <is>
          <t>G&amp;S MARINGA</t>
        </is>
      </c>
      <c r="H707" t="inlineStr">
        <is>
          <t>7.1.2</t>
        </is>
      </c>
      <c r="I707" t="inlineStr">
        <is>
          <t>MANUTENÇÃO DE VEÍCULOS/MAQUINAS</t>
        </is>
      </c>
      <c r="J707" t="n">
        <v>96.69</v>
      </c>
      <c r="K707" t="n">
        <v>-96.69</v>
      </c>
    </row>
    <row r="708" hidden="1" s="154">
      <c r="A708" t="n">
        <v>2025</v>
      </c>
      <c r="B708" t="inlineStr">
        <is>
          <t>2025-11</t>
        </is>
      </c>
      <c r="C708" t="inlineStr">
        <is>
          <t>Maringá</t>
        </is>
      </c>
      <c r="D708" t="inlineStr">
        <is>
          <t>HYUNDAI</t>
        </is>
      </c>
      <c r="E708" t="inlineStr">
        <is>
          <t>EHH0004</t>
        </is>
      </c>
      <c r="F708" t="inlineStr">
        <is>
          <t>SELETIVA</t>
        </is>
      </c>
      <c r="G708" t="inlineStr">
        <is>
          <t>G&amp;S PRUDENTE</t>
        </is>
      </c>
      <c r="H708" t="inlineStr">
        <is>
          <t>7.1.2</t>
        </is>
      </c>
      <c r="I708" t="inlineStr">
        <is>
          <t>MANUTENÇÃO DE VEÍCULOS/MAQUINAS</t>
        </is>
      </c>
      <c r="J708" t="n">
        <v>560</v>
      </c>
      <c r="K708" t="n">
        <v>-560</v>
      </c>
    </row>
    <row r="709" hidden="1" s="154">
      <c r="A709" t="n">
        <v>2025</v>
      </c>
      <c r="B709" t="inlineStr">
        <is>
          <t>2025-11</t>
        </is>
      </c>
      <c r="C709" t="inlineStr">
        <is>
          <t>Maringá</t>
        </is>
      </c>
      <c r="D709" t="inlineStr">
        <is>
          <t>HYUNDAI</t>
        </is>
      </c>
      <c r="E709" t="inlineStr">
        <is>
          <t>EHH0004</t>
        </is>
      </c>
      <c r="F709" t="inlineStr">
        <is>
          <t>SELETIVA</t>
        </is>
      </c>
      <c r="G709" t="inlineStr">
        <is>
          <t>G&amp;S MARINGA</t>
        </is>
      </c>
      <c r="H709" t="inlineStr">
        <is>
          <t>7.1.2</t>
        </is>
      </c>
      <c r="I709" t="inlineStr">
        <is>
          <t>MANUTENÇÃO DE VEÍCULOS/MAQUINAS</t>
        </is>
      </c>
      <c r="J709" t="n">
        <v>467</v>
      </c>
      <c r="K709" t="n">
        <v>-467</v>
      </c>
    </row>
    <row r="710" hidden="1" s="154">
      <c r="A710" t="n">
        <v>2025</v>
      </c>
      <c r="B710" t="inlineStr">
        <is>
          <t>2025-11</t>
        </is>
      </c>
      <c r="C710" t="inlineStr">
        <is>
          <t>Maringá</t>
        </is>
      </c>
      <c r="D710" t="inlineStr">
        <is>
          <t>HYUNDAI</t>
        </is>
      </c>
      <c r="E710" t="inlineStr">
        <is>
          <t>EHH0004</t>
        </is>
      </c>
      <c r="F710" t="inlineStr">
        <is>
          <t>SELETIVA</t>
        </is>
      </c>
      <c r="G710" t="inlineStr">
        <is>
          <t>G&amp;S PRUDENTE</t>
        </is>
      </c>
      <c r="H710" t="inlineStr">
        <is>
          <t>7.1.2</t>
        </is>
      </c>
      <c r="I710" t="inlineStr">
        <is>
          <t>MANUTENÇÃO DE VEÍCULOS/MAQUINAS</t>
        </is>
      </c>
      <c r="J710" t="n">
        <v>3400</v>
      </c>
      <c r="K710" t="n">
        <v>-3400</v>
      </c>
    </row>
    <row r="711" hidden="1" s="154">
      <c r="A711" t="n">
        <v>2025</v>
      </c>
      <c r="B711" t="inlineStr">
        <is>
          <t>2025-11</t>
        </is>
      </c>
      <c r="C711" t="inlineStr">
        <is>
          <t>Maringá</t>
        </is>
      </c>
      <c r="D711" t="inlineStr">
        <is>
          <t>HYUNDAI</t>
        </is>
      </c>
      <c r="E711" t="inlineStr">
        <is>
          <t>EHH0004</t>
        </is>
      </c>
      <c r="F711" t="inlineStr">
        <is>
          <t>SELETIVA</t>
        </is>
      </c>
      <c r="G711" t="inlineStr">
        <is>
          <t>G&amp;S MARINGA</t>
        </is>
      </c>
      <c r="H711" t="inlineStr">
        <is>
          <t>7.1.2</t>
        </is>
      </c>
      <c r="I711" t="inlineStr">
        <is>
          <t>MANUTENÇÃO DE VEÍCULOS/MAQUINAS</t>
        </is>
      </c>
      <c r="J711" t="n">
        <v>910</v>
      </c>
      <c r="K711" t="n">
        <v>-910</v>
      </c>
    </row>
    <row r="712" hidden="1" s="154">
      <c r="A712" t="n">
        <v>2025</v>
      </c>
      <c r="B712" t="inlineStr">
        <is>
          <t>2025-12</t>
        </is>
      </c>
      <c r="C712" t="inlineStr">
        <is>
          <t>Maringá</t>
        </is>
      </c>
      <c r="D712" t="inlineStr">
        <is>
          <t>HYUNDAI</t>
        </is>
      </c>
      <c r="E712" t="inlineStr">
        <is>
          <t>EHH0004</t>
        </is>
      </c>
      <c r="F712" t="inlineStr">
        <is>
          <t>SELETIVA</t>
        </is>
      </c>
      <c r="G712" t="inlineStr">
        <is>
          <t>G&amp;S MARINGA</t>
        </is>
      </c>
      <c r="H712" t="inlineStr">
        <is>
          <t>7.1.2</t>
        </is>
      </c>
      <c r="I712" t="inlineStr">
        <is>
          <t>MANUTENÇÃO DE VEÍCULOS/MAQUINAS</t>
        </is>
      </c>
      <c r="J712" t="n">
        <v>21.62</v>
      </c>
      <c r="K712" t="n">
        <v>-21.62</v>
      </c>
    </row>
    <row r="713" hidden="1" s="154">
      <c r="A713" t="n">
        <v>2025</v>
      </c>
      <c r="B713" t="inlineStr">
        <is>
          <t>2025-12</t>
        </is>
      </c>
      <c r="C713" t="inlineStr">
        <is>
          <t>Maringá</t>
        </is>
      </c>
      <c r="D713" t="inlineStr">
        <is>
          <t>HYUNDAI</t>
        </is>
      </c>
      <c r="E713" t="inlineStr">
        <is>
          <t>EHH0004</t>
        </is>
      </c>
      <c r="F713" t="inlineStr">
        <is>
          <t>SELETIVA</t>
        </is>
      </c>
      <c r="G713" t="inlineStr">
        <is>
          <t>G3S MARINGA</t>
        </is>
      </c>
      <c r="H713" t="inlineStr">
        <is>
          <t>7.1.2</t>
        </is>
      </c>
      <c r="I713" t="inlineStr">
        <is>
          <t>MANUTENÇÃO DE VEÍCULOS/MAQUINAS</t>
        </is>
      </c>
      <c r="J713" t="n">
        <v>132</v>
      </c>
      <c r="K713" t="n">
        <v>-132</v>
      </c>
    </row>
    <row r="714" hidden="1" s="154">
      <c r="A714" t="n">
        <v>2025</v>
      </c>
      <c r="B714" t="inlineStr">
        <is>
          <t>2025-12</t>
        </is>
      </c>
      <c r="C714" t="inlineStr">
        <is>
          <t>Maringá</t>
        </is>
      </c>
      <c r="D714" t="inlineStr">
        <is>
          <t>HYUNDAI</t>
        </is>
      </c>
      <c r="E714" t="inlineStr">
        <is>
          <t>EHH0004</t>
        </is>
      </c>
      <c r="F714" t="inlineStr">
        <is>
          <t>SELETIVA</t>
        </is>
      </c>
      <c r="G714" t="inlineStr">
        <is>
          <t>G&amp;S PRUDENTE</t>
        </is>
      </c>
      <c r="H714" t="inlineStr">
        <is>
          <t>7.1.2</t>
        </is>
      </c>
      <c r="I714" t="inlineStr">
        <is>
          <t>MANUTENÇÃO DE VEÍCULOS/MAQUINAS</t>
        </is>
      </c>
      <c r="J714" t="n">
        <v>4507.54</v>
      </c>
      <c r="K714" t="n">
        <v>-4507.54</v>
      </c>
    </row>
    <row r="715" hidden="1" s="154">
      <c r="A715" t="n">
        <v>2025</v>
      </c>
      <c r="B715" t="inlineStr">
        <is>
          <t>2025-12</t>
        </is>
      </c>
      <c r="C715" t="inlineStr">
        <is>
          <t>Maringá</t>
        </is>
      </c>
      <c r="D715" t="inlineStr">
        <is>
          <t>HYUNDAI</t>
        </is>
      </c>
      <c r="E715" t="inlineStr">
        <is>
          <t>EHH0004</t>
        </is>
      </c>
      <c r="F715" t="inlineStr">
        <is>
          <t>SELETIVA</t>
        </is>
      </c>
      <c r="G715" t="inlineStr">
        <is>
          <t>G&amp;S MARINGA</t>
        </is>
      </c>
      <c r="H715" t="inlineStr">
        <is>
          <t>7.1.2</t>
        </is>
      </c>
      <c r="I715" t="inlineStr">
        <is>
          <t>MANUTENÇÃO DE VEÍCULOS/MAQUINAS</t>
        </is>
      </c>
      <c r="J715" t="n">
        <v>1150</v>
      </c>
      <c r="K715" t="n">
        <v>-1150</v>
      </c>
    </row>
    <row r="716" hidden="1" s="154">
      <c r="A716" t="n">
        <v>2025</v>
      </c>
      <c r="B716" t="inlineStr">
        <is>
          <t>2025-12</t>
        </is>
      </c>
      <c r="C716" t="inlineStr">
        <is>
          <t>Maringá</t>
        </is>
      </c>
      <c r="D716" t="inlineStr">
        <is>
          <t>HYUNDAI</t>
        </is>
      </c>
      <c r="E716" t="inlineStr">
        <is>
          <t>EHH0004</t>
        </is>
      </c>
      <c r="F716" t="inlineStr">
        <is>
          <t>SELETIVA</t>
        </is>
      </c>
      <c r="G716" t="inlineStr">
        <is>
          <t>G&amp;S MARINGA</t>
        </is>
      </c>
      <c r="H716" t="inlineStr">
        <is>
          <t>7.1.18</t>
        </is>
      </c>
      <c r="I716" t="inlineStr">
        <is>
          <t>FRETES E CARRETOS</t>
        </is>
      </c>
      <c r="J716" t="n">
        <v>95.91</v>
      </c>
      <c r="K716" t="n">
        <v>-95.91</v>
      </c>
    </row>
    <row r="717" hidden="1" s="154">
      <c r="A717" t="n">
        <v>2025</v>
      </c>
      <c r="B717" t="inlineStr">
        <is>
          <t>2025-12</t>
        </is>
      </c>
      <c r="C717" t="inlineStr">
        <is>
          <t>Maringá</t>
        </is>
      </c>
      <c r="D717" t="inlineStr">
        <is>
          <t>HYUNDAI</t>
        </is>
      </c>
      <c r="E717" t="inlineStr">
        <is>
          <t>EHH0004</t>
        </is>
      </c>
      <c r="F717" t="inlineStr">
        <is>
          <t>SELETIVA</t>
        </is>
      </c>
      <c r="G717" t="inlineStr">
        <is>
          <t>G&amp;S MARINGA</t>
        </is>
      </c>
      <c r="H717" t="inlineStr">
        <is>
          <t>7.1.18</t>
        </is>
      </c>
      <c r="I717" t="inlineStr">
        <is>
          <t>FRETES E CARRETOS</t>
        </is>
      </c>
      <c r="J717" t="n">
        <v>92.01000000000001</v>
      </c>
      <c r="K717" t="n">
        <v>-92.01000000000001</v>
      </c>
    </row>
    <row r="718" hidden="1" s="154">
      <c r="A718" t="n">
        <v>2025</v>
      </c>
      <c r="B718" t="inlineStr">
        <is>
          <t>2025-12</t>
        </is>
      </c>
      <c r="C718" t="inlineStr">
        <is>
          <t>Maringá</t>
        </is>
      </c>
      <c r="D718" t="inlineStr">
        <is>
          <t>HYUNDAI</t>
        </is>
      </c>
      <c r="E718" t="inlineStr">
        <is>
          <t>EHH0004</t>
        </is>
      </c>
      <c r="F718" t="inlineStr">
        <is>
          <t>SELETIVA</t>
        </is>
      </c>
      <c r="G718" t="inlineStr">
        <is>
          <t>G&amp;S MARINGA</t>
        </is>
      </c>
      <c r="H718" t="inlineStr">
        <is>
          <t>7.1.2</t>
        </is>
      </c>
      <c r="I718" t="inlineStr">
        <is>
          <t>MANUTENÇÃO DE VEÍCULOS/MAQUINAS</t>
        </is>
      </c>
      <c r="J718" t="n">
        <v>577.96</v>
      </c>
      <c r="K718" t="n">
        <v>-577.96</v>
      </c>
    </row>
    <row r="719" hidden="1" s="154">
      <c r="A719" t="n">
        <v>2025</v>
      </c>
      <c r="B719" t="inlineStr">
        <is>
          <t>2025-12</t>
        </is>
      </c>
      <c r="C719" t="inlineStr">
        <is>
          <t>Maringá</t>
        </is>
      </c>
      <c r="D719" t="inlineStr">
        <is>
          <t>HYUNDAI</t>
        </is>
      </c>
      <c r="E719" t="inlineStr">
        <is>
          <t>EHH0004</t>
        </is>
      </c>
      <c r="F719" t="inlineStr">
        <is>
          <t>SELETIVA</t>
        </is>
      </c>
      <c r="G719" t="inlineStr">
        <is>
          <t>G&amp;S MARINGA</t>
        </is>
      </c>
      <c r="H719" t="inlineStr">
        <is>
          <t>7.1.2</t>
        </is>
      </c>
      <c r="I719" t="inlineStr">
        <is>
          <t>MANUTENÇÃO DE VEÍCULOS/MAQUINAS</t>
        </is>
      </c>
      <c r="J719" t="n">
        <v>1771.12</v>
      </c>
      <c r="K719" t="n">
        <v>-1771.12</v>
      </c>
    </row>
    <row r="720" hidden="1" s="154">
      <c r="A720" t="n">
        <v>2025</v>
      </c>
      <c r="B720" t="inlineStr">
        <is>
          <t>2025-12</t>
        </is>
      </c>
      <c r="C720" t="inlineStr">
        <is>
          <t>Maringá</t>
        </is>
      </c>
      <c r="D720" t="inlineStr">
        <is>
          <t>HYUNDAI</t>
        </is>
      </c>
      <c r="E720" t="inlineStr">
        <is>
          <t>EHH0004</t>
        </is>
      </c>
      <c r="F720" t="inlineStr">
        <is>
          <t>SELETIVA</t>
        </is>
      </c>
      <c r="G720" t="inlineStr">
        <is>
          <t>G&amp;S MARINGA</t>
        </is>
      </c>
      <c r="H720" t="inlineStr">
        <is>
          <t>7.1.2</t>
        </is>
      </c>
      <c r="I720" t="inlineStr">
        <is>
          <t>MANUTENÇÃO DE VEÍCULOS/MAQUINAS</t>
        </is>
      </c>
      <c r="J720" t="n">
        <v>1771.12</v>
      </c>
      <c r="K720" t="n">
        <v>-1771.12</v>
      </c>
    </row>
    <row r="721" hidden="1" s="154">
      <c r="A721" t="n">
        <v>2025</v>
      </c>
      <c r="B721" t="inlineStr">
        <is>
          <t>2025-12</t>
        </is>
      </c>
      <c r="C721" t="inlineStr">
        <is>
          <t>Maringá</t>
        </is>
      </c>
      <c r="D721" t="inlineStr">
        <is>
          <t>HYUNDAI</t>
        </is>
      </c>
      <c r="E721" t="inlineStr">
        <is>
          <t>EHH0004</t>
        </is>
      </c>
      <c r="F721" t="inlineStr">
        <is>
          <t>SELETIVA</t>
        </is>
      </c>
      <c r="G721" t="inlineStr">
        <is>
          <t>CTA</t>
        </is>
      </c>
      <c r="H721" t="inlineStr">
        <is>
          <t>7.1.22</t>
        </is>
      </c>
      <c r="I721" t="inlineStr">
        <is>
          <t>COMBUSTÍVEL - DIESEL (INTERNO)</t>
        </is>
      </c>
      <c r="J721" t="n">
        <v>1344.78</v>
      </c>
      <c r="K721" t="n">
        <v>-1344.78</v>
      </c>
    </row>
    <row r="722" hidden="1" s="154">
      <c r="A722" t="n">
        <v>2026</v>
      </c>
      <c r="B722" t="inlineStr">
        <is>
          <t>2026-01</t>
        </is>
      </c>
      <c r="C722" t="inlineStr">
        <is>
          <t>Maringá</t>
        </is>
      </c>
      <c r="D722" t="inlineStr">
        <is>
          <t>HYUNDAI</t>
        </is>
      </c>
      <c r="E722" t="inlineStr">
        <is>
          <t>EHH0004</t>
        </is>
      </c>
      <c r="F722" t="inlineStr">
        <is>
          <t>SELETIVA</t>
        </is>
      </c>
      <c r="G722" t="inlineStr">
        <is>
          <t>G&amp;S MARINGA</t>
        </is>
      </c>
      <c r="H722" t="inlineStr">
        <is>
          <t>7.1.2</t>
        </is>
      </c>
      <c r="I722" t="inlineStr">
        <is>
          <t>MANUTENÇÃO DE VEÍCULOS/MAQUINAS</t>
        </is>
      </c>
      <c r="J722" t="n">
        <v>280</v>
      </c>
      <c r="K722" t="n">
        <v>-280</v>
      </c>
    </row>
    <row r="723" hidden="1" s="154">
      <c r="A723" t="n">
        <v>2026</v>
      </c>
      <c r="B723" t="inlineStr">
        <is>
          <t>2026-01</t>
        </is>
      </c>
      <c r="C723" t="inlineStr">
        <is>
          <t>Maringá</t>
        </is>
      </c>
      <c r="D723" t="inlineStr">
        <is>
          <t>HYUNDAI</t>
        </is>
      </c>
      <c r="E723" t="inlineStr">
        <is>
          <t>EHH0004</t>
        </is>
      </c>
      <c r="F723" t="inlineStr">
        <is>
          <t>SELETIVA</t>
        </is>
      </c>
      <c r="G723" t="inlineStr">
        <is>
          <t>G&amp;S MARINGA</t>
        </is>
      </c>
      <c r="H723" t="inlineStr">
        <is>
          <t>7.1.2</t>
        </is>
      </c>
      <c r="I723" t="inlineStr">
        <is>
          <t>MANUTENÇÃO DE VEÍCULOS/MAQUINAS</t>
        </is>
      </c>
      <c r="J723" t="n">
        <v>250</v>
      </c>
      <c r="K723" t="n">
        <v>-250</v>
      </c>
    </row>
    <row r="724" hidden="1" s="154">
      <c r="A724" t="n">
        <v>2026</v>
      </c>
      <c r="B724" t="inlineStr">
        <is>
          <t>2026-01</t>
        </is>
      </c>
      <c r="C724" t="inlineStr">
        <is>
          <t>Maringá</t>
        </is>
      </c>
      <c r="D724" t="inlineStr">
        <is>
          <t>HYUNDAI</t>
        </is>
      </c>
      <c r="E724" t="inlineStr">
        <is>
          <t>EHH0004</t>
        </is>
      </c>
      <c r="F724" t="inlineStr">
        <is>
          <t>SELETIVA</t>
        </is>
      </c>
      <c r="G724" t="inlineStr">
        <is>
          <t>G&amp;S MARINGA</t>
        </is>
      </c>
      <c r="H724" t="inlineStr">
        <is>
          <t>7.1.2</t>
        </is>
      </c>
      <c r="I724" t="inlineStr">
        <is>
          <t>MANUTENÇÃO DE VEÍCULOS/MAQUINAS</t>
        </is>
      </c>
      <c r="J724" t="n">
        <v>3000</v>
      </c>
      <c r="K724" t="n">
        <v>-3000</v>
      </c>
    </row>
    <row r="725" hidden="1" s="154">
      <c r="A725" t="n">
        <v>2026</v>
      </c>
      <c r="B725" t="inlineStr">
        <is>
          <t>2026-01</t>
        </is>
      </c>
      <c r="C725" t="inlineStr">
        <is>
          <t>Maringá</t>
        </is>
      </c>
      <c r="D725" t="inlineStr">
        <is>
          <t>HYUNDAI</t>
        </is>
      </c>
      <c r="E725" t="inlineStr">
        <is>
          <t>EHH0004</t>
        </is>
      </c>
      <c r="F725" t="inlineStr">
        <is>
          <t>SELETIVA</t>
        </is>
      </c>
      <c r="G725" t="inlineStr">
        <is>
          <t>G&amp;S MARINGA</t>
        </is>
      </c>
      <c r="H725" t="inlineStr">
        <is>
          <t>7.1.2</t>
        </is>
      </c>
      <c r="I725" t="inlineStr">
        <is>
          <t>MANUTENÇÃO DE VEÍCULOS/MAQUINAS</t>
        </is>
      </c>
      <c r="J725" t="n">
        <v>850</v>
      </c>
      <c r="K725" t="n">
        <v>-850</v>
      </c>
    </row>
    <row r="726" hidden="1" s="154">
      <c r="A726" t="n">
        <v>2026</v>
      </c>
      <c r="B726" t="inlineStr">
        <is>
          <t>2026-01</t>
        </is>
      </c>
      <c r="C726" t="inlineStr">
        <is>
          <t>Maringá</t>
        </is>
      </c>
      <c r="D726" t="inlineStr">
        <is>
          <t>HYUNDAI</t>
        </is>
      </c>
      <c r="E726" t="inlineStr">
        <is>
          <t>EHH0004</t>
        </is>
      </c>
      <c r="F726" t="inlineStr">
        <is>
          <t>SELETIVA</t>
        </is>
      </c>
      <c r="G726" t="inlineStr">
        <is>
          <t>G&amp;S MARINGA</t>
        </is>
      </c>
      <c r="H726" t="inlineStr">
        <is>
          <t>7.1.2</t>
        </is>
      </c>
      <c r="I726" t="inlineStr">
        <is>
          <t>MANUTENÇÃO DE VEÍCULOS/MAQUINAS</t>
        </is>
      </c>
      <c r="J726" t="n">
        <v>600</v>
      </c>
      <c r="K726" t="n">
        <v>-600</v>
      </c>
    </row>
    <row r="727" hidden="1" s="154">
      <c r="A727" t="n">
        <v>2026</v>
      </c>
      <c r="B727" t="inlineStr">
        <is>
          <t>2026-01</t>
        </is>
      </c>
      <c r="C727" t="inlineStr">
        <is>
          <t>Maringá</t>
        </is>
      </c>
      <c r="D727" t="inlineStr">
        <is>
          <t>HYUNDAI</t>
        </is>
      </c>
      <c r="E727" t="inlineStr">
        <is>
          <t>EHH0004</t>
        </is>
      </c>
      <c r="F727" t="inlineStr">
        <is>
          <t>SELETIVA</t>
        </is>
      </c>
      <c r="G727" t="inlineStr">
        <is>
          <t>G3S CAMPO GRANDE</t>
        </is>
      </c>
      <c r="H727" t="inlineStr">
        <is>
          <t>7.1.1</t>
        </is>
      </c>
      <c r="I727" t="inlineStr">
        <is>
          <t>PEÇAS DE MANUTENÇÃO</t>
        </is>
      </c>
      <c r="J727" t="n">
        <v>47.06</v>
      </c>
      <c r="K727" t="n">
        <v>-47.06</v>
      </c>
    </row>
    <row r="728" hidden="1" s="154">
      <c r="A728" t="n">
        <v>2026</v>
      </c>
      <c r="B728" t="inlineStr">
        <is>
          <t>2026-01</t>
        </is>
      </c>
      <c r="C728" t="inlineStr">
        <is>
          <t>Maringá</t>
        </is>
      </c>
      <c r="D728" t="inlineStr">
        <is>
          <t>HYUNDAI</t>
        </is>
      </c>
      <c r="E728" t="inlineStr">
        <is>
          <t>EHH0004</t>
        </is>
      </c>
      <c r="F728" t="inlineStr">
        <is>
          <t>SELETIVA</t>
        </is>
      </c>
      <c r="G728" t="inlineStr">
        <is>
          <t>G&amp;S MARINGA</t>
        </is>
      </c>
      <c r="H728" t="inlineStr">
        <is>
          <t>7.1.2</t>
        </is>
      </c>
      <c r="I728" t="inlineStr">
        <is>
          <t>MANUTENÇÃO DE VEÍCULOS/MAQUINAS</t>
        </is>
      </c>
      <c r="J728" t="n">
        <v>660</v>
      </c>
      <c r="K728" t="n">
        <v>-660</v>
      </c>
    </row>
    <row r="729" hidden="1" s="154">
      <c r="A729" t="n">
        <v>2026</v>
      </c>
      <c r="B729" t="inlineStr">
        <is>
          <t>2026-01</t>
        </is>
      </c>
      <c r="C729" t="inlineStr">
        <is>
          <t>Maringá</t>
        </is>
      </c>
      <c r="D729" t="inlineStr">
        <is>
          <t>HYUNDAI</t>
        </is>
      </c>
      <c r="E729" t="inlineStr">
        <is>
          <t>EHH0004</t>
        </is>
      </c>
      <c r="F729" t="inlineStr">
        <is>
          <t>SELETIVA</t>
        </is>
      </c>
      <c r="G729" t="inlineStr">
        <is>
          <t>G&amp;S MARINGA</t>
        </is>
      </c>
      <c r="H729" t="inlineStr">
        <is>
          <t>7.1.2</t>
        </is>
      </c>
      <c r="I729" t="inlineStr">
        <is>
          <t>MANUTENÇÃO DE VEÍCULOS/MAQUINAS</t>
        </is>
      </c>
      <c r="J729" t="n">
        <v>75</v>
      </c>
      <c r="K729" t="n">
        <v>-75</v>
      </c>
    </row>
    <row r="730" hidden="1" s="154">
      <c r="A730" t="n">
        <v>2026</v>
      </c>
      <c r="B730" t="inlineStr">
        <is>
          <t>2026-02</t>
        </is>
      </c>
      <c r="C730" t="inlineStr">
        <is>
          <t>Maringá</t>
        </is>
      </c>
      <c r="D730" t="inlineStr">
        <is>
          <t>HYUNDAI</t>
        </is>
      </c>
      <c r="E730" t="inlineStr">
        <is>
          <t>EHH0004</t>
        </is>
      </c>
      <c r="F730" t="inlineStr">
        <is>
          <t>SELETIVA</t>
        </is>
      </c>
      <c r="G730" t="inlineStr">
        <is>
          <t>G&amp;S MARINGA</t>
        </is>
      </c>
      <c r="H730" t="inlineStr">
        <is>
          <t>7.1.2</t>
        </is>
      </c>
      <c r="I730" t="inlineStr">
        <is>
          <t>MANUTENÇÃO DE VEÍCULOS/MAQUINAS</t>
        </is>
      </c>
      <c r="J730" t="n">
        <v>1643</v>
      </c>
      <c r="K730" t="n">
        <v>-1643</v>
      </c>
    </row>
    <row r="731" hidden="1" s="154">
      <c r="A731" t="n">
        <v>2026</v>
      </c>
      <c r="B731" t="inlineStr">
        <is>
          <t>2026-02</t>
        </is>
      </c>
      <c r="C731" t="inlineStr">
        <is>
          <t>Maringá</t>
        </is>
      </c>
      <c r="D731" t="inlineStr">
        <is>
          <t>HYUNDAI</t>
        </is>
      </c>
      <c r="E731" t="inlineStr">
        <is>
          <t>EHH0004</t>
        </is>
      </c>
      <c r="F731" t="inlineStr">
        <is>
          <t>SELETIVA</t>
        </is>
      </c>
      <c r="G731" t="inlineStr">
        <is>
          <t>G&amp;S PRUDENTE</t>
        </is>
      </c>
      <c r="H731" t="inlineStr">
        <is>
          <t>7.1.2</t>
        </is>
      </c>
      <c r="I731" t="inlineStr">
        <is>
          <t>MANUTENÇÃO DE VEÍCULOS/MAQUINAS</t>
        </is>
      </c>
      <c r="J731" t="n">
        <v>530</v>
      </c>
      <c r="K731" t="n">
        <v>-530</v>
      </c>
    </row>
    <row r="732" hidden="1" s="154">
      <c r="A732" t="n">
        <v>2026</v>
      </c>
      <c r="B732" t="inlineStr">
        <is>
          <t>2026-02</t>
        </is>
      </c>
      <c r="C732" t="inlineStr">
        <is>
          <t>Maringá</t>
        </is>
      </c>
      <c r="D732" t="inlineStr">
        <is>
          <t>HYUNDAI</t>
        </is>
      </c>
      <c r="E732" t="inlineStr">
        <is>
          <t>EHH0004</t>
        </is>
      </c>
      <c r="F732" t="inlineStr">
        <is>
          <t>SELETIVA</t>
        </is>
      </c>
      <c r="G732" t="inlineStr">
        <is>
          <t>G&amp;S MARINGA</t>
        </is>
      </c>
      <c r="H732" t="inlineStr">
        <is>
          <t>7.1.18</t>
        </is>
      </c>
      <c r="I732" t="inlineStr">
        <is>
          <t>FRETES E CARRETOS</t>
        </is>
      </c>
      <c r="J732" t="n">
        <v>88.75</v>
      </c>
      <c r="K732" t="n">
        <v>-88.75</v>
      </c>
    </row>
    <row r="733" hidden="1" s="154">
      <c r="A733" t="n">
        <v>2026</v>
      </c>
      <c r="B733" t="inlineStr">
        <is>
          <t>2026-02</t>
        </is>
      </c>
      <c r="C733" t="inlineStr">
        <is>
          <t>Maringá</t>
        </is>
      </c>
      <c r="D733" t="inlineStr">
        <is>
          <t>HYUNDAI</t>
        </is>
      </c>
      <c r="E733" t="inlineStr">
        <is>
          <t>EHH0004</t>
        </is>
      </c>
      <c r="F733" t="inlineStr">
        <is>
          <t>SELETIVA</t>
        </is>
      </c>
      <c r="G733" t="inlineStr">
        <is>
          <t>G&amp;S PRUDENTE</t>
        </is>
      </c>
      <c r="H733" t="inlineStr">
        <is>
          <t>7.1.2</t>
        </is>
      </c>
      <c r="I733" t="inlineStr">
        <is>
          <t>MANUTENÇÃO DE VEÍCULOS/MAQUINAS</t>
        </is>
      </c>
      <c r="J733" t="n">
        <v>12.63</v>
      </c>
      <c r="K733" t="n">
        <v>-12.63</v>
      </c>
    </row>
    <row r="734" hidden="1" s="154">
      <c r="A734" t="n">
        <v>2026</v>
      </c>
      <c r="B734" t="inlineStr">
        <is>
          <t>2026-02</t>
        </is>
      </c>
      <c r="C734" t="inlineStr">
        <is>
          <t>Maringá</t>
        </is>
      </c>
      <c r="D734" t="inlineStr">
        <is>
          <t>HYUNDAI</t>
        </is>
      </c>
      <c r="E734" t="inlineStr">
        <is>
          <t>EHH0004</t>
        </is>
      </c>
      <c r="F734" t="inlineStr">
        <is>
          <t>SELETIVA</t>
        </is>
      </c>
      <c r="G734" t="inlineStr">
        <is>
          <t>G&amp;S MARINGA</t>
        </is>
      </c>
      <c r="H734" t="inlineStr">
        <is>
          <t>7.1.2</t>
        </is>
      </c>
      <c r="I734" t="inlineStr">
        <is>
          <t>MANUTENÇÃO DE VEÍCULOS/MAQUINAS</t>
        </is>
      </c>
      <c r="J734" t="n">
        <v>149</v>
      </c>
      <c r="K734" t="n">
        <v>-149</v>
      </c>
    </row>
    <row r="735" hidden="1" s="154">
      <c r="A735" t="n">
        <v>2026</v>
      </c>
      <c r="B735" t="inlineStr">
        <is>
          <t>2026-02</t>
        </is>
      </c>
      <c r="C735" t="inlineStr">
        <is>
          <t>Maringá</t>
        </is>
      </c>
      <c r="D735" t="inlineStr">
        <is>
          <t>HYUNDAI</t>
        </is>
      </c>
      <c r="E735" t="inlineStr">
        <is>
          <t>EHH0004</t>
        </is>
      </c>
      <c r="F735" t="inlineStr">
        <is>
          <t>SELETIVA</t>
        </is>
      </c>
      <c r="G735" t="inlineStr">
        <is>
          <t>G&amp;S PRUDENTE</t>
        </is>
      </c>
      <c r="H735" t="inlineStr">
        <is>
          <t>7.1.2</t>
        </is>
      </c>
      <c r="I735" t="inlineStr">
        <is>
          <t>MANUTENÇÃO DE VEÍCULOS/MAQUINAS</t>
        </is>
      </c>
      <c r="J735" t="n">
        <v>696</v>
      </c>
      <c r="K735" t="n">
        <v>-696</v>
      </c>
    </row>
    <row r="736" hidden="1" s="154">
      <c r="A736" t="n">
        <v>2026</v>
      </c>
      <c r="B736" t="inlineStr">
        <is>
          <t>2026-03</t>
        </is>
      </c>
      <c r="C736" t="inlineStr">
        <is>
          <t>Maringá</t>
        </is>
      </c>
      <c r="D736" t="inlineStr">
        <is>
          <t>HYUNDAI</t>
        </is>
      </c>
      <c r="E736" t="inlineStr">
        <is>
          <t>EHH0004</t>
        </is>
      </c>
      <c r="F736" t="inlineStr">
        <is>
          <t>SELETIVA</t>
        </is>
      </c>
      <c r="G736" t="inlineStr">
        <is>
          <t>G&amp;S MARINGA</t>
        </is>
      </c>
      <c r="H736" t="inlineStr">
        <is>
          <t>7.1.2</t>
        </is>
      </c>
      <c r="I736" t="inlineStr">
        <is>
          <t>MANUTENÇÃO DE VEÍCULOS/MAQUINAS</t>
        </is>
      </c>
      <c r="J736" t="n">
        <v>110</v>
      </c>
      <c r="K736" t="n">
        <v>-110</v>
      </c>
    </row>
    <row r="737" hidden="1" s="154">
      <c r="A737" t="n">
        <v>2026</v>
      </c>
      <c r="B737" t="inlineStr">
        <is>
          <t>2026-03</t>
        </is>
      </c>
      <c r="C737" t="inlineStr">
        <is>
          <t>Maringá</t>
        </is>
      </c>
      <c r="D737" t="inlineStr">
        <is>
          <t>HYUNDAI</t>
        </is>
      </c>
      <c r="E737" t="inlineStr">
        <is>
          <t>EHH0004</t>
        </is>
      </c>
      <c r="F737" t="inlineStr">
        <is>
          <t>SELETIVA</t>
        </is>
      </c>
      <c r="G737" t="inlineStr">
        <is>
          <t>G&amp;S MARINGA</t>
        </is>
      </c>
      <c r="H737" t="inlineStr">
        <is>
          <t>7.1.2</t>
        </is>
      </c>
      <c r="I737" t="inlineStr">
        <is>
          <t>MANUTENÇÃO DE VEÍCULOS/MAQUINAS</t>
        </is>
      </c>
      <c r="J737" t="n">
        <v>1546</v>
      </c>
      <c r="K737" t="n">
        <v>-1546</v>
      </c>
    </row>
    <row r="738" hidden="1" s="154">
      <c r="A738" t="n">
        <v>2026</v>
      </c>
      <c r="B738" t="inlineStr">
        <is>
          <t>2026-03</t>
        </is>
      </c>
      <c r="C738" t="inlineStr">
        <is>
          <t>Maringá</t>
        </is>
      </c>
      <c r="D738" t="inlineStr">
        <is>
          <t>HYUNDAI</t>
        </is>
      </c>
      <c r="E738" t="inlineStr">
        <is>
          <t>EHH0004</t>
        </is>
      </c>
      <c r="F738" t="inlineStr">
        <is>
          <t>SELETIVA</t>
        </is>
      </c>
      <c r="G738" t="inlineStr">
        <is>
          <t>G&amp;S MARINGA</t>
        </is>
      </c>
      <c r="H738" t="inlineStr">
        <is>
          <t>7.1.2</t>
        </is>
      </c>
      <c r="I738" t="inlineStr">
        <is>
          <t>MANUTENÇÃO DE VEÍCULOS/MAQUINAS</t>
        </is>
      </c>
      <c r="J738" t="n">
        <v>2500</v>
      </c>
      <c r="K738" t="n">
        <v>-2500</v>
      </c>
    </row>
    <row r="739" hidden="1" s="154">
      <c r="A739" t="n">
        <v>2026</v>
      </c>
      <c r="B739" t="inlineStr">
        <is>
          <t>2026-03</t>
        </is>
      </c>
      <c r="C739" t="inlineStr">
        <is>
          <t>Maringá</t>
        </is>
      </c>
      <c r="D739" t="inlineStr">
        <is>
          <t>HYUNDAI</t>
        </is>
      </c>
      <c r="E739" t="inlineStr">
        <is>
          <t>EHH0004</t>
        </is>
      </c>
      <c r="F739" t="inlineStr">
        <is>
          <t>SELETIVA</t>
        </is>
      </c>
      <c r="G739" t="inlineStr">
        <is>
          <t>G&amp;S MARINGA</t>
        </is>
      </c>
      <c r="H739" t="inlineStr">
        <is>
          <t>7.1.2</t>
        </is>
      </c>
      <c r="I739" t="inlineStr">
        <is>
          <t>MANUTENÇÃO DE VEÍCULOS/MAQUINAS</t>
        </is>
      </c>
      <c r="J739" t="n">
        <v>200</v>
      </c>
      <c r="K739" t="n">
        <v>-200</v>
      </c>
    </row>
    <row r="740" hidden="1" s="154">
      <c r="A740" t="n">
        <v>2026</v>
      </c>
      <c r="B740" t="inlineStr">
        <is>
          <t>2026-03</t>
        </is>
      </c>
      <c r="C740" t="inlineStr">
        <is>
          <t>Maringá</t>
        </is>
      </c>
      <c r="D740" t="inlineStr">
        <is>
          <t>HYUNDAI</t>
        </is>
      </c>
      <c r="E740" t="inlineStr">
        <is>
          <t>EHH0004</t>
        </is>
      </c>
      <c r="F740" t="inlineStr">
        <is>
          <t>SELETIVA</t>
        </is>
      </c>
      <c r="G740" t="inlineStr">
        <is>
          <t>G&amp;S PRUDENTE</t>
        </is>
      </c>
      <c r="H740" t="inlineStr">
        <is>
          <t>7.1.2</t>
        </is>
      </c>
      <c r="I740" t="inlineStr">
        <is>
          <t>MANUTENÇÃO DE VEÍCULOS/MAQUINAS</t>
        </is>
      </c>
      <c r="J740" t="n">
        <v>1645.23</v>
      </c>
      <c r="K740" t="n">
        <v>-1645.23</v>
      </c>
    </row>
    <row r="741" hidden="1" s="154">
      <c r="A741" t="n">
        <v>2025</v>
      </c>
      <c r="B741" t="inlineStr">
        <is>
          <t>2025-01</t>
        </is>
      </c>
      <c r="C741" t="inlineStr">
        <is>
          <t>Maringá</t>
        </is>
      </c>
      <c r="D741" t="inlineStr">
        <is>
          <t>HYUNDAI</t>
        </is>
      </c>
      <c r="E741" t="inlineStr">
        <is>
          <t>EHH0039</t>
        </is>
      </c>
      <c r="F741" t="inlineStr">
        <is>
          <t>SELETIVA</t>
        </is>
      </c>
      <c r="G741" t="inlineStr">
        <is>
          <t>G&amp;G MATRIZ</t>
        </is>
      </c>
      <c r="H741" t="inlineStr">
        <is>
          <t>7.1.22</t>
        </is>
      </c>
      <c r="I741" t="inlineStr">
        <is>
          <t>COMBUSTÍVEL - DIESEL (INTERNO)</t>
        </is>
      </c>
      <c r="J741" t="n">
        <v>1337.55</v>
      </c>
      <c r="K741" t="n">
        <v>1337.55</v>
      </c>
    </row>
    <row r="742" hidden="1" s="154">
      <c r="A742" t="n">
        <v>2025</v>
      </c>
      <c r="B742" t="inlineStr">
        <is>
          <t>2025-01</t>
        </is>
      </c>
      <c r="C742" t="inlineStr">
        <is>
          <t>Maringá</t>
        </is>
      </c>
      <c r="D742" t="inlineStr">
        <is>
          <t>HYUNDAI</t>
        </is>
      </c>
      <c r="E742" t="inlineStr">
        <is>
          <t>EHH0039</t>
        </is>
      </c>
      <c r="F742" t="inlineStr">
        <is>
          <t>SELETIVA</t>
        </is>
      </c>
      <c r="G742" t="inlineStr">
        <is>
          <t>G&amp;G MARINGA</t>
        </is>
      </c>
      <c r="H742" t="inlineStr">
        <is>
          <t>7.1.4</t>
        </is>
      </c>
      <c r="I742" t="inlineStr">
        <is>
          <t>COMBUSTÍVEL - DIESEL (POSTO)</t>
        </is>
      </c>
      <c r="J742" t="n">
        <v>1550</v>
      </c>
      <c r="K742" t="n">
        <v>1550</v>
      </c>
    </row>
    <row r="743" hidden="1" s="154">
      <c r="A743" t="n">
        <v>2025</v>
      </c>
      <c r="B743" t="inlineStr">
        <is>
          <t>2025-01</t>
        </is>
      </c>
      <c r="C743" t="inlineStr">
        <is>
          <t>Maringá</t>
        </is>
      </c>
      <c r="D743" t="inlineStr">
        <is>
          <t>HYUNDAI</t>
        </is>
      </c>
      <c r="E743" t="inlineStr">
        <is>
          <t>EHH0039</t>
        </is>
      </c>
      <c r="F743" t="inlineStr">
        <is>
          <t>SELETIVA</t>
        </is>
      </c>
      <c r="G743" t="inlineStr">
        <is>
          <t>G&amp;G MARINGA</t>
        </is>
      </c>
      <c r="H743" t="inlineStr">
        <is>
          <t>7.1.4</t>
        </is>
      </c>
      <c r="I743" t="inlineStr">
        <is>
          <t>COMBUSTÍVEL - DIESEL (POSTO)</t>
        </is>
      </c>
      <c r="J743" t="n">
        <v>806.5599999999999</v>
      </c>
      <c r="K743" t="n">
        <v>806.5599999999999</v>
      </c>
    </row>
    <row r="744" hidden="1" s="154">
      <c r="A744" t="n">
        <v>2025</v>
      </c>
      <c r="B744" t="inlineStr">
        <is>
          <t>2025-02</t>
        </is>
      </c>
      <c r="C744" t="inlineStr">
        <is>
          <t>Maringá</t>
        </is>
      </c>
      <c r="D744" t="inlineStr">
        <is>
          <t>HYUNDAI</t>
        </is>
      </c>
      <c r="E744" t="inlineStr">
        <is>
          <t>EHH0039</t>
        </is>
      </c>
      <c r="F744" t="inlineStr">
        <is>
          <t>SELETIVA</t>
        </is>
      </c>
      <c r="G744" t="inlineStr">
        <is>
          <t>G&amp;G MARINGA</t>
        </is>
      </c>
      <c r="H744" t="inlineStr">
        <is>
          <t>7.1.1</t>
        </is>
      </c>
      <c r="I744" t="inlineStr">
        <is>
          <t>PEÇAS DE MANUTENÇÃO</t>
        </is>
      </c>
      <c r="J744" t="n">
        <v>82.8</v>
      </c>
      <c r="K744" t="n">
        <v>82.8</v>
      </c>
    </row>
    <row r="745" hidden="1" s="154">
      <c r="A745" t="n">
        <v>2025</v>
      </c>
      <c r="B745" t="inlineStr">
        <is>
          <t>2025-02</t>
        </is>
      </c>
      <c r="C745" t="inlineStr">
        <is>
          <t>Maringá</t>
        </is>
      </c>
      <c r="D745" t="inlineStr">
        <is>
          <t>HYUNDAI</t>
        </is>
      </c>
      <c r="E745" t="inlineStr">
        <is>
          <t>EHH0039</t>
        </is>
      </c>
      <c r="F745" t="inlineStr">
        <is>
          <t>SELETIVA</t>
        </is>
      </c>
      <c r="G745" t="inlineStr">
        <is>
          <t>G&amp;G MARINGA</t>
        </is>
      </c>
      <c r="H745" t="inlineStr">
        <is>
          <t>7.1.1</t>
        </is>
      </c>
      <c r="I745" t="inlineStr">
        <is>
          <t>PEÇAS DE MANUTENÇÃO</t>
        </is>
      </c>
      <c r="J745" t="n">
        <v>441</v>
      </c>
      <c r="K745" t="n">
        <v>441</v>
      </c>
    </row>
    <row r="746" hidden="1" s="154">
      <c r="A746" t="n">
        <v>2025</v>
      </c>
      <c r="B746" t="inlineStr">
        <is>
          <t>2025-02</t>
        </is>
      </c>
      <c r="C746" t="inlineStr">
        <is>
          <t>Maringá</t>
        </is>
      </c>
      <c r="D746" t="inlineStr">
        <is>
          <t>HYUNDAI</t>
        </is>
      </c>
      <c r="E746" t="inlineStr">
        <is>
          <t>EHH0039</t>
        </is>
      </c>
      <c r="F746" t="inlineStr">
        <is>
          <t>SELETIVA</t>
        </is>
      </c>
      <c r="G746" t="inlineStr">
        <is>
          <t>G&amp;G MARINGA</t>
        </is>
      </c>
      <c r="H746" t="inlineStr">
        <is>
          <t>7.1.1</t>
        </is>
      </c>
      <c r="I746" t="inlineStr">
        <is>
          <t>PEÇAS DE MANUTENÇÃO</t>
        </is>
      </c>
      <c r="J746" t="n">
        <v>47.2</v>
      </c>
      <c r="K746" t="n">
        <v>47.2</v>
      </c>
    </row>
    <row r="747" hidden="1" s="154">
      <c r="A747" t="n">
        <v>2025</v>
      </c>
      <c r="B747" t="inlineStr">
        <is>
          <t>2025-02</t>
        </is>
      </c>
      <c r="C747" t="inlineStr">
        <is>
          <t>Maringá</t>
        </is>
      </c>
      <c r="D747" t="inlineStr">
        <is>
          <t>HYUNDAI</t>
        </is>
      </c>
      <c r="E747" t="inlineStr">
        <is>
          <t>EHH0039</t>
        </is>
      </c>
      <c r="F747" t="inlineStr">
        <is>
          <t>SELETIVA</t>
        </is>
      </c>
      <c r="G747" t="inlineStr">
        <is>
          <t>G&amp;G MARINGA</t>
        </is>
      </c>
      <c r="H747" t="inlineStr">
        <is>
          <t>7.1.1</t>
        </is>
      </c>
      <c r="I747" t="inlineStr">
        <is>
          <t>PEÇAS DE MANUTENÇÃO</t>
        </is>
      </c>
      <c r="J747" t="n">
        <v>34.5</v>
      </c>
      <c r="K747" t="n">
        <v>34.5</v>
      </c>
    </row>
    <row r="748" hidden="1" s="154">
      <c r="A748" t="n">
        <v>2025</v>
      </c>
      <c r="B748" t="inlineStr">
        <is>
          <t>2025-02</t>
        </is>
      </c>
      <c r="C748" t="inlineStr">
        <is>
          <t>Maringá</t>
        </is>
      </c>
      <c r="D748" t="inlineStr">
        <is>
          <t>HYUNDAI</t>
        </is>
      </c>
      <c r="E748" t="inlineStr">
        <is>
          <t>EHH0039</t>
        </is>
      </c>
      <c r="F748" t="inlineStr">
        <is>
          <t>SELETIVA</t>
        </is>
      </c>
      <c r="G748" t="inlineStr">
        <is>
          <t>G&amp;G MARINGA</t>
        </is>
      </c>
      <c r="H748" t="inlineStr">
        <is>
          <t>7.1.1</t>
        </is>
      </c>
      <c r="I748" t="inlineStr">
        <is>
          <t>PEÇAS DE MANUTENÇÃO</t>
        </is>
      </c>
      <c r="J748" t="n">
        <v>35.2</v>
      </c>
      <c r="K748" t="n">
        <v>35.2</v>
      </c>
    </row>
    <row r="749" hidden="1" s="154">
      <c r="A749" t="n">
        <v>2025</v>
      </c>
      <c r="B749" t="inlineStr">
        <is>
          <t>2025-03</t>
        </is>
      </c>
      <c r="C749" t="inlineStr">
        <is>
          <t>Maringá</t>
        </is>
      </c>
      <c r="D749" t="inlineStr">
        <is>
          <t>HYUNDAI</t>
        </is>
      </c>
      <c r="E749" t="inlineStr">
        <is>
          <t>EHH0039</t>
        </is>
      </c>
      <c r="F749" t="inlineStr">
        <is>
          <t>SELETIVA</t>
        </is>
      </c>
      <c r="G749" t="inlineStr">
        <is>
          <t>G&amp;G MARINGA</t>
        </is>
      </c>
      <c r="H749" t="inlineStr">
        <is>
          <t>7.1.4</t>
        </is>
      </c>
      <c r="I749" t="inlineStr">
        <is>
          <t>COMBUSTÍVEL - DIESEL (POSTO)</t>
        </is>
      </c>
      <c r="J749" t="n">
        <v>224</v>
      </c>
      <c r="K749" t="n">
        <v>224</v>
      </c>
    </row>
    <row r="750" hidden="1" s="154">
      <c r="A750" t="n">
        <v>2025</v>
      </c>
      <c r="B750" t="inlineStr">
        <is>
          <t>2025-03</t>
        </is>
      </c>
      <c r="C750" t="inlineStr">
        <is>
          <t>Maringá</t>
        </is>
      </c>
      <c r="D750" t="inlineStr">
        <is>
          <t>HYUNDAI</t>
        </is>
      </c>
      <c r="E750" t="inlineStr">
        <is>
          <t>EHH0039</t>
        </is>
      </c>
      <c r="F750" t="inlineStr">
        <is>
          <t>SELETIVA</t>
        </is>
      </c>
      <c r="G750" t="inlineStr">
        <is>
          <t>G&amp;G MARINGA</t>
        </is>
      </c>
      <c r="H750" t="inlineStr">
        <is>
          <t>7.1.2</t>
        </is>
      </c>
      <c r="I750" t="inlineStr">
        <is>
          <t>MANUTENÇÃO DE VEÍCULOS/MAQUINAS</t>
        </is>
      </c>
      <c r="J750" t="n">
        <v>3140</v>
      </c>
      <c r="K750" t="n">
        <v>3140</v>
      </c>
    </row>
    <row r="751" hidden="1" s="154">
      <c r="A751" t="n">
        <v>2025</v>
      </c>
      <c r="B751" t="inlineStr">
        <is>
          <t>2025-04</t>
        </is>
      </c>
      <c r="C751" t="inlineStr">
        <is>
          <t>Maringá</t>
        </is>
      </c>
      <c r="D751" t="inlineStr">
        <is>
          <t>HYUNDAI</t>
        </is>
      </c>
      <c r="E751" t="inlineStr">
        <is>
          <t>EHH0039</t>
        </is>
      </c>
      <c r="F751" t="inlineStr">
        <is>
          <t>SELETIVA</t>
        </is>
      </c>
      <c r="G751" t="inlineStr">
        <is>
          <t>G&amp;G MARINGA</t>
        </is>
      </c>
      <c r="H751" t="inlineStr">
        <is>
          <t>7.1.1</t>
        </is>
      </c>
      <c r="I751" t="inlineStr">
        <is>
          <t>PEÇAS DE MANUTENÇÃO</t>
        </is>
      </c>
      <c r="J751" t="n">
        <v>115</v>
      </c>
      <c r="K751" t="n">
        <v>115</v>
      </c>
    </row>
    <row r="752" hidden="1" s="154">
      <c r="A752" t="n">
        <v>2025</v>
      </c>
      <c r="B752" t="inlineStr">
        <is>
          <t>2025-04</t>
        </is>
      </c>
      <c r="C752" t="inlineStr">
        <is>
          <t>Maringá</t>
        </is>
      </c>
      <c r="D752" t="inlineStr">
        <is>
          <t>HYUNDAI</t>
        </is>
      </c>
      <c r="E752" t="inlineStr">
        <is>
          <t>EHH0039</t>
        </is>
      </c>
      <c r="F752" t="inlineStr">
        <is>
          <t>SELETIVA</t>
        </is>
      </c>
      <c r="G752" t="inlineStr">
        <is>
          <t>G&amp;G MARINGA</t>
        </is>
      </c>
      <c r="H752" t="inlineStr">
        <is>
          <t>7.1.1</t>
        </is>
      </c>
      <c r="I752" t="inlineStr">
        <is>
          <t>PEÇAS DE MANUTENÇÃO</t>
        </is>
      </c>
      <c r="J752" t="n">
        <v>55</v>
      </c>
      <c r="K752" t="n">
        <v>55</v>
      </c>
    </row>
    <row r="753" hidden="1" s="154">
      <c r="A753" t="n">
        <v>2025</v>
      </c>
      <c r="B753" t="inlineStr">
        <is>
          <t>2025-04</t>
        </is>
      </c>
      <c r="C753" t="inlineStr">
        <is>
          <t>Maringá</t>
        </is>
      </c>
      <c r="D753" t="inlineStr">
        <is>
          <t>HYUNDAI</t>
        </is>
      </c>
      <c r="E753" t="inlineStr">
        <is>
          <t>EHH0039</t>
        </is>
      </c>
      <c r="F753" t="inlineStr">
        <is>
          <t>SELETIVA</t>
        </is>
      </c>
      <c r="G753" t="inlineStr">
        <is>
          <t>G&amp;G MARINGA</t>
        </is>
      </c>
      <c r="H753" t="inlineStr">
        <is>
          <t>7.1.4</t>
        </is>
      </c>
      <c r="I753" t="inlineStr">
        <is>
          <t>COMBUSTÍVEL - DIESEL (POSTO)</t>
        </is>
      </c>
      <c r="J753" t="n">
        <v>1235.79</v>
      </c>
      <c r="K753" t="n">
        <v>1235.79</v>
      </c>
    </row>
    <row r="754" hidden="1" s="154">
      <c r="A754" t="n">
        <v>2025</v>
      </c>
      <c r="B754" t="inlineStr">
        <is>
          <t>2025-04</t>
        </is>
      </c>
      <c r="C754" t="inlineStr">
        <is>
          <t>Maringá</t>
        </is>
      </c>
      <c r="D754" t="inlineStr">
        <is>
          <t>HYUNDAI</t>
        </is>
      </c>
      <c r="E754" t="inlineStr">
        <is>
          <t>EHH0039</t>
        </is>
      </c>
      <c r="F754" t="inlineStr">
        <is>
          <t>SELETIVA</t>
        </is>
      </c>
      <c r="G754" t="inlineStr">
        <is>
          <t>G&amp;G MARINGA</t>
        </is>
      </c>
      <c r="H754" t="inlineStr">
        <is>
          <t>7.1.2</t>
        </is>
      </c>
      <c r="I754" t="inlineStr">
        <is>
          <t>MANUTENÇÃO DE VEÍCULOS/MAQUINAS</t>
        </is>
      </c>
      <c r="J754" t="n">
        <v>2340</v>
      </c>
      <c r="K754" t="n">
        <v>2340</v>
      </c>
    </row>
    <row r="755" hidden="1" s="154">
      <c r="A755" t="n">
        <v>2025</v>
      </c>
      <c r="B755" t="inlineStr">
        <is>
          <t>2025-04</t>
        </is>
      </c>
      <c r="C755" t="inlineStr">
        <is>
          <t>Maringá</t>
        </is>
      </c>
      <c r="D755" t="inlineStr">
        <is>
          <t>HYUNDAI</t>
        </is>
      </c>
      <c r="E755" t="inlineStr">
        <is>
          <t>EHH0039</t>
        </is>
      </c>
      <c r="F755" t="inlineStr">
        <is>
          <t>SELETIVA</t>
        </is>
      </c>
      <c r="G755" t="inlineStr">
        <is>
          <t>G&amp;G MARINGA</t>
        </is>
      </c>
      <c r="H755" t="inlineStr">
        <is>
          <t>7.1.2</t>
        </is>
      </c>
      <c r="I755" t="inlineStr">
        <is>
          <t>MANUTENÇÃO DE VEÍCULOS/MAQUINAS</t>
        </is>
      </c>
      <c r="J755" t="n">
        <v>12616</v>
      </c>
      <c r="K755" t="n">
        <v>12616</v>
      </c>
    </row>
    <row r="756" hidden="1" s="154">
      <c r="A756" t="n">
        <v>2025</v>
      </c>
      <c r="B756" t="inlineStr">
        <is>
          <t>2025-04</t>
        </is>
      </c>
      <c r="C756" t="inlineStr">
        <is>
          <t>Maringá</t>
        </is>
      </c>
      <c r="D756" t="inlineStr">
        <is>
          <t>HYUNDAI</t>
        </is>
      </c>
      <c r="E756" t="inlineStr">
        <is>
          <t>EHH0039</t>
        </is>
      </c>
      <c r="F756" t="inlineStr">
        <is>
          <t>SELETIVA</t>
        </is>
      </c>
      <c r="G756" t="inlineStr">
        <is>
          <t>G&amp;G MARINGA</t>
        </is>
      </c>
      <c r="H756" t="inlineStr">
        <is>
          <t>7.1.1</t>
        </is>
      </c>
      <c r="I756" t="inlineStr">
        <is>
          <t>PEÇAS DE MANUTENÇÃO</t>
        </is>
      </c>
      <c r="J756" t="n">
        <v>510</v>
      </c>
      <c r="K756" t="n">
        <v>510</v>
      </c>
    </row>
    <row r="757" hidden="1" s="154">
      <c r="A757" t="n">
        <v>2025</v>
      </c>
      <c r="B757" t="inlineStr">
        <is>
          <t>2025-04</t>
        </is>
      </c>
      <c r="C757" t="inlineStr">
        <is>
          <t>Maringá</t>
        </is>
      </c>
      <c r="D757" t="inlineStr">
        <is>
          <t>HYUNDAI</t>
        </is>
      </c>
      <c r="E757" t="inlineStr">
        <is>
          <t>EHH0039</t>
        </is>
      </c>
      <c r="F757" t="inlineStr">
        <is>
          <t>SELETIVA</t>
        </is>
      </c>
      <c r="G757" t="inlineStr">
        <is>
          <t>G&amp;G MARINGA</t>
        </is>
      </c>
      <c r="H757" t="inlineStr">
        <is>
          <t>7.1.2</t>
        </is>
      </c>
      <c r="I757" t="inlineStr">
        <is>
          <t>MANUTENÇÃO DE VEÍCULOS/MAQUINAS</t>
        </is>
      </c>
      <c r="J757" t="n">
        <v>940</v>
      </c>
      <c r="K757" t="n">
        <v>940</v>
      </c>
    </row>
    <row r="758" hidden="1" s="154">
      <c r="A758" t="n">
        <v>2025</v>
      </c>
      <c r="B758" t="inlineStr">
        <is>
          <t>2025-04</t>
        </is>
      </c>
      <c r="C758" t="inlineStr">
        <is>
          <t>Maringá</t>
        </is>
      </c>
      <c r="D758" t="inlineStr">
        <is>
          <t>HYUNDAI</t>
        </is>
      </c>
      <c r="E758" t="inlineStr">
        <is>
          <t>EHH0039</t>
        </is>
      </c>
      <c r="F758" t="inlineStr">
        <is>
          <t>SELETIVA</t>
        </is>
      </c>
      <c r="G758" t="inlineStr">
        <is>
          <t>G&amp;G MARINGA</t>
        </is>
      </c>
      <c r="H758" t="inlineStr">
        <is>
          <t>7.1.1</t>
        </is>
      </c>
      <c r="I758" t="inlineStr">
        <is>
          <t>PEÇAS DE MANUTENÇÃO</t>
        </is>
      </c>
      <c r="J758" t="n">
        <v>1399</v>
      </c>
      <c r="K758" t="n">
        <v>1399</v>
      </c>
    </row>
    <row r="759" hidden="1" s="154">
      <c r="A759" t="n">
        <v>2025</v>
      </c>
      <c r="B759" t="inlineStr">
        <is>
          <t>2025-04</t>
        </is>
      </c>
      <c r="C759" t="inlineStr">
        <is>
          <t>Maringá</t>
        </is>
      </c>
      <c r="D759" t="inlineStr">
        <is>
          <t>HYUNDAI</t>
        </is>
      </c>
      <c r="E759" t="inlineStr">
        <is>
          <t>EHH0039</t>
        </is>
      </c>
      <c r="F759" t="inlineStr">
        <is>
          <t>SELETIVA</t>
        </is>
      </c>
      <c r="G759" t="inlineStr">
        <is>
          <t>G&amp;G MATRIZ</t>
        </is>
      </c>
      <c r="H759" t="inlineStr">
        <is>
          <t>7.1.1</t>
        </is>
      </c>
      <c r="I759" t="inlineStr">
        <is>
          <t>PEÇAS DE MANUTENÇÃO</t>
        </is>
      </c>
      <c r="J759" t="n">
        <v>1000</v>
      </c>
      <c r="K759" t="n">
        <v>1000</v>
      </c>
    </row>
    <row r="760" hidden="1" s="154">
      <c r="A760" t="n">
        <v>2025</v>
      </c>
      <c r="B760" t="inlineStr">
        <is>
          <t>2025-04</t>
        </is>
      </c>
      <c r="C760" t="inlineStr">
        <is>
          <t>Maringá</t>
        </is>
      </c>
      <c r="D760" t="inlineStr">
        <is>
          <t>HYUNDAI</t>
        </is>
      </c>
      <c r="E760" t="inlineStr">
        <is>
          <t>EHH0039</t>
        </is>
      </c>
      <c r="F760" t="inlineStr">
        <is>
          <t>SELETIVA</t>
        </is>
      </c>
      <c r="G760" t="inlineStr">
        <is>
          <t>G&amp;G MARINGA</t>
        </is>
      </c>
      <c r="H760" t="inlineStr">
        <is>
          <t>7.1.2</t>
        </is>
      </c>
      <c r="I760" t="inlineStr">
        <is>
          <t>MANUTENÇÃO DE VEÍCULOS/MAQUINAS</t>
        </is>
      </c>
      <c r="J760" t="n">
        <v>540</v>
      </c>
      <c r="K760" t="n">
        <v>540</v>
      </c>
    </row>
    <row r="761" hidden="1" s="154">
      <c r="A761" t="n">
        <v>2025</v>
      </c>
      <c r="B761" t="inlineStr">
        <is>
          <t>2025-05</t>
        </is>
      </c>
      <c r="C761" t="inlineStr">
        <is>
          <t>Maringá</t>
        </is>
      </c>
      <c r="D761" t="inlineStr">
        <is>
          <t>HYUNDAI</t>
        </is>
      </c>
      <c r="E761" t="inlineStr">
        <is>
          <t>EHH0039</t>
        </is>
      </c>
      <c r="F761" t="inlineStr">
        <is>
          <t>SELETIVA</t>
        </is>
      </c>
      <c r="G761" t="inlineStr">
        <is>
          <t>G&amp;G MARINGA</t>
        </is>
      </c>
      <c r="H761" t="inlineStr">
        <is>
          <t>7.1.1</t>
        </is>
      </c>
      <c r="I761" t="inlineStr">
        <is>
          <t>PEÇAS DE MANUTENÇÃO</t>
        </is>
      </c>
      <c r="J761" t="n">
        <v>752.5599999999999</v>
      </c>
      <c r="K761" t="n">
        <v>752.5599999999999</v>
      </c>
    </row>
    <row r="762" hidden="1" s="154">
      <c r="A762" t="n">
        <v>2025</v>
      </c>
      <c r="B762" t="inlineStr">
        <is>
          <t>2025-05</t>
        </is>
      </c>
      <c r="C762" t="inlineStr">
        <is>
          <t>Maringá</t>
        </is>
      </c>
      <c r="D762" t="inlineStr">
        <is>
          <t>HYUNDAI</t>
        </is>
      </c>
      <c r="E762" t="inlineStr">
        <is>
          <t>EHH0039</t>
        </is>
      </c>
      <c r="F762" t="inlineStr">
        <is>
          <t>SELETIVA</t>
        </is>
      </c>
      <c r="G762" t="inlineStr">
        <is>
          <t>G&amp;G MARINGA</t>
        </is>
      </c>
      <c r="H762" t="inlineStr">
        <is>
          <t>7.1.2</t>
        </is>
      </c>
      <c r="I762" t="inlineStr">
        <is>
          <t>MANUTENÇÃO DE VEÍCULOS/MAQUINAS</t>
        </is>
      </c>
      <c r="J762" t="n">
        <v>3000</v>
      </c>
      <c r="K762" t="n">
        <v>3000</v>
      </c>
    </row>
    <row r="763" hidden="1" s="154">
      <c r="A763" t="n">
        <v>2025</v>
      </c>
      <c r="B763" t="inlineStr">
        <is>
          <t>2025-05</t>
        </is>
      </c>
      <c r="C763" t="inlineStr">
        <is>
          <t>Maringá</t>
        </is>
      </c>
      <c r="D763" t="inlineStr">
        <is>
          <t>HYUNDAI</t>
        </is>
      </c>
      <c r="E763" t="inlineStr">
        <is>
          <t>EHH0039</t>
        </is>
      </c>
      <c r="F763" t="inlineStr">
        <is>
          <t>SELETIVA</t>
        </is>
      </c>
      <c r="G763" t="inlineStr">
        <is>
          <t>G&amp;G MARINGA</t>
        </is>
      </c>
      <c r="H763" t="inlineStr">
        <is>
          <t>7.1.4</t>
        </is>
      </c>
      <c r="I763" t="inlineStr">
        <is>
          <t>COMBUSTÍVEL - DIESEL (POSTO)</t>
        </is>
      </c>
      <c r="J763" t="n">
        <v>709.55</v>
      </c>
      <c r="K763" t="n">
        <v>709.55</v>
      </c>
    </row>
    <row r="764" hidden="1" s="154">
      <c r="A764" t="n">
        <v>2025</v>
      </c>
      <c r="B764" t="inlineStr">
        <is>
          <t>2025-06</t>
        </is>
      </c>
      <c r="C764" t="inlineStr">
        <is>
          <t>Maringá</t>
        </is>
      </c>
      <c r="D764" t="inlineStr">
        <is>
          <t>HYUNDAI</t>
        </is>
      </c>
      <c r="E764" t="inlineStr">
        <is>
          <t>EHH0039</t>
        </is>
      </c>
      <c r="F764" t="inlineStr">
        <is>
          <t>SELETIVA</t>
        </is>
      </c>
      <c r="G764" t="inlineStr">
        <is>
          <t>CTA</t>
        </is>
      </c>
      <c r="H764" t="inlineStr">
        <is>
          <t>7.1.22</t>
        </is>
      </c>
      <c r="I764" t="inlineStr">
        <is>
          <t>COMBUSTÍVEL - DIESEL (INTERNO)</t>
        </is>
      </c>
      <c r="J764" t="n">
        <v>5896.84</v>
      </c>
      <c r="K764" t="n">
        <v>-5896.84</v>
      </c>
    </row>
    <row r="765" hidden="1" s="154">
      <c r="A765" t="n">
        <v>2025</v>
      </c>
      <c r="B765" t="inlineStr">
        <is>
          <t>2025-07</t>
        </is>
      </c>
      <c r="C765" t="inlineStr">
        <is>
          <t>Maringá</t>
        </is>
      </c>
      <c r="D765" t="inlineStr">
        <is>
          <t>HYUNDAI</t>
        </is>
      </c>
      <c r="E765" t="inlineStr">
        <is>
          <t>EHH0039</t>
        </is>
      </c>
      <c r="F765" t="inlineStr">
        <is>
          <t>SELETIVA</t>
        </is>
      </c>
      <c r="G765" t="inlineStr">
        <is>
          <t>CTA</t>
        </is>
      </c>
      <c r="H765" t="inlineStr">
        <is>
          <t>7.1.22</t>
        </is>
      </c>
      <c r="I765" t="inlineStr">
        <is>
          <t>COMBUSTÍVEL - DIESEL (INTERNO)</t>
        </is>
      </c>
      <c r="J765" t="n">
        <v>4563.14</v>
      </c>
      <c r="K765" t="n">
        <v>-4563.14</v>
      </c>
    </row>
    <row r="766" hidden="1" s="154">
      <c r="A766" t="n">
        <v>2025</v>
      </c>
      <c r="B766" t="inlineStr">
        <is>
          <t>2025-08</t>
        </is>
      </c>
      <c r="C766" t="inlineStr">
        <is>
          <t>Maringá</t>
        </is>
      </c>
      <c r="D766" t="inlineStr">
        <is>
          <t>HYUNDAI</t>
        </is>
      </c>
      <c r="E766" t="inlineStr">
        <is>
          <t>EHH0039</t>
        </is>
      </c>
      <c r="F766" t="inlineStr">
        <is>
          <t>SELETIVA</t>
        </is>
      </c>
      <c r="G766" t="inlineStr">
        <is>
          <t>CTA</t>
        </is>
      </c>
      <c r="H766" t="inlineStr">
        <is>
          <t>7.1.22</t>
        </is>
      </c>
      <c r="I766" t="inlineStr">
        <is>
          <t>COMBUSTÍVEL - DIESEL (INTERNO)</t>
        </is>
      </c>
      <c r="J766" t="n">
        <v>4831.8</v>
      </c>
      <c r="K766" t="n">
        <v>-4831.8</v>
      </c>
    </row>
    <row r="767" hidden="1" s="154">
      <c r="A767" t="n">
        <v>2025</v>
      </c>
      <c r="B767" t="inlineStr">
        <is>
          <t>2025-08</t>
        </is>
      </c>
      <c r="C767" t="inlineStr">
        <is>
          <t>Maringá</t>
        </is>
      </c>
      <c r="D767" t="inlineStr">
        <is>
          <t>HYUNDAI</t>
        </is>
      </c>
      <c r="E767" t="inlineStr">
        <is>
          <t>EHH0039</t>
        </is>
      </c>
      <c r="F767" t="inlineStr">
        <is>
          <t>SELETIVA</t>
        </is>
      </c>
      <c r="G767" t="inlineStr">
        <is>
          <t>G&amp;S MARINGA</t>
        </is>
      </c>
      <c r="H767" t="inlineStr">
        <is>
          <t>7.1.2</t>
        </is>
      </c>
      <c r="I767" t="inlineStr">
        <is>
          <t>MANUTENÇÃO DE VEÍCULOS/MAQUINAS</t>
        </is>
      </c>
      <c r="J767" t="n">
        <v>469.86</v>
      </c>
      <c r="K767" t="n">
        <v>-469.86</v>
      </c>
    </row>
    <row r="768" hidden="1" s="154">
      <c r="A768" t="n">
        <v>2025</v>
      </c>
      <c r="B768" t="inlineStr">
        <is>
          <t>2025-08</t>
        </is>
      </c>
      <c r="C768" t="inlineStr">
        <is>
          <t>Maringá</t>
        </is>
      </c>
      <c r="D768" t="inlineStr">
        <is>
          <t>HYUNDAI</t>
        </is>
      </c>
      <c r="E768" t="inlineStr">
        <is>
          <t>EHH0039</t>
        </is>
      </c>
      <c r="F768" t="inlineStr">
        <is>
          <t>SELETIVA</t>
        </is>
      </c>
      <c r="G768" t="inlineStr">
        <is>
          <t>G&amp;S MARINGA</t>
        </is>
      </c>
      <c r="H768" t="inlineStr">
        <is>
          <t>7.1.2</t>
        </is>
      </c>
      <c r="I768" t="inlineStr">
        <is>
          <t>MANUTENÇÃO DE VEÍCULOS/MAQUINAS</t>
        </is>
      </c>
      <c r="J768" t="n">
        <v>530.27</v>
      </c>
      <c r="K768" t="n">
        <v>-530.27</v>
      </c>
    </row>
    <row r="769" hidden="1" s="154">
      <c r="A769" t="n">
        <v>2025</v>
      </c>
      <c r="B769" t="inlineStr">
        <is>
          <t>2025-08</t>
        </is>
      </c>
      <c r="C769" t="inlineStr">
        <is>
          <t>Maringá</t>
        </is>
      </c>
      <c r="D769" t="inlineStr">
        <is>
          <t>HYUNDAI</t>
        </is>
      </c>
      <c r="E769" t="inlineStr">
        <is>
          <t>EHH0039</t>
        </is>
      </c>
      <c r="F769" t="inlineStr">
        <is>
          <t>SELETIVA</t>
        </is>
      </c>
      <c r="G769" t="inlineStr">
        <is>
          <t>G&amp;S MARINGA</t>
        </is>
      </c>
      <c r="H769" t="inlineStr">
        <is>
          <t>7.1.2</t>
        </is>
      </c>
      <c r="I769" t="inlineStr">
        <is>
          <t>MANUTENÇÃO DE VEÍCULOS/MAQUINAS</t>
        </is>
      </c>
      <c r="J769" t="n">
        <v>700</v>
      </c>
      <c r="K769" t="n">
        <v>-700</v>
      </c>
    </row>
    <row r="770" hidden="1" s="154">
      <c r="A770" t="n">
        <v>2025</v>
      </c>
      <c r="B770" t="inlineStr">
        <is>
          <t>2025-09</t>
        </is>
      </c>
      <c r="C770" t="inlineStr">
        <is>
          <t>Maringá</t>
        </is>
      </c>
      <c r="D770" t="inlineStr">
        <is>
          <t>HYUNDAI</t>
        </is>
      </c>
      <c r="E770" t="inlineStr">
        <is>
          <t>EHH0039</t>
        </is>
      </c>
      <c r="F770" t="inlineStr">
        <is>
          <t>SELETIVA</t>
        </is>
      </c>
      <c r="G770" t="inlineStr">
        <is>
          <t>G&amp;S MARINGA</t>
        </is>
      </c>
      <c r="H770" t="inlineStr">
        <is>
          <t>7.1.2</t>
        </is>
      </c>
      <c r="I770" t="inlineStr">
        <is>
          <t>MANUTENÇÃO DE VEÍCULOS/MAQUINAS</t>
        </is>
      </c>
      <c r="J770" t="n">
        <v>734.52</v>
      </c>
      <c r="K770" t="n">
        <v>-734.52</v>
      </c>
    </row>
    <row r="771" hidden="1" s="154">
      <c r="A771" t="n">
        <v>2025</v>
      </c>
      <c r="B771" t="inlineStr">
        <is>
          <t>2025-09</t>
        </is>
      </c>
      <c r="C771" t="inlineStr">
        <is>
          <t>Maringá</t>
        </is>
      </c>
      <c r="D771" t="inlineStr">
        <is>
          <t>HYUNDAI</t>
        </is>
      </c>
      <c r="E771" t="inlineStr">
        <is>
          <t>EHH0039</t>
        </is>
      </c>
      <c r="F771" t="inlineStr">
        <is>
          <t>SELETIVA</t>
        </is>
      </c>
      <c r="G771" t="inlineStr">
        <is>
          <t>G&amp;S LONDRINA</t>
        </is>
      </c>
      <c r="H771" t="inlineStr">
        <is>
          <t>7.1.2</t>
        </is>
      </c>
      <c r="I771" t="inlineStr">
        <is>
          <t>MANUTENÇÃO DE VEÍCULOS/MAQUINAS</t>
        </is>
      </c>
      <c r="J771" t="n">
        <v>3095</v>
      </c>
      <c r="K771" t="n">
        <v>-3095</v>
      </c>
    </row>
    <row r="772" hidden="1" s="154">
      <c r="A772" t="n">
        <v>2025</v>
      </c>
      <c r="B772" t="inlineStr">
        <is>
          <t>2025-09</t>
        </is>
      </c>
      <c r="C772" t="inlineStr">
        <is>
          <t>Maringá</t>
        </is>
      </c>
      <c r="D772" t="inlineStr">
        <is>
          <t>HYUNDAI</t>
        </is>
      </c>
      <c r="E772" t="inlineStr">
        <is>
          <t>EHH0039</t>
        </is>
      </c>
      <c r="F772" t="inlineStr">
        <is>
          <t>SELETIVA</t>
        </is>
      </c>
      <c r="G772" t="inlineStr">
        <is>
          <t>G&amp;S MARINGA</t>
        </is>
      </c>
      <c r="H772" t="inlineStr">
        <is>
          <t>7.1.2</t>
        </is>
      </c>
      <c r="I772" t="inlineStr">
        <is>
          <t>MANUTENÇÃO DE VEÍCULOS/MAQUINAS</t>
        </is>
      </c>
      <c r="J772" t="n">
        <v>1260</v>
      </c>
      <c r="K772" t="n">
        <v>-1260</v>
      </c>
    </row>
    <row r="773" hidden="1" s="154">
      <c r="A773" t="n">
        <v>2025</v>
      </c>
      <c r="B773" t="inlineStr">
        <is>
          <t>2025-09</t>
        </is>
      </c>
      <c r="C773" t="inlineStr">
        <is>
          <t>Maringá</t>
        </is>
      </c>
      <c r="D773" t="inlineStr">
        <is>
          <t>HYUNDAI</t>
        </is>
      </c>
      <c r="E773" t="inlineStr">
        <is>
          <t>EHH0039</t>
        </is>
      </c>
      <c r="F773" t="inlineStr">
        <is>
          <t>SELETIVA</t>
        </is>
      </c>
      <c r="G773" t="inlineStr">
        <is>
          <t>G&amp;S MARINGA</t>
        </is>
      </c>
      <c r="H773" t="inlineStr">
        <is>
          <t>7.1.2</t>
        </is>
      </c>
      <c r="I773" t="inlineStr">
        <is>
          <t>MANUTENÇÃO DE VEÍCULOS/MAQUINAS</t>
        </is>
      </c>
      <c r="J773" t="n">
        <v>1060.54</v>
      </c>
      <c r="K773" t="n">
        <v>-1060.54</v>
      </c>
    </row>
    <row r="774" hidden="1" s="154">
      <c r="A774" t="n">
        <v>2025</v>
      </c>
      <c r="B774" t="inlineStr">
        <is>
          <t>2025-09</t>
        </is>
      </c>
      <c r="C774" t="inlineStr">
        <is>
          <t>Maringá</t>
        </is>
      </c>
      <c r="D774" t="inlineStr">
        <is>
          <t>HYUNDAI</t>
        </is>
      </c>
      <c r="E774" t="inlineStr">
        <is>
          <t>EHH0039</t>
        </is>
      </c>
      <c r="F774" t="inlineStr">
        <is>
          <t>SELETIVA</t>
        </is>
      </c>
      <c r="G774" t="inlineStr">
        <is>
          <t>G&amp;S PRUDENTE</t>
        </is>
      </c>
      <c r="H774" t="inlineStr">
        <is>
          <t>7.1.2</t>
        </is>
      </c>
      <c r="I774" t="inlineStr">
        <is>
          <t>MANUTENÇÃO DE VEÍCULOS/MAQUINAS</t>
        </is>
      </c>
      <c r="J774" t="n">
        <v>880</v>
      </c>
      <c r="K774" t="n">
        <v>-880</v>
      </c>
    </row>
    <row r="775" hidden="1" s="154">
      <c r="A775" t="n">
        <v>2025</v>
      </c>
      <c r="B775" t="inlineStr">
        <is>
          <t>2025-09</t>
        </is>
      </c>
      <c r="C775" t="inlineStr">
        <is>
          <t>Maringá</t>
        </is>
      </c>
      <c r="D775" t="inlineStr">
        <is>
          <t>HYUNDAI</t>
        </is>
      </c>
      <c r="E775" t="inlineStr">
        <is>
          <t>EHH0039</t>
        </is>
      </c>
      <c r="F775" t="inlineStr">
        <is>
          <t>SELETIVA</t>
        </is>
      </c>
      <c r="G775" t="inlineStr">
        <is>
          <t>G&amp;S MARINGA</t>
        </is>
      </c>
      <c r="H775" t="inlineStr">
        <is>
          <t>7.1.2</t>
        </is>
      </c>
      <c r="I775" t="inlineStr">
        <is>
          <t>MANUTENÇÃO DE VEÍCULOS/MAQUINAS</t>
        </is>
      </c>
      <c r="J775" t="n">
        <v>715</v>
      </c>
      <c r="K775" t="n">
        <v>-715</v>
      </c>
    </row>
    <row r="776" hidden="1" s="154">
      <c r="A776" t="n">
        <v>2025</v>
      </c>
      <c r="B776" t="inlineStr">
        <is>
          <t>2025-09</t>
        </is>
      </c>
      <c r="C776" t="inlineStr">
        <is>
          <t>Maringá</t>
        </is>
      </c>
      <c r="D776" t="inlineStr">
        <is>
          <t>HYUNDAI</t>
        </is>
      </c>
      <c r="E776" t="inlineStr">
        <is>
          <t>EHH0039</t>
        </is>
      </c>
      <c r="F776" t="inlineStr">
        <is>
          <t>SELETIVA</t>
        </is>
      </c>
      <c r="G776" t="inlineStr">
        <is>
          <t>G&amp;S MARINGA</t>
        </is>
      </c>
      <c r="H776" t="inlineStr">
        <is>
          <t>7.1.2</t>
        </is>
      </c>
      <c r="I776" t="inlineStr">
        <is>
          <t>MANUTENÇÃO DE VEÍCULOS/MAQUINAS</t>
        </is>
      </c>
      <c r="J776" t="n">
        <v>165</v>
      </c>
      <c r="K776" t="n">
        <v>-165</v>
      </c>
    </row>
    <row r="777" hidden="1" s="154">
      <c r="A777" t="n">
        <v>2025</v>
      </c>
      <c r="B777" t="inlineStr">
        <is>
          <t>2025-09</t>
        </is>
      </c>
      <c r="C777" t="inlineStr">
        <is>
          <t>Maringá</t>
        </is>
      </c>
      <c r="D777" t="inlineStr">
        <is>
          <t>HYUNDAI</t>
        </is>
      </c>
      <c r="E777" t="inlineStr">
        <is>
          <t>EHH0039</t>
        </is>
      </c>
      <c r="F777" t="inlineStr">
        <is>
          <t>SELETIVA</t>
        </is>
      </c>
      <c r="G777" t="inlineStr">
        <is>
          <t>G&amp;S MARINGA</t>
        </is>
      </c>
      <c r="H777" t="inlineStr">
        <is>
          <t>7.1.1</t>
        </is>
      </c>
      <c r="I777" t="inlineStr">
        <is>
          <t>PEÇAS DE MANUTENÇÃO</t>
        </is>
      </c>
      <c r="J777" t="n">
        <v>170</v>
      </c>
      <c r="K777" t="n">
        <v>-170</v>
      </c>
    </row>
    <row r="778" hidden="1" s="154">
      <c r="A778" t="n">
        <v>2025</v>
      </c>
      <c r="B778" t="inlineStr">
        <is>
          <t>2025-09</t>
        </is>
      </c>
      <c r="C778" t="inlineStr">
        <is>
          <t>Maringá</t>
        </is>
      </c>
      <c r="D778" t="inlineStr">
        <is>
          <t>HYUNDAI</t>
        </is>
      </c>
      <c r="E778" t="inlineStr">
        <is>
          <t>EHH0039</t>
        </is>
      </c>
      <c r="F778" t="inlineStr">
        <is>
          <t>SELETIVA</t>
        </is>
      </c>
      <c r="G778" t="inlineStr">
        <is>
          <t>G&amp;S MARINGA</t>
        </is>
      </c>
      <c r="H778" t="inlineStr">
        <is>
          <t>7.1.2</t>
        </is>
      </c>
      <c r="I778" t="inlineStr">
        <is>
          <t>MANUTENÇÃO DE VEÍCULOS/MAQUINAS</t>
        </is>
      </c>
      <c r="J778" t="n">
        <v>600</v>
      </c>
      <c r="K778" t="n">
        <v>-600</v>
      </c>
    </row>
    <row r="779" hidden="1" s="154">
      <c r="A779" t="n">
        <v>2025</v>
      </c>
      <c r="B779" t="inlineStr">
        <is>
          <t>2025-09</t>
        </is>
      </c>
      <c r="C779" t="inlineStr">
        <is>
          <t>Maringá</t>
        </is>
      </c>
      <c r="D779" t="inlineStr">
        <is>
          <t>HYUNDAI</t>
        </is>
      </c>
      <c r="E779" t="inlineStr">
        <is>
          <t>EHH0039</t>
        </is>
      </c>
      <c r="F779" t="inlineStr">
        <is>
          <t>SELETIVA</t>
        </is>
      </c>
      <c r="G779" t="inlineStr">
        <is>
          <t>CTA</t>
        </is>
      </c>
      <c r="H779" t="inlineStr">
        <is>
          <t>7.1.22</t>
        </is>
      </c>
      <c r="I779" t="inlineStr">
        <is>
          <t>COMBUSTÍVEL - DIESEL (INTERNO)</t>
        </is>
      </c>
      <c r="J779" t="n">
        <v>6610.49</v>
      </c>
      <c r="K779" t="n">
        <v>-6610.49</v>
      </c>
    </row>
    <row r="780" hidden="1" s="154">
      <c r="A780" t="n">
        <v>2025</v>
      </c>
      <c r="B780" t="inlineStr">
        <is>
          <t>2025-10</t>
        </is>
      </c>
      <c r="C780" t="inlineStr">
        <is>
          <t>Maringá</t>
        </is>
      </c>
      <c r="D780" t="inlineStr">
        <is>
          <t>HYUNDAI</t>
        </is>
      </c>
      <c r="E780" t="inlineStr">
        <is>
          <t>EHH0039</t>
        </is>
      </c>
      <c r="F780" t="inlineStr">
        <is>
          <t>SELETIVA</t>
        </is>
      </c>
      <c r="G780" t="inlineStr">
        <is>
          <t>G&amp;S MARINGA</t>
        </is>
      </c>
      <c r="H780" t="inlineStr">
        <is>
          <t>7.1.2</t>
        </is>
      </c>
      <c r="I780" t="inlineStr">
        <is>
          <t>MANUTENÇÃO DE VEÍCULOS/MAQUINAS</t>
        </is>
      </c>
      <c r="J780" t="n">
        <v>3534</v>
      </c>
      <c r="K780" t="n">
        <v>-3534</v>
      </c>
    </row>
    <row r="781" hidden="1" s="154">
      <c r="A781" t="n">
        <v>2025</v>
      </c>
      <c r="B781" t="inlineStr">
        <is>
          <t>2025-10</t>
        </is>
      </c>
      <c r="C781" t="inlineStr">
        <is>
          <t>Maringá</t>
        </is>
      </c>
      <c r="D781" t="inlineStr">
        <is>
          <t>HYUNDAI</t>
        </is>
      </c>
      <c r="E781" t="inlineStr">
        <is>
          <t>EHH0039</t>
        </is>
      </c>
      <c r="F781" t="inlineStr">
        <is>
          <t>SELETIVA</t>
        </is>
      </c>
      <c r="G781" t="inlineStr">
        <is>
          <t>G&amp;S MARINGA</t>
        </is>
      </c>
      <c r="H781" t="inlineStr">
        <is>
          <t>7.1.2</t>
        </is>
      </c>
      <c r="I781" t="inlineStr">
        <is>
          <t>MANUTENÇÃO DE VEÍCULOS/MAQUINAS</t>
        </is>
      </c>
      <c r="J781" t="n">
        <v>1026</v>
      </c>
      <c r="K781" t="n">
        <v>-1026</v>
      </c>
    </row>
    <row r="782" hidden="1" s="154">
      <c r="A782" t="n">
        <v>2025</v>
      </c>
      <c r="B782" t="inlineStr">
        <is>
          <t>2025-10</t>
        </is>
      </c>
      <c r="C782" t="inlineStr">
        <is>
          <t>Maringá</t>
        </is>
      </c>
      <c r="D782" t="inlineStr">
        <is>
          <t>HYUNDAI</t>
        </is>
      </c>
      <c r="E782" t="inlineStr">
        <is>
          <t>EHH0039</t>
        </is>
      </c>
      <c r="F782" t="inlineStr">
        <is>
          <t>SELETIVA</t>
        </is>
      </c>
      <c r="G782" t="inlineStr">
        <is>
          <t>G&amp;S MARINGA</t>
        </is>
      </c>
      <c r="H782" t="inlineStr">
        <is>
          <t>7.1.2</t>
        </is>
      </c>
      <c r="I782" t="inlineStr">
        <is>
          <t>MANUTENÇÃO DE VEÍCULOS/MAQUINAS</t>
        </is>
      </c>
      <c r="J782" t="n">
        <v>687.8</v>
      </c>
      <c r="K782" t="n">
        <v>-687.8</v>
      </c>
    </row>
    <row r="783" hidden="1" s="154">
      <c r="A783" t="n">
        <v>2025</v>
      </c>
      <c r="B783" t="inlineStr">
        <is>
          <t>2025-10</t>
        </is>
      </c>
      <c r="C783" t="inlineStr">
        <is>
          <t>Maringá</t>
        </is>
      </c>
      <c r="D783" t="inlineStr">
        <is>
          <t>HYUNDAI</t>
        </is>
      </c>
      <c r="E783" t="inlineStr">
        <is>
          <t>EHH0039</t>
        </is>
      </c>
      <c r="F783" t="inlineStr">
        <is>
          <t>SELETIVA</t>
        </is>
      </c>
      <c r="G783" t="inlineStr">
        <is>
          <t>G&amp;S MARINGA</t>
        </is>
      </c>
      <c r="H783" t="inlineStr">
        <is>
          <t>7.1.2</t>
        </is>
      </c>
      <c r="I783" t="inlineStr">
        <is>
          <t>MANUTENÇÃO DE VEÍCULOS/MAQUINAS</t>
        </is>
      </c>
      <c r="J783" t="n">
        <v>1470</v>
      </c>
      <c r="K783" t="n">
        <v>-1470</v>
      </c>
    </row>
    <row r="784" hidden="1" s="154">
      <c r="A784" t="n">
        <v>2025</v>
      </c>
      <c r="B784" t="inlineStr">
        <is>
          <t>2025-10</t>
        </is>
      </c>
      <c r="C784" t="inlineStr">
        <is>
          <t>Maringá</t>
        </is>
      </c>
      <c r="D784" t="inlineStr">
        <is>
          <t>HYUNDAI</t>
        </is>
      </c>
      <c r="E784" t="inlineStr">
        <is>
          <t>EHH0039</t>
        </is>
      </c>
      <c r="F784" t="inlineStr">
        <is>
          <t>SELETIVA</t>
        </is>
      </c>
      <c r="G784" t="inlineStr">
        <is>
          <t>G&amp;S PRUDENTE</t>
        </is>
      </c>
      <c r="H784" t="inlineStr">
        <is>
          <t>7.1.2</t>
        </is>
      </c>
      <c r="I784" t="inlineStr">
        <is>
          <t>MANUTENÇÃO DE VEÍCULOS/MAQUINAS</t>
        </is>
      </c>
      <c r="J784" t="n">
        <v>1700</v>
      </c>
      <c r="K784" t="n">
        <v>-1700</v>
      </c>
    </row>
    <row r="785" hidden="1" s="154">
      <c r="A785" t="n">
        <v>2025</v>
      </c>
      <c r="B785" t="inlineStr">
        <is>
          <t>2025-10</t>
        </is>
      </c>
      <c r="C785" t="inlineStr">
        <is>
          <t>Maringá</t>
        </is>
      </c>
      <c r="D785" t="inlineStr">
        <is>
          <t>HYUNDAI</t>
        </is>
      </c>
      <c r="E785" t="inlineStr">
        <is>
          <t>EHH0039</t>
        </is>
      </c>
      <c r="F785" t="inlineStr">
        <is>
          <t>SELETIVA</t>
        </is>
      </c>
      <c r="G785" t="inlineStr">
        <is>
          <t>G&amp;S MARINGA</t>
        </is>
      </c>
      <c r="H785" t="inlineStr">
        <is>
          <t>7.1.2</t>
        </is>
      </c>
      <c r="I785" t="inlineStr">
        <is>
          <t>MANUTENÇÃO DE VEÍCULOS/MAQUINAS</t>
        </is>
      </c>
      <c r="J785" t="n">
        <v>970</v>
      </c>
      <c r="K785" t="n">
        <v>-970</v>
      </c>
    </row>
    <row r="786" hidden="1" s="154">
      <c r="A786" t="n">
        <v>2025</v>
      </c>
      <c r="B786" t="inlineStr">
        <is>
          <t>2025-10</t>
        </is>
      </c>
      <c r="C786" t="inlineStr">
        <is>
          <t>Maringá</t>
        </is>
      </c>
      <c r="D786" t="inlineStr">
        <is>
          <t>HYUNDAI</t>
        </is>
      </c>
      <c r="E786" t="inlineStr">
        <is>
          <t>EHH0039</t>
        </is>
      </c>
      <c r="F786" t="inlineStr">
        <is>
          <t>SELETIVA</t>
        </is>
      </c>
      <c r="G786" t="inlineStr">
        <is>
          <t>G3S MARINGA</t>
        </is>
      </c>
      <c r="H786" t="inlineStr">
        <is>
          <t>7.1.2</t>
        </is>
      </c>
      <c r="I786" t="inlineStr">
        <is>
          <t>MANUTENÇÃO DE VEÍCULOS/MAQUINAS</t>
        </is>
      </c>
      <c r="J786" t="n">
        <v>1440</v>
      </c>
      <c r="K786" t="n">
        <v>-1440</v>
      </c>
    </row>
    <row r="787" hidden="1" s="154">
      <c r="A787" t="n">
        <v>2025</v>
      </c>
      <c r="B787" t="inlineStr">
        <is>
          <t>2025-10</t>
        </is>
      </c>
      <c r="C787" t="inlineStr">
        <is>
          <t>Maringá</t>
        </is>
      </c>
      <c r="D787" t="inlineStr">
        <is>
          <t>HYUNDAI</t>
        </is>
      </c>
      <c r="E787" t="inlineStr">
        <is>
          <t>EHH0039</t>
        </is>
      </c>
      <c r="F787" t="inlineStr">
        <is>
          <t>SELETIVA</t>
        </is>
      </c>
      <c r="G787" t="inlineStr">
        <is>
          <t>G&amp;S MARINGA</t>
        </is>
      </c>
      <c r="H787" t="inlineStr">
        <is>
          <t>7.1.2</t>
        </is>
      </c>
      <c r="I787" t="inlineStr">
        <is>
          <t>MANUTENÇÃO DE VEÍCULOS/MAQUINAS</t>
        </is>
      </c>
      <c r="J787" t="n">
        <v>300</v>
      </c>
      <c r="K787" t="n">
        <v>-300</v>
      </c>
    </row>
    <row r="788" hidden="1" s="154">
      <c r="A788" t="n">
        <v>2025</v>
      </c>
      <c r="B788" t="inlineStr">
        <is>
          <t>2025-10</t>
        </is>
      </c>
      <c r="C788" t="inlineStr">
        <is>
          <t>Maringá</t>
        </is>
      </c>
      <c r="D788" t="inlineStr">
        <is>
          <t>HYUNDAI</t>
        </is>
      </c>
      <c r="E788" t="inlineStr">
        <is>
          <t>EHH0039</t>
        </is>
      </c>
      <c r="F788" t="inlineStr">
        <is>
          <t>SELETIVA</t>
        </is>
      </c>
      <c r="G788" t="inlineStr">
        <is>
          <t>CTA</t>
        </is>
      </c>
      <c r="H788" t="inlineStr">
        <is>
          <t>7.1.22</t>
        </is>
      </c>
      <c r="I788" t="inlineStr">
        <is>
          <t>COMBUSTÍVEL - DIESEL (INTERNO)</t>
        </is>
      </c>
      <c r="J788" t="n">
        <v>908.77</v>
      </c>
      <c r="K788" t="n">
        <v>-908.77</v>
      </c>
    </row>
    <row r="789" hidden="1" s="154">
      <c r="A789" t="n">
        <v>2025</v>
      </c>
      <c r="B789" t="inlineStr">
        <is>
          <t>2025-11</t>
        </is>
      </c>
      <c r="C789" t="inlineStr">
        <is>
          <t>Maringá</t>
        </is>
      </c>
      <c r="D789" t="inlineStr">
        <is>
          <t>HYUNDAI</t>
        </is>
      </c>
      <c r="E789" t="inlineStr">
        <is>
          <t>EHH0039</t>
        </is>
      </c>
      <c r="F789" t="inlineStr">
        <is>
          <t>SELETIVA</t>
        </is>
      </c>
      <c r="G789" t="inlineStr">
        <is>
          <t>G3S MARINGA</t>
        </is>
      </c>
      <c r="H789" t="inlineStr">
        <is>
          <t>7.1.2</t>
        </is>
      </c>
      <c r="I789" t="inlineStr">
        <is>
          <t>MANUTENÇÃO DE VEÍCULOS/MAQUINAS</t>
        </is>
      </c>
      <c r="J789" t="n">
        <v>68</v>
      </c>
      <c r="K789" t="n">
        <v>-68</v>
      </c>
    </row>
    <row r="790" hidden="1" s="154">
      <c r="A790" t="n">
        <v>2025</v>
      </c>
      <c r="B790" t="inlineStr">
        <is>
          <t>2025-11</t>
        </is>
      </c>
      <c r="C790" t="inlineStr">
        <is>
          <t>Maringá</t>
        </is>
      </c>
      <c r="D790" t="inlineStr">
        <is>
          <t>HYUNDAI</t>
        </is>
      </c>
      <c r="E790" t="inlineStr">
        <is>
          <t>EHH0039</t>
        </is>
      </c>
      <c r="F790" t="inlineStr">
        <is>
          <t>SELETIVA</t>
        </is>
      </c>
      <c r="G790" t="inlineStr">
        <is>
          <t>CTA</t>
        </is>
      </c>
      <c r="H790" t="inlineStr">
        <is>
          <t>7.1.22</t>
        </is>
      </c>
      <c r="I790" t="inlineStr">
        <is>
          <t>COMBUSTÍVEL - DIESEL (INTERNO)</t>
        </is>
      </c>
      <c r="J790" t="n">
        <v>4429.72</v>
      </c>
      <c r="K790" t="n">
        <v>-4429.72</v>
      </c>
    </row>
    <row r="791" hidden="1" s="154">
      <c r="A791" t="n">
        <v>2025</v>
      </c>
      <c r="B791" t="inlineStr">
        <is>
          <t>2025-12</t>
        </is>
      </c>
      <c r="C791" t="inlineStr">
        <is>
          <t>Maringá</t>
        </is>
      </c>
      <c r="D791" t="inlineStr">
        <is>
          <t>HYUNDAI</t>
        </is>
      </c>
      <c r="E791" t="inlineStr">
        <is>
          <t>EHH0039</t>
        </is>
      </c>
      <c r="F791" t="inlineStr">
        <is>
          <t>SELETIVA</t>
        </is>
      </c>
      <c r="G791" t="inlineStr">
        <is>
          <t>G&amp;S MARINGA</t>
        </is>
      </c>
      <c r="H791" t="inlineStr">
        <is>
          <t>7.1.2</t>
        </is>
      </c>
      <c r="I791" t="inlineStr">
        <is>
          <t>MANUTENÇÃO DE VEÍCULOS/MAQUINAS</t>
        </is>
      </c>
      <c r="J791" t="n">
        <v>860</v>
      </c>
      <c r="K791" t="n">
        <v>-860</v>
      </c>
    </row>
    <row r="792" hidden="1" s="154">
      <c r="A792" t="n">
        <v>2025</v>
      </c>
      <c r="B792" t="inlineStr">
        <is>
          <t>2025-12</t>
        </is>
      </c>
      <c r="C792" t="inlineStr">
        <is>
          <t>Maringá</t>
        </is>
      </c>
      <c r="D792" t="inlineStr">
        <is>
          <t>HYUNDAI</t>
        </is>
      </c>
      <c r="E792" t="inlineStr">
        <is>
          <t>EHH0039</t>
        </is>
      </c>
      <c r="F792" t="inlineStr">
        <is>
          <t>SELETIVA</t>
        </is>
      </c>
      <c r="G792" t="inlineStr">
        <is>
          <t>CTA</t>
        </is>
      </c>
      <c r="H792" t="inlineStr">
        <is>
          <t>7.1.22</t>
        </is>
      </c>
      <c r="I792" t="inlineStr">
        <is>
          <t>COMBUSTÍVEL - DIESEL (INTERNO)</t>
        </is>
      </c>
      <c r="J792" t="n">
        <v>1534.5</v>
      </c>
      <c r="K792" t="n">
        <v>-1534.5</v>
      </c>
    </row>
    <row r="793" hidden="1" s="154">
      <c r="A793" t="n">
        <v>2026</v>
      </c>
      <c r="B793" t="inlineStr">
        <is>
          <t>2026-01</t>
        </is>
      </c>
      <c r="C793" t="inlineStr">
        <is>
          <t>Maringá</t>
        </is>
      </c>
      <c r="D793" t="inlineStr">
        <is>
          <t>HYUNDAI</t>
        </is>
      </c>
      <c r="E793" t="inlineStr">
        <is>
          <t>EHH0039</t>
        </is>
      </c>
      <c r="F793" t="inlineStr">
        <is>
          <t>SELETIVA</t>
        </is>
      </c>
      <c r="G793" t="inlineStr">
        <is>
          <t>G&amp;S MARINGA</t>
        </is>
      </c>
      <c r="H793" t="inlineStr">
        <is>
          <t>7.1.18</t>
        </is>
      </c>
      <c r="I793" t="inlineStr">
        <is>
          <t>FRETES E CARRETOS</t>
        </is>
      </c>
      <c r="J793" t="n">
        <v>88.75</v>
      </c>
      <c r="K793" t="n">
        <v>-88.75</v>
      </c>
    </row>
    <row r="794" hidden="1" s="154">
      <c r="A794" t="n">
        <v>2026</v>
      </c>
      <c r="B794" t="inlineStr">
        <is>
          <t>2026-01</t>
        </is>
      </c>
      <c r="C794" t="inlineStr">
        <is>
          <t>Maringá</t>
        </is>
      </c>
      <c r="D794" t="inlineStr">
        <is>
          <t>HYUNDAI</t>
        </is>
      </c>
      <c r="E794" t="inlineStr">
        <is>
          <t>EHH0039</t>
        </is>
      </c>
      <c r="F794" t="inlineStr">
        <is>
          <t>SELETIVA</t>
        </is>
      </c>
      <c r="G794" t="inlineStr">
        <is>
          <t>G&amp;S PRUDENTE</t>
        </is>
      </c>
      <c r="H794" t="inlineStr">
        <is>
          <t>7.1.2</t>
        </is>
      </c>
      <c r="I794" t="inlineStr">
        <is>
          <t>MANUTENÇÃO DE VEÍCULOS/MAQUINAS</t>
        </is>
      </c>
      <c r="J794" t="n">
        <v>527</v>
      </c>
      <c r="K794" t="n">
        <v>-527</v>
      </c>
    </row>
    <row r="795" hidden="1" s="154">
      <c r="A795" t="n">
        <v>2026</v>
      </c>
      <c r="B795" t="inlineStr">
        <is>
          <t>2026-01</t>
        </is>
      </c>
      <c r="C795" t="inlineStr">
        <is>
          <t>Maringá</t>
        </is>
      </c>
      <c r="D795" t="inlineStr">
        <is>
          <t>HYUNDAI</t>
        </is>
      </c>
      <c r="E795" t="inlineStr">
        <is>
          <t>EHH0039</t>
        </is>
      </c>
      <c r="F795" t="inlineStr">
        <is>
          <t>SELETIVA</t>
        </is>
      </c>
      <c r="G795" t="inlineStr">
        <is>
          <t>G&amp;S MARINGA</t>
        </is>
      </c>
      <c r="H795" t="inlineStr">
        <is>
          <t>7.1.2</t>
        </is>
      </c>
      <c r="I795" t="inlineStr">
        <is>
          <t>MANUTENÇÃO DE VEÍCULOS/MAQUINAS</t>
        </is>
      </c>
      <c r="J795" t="n">
        <v>1700</v>
      </c>
      <c r="K795" t="n">
        <v>-1700</v>
      </c>
    </row>
    <row r="796" hidden="1" s="154">
      <c r="A796" t="n">
        <v>2026</v>
      </c>
      <c r="B796" t="inlineStr">
        <is>
          <t>2026-02</t>
        </is>
      </c>
      <c r="C796" t="inlineStr">
        <is>
          <t>Maringá</t>
        </is>
      </c>
      <c r="D796" t="inlineStr">
        <is>
          <t>HYUNDAI</t>
        </is>
      </c>
      <c r="E796" t="inlineStr">
        <is>
          <t>EHH0039</t>
        </is>
      </c>
      <c r="F796" t="inlineStr">
        <is>
          <t>SELETIVA</t>
        </is>
      </c>
      <c r="G796" t="inlineStr">
        <is>
          <t>G&amp;S MARINGA</t>
        </is>
      </c>
      <c r="H796" t="inlineStr">
        <is>
          <t>7.1.2</t>
        </is>
      </c>
      <c r="I796" t="inlineStr">
        <is>
          <t>MANUTENÇÃO DE VEÍCULOS/MAQUINAS</t>
        </is>
      </c>
      <c r="J796" t="n">
        <v>225</v>
      </c>
      <c r="K796" t="n">
        <v>-225</v>
      </c>
    </row>
    <row r="797" hidden="1" s="154">
      <c r="A797" t="n">
        <v>2026</v>
      </c>
      <c r="B797" t="inlineStr">
        <is>
          <t>2026-02</t>
        </is>
      </c>
      <c r="C797" t="inlineStr">
        <is>
          <t>Maringá</t>
        </is>
      </c>
      <c r="D797" t="inlineStr">
        <is>
          <t>HYUNDAI</t>
        </is>
      </c>
      <c r="E797" t="inlineStr">
        <is>
          <t>EHH0039</t>
        </is>
      </c>
      <c r="F797" t="inlineStr">
        <is>
          <t>SELETIVA</t>
        </is>
      </c>
      <c r="G797" t="inlineStr">
        <is>
          <t>G3S MARINGA</t>
        </is>
      </c>
      <c r="H797" t="inlineStr">
        <is>
          <t>7.1.2</t>
        </is>
      </c>
      <c r="I797" t="inlineStr">
        <is>
          <t>MANUTENÇÃO DE VEÍCULOS/MAQUINAS</t>
        </is>
      </c>
      <c r="J797" t="n">
        <v>179.25</v>
      </c>
      <c r="K797" t="n">
        <v>-179.25</v>
      </c>
    </row>
    <row r="798" hidden="1" s="154">
      <c r="A798" t="n">
        <v>2026</v>
      </c>
      <c r="B798" t="inlineStr">
        <is>
          <t>2026-02</t>
        </is>
      </c>
      <c r="C798" t="inlineStr">
        <is>
          <t>Maringá</t>
        </is>
      </c>
      <c r="D798" t="inlineStr">
        <is>
          <t>HYUNDAI</t>
        </is>
      </c>
      <c r="E798" t="inlineStr">
        <is>
          <t>EHH0039</t>
        </is>
      </c>
      <c r="F798" t="inlineStr">
        <is>
          <t>SELETIVA</t>
        </is>
      </c>
      <c r="G798" t="inlineStr">
        <is>
          <t>G3S MARINGA</t>
        </is>
      </c>
      <c r="H798" t="inlineStr">
        <is>
          <t>7.1.2</t>
        </is>
      </c>
      <c r="I798" t="inlineStr">
        <is>
          <t>MANUTENÇÃO DE VEÍCULOS/MAQUINAS</t>
        </is>
      </c>
      <c r="J798" t="n">
        <v>305</v>
      </c>
      <c r="K798" t="n">
        <v>-305</v>
      </c>
    </row>
    <row r="799" hidden="1" s="154">
      <c r="A799" t="n">
        <v>2026</v>
      </c>
      <c r="B799" t="inlineStr">
        <is>
          <t>2026-02</t>
        </is>
      </c>
      <c r="C799" t="inlineStr">
        <is>
          <t>Maringá</t>
        </is>
      </c>
      <c r="D799" t="inlineStr">
        <is>
          <t>HYUNDAI</t>
        </is>
      </c>
      <c r="E799" t="inlineStr">
        <is>
          <t>EHH0039</t>
        </is>
      </c>
      <c r="F799" t="inlineStr">
        <is>
          <t>SELETIVA</t>
        </is>
      </c>
      <c r="G799" t="inlineStr">
        <is>
          <t>G&amp;S MARINGA</t>
        </is>
      </c>
      <c r="H799" t="inlineStr">
        <is>
          <t>7.1.2</t>
        </is>
      </c>
      <c r="I799" t="inlineStr">
        <is>
          <t>MANUTENÇÃO DE VEÍCULOS/MAQUINAS</t>
        </is>
      </c>
      <c r="J799" t="n">
        <v>400</v>
      </c>
      <c r="K799" t="n">
        <v>-400</v>
      </c>
    </row>
    <row r="800" hidden="1" s="154">
      <c r="A800" t="n">
        <v>2026</v>
      </c>
      <c r="B800" t="inlineStr">
        <is>
          <t>2026-03</t>
        </is>
      </c>
      <c r="C800" t="inlineStr">
        <is>
          <t>Maringá</t>
        </is>
      </c>
      <c r="D800" t="inlineStr">
        <is>
          <t>HYUNDAI</t>
        </is>
      </c>
      <c r="E800" t="inlineStr">
        <is>
          <t>EHH0039</t>
        </is>
      </c>
      <c r="F800" t="inlineStr">
        <is>
          <t>SELETIVA</t>
        </is>
      </c>
      <c r="G800" t="inlineStr">
        <is>
          <t>G&amp;S MARINGA</t>
        </is>
      </c>
      <c r="H800" t="inlineStr">
        <is>
          <t>7.1.2</t>
        </is>
      </c>
      <c r="I800" t="inlineStr">
        <is>
          <t>MANUTENÇÃO DE VEÍCULOS/MAQUINAS</t>
        </is>
      </c>
      <c r="J800" t="n">
        <v>533.33</v>
      </c>
      <c r="K800" t="n">
        <v>-533.33</v>
      </c>
    </row>
    <row r="801" hidden="1" s="154">
      <c r="A801" t="n">
        <v>2026</v>
      </c>
      <c r="B801" t="inlineStr">
        <is>
          <t>2026-03</t>
        </is>
      </c>
      <c r="C801" t="inlineStr">
        <is>
          <t>Maringá</t>
        </is>
      </c>
      <c r="D801" t="inlineStr">
        <is>
          <t>HYUNDAI</t>
        </is>
      </c>
      <c r="E801" t="inlineStr">
        <is>
          <t>EHH0039</t>
        </is>
      </c>
      <c r="F801" t="inlineStr">
        <is>
          <t>SELETIVA</t>
        </is>
      </c>
      <c r="G801" t="inlineStr">
        <is>
          <t>G&amp;S MARINGA</t>
        </is>
      </c>
      <c r="H801" t="inlineStr">
        <is>
          <t>7.1.2</t>
        </is>
      </c>
      <c r="I801" t="inlineStr">
        <is>
          <t>MANUTENÇÃO DE VEÍCULOS/MAQUINAS</t>
        </is>
      </c>
      <c r="J801" t="n">
        <v>533.33</v>
      </c>
      <c r="K801" t="n">
        <v>-533.33</v>
      </c>
    </row>
    <row r="802" hidden="1" s="154">
      <c r="A802" t="n">
        <v>2026</v>
      </c>
      <c r="B802" t="inlineStr">
        <is>
          <t>2026-03</t>
        </is>
      </c>
      <c r="C802" t="inlineStr">
        <is>
          <t>Maringá</t>
        </is>
      </c>
      <c r="D802" t="inlineStr">
        <is>
          <t>HYUNDAI</t>
        </is>
      </c>
      <c r="E802" t="inlineStr">
        <is>
          <t>EHH0039</t>
        </is>
      </c>
      <c r="F802" t="inlineStr">
        <is>
          <t>SELETIVA</t>
        </is>
      </c>
      <c r="G802" t="inlineStr">
        <is>
          <t>G3S MARINGA</t>
        </is>
      </c>
      <c r="H802" t="inlineStr">
        <is>
          <t>7.1.2</t>
        </is>
      </c>
      <c r="I802" t="inlineStr">
        <is>
          <t>MANUTENÇÃO DE VEÍCULOS/MAQUINAS</t>
        </is>
      </c>
      <c r="J802" t="n">
        <v>130</v>
      </c>
      <c r="K802" t="n">
        <v>-130</v>
      </c>
    </row>
    <row r="803" hidden="1" s="154">
      <c r="A803" t="n">
        <v>2025</v>
      </c>
      <c r="B803" t="inlineStr">
        <is>
          <t>2025-01</t>
        </is>
      </c>
      <c r="C803" t="inlineStr">
        <is>
          <t>Maringá</t>
        </is>
      </c>
      <c r="D803" t="inlineStr">
        <is>
          <t>LIEBHERR</t>
        </is>
      </c>
      <c r="E803" t="inlineStr">
        <is>
          <t>EHL0043</t>
        </is>
      </c>
      <c r="F803" t="inlineStr">
        <is>
          <t>EKIPA LOCACOES E SERV G&amp;S</t>
        </is>
      </c>
      <c r="G803" t="inlineStr">
        <is>
          <t>G&amp;G MATRIZ</t>
        </is>
      </c>
      <c r="H803" t="inlineStr">
        <is>
          <t>7.1.22</t>
        </is>
      </c>
      <c r="I803" t="inlineStr">
        <is>
          <t>COMBUSTÍVEL - DIESEL (INTERNO)</t>
        </is>
      </c>
      <c r="J803" t="n">
        <v>1379.17</v>
      </c>
      <c r="K803" t="n">
        <v>1379.17</v>
      </c>
    </row>
    <row r="804" hidden="1" s="154">
      <c r="A804" t="n">
        <v>2025</v>
      </c>
      <c r="B804" t="inlineStr">
        <is>
          <t>2025-01</t>
        </is>
      </c>
      <c r="C804" t="inlineStr">
        <is>
          <t>Maringá</t>
        </is>
      </c>
      <c r="D804" t="inlineStr">
        <is>
          <t>LIEBHERR</t>
        </is>
      </c>
      <c r="E804" t="inlineStr">
        <is>
          <t>EHL0043</t>
        </is>
      </c>
      <c r="F804" t="inlineStr">
        <is>
          <t>EKIPA LOCACOES E SERV G&amp;S</t>
        </is>
      </c>
      <c r="G804" t="inlineStr">
        <is>
          <t>G&amp;G MATRIZ</t>
        </is>
      </c>
      <c r="H804" t="inlineStr">
        <is>
          <t>7.1.22</t>
        </is>
      </c>
      <c r="I804" t="inlineStr">
        <is>
          <t>COMBUSTÍVEL - DIESEL (INTERNO)</t>
        </is>
      </c>
      <c r="J804" t="n">
        <v>1390.28</v>
      </c>
      <c r="K804" t="n">
        <v>1390.28</v>
      </c>
    </row>
    <row r="805" hidden="1" s="154">
      <c r="A805" t="n">
        <v>2025</v>
      </c>
      <c r="B805" t="inlineStr">
        <is>
          <t>2025-01</t>
        </is>
      </c>
      <c r="C805" t="inlineStr">
        <is>
          <t>Maringá</t>
        </is>
      </c>
      <c r="D805" t="inlineStr">
        <is>
          <t>LIEBHERR</t>
        </is>
      </c>
      <c r="E805" t="inlineStr">
        <is>
          <t>EHL0043</t>
        </is>
      </c>
      <c r="F805" t="inlineStr">
        <is>
          <t>EKIPA LOCACOES E SERV G&amp;S</t>
        </is>
      </c>
      <c r="G805" t="inlineStr">
        <is>
          <t>G&amp;G MARINGA</t>
        </is>
      </c>
      <c r="H805" t="inlineStr">
        <is>
          <t>7.1.4</t>
        </is>
      </c>
      <c r="I805" t="inlineStr">
        <is>
          <t>COMBUSTÍVEL - DIESEL (POSTO)</t>
        </is>
      </c>
      <c r="J805" t="n">
        <v>1550</v>
      </c>
      <c r="K805" t="n">
        <v>1550</v>
      </c>
    </row>
    <row r="806" hidden="1" s="154">
      <c r="A806" t="n">
        <v>2025</v>
      </c>
      <c r="B806" t="inlineStr">
        <is>
          <t>2025-01</t>
        </is>
      </c>
      <c r="C806" t="inlineStr">
        <is>
          <t>Maringá</t>
        </is>
      </c>
      <c r="D806" t="inlineStr">
        <is>
          <t>LIEBHERR</t>
        </is>
      </c>
      <c r="E806" t="inlineStr">
        <is>
          <t>EHL0043</t>
        </is>
      </c>
      <c r="F806" t="inlineStr">
        <is>
          <t>EKIPA LOCACOES E SERV G&amp;S</t>
        </is>
      </c>
      <c r="G806" t="inlineStr">
        <is>
          <t>G&amp;G MARINGA</t>
        </is>
      </c>
      <c r="H806" t="inlineStr">
        <is>
          <t>7.1.4</t>
        </is>
      </c>
      <c r="I806" t="inlineStr">
        <is>
          <t>COMBUSTÍVEL - DIESEL (POSTO)</t>
        </is>
      </c>
      <c r="J806" t="n">
        <v>806.5599999999999</v>
      </c>
      <c r="K806" t="n">
        <v>806.5599999999999</v>
      </c>
    </row>
    <row r="807" hidden="1" s="154">
      <c r="A807" t="n">
        <v>2025</v>
      </c>
      <c r="B807" t="inlineStr">
        <is>
          <t>2025-01</t>
        </is>
      </c>
      <c r="C807" t="inlineStr">
        <is>
          <t>Maringá</t>
        </is>
      </c>
      <c r="D807" t="inlineStr">
        <is>
          <t>LIEBHERR</t>
        </is>
      </c>
      <c r="E807" t="inlineStr">
        <is>
          <t>EHL0043</t>
        </is>
      </c>
      <c r="F807" t="inlineStr">
        <is>
          <t>EKIPA LOCACOES E SERV G&amp;S</t>
        </is>
      </c>
      <c r="G807" t="inlineStr">
        <is>
          <t>G&amp;G MATRIZ</t>
        </is>
      </c>
      <c r="H807" t="inlineStr">
        <is>
          <t>7.1.4</t>
        </is>
      </c>
      <c r="I807" t="inlineStr">
        <is>
          <t>COMBUSTÍVEL - DIESEL (POSTO)</t>
        </is>
      </c>
      <c r="J807" t="n">
        <v>929.9</v>
      </c>
      <c r="K807" t="n">
        <v>929.9</v>
      </c>
    </row>
    <row r="808" hidden="1" s="154">
      <c r="A808" t="n">
        <v>2025</v>
      </c>
      <c r="B808" t="inlineStr">
        <is>
          <t>2025-02</t>
        </is>
      </c>
      <c r="C808" t="inlineStr">
        <is>
          <t>Maringá</t>
        </is>
      </c>
      <c r="D808" t="inlineStr">
        <is>
          <t>LIEBHERR</t>
        </is>
      </c>
      <c r="E808" t="inlineStr">
        <is>
          <t>EHL0043</t>
        </is>
      </c>
      <c r="F808" t="inlineStr">
        <is>
          <t>EKIPA LOCACOES E SERV G&amp;S</t>
        </is>
      </c>
      <c r="G808" t="inlineStr">
        <is>
          <t>G&amp;G MATRIZ</t>
        </is>
      </c>
      <c r="H808" t="inlineStr">
        <is>
          <t>7.1.4</t>
        </is>
      </c>
      <c r="I808" t="inlineStr">
        <is>
          <t>COMBUSTÍVEL - DIESEL (POSTO)</t>
        </is>
      </c>
      <c r="J808" t="n">
        <v>680</v>
      </c>
      <c r="K808" t="n">
        <v>680</v>
      </c>
    </row>
    <row r="809" hidden="1" s="154">
      <c r="A809" t="n">
        <v>2025</v>
      </c>
      <c r="B809" t="inlineStr">
        <is>
          <t>2025-02</t>
        </is>
      </c>
      <c r="C809" t="inlineStr">
        <is>
          <t>Maringá</t>
        </is>
      </c>
      <c r="D809" t="inlineStr">
        <is>
          <t>LIEBHERR</t>
        </is>
      </c>
      <c r="E809" t="inlineStr">
        <is>
          <t>EHL0043</t>
        </is>
      </c>
      <c r="F809" t="inlineStr">
        <is>
          <t>EKIPA LOCACOES E SERV G&amp;S</t>
        </is>
      </c>
      <c r="G809" t="inlineStr">
        <is>
          <t>G&amp;G MATRIZ</t>
        </is>
      </c>
      <c r="H809" t="inlineStr">
        <is>
          <t>7.1.4</t>
        </is>
      </c>
      <c r="I809" t="inlineStr">
        <is>
          <t>COMBUSTÍVEL - DIESEL (POSTO)</t>
        </is>
      </c>
      <c r="J809" t="n">
        <v>4080</v>
      </c>
      <c r="K809" t="n">
        <v>4080</v>
      </c>
    </row>
    <row r="810" hidden="1" s="154">
      <c r="A810" t="n">
        <v>2025</v>
      </c>
      <c r="B810" t="inlineStr">
        <is>
          <t>2025-02</t>
        </is>
      </c>
      <c r="C810" t="inlineStr">
        <is>
          <t>Maringá</t>
        </is>
      </c>
      <c r="D810" t="inlineStr">
        <is>
          <t>LIEBHERR</t>
        </is>
      </c>
      <c r="E810" t="inlineStr">
        <is>
          <t>EHL0043</t>
        </is>
      </c>
      <c r="F810" t="inlineStr">
        <is>
          <t>EKIPA LOCACOES E SERV G&amp;S</t>
        </is>
      </c>
      <c r="G810" t="inlineStr">
        <is>
          <t>G&amp;G MATRIZ</t>
        </is>
      </c>
      <c r="H810" t="inlineStr">
        <is>
          <t>7.1.4</t>
        </is>
      </c>
      <c r="I810" t="inlineStr">
        <is>
          <t>COMBUSTÍVEL - DIESEL (POSTO)</t>
        </is>
      </c>
      <c r="J810" t="n">
        <v>4080</v>
      </c>
      <c r="K810" t="n">
        <v>4080</v>
      </c>
    </row>
    <row r="811" hidden="1" s="154">
      <c r="A811" t="n">
        <v>2025</v>
      </c>
      <c r="B811" t="inlineStr">
        <is>
          <t>2025-02</t>
        </is>
      </c>
      <c r="C811" t="inlineStr">
        <is>
          <t>Maringá</t>
        </is>
      </c>
      <c r="D811" t="inlineStr">
        <is>
          <t>LIEBHERR</t>
        </is>
      </c>
      <c r="E811" t="inlineStr">
        <is>
          <t>EHL0043</t>
        </is>
      </c>
      <c r="F811" t="inlineStr">
        <is>
          <t>EKIPA LOCACOES E SERV G&amp;S</t>
        </is>
      </c>
      <c r="G811" t="inlineStr">
        <is>
          <t>G&amp;G MATRIZ</t>
        </is>
      </c>
      <c r="H811" t="inlineStr">
        <is>
          <t>7.1.18</t>
        </is>
      </c>
      <c r="I811" t="inlineStr">
        <is>
          <t>FRETES E CARRETOS</t>
        </is>
      </c>
      <c r="J811" t="n">
        <v>237.5</v>
      </c>
      <c r="K811" t="n">
        <v>237.5</v>
      </c>
    </row>
    <row r="812" hidden="1" s="154">
      <c r="A812" t="n">
        <v>2025</v>
      </c>
      <c r="B812" t="inlineStr">
        <is>
          <t>2025-02</t>
        </is>
      </c>
      <c r="C812" t="inlineStr">
        <is>
          <t>Maringá</t>
        </is>
      </c>
      <c r="D812" t="inlineStr">
        <is>
          <t>LIEBHERR</t>
        </is>
      </c>
      <c r="E812" t="inlineStr">
        <is>
          <t>EHL0043</t>
        </is>
      </c>
      <c r="F812" t="inlineStr">
        <is>
          <t>EKIPA LOCACOES E SERV G&amp;S</t>
        </is>
      </c>
      <c r="G812" t="inlineStr">
        <is>
          <t>G&amp;G MATRIZ</t>
        </is>
      </c>
      <c r="H812" t="inlineStr">
        <is>
          <t>7.1.18</t>
        </is>
      </c>
      <c r="I812" t="inlineStr">
        <is>
          <t>FRETES E CARRETOS</t>
        </is>
      </c>
      <c r="J812" t="n">
        <v>45.02</v>
      </c>
      <c r="K812" t="n">
        <v>45.02</v>
      </c>
    </row>
    <row r="813" hidden="1" s="154">
      <c r="A813" t="n">
        <v>2025</v>
      </c>
      <c r="B813" t="inlineStr">
        <is>
          <t>2025-02</t>
        </is>
      </c>
      <c r="C813" t="inlineStr">
        <is>
          <t>Maringá</t>
        </is>
      </c>
      <c r="D813" t="inlineStr">
        <is>
          <t>LIEBHERR</t>
        </is>
      </c>
      <c r="E813" t="inlineStr">
        <is>
          <t>EHL0043</t>
        </is>
      </c>
      <c r="F813" t="inlineStr">
        <is>
          <t>EKIPA LOCACOES E SERV G&amp;S</t>
        </is>
      </c>
      <c r="G813" t="inlineStr">
        <is>
          <t>G&amp;G MATRIZ</t>
        </is>
      </c>
      <c r="H813" t="inlineStr">
        <is>
          <t>7.1.18</t>
        </is>
      </c>
      <c r="I813" t="inlineStr">
        <is>
          <t>FRETES E CARRETOS</t>
        </is>
      </c>
      <c r="J813" t="n">
        <v>245.67</v>
      </c>
      <c r="K813" t="n">
        <v>245.67</v>
      </c>
    </row>
    <row r="814" hidden="1" s="154">
      <c r="A814" t="n">
        <v>2025</v>
      </c>
      <c r="B814" t="inlineStr">
        <is>
          <t>2025-02</t>
        </is>
      </c>
      <c r="C814" t="inlineStr">
        <is>
          <t>Maringá</t>
        </is>
      </c>
      <c r="D814" t="inlineStr">
        <is>
          <t>LIEBHERR</t>
        </is>
      </c>
      <c r="E814" t="inlineStr">
        <is>
          <t>EHL0043</t>
        </is>
      </c>
      <c r="F814" t="inlineStr">
        <is>
          <t>EKIPA LOCACOES E SERV G&amp;S</t>
        </is>
      </c>
      <c r="G814" t="inlineStr">
        <is>
          <t>G&amp;G MATRIZ</t>
        </is>
      </c>
      <c r="H814" t="inlineStr">
        <is>
          <t>7.1.18</t>
        </is>
      </c>
      <c r="I814" t="inlineStr">
        <is>
          <t>FRETES E CARRETOS</t>
        </is>
      </c>
      <c r="J814" t="n">
        <v>277</v>
      </c>
      <c r="K814" t="n">
        <v>277</v>
      </c>
    </row>
    <row r="815" hidden="1" s="154">
      <c r="A815" t="n">
        <v>2025</v>
      </c>
      <c r="B815" t="inlineStr">
        <is>
          <t>2025-03</t>
        </is>
      </c>
      <c r="C815" t="inlineStr">
        <is>
          <t>Maringá</t>
        </is>
      </c>
      <c r="D815" t="inlineStr">
        <is>
          <t>LIEBHERR</t>
        </is>
      </c>
      <c r="E815" t="inlineStr">
        <is>
          <t>EHL0043</t>
        </is>
      </c>
      <c r="F815" t="inlineStr">
        <is>
          <t>EKIPA LOCACOES E SERV G&amp;S</t>
        </is>
      </c>
      <c r="G815" t="inlineStr">
        <is>
          <t>G&amp;G MATRIZ</t>
        </is>
      </c>
      <c r="H815" t="inlineStr">
        <is>
          <t>7.1.18</t>
        </is>
      </c>
      <c r="I815" t="inlineStr">
        <is>
          <t>FRETES E CARRETOS</t>
        </is>
      </c>
      <c r="J815" t="n">
        <v>245.67</v>
      </c>
      <c r="K815" t="n">
        <v>245.67</v>
      </c>
    </row>
    <row r="816" hidden="1" s="154">
      <c r="A816" t="n">
        <v>2025</v>
      </c>
      <c r="B816" t="inlineStr">
        <is>
          <t>2025-04</t>
        </is>
      </c>
      <c r="C816" t="inlineStr">
        <is>
          <t>Maringá</t>
        </is>
      </c>
      <c r="D816" t="inlineStr">
        <is>
          <t>LIEBHERR</t>
        </is>
      </c>
      <c r="E816" t="inlineStr">
        <is>
          <t>EHL0043</t>
        </is>
      </c>
      <c r="F816" t="inlineStr">
        <is>
          <t>EKIPA LOCACOES E SERV G&amp;S</t>
        </is>
      </c>
      <c r="G816" t="inlineStr">
        <is>
          <t>G&amp;G MARINGA</t>
        </is>
      </c>
      <c r="H816" t="inlineStr">
        <is>
          <t>7.1.1</t>
        </is>
      </c>
      <c r="I816" t="inlineStr">
        <is>
          <t>PEÇAS DE MANUTENÇÃO</t>
        </is>
      </c>
      <c r="J816" t="n">
        <v>115</v>
      </c>
      <c r="K816" t="n">
        <v>115</v>
      </c>
    </row>
    <row r="817" hidden="1" s="154">
      <c r="A817" t="n">
        <v>2025</v>
      </c>
      <c r="B817" t="inlineStr">
        <is>
          <t>2025-04</t>
        </is>
      </c>
      <c r="C817" t="inlineStr">
        <is>
          <t>Maringá</t>
        </is>
      </c>
      <c r="D817" t="inlineStr">
        <is>
          <t>LIEBHERR</t>
        </is>
      </c>
      <c r="E817" t="inlineStr">
        <is>
          <t>EHL0043</t>
        </is>
      </c>
      <c r="F817" t="inlineStr">
        <is>
          <t>EKIPA LOCACOES E SERV G&amp;S</t>
        </is>
      </c>
      <c r="G817" t="inlineStr">
        <is>
          <t>G&amp;G MARINGA</t>
        </is>
      </c>
      <c r="H817" t="inlineStr">
        <is>
          <t>7.1.1</t>
        </is>
      </c>
      <c r="I817" t="inlineStr">
        <is>
          <t>PEÇAS DE MANUTENÇÃO</t>
        </is>
      </c>
      <c r="J817" t="n">
        <v>55</v>
      </c>
      <c r="K817" t="n">
        <v>55</v>
      </c>
    </row>
    <row r="818" hidden="1" s="154">
      <c r="A818" t="n">
        <v>2025</v>
      </c>
      <c r="B818" t="inlineStr">
        <is>
          <t>2025-04</t>
        </is>
      </c>
      <c r="C818" t="inlineStr">
        <is>
          <t>Maringá</t>
        </is>
      </c>
      <c r="D818" t="inlineStr">
        <is>
          <t>LIEBHERR</t>
        </is>
      </c>
      <c r="E818" t="inlineStr">
        <is>
          <t>EHL0043</t>
        </is>
      </c>
      <c r="F818" t="inlineStr">
        <is>
          <t>EKIPA LOCACOES E SERV G&amp;S</t>
        </is>
      </c>
      <c r="G818" t="inlineStr">
        <is>
          <t>G&amp;G MARINGA</t>
        </is>
      </c>
      <c r="H818" t="inlineStr">
        <is>
          <t>7.1.1</t>
        </is>
      </c>
      <c r="I818" t="inlineStr">
        <is>
          <t>PEÇAS DE MANUTENÇÃO</t>
        </is>
      </c>
      <c r="J818" t="n">
        <v>1886.34</v>
      </c>
      <c r="K818" t="n">
        <v>1886.34</v>
      </c>
    </row>
    <row r="819" hidden="1" s="154">
      <c r="A819" t="n">
        <v>2025</v>
      </c>
      <c r="B819" t="inlineStr">
        <is>
          <t>2025-04</t>
        </is>
      </c>
      <c r="C819" t="inlineStr">
        <is>
          <t>Maringá</t>
        </is>
      </c>
      <c r="D819" t="inlineStr">
        <is>
          <t>LIEBHERR</t>
        </is>
      </c>
      <c r="E819" t="inlineStr">
        <is>
          <t>EHL0043</t>
        </is>
      </c>
      <c r="F819" t="inlineStr">
        <is>
          <t>EKIPA LOCACOES E SERV G&amp;S</t>
        </is>
      </c>
      <c r="G819" t="inlineStr">
        <is>
          <t>G&amp;G MATRIZ</t>
        </is>
      </c>
      <c r="H819" t="inlineStr">
        <is>
          <t>7.1.1</t>
        </is>
      </c>
      <c r="I819" t="inlineStr">
        <is>
          <t>PEÇAS DE MANUTENÇÃO</t>
        </is>
      </c>
      <c r="J819" t="n">
        <v>350.2</v>
      </c>
      <c r="K819" t="n">
        <v>350.2</v>
      </c>
    </row>
    <row r="820" hidden="1" s="154">
      <c r="A820" t="n">
        <v>2025</v>
      </c>
      <c r="B820" t="inlineStr">
        <is>
          <t>2025-04</t>
        </is>
      </c>
      <c r="C820" t="inlineStr">
        <is>
          <t>Maringá</t>
        </is>
      </c>
      <c r="D820" t="inlineStr">
        <is>
          <t>LIEBHERR</t>
        </is>
      </c>
      <c r="E820" t="inlineStr">
        <is>
          <t>EHL0043</t>
        </is>
      </c>
      <c r="F820" t="inlineStr">
        <is>
          <t>EKIPA LOCACOES E SERV G&amp;S</t>
        </is>
      </c>
      <c r="G820" t="inlineStr">
        <is>
          <t>G&amp;G MATRIZ</t>
        </is>
      </c>
      <c r="H820" t="inlineStr">
        <is>
          <t>7.1.1</t>
        </is>
      </c>
      <c r="I820" t="inlineStr">
        <is>
          <t>PEÇAS DE MANUTENÇÃO</t>
        </is>
      </c>
      <c r="J820" t="n">
        <v>407.84</v>
      </c>
      <c r="K820" t="n">
        <v>407.84</v>
      </c>
    </row>
    <row r="821" hidden="1" s="154">
      <c r="A821" t="n">
        <v>2025</v>
      </c>
      <c r="B821" t="inlineStr">
        <is>
          <t>2025-04</t>
        </is>
      </c>
      <c r="C821" t="inlineStr">
        <is>
          <t>Maringá</t>
        </is>
      </c>
      <c r="D821" t="inlineStr">
        <is>
          <t>LIEBHERR</t>
        </is>
      </c>
      <c r="E821" t="inlineStr">
        <is>
          <t>EHL0043</t>
        </is>
      </c>
      <c r="F821" t="inlineStr">
        <is>
          <t>EKIPA LOCACOES E SERV G&amp;S</t>
        </is>
      </c>
      <c r="G821" t="inlineStr">
        <is>
          <t>G&amp;G MARINGA</t>
        </is>
      </c>
      <c r="H821" t="inlineStr">
        <is>
          <t>7.1.2</t>
        </is>
      </c>
      <c r="I821" t="inlineStr">
        <is>
          <t>MANUTENÇÃO DE VEÍCULOS/MAQUINAS</t>
        </is>
      </c>
      <c r="J821" t="n">
        <v>300</v>
      </c>
      <c r="K821" t="n">
        <v>300</v>
      </c>
    </row>
    <row r="822" hidden="1" s="154">
      <c r="A822" t="n">
        <v>2025</v>
      </c>
      <c r="B822" t="inlineStr">
        <is>
          <t>2025-04</t>
        </is>
      </c>
      <c r="C822" t="inlineStr">
        <is>
          <t>Maringá</t>
        </is>
      </c>
      <c r="D822" t="inlineStr">
        <is>
          <t>LIEBHERR</t>
        </is>
      </c>
      <c r="E822" t="inlineStr">
        <is>
          <t>EHL0043</t>
        </is>
      </c>
      <c r="F822" t="inlineStr">
        <is>
          <t>EKIPA LOCACOES E SERV G&amp;S</t>
        </is>
      </c>
      <c r="G822" t="inlineStr">
        <is>
          <t>G&amp;G MARINGA</t>
        </is>
      </c>
      <c r="H822" t="inlineStr">
        <is>
          <t>7.1.1</t>
        </is>
      </c>
      <c r="I822" t="inlineStr">
        <is>
          <t>PEÇAS DE MANUTENÇÃO</t>
        </is>
      </c>
      <c r="J822" t="n">
        <v>80</v>
      </c>
      <c r="K822" t="n">
        <v>80</v>
      </c>
    </row>
    <row r="823" hidden="1" s="154">
      <c r="A823" t="n">
        <v>2025</v>
      </c>
      <c r="B823" t="inlineStr">
        <is>
          <t>2025-04</t>
        </is>
      </c>
      <c r="C823" t="inlineStr">
        <is>
          <t>Maringá</t>
        </is>
      </c>
      <c r="D823" t="inlineStr">
        <is>
          <t>LIEBHERR</t>
        </is>
      </c>
      <c r="E823" t="inlineStr">
        <is>
          <t>EHL0043</t>
        </is>
      </c>
      <c r="F823" t="inlineStr">
        <is>
          <t>EKIPA LOCACOES E SERV G&amp;S</t>
        </is>
      </c>
      <c r="G823" t="inlineStr">
        <is>
          <t>G&amp;G MARINGA</t>
        </is>
      </c>
      <c r="H823" t="inlineStr">
        <is>
          <t>7.1.1</t>
        </is>
      </c>
      <c r="I823" t="inlineStr">
        <is>
          <t>PEÇAS DE MANUTENÇÃO</t>
        </is>
      </c>
      <c r="J823" t="n">
        <v>1609.75</v>
      </c>
      <c r="K823" t="n">
        <v>1609.75</v>
      </c>
    </row>
    <row r="824" hidden="1" s="154">
      <c r="A824" t="n">
        <v>2025</v>
      </c>
      <c r="B824" t="inlineStr">
        <is>
          <t>2025-04</t>
        </is>
      </c>
      <c r="C824" t="inlineStr">
        <is>
          <t>Maringá</t>
        </is>
      </c>
      <c r="D824" t="inlineStr">
        <is>
          <t>LIEBHERR</t>
        </is>
      </c>
      <c r="E824" t="inlineStr">
        <is>
          <t>EHL0043</t>
        </is>
      </c>
      <c r="F824" t="inlineStr">
        <is>
          <t>EKIPA LOCACOES E SERV G&amp;S</t>
        </is>
      </c>
      <c r="G824" t="inlineStr">
        <is>
          <t>G&amp;G MARINGA</t>
        </is>
      </c>
      <c r="H824" t="inlineStr">
        <is>
          <t>7.1.1</t>
        </is>
      </c>
      <c r="I824" t="inlineStr">
        <is>
          <t>PEÇAS DE MANUTENÇÃO</t>
        </is>
      </c>
      <c r="J824" t="n">
        <v>187</v>
      </c>
      <c r="K824" t="n">
        <v>187</v>
      </c>
    </row>
    <row r="825" hidden="1" s="154">
      <c r="A825" t="n">
        <v>2025</v>
      </c>
      <c r="B825" t="inlineStr">
        <is>
          <t>2025-04</t>
        </is>
      </c>
      <c r="C825" t="inlineStr">
        <is>
          <t>Maringá</t>
        </is>
      </c>
      <c r="D825" t="inlineStr">
        <is>
          <t>LIEBHERR</t>
        </is>
      </c>
      <c r="E825" t="inlineStr">
        <is>
          <t>EHL0043</t>
        </is>
      </c>
      <c r="F825" t="inlineStr">
        <is>
          <t>EKIPA LOCACOES E SERV G&amp;S</t>
        </is>
      </c>
      <c r="G825" t="inlineStr">
        <is>
          <t>G&amp;G MATRIZ</t>
        </is>
      </c>
      <c r="H825" t="inlineStr">
        <is>
          <t>7.1.18</t>
        </is>
      </c>
      <c r="I825" t="inlineStr">
        <is>
          <t>FRETES E CARRETOS</t>
        </is>
      </c>
      <c r="J825" t="n">
        <v>34.33</v>
      </c>
      <c r="K825" t="n">
        <v>34.33</v>
      </c>
    </row>
    <row r="826" hidden="1" s="154">
      <c r="A826" t="n">
        <v>2025</v>
      </c>
      <c r="B826" t="inlineStr">
        <is>
          <t>2025-05</t>
        </is>
      </c>
      <c r="C826" t="inlineStr">
        <is>
          <t>Maringá</t>
        </is>
      </c>
      <c r="D826" t="inlineStr">
        <is>
          <t>LIEBHERR</t>
        </is>
      </c>
      <c r="E826" t="inlineStr">
        <is>
          <t>EHL0043</t>
        </is>
      </c>
      <c r="F826" t="inlineStr">
        <is>
          <t>EKIPA LOCACOES E SERV G&amp;S</t>
        </is>
      </c>
      <c r="G826" t="inlineStr">
        <is>
          <t>G&amp;G MATRIZ</t>
        </is>
      </c>
      <c r="H826" t="inlineStr">
        <is>
          <t>7.1.18</t>
        </is>
      </c>
      <c r="I826" t="inlineStr">
        <is>
          <t>FRETES E CARRETOS</t>
        </is>
      </c>
      <c r="J826" t="n">
        <v>94.34999999999999</v>
      </c>
      <c r="K826" t="n">
        <v>94.34999999999999</v>
      </c>
    </row>
    <row r="827" hidden="1" s="154">
      <c r="A827" t="n">
        <v>2025</v>
      </c>
      <c r="B827" t="inlineStr">
        <is>
          <t>2025-05</t>
        </is>
      </c>
      <c r="C827" t="inlineStr">
        <is>
          <t>Maringá</t>
        </is>
      </c>
      <c r="D827" t="inlineStr">
        <is>
          <t>LIEBHERR</t>
        </is>
      </c>
      <c r="E827" t="inlineStr">
        <is>
          <t>EHL0043</t>
        </is>
      </c>
      <c r="F827" t="inlineStr">
        <is>
          <t>EKIPA LOCACOES E SERV G&amp;S</t>
        </is>
      </c>
      <c r="G827" t="inlineStr">
        <is>
          <t>G&amp;G MATRIZ</t>
        </is>
      </c>
      <c r="H827" t="inlineStr">
        <is>
          <t>7.1.18</t>
        </is>
      </c>
      <c r="I827" t="inlineStr">
        <is>
          <t>FRETES E CARRETOS</t>
        </is>
      </c>
      <c r="J827" t="n">
        <v>113.5</v>
      </c>
      <c r="K827" t="n">
        <v>113.5</v>
      </c>
    </row>
    <row r="828" hidden="1" s="154">
      <c r="A828" t="n">
        <v>2025</v>
      </c>
      <c r="B828" t="inlineStr">
        <is>
          <t>2025-05</t>
        </is>
      </c>
      <c r="C828" t="inlineStr">
        <is>
          <t>Maringá</t>
        </is>
      </c>
      <c r="D828" t="inlineStr">
        <is>
          <t>LIEBHERR</t>
        </is>
      </c>
      <c r="E828" t="inlineStr">
        <is>
          <t>EHL0043</t>
        </is>
      </c>
      <c r="F828" t="inlineStr">
        <is>
          <t>EKIPA LOCACOES E SERV G&amp;S</t>
        </is>
      </c>
      <c r="G828" t="inlineStr">
        <is>
          <t>G&amp;G MATRIZ</t>
        </is>
      </c>
      <c r="H828" t="inlineStr">
        <is>
          <t>7.1.4</t>
        </is>
      </c>
      <c r="I828" t="inlineStr">
        <is>
          <t>COMBUSTÍVEL - DIESEL (POSTO)</t>
        </is>
      </c>
      <c r="J828" t="n">
        <v>1988</v>
      </c>
      <c r="K828" t="n">
        <v>1988</v>
      </c>
    </row>
    <row r="829" hidden="1" s="154">
      <c r="A829" t="n">
        <v>2025</v>
      </c>
      <c r="B829" t="inlineStr">
        <is>
          <t>2025-05</t>
        </is>
      </c>
      <c r="C829" t="inlineStr">
        <is>
          <t>Maringá</t>
        </is>
      </c>
      <c r="D829" t="inlineStr">
        <is>
          <t>LIEBHERR</t>
        </is>
      </c>
      <c r="E829" t="inlineStr">
        <is>
          <t>EHL0043</t>
        </is>
      </c>
      <c r="F829" t="inlineStr">
        <is>
          <t>EKIPA LOCACOES E SERV G&amp;S</t>
        </is>
      </c>
      <c r="G829" t="inlineStr">
        <is>
          <t>G&amp;G MARINGA</t>
        </is>
      </c>
      <c r="H829" t="inlineStr">
        <is>
          <t>7.1.4</t>
        </is>
      </c>
      <c r="I829" t="inlineStr">
        <is>
          <t>COMBUSTÍVEL - DIESEL (POSTO)</t>
        </is>
      </c>
      <c r="J829" t="n">
        <v>709.55</v>
      </c>
      <c r="K829" t="n">
        <v>709.55</v>
      </c>
    </row>
    <row r="830" hidden="1" s="154">
      <c r="A830" t="n">
        <v>2025</v>
      </c>
      <c r="B830" t="inlineStr">
        <is>
          <t>2025-06</t>
        </is>
      </c>
      <c r="C830" t="inlineStr">
        <is>
          <t>Maringá</t>
        </is>
      </c>
      <c r="D830" t="inlineStr">
        <is>
          <t>LIEBHERR</t>
        </is>
      </c>
      <c r="E830" t="inlineStr">
        <is>
          <t>EHL0043</t>
        </is>
      </c>
      <c r="F830" t="inlineStr">
        <is>
          <t>SELETIVA</t>
        </is>
      </c>
      <c r="G830" t="inlineStr">
        <is>
          <t>G&amp;S MARINGA</t>
        </is>
      </c>
      <c r="H830" t="inlineStr">
        <is>
          <t>7.1.1</t>
        </is>
      </c>
      <c r="I830" t="inlineStr">
        <is>
          <t>PEÇAS DE MANUTENÇÃO</t>
        </is>
      </c>
      <c r="J830" t="n">
        <v>7012.56</v>
      </c>
      <c r="K830" t="n">
        <v>-7012.56</v>
      </c>
    </row>
    <row r="831" hidden="1" s="154">
      <c r="A831" t="n">
        <v>2025</v>
      </c>
      <c r="B831" t="inlineStr">
        <is>
          <t>2025-06</t>
        </is>
      </c>
      <c r="C831" t="inlineStr">
        <is>
          <t>Maringá</t>
        </is>
      </c>
      <c r="D831" t="inlineStr">
        <is>
          <t>LIEBHERR</t>
        </is>
      </c>
      <c r="E831" t="inlineStr">
        <is>
          <t>EHL0043</t>
        </is>
      </c>
      <c r="F831" t="inlineStr">
        <is>
          <t>SELETIVA</t>
        </is>
      </c>
      <c r="G831" t="inlineStr">
        <is>
          <t>CTA</t>
        </is>
      </c>
      <c r="H831" t="inlineStr">
        <is>
          <t>7.1.22</t>
        </is>
      </c>
      <c r="I831" t="inlineStr">
        <is>
          <t>COMBUSTÍVEL - DIESEL (INTERNO)</t>
        </is>
      </c>
      <c r="J831" t="n">
        <v>7407.47</v>
      </c>
      <c r="K831" t="n">
        <v>-7407.47</v>
      </c>
    </row>
    <row r="832" hidden="1" s="154">
      <c r="A832" t="n">
        <v>2025</v>
      </c>
      <c r="B832" t="inlineStr">
        <is>
          <t>2025-07</t>
        </is>
      </c>
      <c r="C832" t="inlineStr">
        <is>
          <t>Maringá</t>
        </is>
      </c>
      <c r="D832" t="inlineStr">
        <is>
          <t>LIEBHERR</t>
        </is>
      </c>
      <c r="E832" t="inlineStr">
        <is>
          <t>EHL0043</t>
        </is>
      </c>
      <c r="F832" t="inlineStr">
        <is>
          <t>SELETIVA</t>
        </is>
      </c>
      <c r="G832" t="inlineStr">
        <is>
          <t>G3S PRUDENTE</t>
        </is>
      </c>
      <c r="H832" t="inlineStr">
        <is>
          <t>7.1.18</t>
        </is>
      </c>
      <c r="I832" t="inlineStr">
        <is>
          <t>FRETES E CARRETOS</t>
        </is>
      </c>
      <c r="J832" t="n">
        <v>58.97</v>
      </c>
      <c r="K832" t="n">
        <v>-58.97</v>
      </c>
    </row>
    <row r="833" hidden="1" s="154">
      <c r="A833" t="n">
        <v>2025</v>
      </c>
      <c r="B833" t="inlineStr">
        <is>
          <t>2025-07</t>
        </is>
      </c>
      <c r="C833" t="inlineStr">
        <is>
          <t>Maringá</t>
        </is>
      </c>
      <c r="D833" t="inlineStr">
        <is>
          <t>LIEBHERR</t>
        </is>
      </c>
      <c r="E833" t="inlineStr">
        <is>
          <t>EHL0043</t>
        </is>
      </c>
      <c r="F833" t="inlineStr">
        <is>
          <t>SELETIVA</t>
        </is>
      </c>
      <c r="G833" t="inlineStr">
        <is>
          <t>G&amp;S PRUDENTE</t>
        </is>
      </c>
      <c r="H833" t="inlineStr">
        <is>
          <t>7.1.2</t>
        </is>
      </c>
      <c r="I833" t="inlineStr">
        <is>
          <t>MANUTENÇÃO DE VEÍCULOS/MAQUINAS</t>
        </is>
      </c>
      <c r="J833" t="n">
        <v>1491</v>
      </c>
      <c r="K833" t="n">
        <v>-1491</v>
      </c>
    </row>
    <row r="834" hidden="1" s="154">
      <c r="A834" t="n">
        <v>2025</v>
      </c>
      <c r="B834" t="inlineStr">
        <is>
          <t>2025-07</t>
        </is>
      </c>
      <c r="C834" t="inlineStr">
        <is>
          <t>Maringá</t>
        </is>
      </c>
      <c r="D834" t="inlineStr">
        <is>
          <t>LIEBHERR</t>
        </is>
      </c>
      <c r="E834" t="inlineStr">
        <is>
          <t>EHL0043</t>
        </is>
      </c>
      <c r="F834" t="inlineStr">
        <is>
          <t>SELETIVA</t>
        </is>
      </c>
      <c r="G834" t="inlineStr">
        <is>
          <t>G&amp;S PRUDENTE</t>
        </is>
      </c>
      <c r="H834" t="inlineStr">
        <is>
          <t>7.1.2</t>
        </is>
      </c>
      <c r="I834" t="inlineStr">
        <is>
          <t>MANUTENÇÃO DE VEÍCULOS/MAQUINAS</t>
        </is>
      </c>
      <c r="J834" t="n">
        <v>670.04</v>
      </c>
      <c r="K834" t="n">
        <v>-670.04</v>
      </c>
    </row>
    <row r="835" hidden="1" s="154">
      <c r="A835" t="n">
        <v>2025</v>
      </c>
      <c r="B835" t="inlineStr">
        <is>
          <t>2025-07</t>
        </is>
      </c>
      <c r="C835" t="inlineStr">
        <is>
          <t>Maringá</t>
        </is>
      </c>
      <c r="D835" t="inlineStr">
        <is>
          <t>LIEBHERR</t>
        </is>
      </c>
      <c r="E835" t="inlineStr">
        <is>
          <t>EHL0043</t>
        </is>
      </c>
      <c r="F835" t="inlineStr">
        <is>
          <t>SELETIVA</t>
        </is>
      </c>
      <c r="G835" t="inlineStr">
        <is>
          <t>G&amp;S MARINGA</t>
        </is>
      </c>
      <c r="H835" t="inlineStr">
        <is>
          <t>7.1.2</t>
        </is>
      </c>
      <c r="I835" t="inlineStr">
        <is>
          <t>MANUTENÇÃO DE VEÍCULOS/MAQUINAS</t>
        </is>
      </c>
      <c r="J835" t="n">
        <v>830</v>
      </c>
      <c r="K835" t="n">
        <v>-830</v>
      </c>
    </row>
    <row r="836" hidden="1" s="154">
      <c r="A836" t="n">
        <v>2025</v>
      </c>
      <c r="B836" t="inlineStr">
        <is>
          <t>2025-07</t>
        </is>
      </c>
      <c r="C836" t="inlineStr">
        <is>
          <t>Maringá</t>
        </is>
      </c>
      <c r="D836" t="inlineStr">
        <is>
          <t>LIEBHERR</t>
        </is>
      </c>
      <c r="E836" t="inlineStr">
        <is>
          <t>EHL0043</t>
        </is>
      </c>
      <c r="F836" t="inlineStr">
        <is>
          <t>SELETIVA</t>
        </is>
      </c>
      <c r="G836" t="inlineStr">
        <is>
          <t>G&amp;S MARINGA</t>
        </is>
      </c>
      <c r="H836" t="inlineStr">
        <is>
          <t>7.1.2</t>
        </is>
      </c>
      <c r="I836" t="inlineStr">
        <is>
          <t>MANUTENÇÃO DE VEÍCULOS/MAQUINAS</t>
        </is>
      </c>
      <c r="J836" t="n">
        <v>300</v>
      </c>
      <c r="K836" t="n">
        <v>-300</v>
      </c>
    </row>
    <row r="837" hidden="1" s="154">
      <c r="A837" t="n">
        <v>2025</v>
      </c>
      <c r="B837" t="inlineStr">
        <is>
          <t>2025-07</t>
        </is>
      </c>
      <c r="C837" t="inlineStr">
        <is>
          <t>Maringá</t>
        </is>
      </c>
      <c r="D837" t="inlineStr">
        <is>
          <t>LIEBHERR</t>
        </is>
      </c>
      <c r="E837" t="inlineStr">
        <is>
          <t>EHL0043</t>
        </is>
      </c>
      <c r="F837" t="inlineStr">
        <is>
          <t>SELETIVA</t>
        </is>
      </c>
      <c r="G837" t="inlineStr">
        <is>
          <t>CTA</t>
        </is>
      </c>
      <c r="H837" t="inlineStr">
        <is>
          <t>7.1.22</t>
        </is>
      </c>
      <c r="I837" t="inlineStr">
        <is>
          <t>COMBUSTÍVEL - DIESEL (INTERNO)</t>
        </is>
      </c>
      <c r="J837" t="n">
        <v>8073.91</v>
      </c>
      <c r="K837" t="n">
        <v>-8073.91</v>
      </c>
    </row>
    <row r="838" hidden="1" s="154">
      <c r="A838" t="n">
        <v>2025</v>
      </c>
      <c r="B838" t="inlineStr">
        <is>
          <t>2025-08</t>
        </is>
      </c>
      <c r="C838" t="inlineStr">
        <is>
          <t>Maringá</t>
        </is>
      </c>
      <c r="D838" t="inlineStr">
        <is>
          <t>LIEBHERR</t>
        </is>
      </c>
      <c r="E838" t="inlineStr">
        <is>
          <t>EHL0043</t>
        </is>
      </c>
      <c r="F838" t="inlineStr">
        <is>
          <t>SELETIVA</t>
        </is>
      </c>
      <c r="G838" t="inlineStr">
        <is>
          <t>CTA</t>
        </is>
      </c>
      <c r="H838" t="inlineStr">
        <is>
          <t>7.1.22</t>
        </is>
      </c>
      <c r="I838" t="inlineStr">
        <is>
          <t>COMBUSTÍVEL - DIESEL (INTERNO)</t>
        </is>
      </c>
      <c r="J838" t="n">
        <v>9787.73</v>
      </c>
      <c r="K838" t="n">
        <v>-9787.73</v>
      </c>
    </row>
    <row r="839" hidden="1" s="154">
      <c r="A839" t="n">
        <v>2025</v>
      </c>
      <c r="B839" t="inlineStr">
        <is>
          <t>2025-08</t>
        </is>
      </c>
      <c r="C839" t="inlineStr">
        <is>
          <t>Maringá</t>
        </is>
      </c>
      <c r="D839" t="inlineStr">
        <is>
          <t>LIEBHERR</t>
        </is>
      </c>
      <c r="E839" t="inlineStr">
        <is>
          <t>EHL0043</t>
        </is>
      </c>
      <c r="F839" t="inlineStr">
        <is>
          <t>SELETIVA</t>
        </is>
      </c>
      <c r="G839" t="inlineStr">
        <is>
          <t>G&amp;S MARINGA</t>
        </is>
      </c>
      <c r="H839" t="inlineStr">
        <is>
          <t>7.1.2</t>
        </is>
      </c>
      <c r="I839" t="inlineStr">
        <is>
          <t>MANUTENÇÃO DE VEÍCULOS/MAQUINAS</t>
        </is>
      </c>
      <c r="J839" t="n">
        <v>469.86</v>
      </c>
      <c r="K839" t="n">
        <v>-469.86</v>
      </c>
    </row>
    <row r="840" hidden="1" s="154">
      <c r="A840" t="n">
        <v>2025</v>
      </c>
      <c r="B840" t="inlineStr">
        <is>
          <t>2025-08</t>
        </is>
      </c>
      <c r="C840" t="inlineStr">
        <is>
          <t>Maringá</t>
        </is>
      </c>
      <c r="D840" t="inlineStr">
        <is>
          <t>LIEBHERR</t>
        </is>
      </c>
      <c r="E840" t="inlineStr">
        <is>
          <t>EHL0043</t>
        </is>
      </c>
      <c r="F840" t="inlineStr">
        <is>
          <t>SELETIVA</t>
        </is>
      </c>
      <c r="G840" t="inlineStr">
        <is>
          <t>G&amp;S PRUDENTE</t>
        </is>
      </c>
      <c r="H840" t="inlineStr">
        <is>
          <t>7.1.1</t>
        </is>
      </c>
      <c r="I840" t="inlineStr">
        <is>
          <t>PEÇAS DE MANUTENÇÃO</t>
        </is>
      </c>
      <c r="J840" t="n">
        <v>52488.95</v>
      </c>
      <c r="K840" t="n">
        <v>-52488.95</v>
      </c>
    </row>
    <row r="841" hidden="1" s="154">
      <c r="A841" t="n">
        <v>2025</v>
      </c>
      <c r="B841" t="inlineStr">
        <is>
          <t>2025-08</t>
        </is>
      </c>
      <c r="C841" t="inlineStr">
        <is>
          <t>Maringá</t>
        </is>
      </c>
      <c r="D841" t="inlineStr">
        <is>
          <t>LIEBHERR</t>
        </is>
      </c>
      <c r="E841" t="inlineStr">
        <is>
          <t>EHL0043</t>
        </is>
      </c>
      <c r="F841" t="inlineStr">
        <is>
          <t>SELETIVA</t>
        </is>
      </c>
      <c r="G841" t="inlineStr">
        <is>
          <t>G&amp;S PRUDENTE</t>
        </is>
      </c>
      <c r="H841" t="inlineStr">
        <is>
          <t>7.1.1</t>
        </is>
      </c>
      <c r="I841" t="inlineStr">
        <is>
          <t>PEÇAS DE MANUTENÇÃO</t>
        </is>
      </c>
      <c r="J841" t="n">
        <v>52488.95</v>
      </c>
      <c r="K841" t="n">
        <v>-52488.95</v>
      </c>
    </row>
    <row r="842" hidden="1" s="154">
      <c r="A842" t="n">
        <v>2025</v>
      </c>
      <c r="B842" t="inlineStr">
        <is>
          <t>2025-08</t>
        </is>
      </c>
      <c r="C842" t="inlineStr">
        <is>
          <t>Maringá</t>
        </is>
      </c>
      <c r="D842" t="inlineStr">
        <is>
          <t>LIEBHERR</t>
        </is>
      </c>
      <c r="E842" t="inlineStr">
        <is>
          <t>EHL0043</t>
        </is>
      </c>
      <c r="F842" t="inlineStr">
        <is>
          <t>SELETIVA</t>
        </is>
      </c>
      <c r="G842" t="inlineStr">
        <is>
          <t>G&amp;S PRUDENTE</t>
        </is>
      </c>
      <c r="H842" t="inlineStr">
        <is>
          <t>7.1.1</t>
        </is>
      </c>
      <c r="I842" t="inlineStr">
        <is>
          <t>PEÇAS DE MANUTENÇÃO</t>
        </is>
      </c>
      <c r="J842" t="n">
        <v>52504.71</v>
      </c>
      <c r="K842" t="n">
        <v>-52504.71</v>
      </c>
    </row>
    <row r="843" hidden="1" s="154">
      <c r="A843" t="n">
        <v>2025</v>
      </c>
      <c r="B843" t="inlineStr">
        <is>
          <t>2025-08</t>
        </is>
      </c>
      <c r="C843" t="inlineStr">
        <is>
          <t>Maringá</t>
        </is>
      </c>
      <c r="D843" t="inlineStr">
        <is>
          <t>LIEBHERR</t>
        </is>
      </c>
      <c r="E843" t="inlineStr">
        <is>
          <t>EHL0043</t>
        </is>
      </c>
      <c r="F843" t="inlineStr">
        <is>
          <t>SELETIVA</t>
        </is>
      </c>
      <c r="G843" t="inlineStr">
        <is>
          <t>G&amp;S PRUDENTE</t>
        </is>
      </c>
      <c r="H843" t="inlineStr">
        <is>
          <t>7.1.18</t>
        </is>
      </c>
      <c r="I843" t="inlineStr">
        <is>
          <t>FRETES E CARRETOS</t>
        </is>
      </c>
      <c r="J843" t="n">
        <v>387.5</v>
      </c>
      <c r="K843" t="n">
        <v>-387.5</v>
      </c>
    </row>
    <row r="844" hidden="1" s="154">
      <c r="A844" t="n">
        <v>2025</v>
      </c>
      <c r="B844" t="inlineStr">
        <is>
          <t>2025-08</t>
        </is>
      </c>
      <c r="C844" t="inlineStr">
        <is>
          <t>Maringá</t>
        </is>
      </c>
      <c r="D844" t="inlineStr">
        <is>
          <t>LIEBHERR</t>
        </is>
      </c>
      <c r="E844" t="inlineStr">
        <is>
          <t>EHL0043</t>
        </is>
      </c>
      <c r="F844" t="inlineStr">
        <is>
          <t>SELETIVA</t>
        </is>
      </c>
      <c r="G844" t="inlineStr">
        <is>
          <t>G&amp;S MARINGA</t>
        </is>
      </c>
      <c r="H844" t="inlineStr">
        <is>
          <t>7.1.2</t>
        </is>
      </c>
      <c r="I844" t="inlineStr">
        <is>
          <t>MANUTENÇÃO DE VEÍCULOS/MAQUINAS</t>
        </is>
      </c>
      <c r="J844" t="n">
        <v>6733.91</v>
      </c>
      <c r="K844" t="n">
        <v>-6733.91</v>
      </c>
    </row>
    <row r="845" hidden="1" s="154">
      <c r="A845" t="n">
        <v>2025</v>
      </c>
      <c r="B845" t="inlineStr">
        <is>
          <t>2025-08</t>
        </is>
      </c>
      <c r="C845" t="inlineStr">
        <is>
          <t>Maringá</t>
        </is>
      </c>
      <c r="D845" t="inlineStr">
        <is>
          <t>LIEBHERR</t>
        </is>
      </c>
      <c r="E845" t="inlineStr">
        <is>
          <t>EHL0043</t>
        </is>
      </c>
      <c r="F845" t="inlineStr">
        <is>
          <t>SELETIVA</t>
        </is>
      </c>
      <c r="G845" t="inlineStr">
        <is>
          <t>G&amp;S MARINGA</t>
        </is>
      </c>
      <c r="H845" t="inlineStr">
        <is>
          <t>7.1.1</t>
        </is>
      </c>
      <c r="I845" t="inlineStr">
        <is>
          <t>PEÇAS DE MANUTENÇÃO</t>
        </is>
      </c>
      <c r="J845" t="n">
        <v>7765.61</v>
      </c>
      <c r="K845" t="n">
        <v>-7765.61</v>
      </c>
    </row>
    <row r="846" hidden="1" s="154">
      <c r="A846" t="n">
        <v>2025</v>
      </c>
      <c r="B846" t="inlineStr">
        <is>
          <t>2025-08</t>
        </is>
      </c>
      <c r="C846" t="inlineStr">
        <is>
          <t>Maringá</t>
        </is>
      </c>
      <c r="D846" t="inlineStr">
        <is>
          <t>LIEBHERR</t>
        </is>
      </c>
      <c r="E846" t="inlineStr">
        <is>
          <t>EHL0043</t>
        </is>
      </c>
      <c r="F846" t="inlineStr">
        <is>
          <t>SELETIVA</t>
        </is>
      </c>
      <c r="G846" t="inlineStr">
        <is>
          <t>G&amp;S MARINGA</t>
        </is>
      </c>
      <c r="H846" t="inlineStr">
        <is>
          <t>7.1.18</t>
        </is>
      </c>
      <c r="I846" t="inlineStr">
        <is>
          <t>FRETES E CARRETOS</t>
        </is>
      </c>
      <c r="J846" t="n">
        <v>306</v>
      </c>
      <c r="K846" t="n">
        <v>-306</v>
      </c>
    </row>
    <row r="847" hidden="1" s="154">
      <c r="A847" t="n">
        <v>2025</v>
      </c>
      <c r="B847" t="inlineStr">
        <is>
          <t>2025-08</t>
        </is>
      </c>
      <c r="C847" t="inlineStr">
        <is>
          <t>Maringá</t>
        </is>
      </c>
      <c r="D847" t="inlineStr">
        <is>
          <t>LIEBHERR</t>
        </is>
      </c>
      <c r="E847" t="inlineStr">
        <is>
          <t>EHL0043</t>
        </is>
      </c>
      <c r="F847" t="inlineStr">
        <is>
          <t>SELETIVA</t>
        </is>
      </c>
      <c r="G847" t="inlineStr">
        <is>
          <t>G&amp;S PRUDENTE</t>
        </is>
      </c>
      <c r="H847" t="inlineStr">
        <is>
          <t>7.1.2</t>
        </is>
      </c>
      <c r="I847" t="inlineStr">
        <is>
          <t>MANUTENÇÃO DE VEÍCULOS/MAQUINAS</t>
        </is>
      </c>
      <c r="J847" t="n">
        <v>2511</v>
      </c>
      <c r="K847" t="n">
        <v>-2511</v>
      </c>
    </row>
    <row r="848" hidden="1" s="154">
      <c r="A848" t="n">
        <v>2025</v>
      </c>
      <c r="B848" t="inlineStr">
        <is>
          <t>2025-08</t>
        </is>
      </c>
      <c r="C848" t="inlineStr">
        <is>
          <t>Maringá</t>
        </is>
      </c>
      <c r="D848" t="inlineStr">
        <is>
          <t>LIEBHERR</t>
        </is>
      </c>
      <c r="E848" t="inlineStr">
        <is>
          <t>EHL0043</t>
        </is>
      </c>
      <c r="F848" t="inlineStr">
        <is>
          <t>SELETIVA</t>
        </is>
      </c>
      <c r="G848" t="inlineStr">
        <is>
          <t>G&amp;S PRUDENTE</t>
        </is>
      </c>
      <c r="H848" t="inlineStr">
        <is>
          <t>7.1.2</t>
        </is>
      </c>
      <c r="I848" t="inlineStr">
        <is>
          <t>MANUTENÇÃO DE VEÍCULOS/MAQUINAS</t>
        </is>
      </c>
      <c r="J848" t="n">
        <v>2511</v>
      </c>
      <c r="K848" t="n">
        <v>-2511</v>
      </c>
    </row>
    <row r="849" hidden="1" s="154">
      <c r="A849" t="n">
        <v>2025</v>
      </c>
      <c r="B849" t="inlineStr">
        <is>
          <t>2025-09</t>
        </is>
      </c>
      <c r="C849" t="inlineStr">
        <is>
          <t>Maringá</t>
        </is>
      </c>
      <c r="D849" t="inlineStr">
        <is>
          <t>LIEBHERR</t>
        </is>
      </c>
      <c r="E849" t="inlineStr">
        <is>
          <t>EHL0043</t>
        </is>
      </c>
      <c r="F849" t="inlineStr">
        <is>
          <t>SELETIVA</t>
        </is>
      </c>
      <c r="G849" t="inlineStr">
        <is>
          <t>G&amp;S PRUDENTE</t>
        </is>
      </c>
      <c r="H849" t="inlineStr">
        <is>
          <t>7.1.18</t>
        </is>
      </c>
      <c r="I849" t="inlineStr">
        <is>
          <t>FRETES E CARRETOS</t>
        </is>
      </c>
      <c r="J849" t="n">
        <v>146.99</v>
      </c>
      <c r="K849" t="n">
        <v>-146.99</v>
      </c>
    </row>
    <row r="850" hidden="1" s="154">
      <c r="A850" t="n">
        <v>2025</v>
      </c>
      <c r="B850" t="inlineStr">
        <is>
          <t>2025-09</t>
        </is>
      </c>
      <c r="C850" t="inlineStr">
        <is>
          <t>Maringá</t>
        </is>
      </c>
      <c r="D850" t="inlineStr">
        <is>
          <t>LIEBHERR</t>
        </is>
      </c>
      <c r="E850" t="inlineStr">
        <is>
          <t>EHL0043</t>
        </is>
      </c>
      <c r="F850" t="inlineStr">
        <is>
          <t>SELETIVA</t>
        </is>
      </c>
      <c r="G850" t="inlineStr">
        <is>
          <t>G&amp;S PRUDENTE</t>
        </is>
      </c>
      <c r="H850" t="inlineStr">
        <is>
          <t>7.1.18</t>
        </is>
      </c>
      <c r="I850" t="inlineStr">
        <is>
          <t>FRETES E CARRETOS</t>
        </is>
      </c>
      <c r="J850" t="n">
        <v>297.1</v>
      </c>
      <c r="K850" t="n">
        <v>-297.1</v>
      </c>
    </row>
    <row r="851" hidden="1" s="154">
      <c r="A851" t="n">
        <v>2025</v>
      </c>
      <c r="B851" t="inlineStr">
        <is>
          <t>2025-09</t>
        </is>
      </c>
      <c r="C851" t="inlineStr">
        <is>
          <t>Maringá</t>
        </is>
      </c>
      <c r="D851" t="inlineStr">
        <is>
          <t>LIEBHERR</t>
        </is>
      </c>
      <c r="E851" t="inlineStr">
        <is>
          <t>EHL0043</t>
        </is>
      </c>
      <c r="F851" t="inlineStr">
        <is>
          <t>SELETIVA</t>
        </is>
      </c>
      <c r="G851" t="inlineStr">
        <is>
          <t>G&amp;S PRUDENTE</t>
        </is>
      </c>
      <c r="H851" t="inlineStr">
        <is>
          <t>7.1.18</t>
        </is>
      </c>
      <c r="I851" t="inlineStr">
        <is>
          <t>FRETES E CARRETOS</t>
        </is>
      </c>
      <c r="J851" t="n">
        <v>105.84</v>
      </c>
      <c r="K851" t="n">
        <v>-105.84</v>
      </c>
    </row>
    <row r="852" hidden="1" s="154">
      <c r="A852" t="n">
        <v>2025</v>
      </c>
      <c r="B852" t="inlineStr">
        <is>
          <t>2025-09</t>
        </is>
      </c>
      <c r="C852" t="inlineStr">
        <is>
          <t>Maringá</t>
        </is>
      </c>
      <c r="D852" t="inlineStr">
        <is>
          <t>LIEBHERR</t>
        </is>
      </c>
      <c r="E852" t="inlineStr">
        <is>
          <t>EHL0043</t>
        </is>
      </c>
      <c r="F852" t="inlineStr">
        <is>
          <t>SELETIVA</t>
        </is>
      </c>
      <c r="G852" t="inlineStr">
        <is>
          <t>G&amp;S MARINGA</t>
        </is>
      </c>
      <c r="H852" t="inlineStr">
        <is>
          <t>7.1.2</t>
        </is>
      </c>
      <c r="I852" t="inlineStr">
        <is>
          <t>MANUTENÇÃO DE VEÍCULOS/MAQUINAS</t>
        </is>
      </c>
      <c r="J852" t="n">
        <v>734.52</v>
      </c>
      <c r="K852" t="n">
        <v>-734.52</v>
      </c>
    </row>
    <row r="853" hidden="1" s="154">
      <c r="A853" t="n">
        <v>2025</v>
      </c>
      <c r="B853" t="inlineStr">
        <is>
          <t>2025-09</t>
        </is>
      </c>
      <c r="C853" t="inlineStr">
        <is>
          <t>Maringá</t>
        </is>
      </c>
      <c r="D853" t="inlineStr">
        <is>
          <t>LIEBHERR</t>
        </is>
      </c>
      <c r="E853" t="inlineStr">
        <is>
          <t>EHL0043</t>
        </is>
      </c>
      <c r="F853" t="inlineStr">
        <is>
          <t>SELETIVA</t>
        </is>
      </c>
      <c r="G853" t="inlineStr">
        <is>
          <t>G&amp;S PRUDENTE</t>
        </is>
      </c>
      <c r="H853" t="inlineStr">
        <is>
          <t>7.1.2</t>
        </is>
      </c>
      <c r="I853" t="inlineStr">
        <is>
          <t>MANUTENÇÃO DE VEÍCULOS/MAQUINAS</t>
        </is>
      </c>
      <c r="J853" t="n">
        <v>3594</v>
      </c>
      <c r="K853" t="n">
        <v>-3594</v>
      </c>
    </row>
    <row r="854" hidden="1" s="154">
      <c r="A854" t="n">
        <v>2025</v>
      </c>
      <c r="B854" t="inlineStr">
        <is>
          <t>2025-09</t>
        </is>
      </c>
      <c r="C854" t="inlineStr">
        <is>
          <t>Maringá</t>
        </is>
      </c>
      <c r="D854" t="inlineStr">
        <is>
          <t>LIEBHERR</t>
        </is>
      </c>
      <c r="E854" t="inlineStr">
        <is>
          <t>EHL0043</t>
        </is>
      </c>
      <c r="F854" t="inlineStr">
        <is>
          <t>SELETIVA</t>
        </is>
      </c>
      <c r="G854" t="inlineStr">
        <is>
          <t>G&amp;S MARINGA</t>
        </is>
      </c>
      <c r="H854" t="inlineStr">
        <is>
          <t>7.1.2</t>
        </is>
      </c>
      <c r="I854" t="inlineStr">
        <is>
          <t>MANUTENÇÃO DE VEÍCULOS/MAQUINAS</t>
        </is>
      </c>
      <c r="J854" t="n">
        <v>2496</v>
      </c>
      <c r="K854" t="n">
        <v>-2496</v>
      </c>
    </row>
    <row r="855" hidden="1" s="154">
      <c r="A855" t="n">
        <v>2025</v>
      </c>
      <c r="B855" t="inlineStr">
        <is>
          <t>2025-09</t>
        </is>
      </c>
      <c r="C855" t="inlineStr">
        <is>
          <t>Maringá</t>
        </is>
      </c>
      <c r="D855" t="inlineStr">
        <is>
          <t>LIEBHERR</t>
        </is>
      </c>
      <c r="E855" t="inlineStr">
        <is>
          <t>EHL0043</t>
        </is>
      </c>
      <c r="F855" t="inlineStr">
        <is>
          <t>SELETIVA</t>
        </is>
      </c>
      <c r="G855" t="inlineStr">
        <is>
          <t>G&amp;S MARINGA</t>
        </is>
      </c>
      <c r="H855" t="inlineStr">
        <is>
          <t>7.1.2</t>
        </is>
      </c>
      <c r="I855" t="inlineStr">
        <is>
          <t>MANUTENÇÃO DE VEÍCULOS/MAQUINAS</t>
        </is>
      </c>
      <c r="J855" t="n">
        <v>110</v>
      </c>
      <c r="K855" t="n">
        <v>-110</v>
      </c>
    </row>
    <row r="856" hidden="1" s="154">
      <c r="A856" t="n">
        <v>2025</v>
      </c>
      <c r="B856" t="inlineStr">
        <is>
          <t>2025-09</t>
        </is>
      </c>
      <c r="C856" t="inlineStr">
        <is>
          <t>Maringá</t>
        </is>
      </c>
      <c r="D856" t="inlineStr">
        <is>
          <t>LIEBHERR</t>
        </is>
      </c>
      <c r="E856" t="inlineStr">
        <is>
          <t>EHL0043</t>
        </is>
      </c>
      <c r="F856" t="inlineStr">
        <is>
          <t>SELETIVA</t>
        </is>
      </c>
      <c r="G856" t="inlineStr">
        <is>
          <t>G&amp;S PRUDENTE</t>
        </is>
      </c>
      <c r="H856" t="inlineStr">
        <is>
          <t>7.1.2</t>
        </is>
      </c>
      <c r="I856" t="inlineStr">
        <is>
          <t>MANUTENÇÃO DE VEÍCULOS/MAQUINAS</t>
        </is>
      </c>
      <c r="J856" t="n">
        <v>671.67</v>
      </c>
      <c r="K856" t="n">
        <v>-671.67</v>
      </c>
    </row>
    <row r="857" hidden="1" s="154">
      <c r="A857" t="n">
        <v>2025</v>
      </c>
      <c r="B857" t="inlineStr">
        <is>
          <t>2025-09</t>
        </is>
      </c>
      <c r="C857" t="inlineStr">
        <is>
          <t>Maringá</t>
        </is>
      </c>
      <c r="D857" t="inlineStr">
        <is>
          <t>LIEBHERR</t>
        </is>
      </c>
      <c r="E857" t="inlineStr">
        <is>
          <t>EHL0043</t>
        </is>
      </c>
      <c r="F857" t="inlineStr">
        <is>
          <t>SELETIVA</t>
        </is>
      </c>
      <c r="G857" t="inlineStr">
        <is>
          <t>G&amp;S PRUDENTE</t>
        </is>
      </c>
      <c r="H857" t="inlineStr">
        <is>
          <t>7.1.2</t>
        </is>
      </c>
      <c r="I857" t="inlineStr">
        <is>
          <t>MANUTENÇÃO DE VEÍCULOS/MAQUINAS</t>
        </is>
      </c>
      <c r="J857" t="n">
        <v>1020</v>
      </c>
      <c r="K857" t="n">
        <v>-1020</v>
      </c>
    </row>
    <row r="858" hidden="1" s="154">
      <c r="A858" t="n">
        <v>2025</v>
      </c>
      <c r="B858" t="inlineStr">
        <is>
          <t>2025-09</t>
        </is>
      </c>
      <c r="C858" t="inlineStr">
        <is>
          <t>Maringá</t>
        </is>
      </c>
      <c r="D858" t="inlineStr">
        <is>
          <t>LIEBHERR</t>
        </is>
      </c>
      <c r="E858" t="inlineStr">
        <is>
          <t>EHL0043</t>
        </is>
      </c>
      <c r="F858" t="inlineStr">
        <is>
          <t>SELETIVA</t>
        </is>
      </c>
      <c r="G858" t="inlineStr">
        <is>
          <t>G&amp;S PRUDENTE</t>
        </is>
      </c>
      <c r="H858" t="inlineStr">
        <is>
          <t>7.1.2</t>
        </is>
      </c>
      <c r="I858" t="inlineStr">
        <is>
          <t>MANUTENÇÃO DE VEÍCULOS/MAQUINAS</t>
        </is>
      </c>
      <c r="J858" t="n">
        <v>1020</v>
      </c>
      <c r="K858" t="n">
        <v>-1020</v>
      </c>
    </row>
    <row r="859" hidden="1" s="154">
      <c r="A859" t="n">
        <v>2025</v>
      </c>
      <c r="B859" t="inlineStr">
        <is>
          <t>2025-09</t>
        </is>
      </c>
      <c r="C859" t="inlineStr">
        <is>
          <t>Maringá</t>
        </is>
      </c>
      <c r="D859" t="inlineStr">
        <is>
          <t>LIEBHERR</t>
        </is>
      </c>
      <c r="E859" t="inlineStr">
        <is>
          <t>EHL0043</t>
        </is>
      </c>
      <c r="F859" t="inlineStr">
        <is>
          <t>SELETIVA</t>
        </is>
      </c>
      <c r="G859" t="inlineStr">
        <is>
          <t>G&amp;S MARINGA</t>
        </is>
      </c>
      <c r="H859" t="inlineStr">
        <is>
          <t>7.1.2</t>
        </is>
      </c>
      <c r="I859" t="inlineStr">
        <is>
          <t>MANUTENÇÃO DE VEÍCULOS/MAQUINAS</t>
        </is>
      </c>
      <c r="J859" t="n">
        <v>560</v>
      </c>
      <c r="K859" t="n">
        <v>-560</v>
      </c>
    </row>
    <row r="860" hidden="1" s="154">
      <c r="A860" t="n">
        <v>2025</v>
      </c>
      <c r="B860" t="inlineStr">
        <is>
          <t>2025-09</t>
        </is>
      </c>
      <c r="C860" t="inlineStr">
        <is>
          <t>Maringá</t>
        </is>
      </c>
      <c r="D860" t="inlineStr">
        <is>
          <t>LIEBHERR</t>
        </is>
      </c>
      <c r="E860" t="inlineStr">
        <is>
          <t>EHL0043</t>
        </is>
      </c>
      <c r="F860" t="inlineStr">
        <is>
          <t>SELETIVA</t>
        </is>
      </c>
      <c r="G860" t="inlineStr">
        <is>
          <t>G&amp;S MARINGA</t>
        </is>
      </c>
      <c r="H860" t="inlineStr">
        <is>
          <t>7.1.2</t>
        </is>
      </c>
      <c r="I860" t="inlineStr">
        <is>
          <t>MANUTENÇÃO DE VEÍCULOS/MAQUINAS</t>
        </is>
      </c>
      <c r="J860" t="n">
        <v>165</v>
      </c>
      <c r="K860" t="n">
        <v>-165</v>
      </c>
    </row>
    <row r="861" hidden="1" s="154">
      <c r="A861" t="n">
        <v>2025</v>
      </c>
      <c r="B861" t="inlineStr">
        <is>
          <t>2025-09</t>
        </is>
      </c>
      <c r="C861" t="inlineStr">
        <is>
          <t>Maringá</t>
        </is>
      </c>
      <c r="D861" t="inlineStr">
        <is>
          <t>LIEBHERR</t>
        </is>
      </c>
      <c r="E861" t="inlineStr">
        <is>
          <t>EHL0043</t>
        </is>
      </c>
      <c r="F861" t="inlineStr">
        <is>
          <t>SELETIVA</t>
        </is>
      </c>
      <c r="G861" t="inlineStr">
        <is>
          <t>CTA</t>
        </is>
      </c>
      <c r="H861" t="inlineStr">
        <is>
          <t>7.1.22</t>
        </is>
      </c>
      <c r="I861" t="inlineStr">
        <is>
          <t>COMBUSTÍVEL - DIESEL (INTERNO)</t>
        </is>
      </c>
      <c r="J861" t="n">
        <v>4370.54</v>
      </c>
      <c r="K861" t="n">
        <v>-4370.54</v>
      </c>
    </row>
    <row r="862" hidden="1" s="154">
      <c r="A862" t="n">
        <v>2025</v>
      </c>
      <c r="B862" t="inlineStr">
        <is>
          <t>2025-09</t>
        </is>
      </c>
      <c r="C862" t="inlineStr">
        <is>
          <t>Maringá</t>
        </is>
      </c>
      <c r="D862" t="inlineStr">
        <is>
          <t>LIEBHERR</t>
        </is>
      </c>
      <c r="E862" t="inlineStr">
        <is>
          <t>EHL0043</t>
        </is>
      </c>
      <c r="F862" t="inlineStr">
        <is>
          <t>SELETIVA</t>
        </is>
      </c>
      <c r="G862" t="inlineStr">
        <is>
          <t>G&amp;S PRUDENTE</t>
        </is>
      </c>
      <c r="H862" t="inlineStr">
        <is>
          <t>7.1.18</t>
        </is>
      </c>
      <c r="I862" t="inlineStr">
        <is>
          <t>FRETES E CARRETOS</t>
        </is>
      </c>
      <c r="J862" t="n">
        <v>83</v>
      </c>
      <c r="K862" t="n">
        <v>-83</v>
      </c>
    </row>
    <row r="863" hidden="1" s="154">
      <c r="A863" t="n">
        <v>2025</v>
      </c>
      <c r="B863" t="inlineStr">
        <is>
          <t>2025-10</t>
        </is>
      </c>
      <c r="C863" t="inlineStr">
        <is>
          <t>Maringá</t>
        </is>
      </c>
      <c r="D863" t="inlineStr">
        <is>
          <t>LIEBHERR</t>
        </is>
      </c>
      <c r="E863" t="inlineStr">
        <is>
          <t>EHL0043</t>
        </is>
      </c>
      <c r="F863" t="inlineStr">
        <is>
          <t>SELETIVA</t>
        </is>
      </c>
      <c r="G863" t="inlineStr">
        <is>
          <t>G&amp;S PRUDENTE</t>
        </is>
      </c>
      <c r="H863" t="inlineStr">
        <is>
          <t>7.1.2</t>
        </is>
      </c>
      <c r="I863" t="inlineStr">
        <is>
          <t>MANUTENÇÃO DE VEÍCULOS/MAQUINAS</t>
        </is>
      </c>
      <c r="J863" t="n">
        <v>1650.84</v>
      </c>
      <c r="K863" t="n">
        <v>-1650.84</v>
      </c>
    </row>
    <row r="864" hidden="1" s="154">
      <c r="A864" t="n">
        <v>2025</v>
      </c>
      <c r="B864" t="inlineStr">
        <is>
          <t>2025-10</t>
        </is>
      </c>
      <c r="C864" t="inlineStr">
        <is>
          <t>Maringá</t>
        </is>
      </c>
      <c r="D864" t="inlineStr">
        <is>
          <t>LIEBHERR</t>
        </is>
      </c>
      <c r="E864" t="inlineStr">
        <is>
          <t>EHL0043</t>
        </is>
      </c>
      <c r="F864" t="inlineStr">
        <is>
          <t>SELETIVA</t>
        </is>
      </c>
      <c r="G864" t="inlineStr">
        <is>
          <t>G&amp;S PRUDENTE</t>
        </is>
      </c>
      <c r="H864" t="inlineStr">
        <is>
          <t>7.1.18</t>
        </is>
      </c>
      <c r="I864" t="inlineStr">
        <is>
          <t>FRETES E CARRETOS</t>
        </is>
      </c>
      <c r="J864" t="n">
        <v>96.59</v>
      </c>
      <c r="K864" t="n">
        <v>-96.59</v>
      </c>
    </row>
    <row r="865" hidden="1" s="154">
      <c r="A865" t="n">
        <v>2025</v>
      </c>
      <c r="B865" t="inlineStr">
        <is>
          <t>2025-10</t>
        </is>
      </c>
      <c r="C865" t="inlineStr">
        <is>
          <t>Maringá</t>
        </is>
      </c>
      <c r="D865" t="inlineStr">
        <is>
          <t>LIEBHERR</t>
        </is>
      </c>
      <c r="E865" t="inlineStr">
        <is>
          <t>EHL0043</t>
        </is>
      </c>
      <c r="F865" t="inlineStr">
        <is>
          <t>SELETIVA</t>
        </is>
      </c>
      <c r="G865" t="inlineStr">
        <is>
          <t>G&amp;S MARINGA</t>
        </is>
      </c>
      <c r="H865" t="inlineStr">
        <is>
          <t>7.1.18</t>
        </is>
      </c>
      <c r="I865" t="inlineStr">
        <is>
          <t>FRETES E CARRETOS</t>
        </is>
      </c>
      <c r="J865" t="n">
        <v>2500</v>
      </c>
      <c r="K865" t="n">
        <v>-2500</v>
      </c>
    </row>
    <row r="866" hidden="1" s="154">
      <c r="A866" t="n">
        <v>2025</v>
      </c>
      <c r="B866" t="inlineStr">
        <is>
          <t>2025-10</t>
        </is>
      </c>
      <c r="C866" t="inlineStr">
        <is>
          <t>Maringá</t>
        </is>
      </c>
      <c r="D866" t="inlineStr">
        <is>
          <t>LIEBHERR</t>
        </is>
      </c>
      <c r="E866" t="inlineStr">
        <is>
          <t>EHL0043</t>
        </is>
      </c>
      <c r="F866" t="inlineStr">
        <is>
          <t>SELETIVA</t>
        </is>
      </c>
      <c r="G866" t="inlineStr">
        <is>
          <t>G&amp;S PRUDENTE</t>
        </is>
      </c>
      <c r="H866" t="inlineStr">
        <is>
          <t>7.1.2</t>
        </is>
      </c>
      <c r="I866" t="inlineStr">
        <is>
          <t>MANUTENÇÃO DE VEÍCULOS/MAQUINAS</t>
        </is>
      </c>
      <c r="J866" t="n">
        <v>11356.89</v>
      </c>
      <c r="K866" t="n">
        <v>-11356.89</v>
      </c>
    </row>
    <row r="867" hidden="1" s="154">
      <c r="A867" t="n">
        <v>2025</v>
      </c>
      <c r="B867" t="inlineStr">
        <is>
          <t>2025-10</t>
        </is>
      </c>
      <c r="C867" t="inlineStr">
        <is>
          <t>Maringá</t>
        </is>
      </c>
      <c r="D867" t="inlineStr">
        <is>
          <t>LIEBHERR</t>
        </is>
      </c>
      <c r="E867" t="inlineStr">
        <is>
          <t>EHL0043</t>
        </is>
      </c>
      <c r="F867" t="inlineStr">
        <is>
          <t>SELETIVA</t>
        </is>
      </c>
      <c r="G867" t="inlineStr">
        <is>
          <t>CTA</t>
        </is>
      </c>
      <c r="H867" t="inlineStr">
        <is>
          <t>7.1.22</t>
        </is>
      </c>
      <c r="I867" t="inlineStr">
        <is>
          <t>COMBUSTÍVEL - DIESEL (INTERNO)</t>
        </is>
      </c>
      <c r="J867" t="n">
        <v>2787.59</v>
      </c>
      <c r="K867" t="n">
        <v>-2787.59</v>
      </c>
    </row>
    <row r="868" hidden="1" s="154">
      <c r="A868" t="n">
        <v>2025</v>
      </c>
      <c r="B868" t="inlineStr">
        <is>
          <t>2025-11</t>
        </is>
      </c>
      <c r="C868" t="inlineStr">
        <is>
          <t>Maringá</t>
        </is>
      </c>
      <c r="D868" t="inlineStr">
        <is>
          <t>LIEBHERR</t>
        </is>
      </c>
      <c r="E868" t="inlineStr">
        <is>
          <t>EHL0043</t>
        </is>
      </c>
      <c r="F868" t="inlineStr">
        <is>
          <t>SELETIVA</t>
        </is>
      </c>
      <c r="G868" t="inlineStr">
        <is>
          <t>G&amp;S MARINGA</t>
        </is>
      </c>
      <c r="H868" t="inlineStr">
        <is>
          <t>7.1.18</t>
        </is>
      </c>
      <c r="I868" t="inlineStr">
        <is>
          <t>FRETES E CARRETOS</t>
        </is>
      </c>
      <c r="J868" t="n">
        <v>2500</v>
      </c>
      <c r="K868" t="n">
        <v>-2500</v>
      </c>
    </row>
    <row r="869" hidden="1" s="154">
      <c r="A869" t="n">
        <v>2025</v>
      </c>
      <c r="B869" t="inlineStr">
        <is>
          <t>2025-11</t>
        </is>
      </c>
      <c r="C869" t="inlineStr">
        <is>
          <t>Maringá</t>
        </is>
      </c>
      <c r="D869" t="inlineStr">
        <is>
          <t>LIEBHERR</t>
        </is>
      </c>
      <c r="E869" t="inlineStr">
        <is>
          <t>EHL0043</t>
        </is>
      </c>
      <c r="F869" t="inlineStr">
        <is>
          <t>SELETIVA</t>
        </is>
      </c>
      <c r="G869" t="inlineStr">
        <is>
          <t>G&amp;S MARINGA</t>
        </is>
      </c>
      <c r="H869" t="inlineStr">
        <is>
          <t>7.1.18</t>
        </is>
      </c>
      <c r="I869" t="inlineStr">
        <is>
          <t>FRETES E CARRETOS</t>
        </is>
      </c>
      <c r="J869" t="n">
        <v>1250</v>
      </c>
      <c r="K869" t="n">
        <v>-1250</v>
      </c>
    </row>
    <row r="870" hidden="1" s="154">
      <c r="A870" t="n">
        <v>2025</v>
      </c>
      <c r="B870" t="inlineStr">
        <is>
          <t>2025-11</t>
        </is>
      </c>
      <c r="C870" t="inlineStr">
        <is>
          <t>Maringá</t>
        </is>
      </c>
      <c r="D870" t="inlineStr">
        <is>
          <t>LIEBHERR</t>
        </is>
      </c>
      <c r="E870" t="inlineStr">
        <is>
          <t>EHL0043</t>
        </is>
      </c>
      <c r="F870" t="inlineStr">
        <is>
          <t>SELETIVA</t>
        </is>
      </c>
      <c r="G870" t="inlineStr">
        <is>
          <t>G&amp;S PRUDENTE</t>
        </is>
      </c>
      <c r="H870" t="inlineStr">
        <is>
          <t>7.1.18</t>
        </is>
      </c>
      <c r="I870" t="inlineStr">
        <is>
          <t>FRETES E CARRETOS</t>
        </is>
      </c>
      <c r="J870" t="n">
        <v>96.59</v>
      </c>
      <c r="K870" t="n">
        <v>-96.59</v>
      </c>
    </row>
    <row r="871" hidden="1" s="154">
      <c r="A871" t="n">
        <v>2025</v>
      </c>
      <c r="B871" t="inlineStr">
        <is>
          <t>2025-11</t>
        </is>
      </c>
      <c r="C871" t="inlineStr">
        <is>
          <t>Maringá</t>
        </is>
      </c>
      <c r="D871" t="inlineStr">
        <is>
          <t>LIEBHERR</t>
        </is>
      </c>
      <c r="E871" t="inlineStr">
        <is>
          <t>EHL0043</t>
        </is>
      </c>
      <c r="F871" t="inlineStr">
        <is>
          <t>SELETIVA</t>
        </is>
      </c>
      <c r="G871" t="inlineStr">
        <is>
          <t>G&amp;S PRUDENTE</t>
        </is>
      </c>
      <c r="H871" t="inlineStr">
        <is>
          <t>7.1.2</t>
        </is>
      </c>
      <c r="I871" t="inlineStr">
        <is>
          <t>MANUTENÇÃO DE VEÍCULOS/MAQUINAS</t>
        </is>
      </c>
      <c r="J871" t="n">
        <v>17751.78</v>
      </c>
      <c r="K871" t="n">
        <v>-17751.78</v>
      </c>
    </row>
    <row r="872" hidden="1" s="154">
      <c r="A872" t="n">
        <v>2025</v>
      </c>
      <c r="B872" t="inlineStr">
        <is>
          <t>2025-11</t>
        </is>
      </c>
      <c r="C872" t="inlineStr">
        <is>
          <t>Maringá</t>
        </is>
      </c>
      <c r="D872" t="inlineStr">
        <is>
          <t>LIEBHERR</t>
        </is>
      </c>
      <c r="E872" t="inlineStr">
        <is>
          <t>EHL0043</t>
        </is>
      </c>
      <c r="F872" t="inlineStr">
        <is>
          <t>SELETIVA</t>
        </is>
      </c>
      <c r="G872" t="inlineStr">
        <is>
          <t>G&amp;S PRUDENTE</t>
        </is>
      </c>
      <c r="H872" t="inlineStr">
        <is>
          <t>7.1.2</t>
        </is>
      </c>
      <c r="I872" t="inlineStr">
        <is>
          <t>MANUTENÇÃO DE VEÍCULOS/MAQUINAS</t>
        </is>
      </c>
      <c r="J872" t="n">
        <v>381.46</v>
      </c>
      <c r="K872" t="n">
        <v>-381.46</v>
      </c>
    </row>
    <row r="873" hidden="1" s="154">
      <c r="A873" t="n">
        <v>2025</v>
      </c>
      <c r="B873" t="inlineStr">
        <is>
          <t>2025-11</t>
        </is>
      </c>
      <c r="C873" t="inlineStr">
        <is>
          <t>Maringá</t>
        </is>
      </c>
      <c r="D873" t="inlineStr">
        <is>
          <t>LIEBHERR</t>
        </is>
      </c>
      <c r="E873" t="inlineStr">
        <is>
          <t>EHL0043</t>
        </is>
      </c>
      <c r="F873" t="inlineStr">
        <is>
          <t>SELETIVA</t>
        </is>
      </c>
      <c r="G873" t="inlineStr">
        <is>
          <t>CTA</t>
        </is>
      </c>
      <c r="H873" t="inlineStr">
        <is>
          <t>7.1.22</t>
        </is>
      </c>
      <c r="I873" t="inlineStr">
        <is>
          <t>COMBUSTÍVEL - DIESEL (INTERNO)</t>
        </is>
      </c>
      <c r="J873" t="n">
        <v>4455.04</v>
      </c>
      <c r="K873" t="n">
        <v>-4455.04</v>
      </c>
    </row>
    <row r="874" hidden="1" s="154">
      <c r="A874" t="n">
        <v>2025</v>
      </c>
      <c r="B874" t="inlineStr">
        <is>
          <t>2025-12</t>
        </is>
      </c>
      <c r="C874" t="inlineStr">
        <is>
          <t>Maringá</t>
        </is>
      </c>
      <c r="D874" t="inlineStr">
        <is>
          <t>LIEBHERR</t>
        </is>
      </c>
      <c r="E874" t="inlineStr">
        <is>
          <t>EHL0043</t>
        </is>
      </c>
      <c r="F874" t="inlineStr">
        <is>
          <t>SELETIVA</t>
        </is>
      </c>
      <c r="G874" t="inlineStr">
        <is>
          <t>G&amp;S MARINGA</t>
        </is>
      </c>
      <c r="H874" t="inlineStr">
        <is>
          <t>7.1.2</t>
        </is>
      </c>
      <c r="I874" t="inlineStr">
        <is>
          <t>MANUTENÇÃO DE VEÍCULOS/MAQUINAS</t>
        </is>
      </c>
      <c r="J874" t="n">
        <v>800</v>
      </c>
      <c r="K874" t="n">
        <v>-800</v>
      </c>
    </row>
    <row r="875" hidden="1" s="154">
      <c r="A875" t="n">
        <v>2025</v>
      </c>
      <c r="B875" t="inlineStr">
        <is>
          <t>2025-12</t>
        </is>
      </c>
      <c r="C875" t="inlineStr">
        <is>
          <t>Maringá</t>
        </is>
      </c>
      <c r="D875" t="inlineStr">
        <is>
          <t>LIEBHERR</t>
        </is>
      </c>
      <c r="E875" t="inlineStr">
        <is>
          <t>EHL0043</t>
        </is>
      </c>
      <c r="F875" t="inlineStr">
        <is>
          <t>SELETIVA</t>
        </is>
      </c>
      <c r="G875" t="inlineStr">
        <is>
          <t>G&amp;S MARINGA</t>
        </is>
      </c>
      <c r="H875" t="inlineStr">
        <is>
          <t>7.1.2</t>
        </is>
      </c>
      <c r="I875" t="inlineStr">
        <is>
          <t>MANUTENÇÃO DE VEÍCULOS/MAQUINAS</t>
        </is>
      </c>
      <c r="J875" t="n">
        <v>280</v>
      </c>
      <c r="K875" t="n">
        <v>-280</v>
      </c>
    </row>
    <row r="876" hidden="1" s="154">
      <c r="A876" t="n">
        <v>2025</v>
      </c>
      <c r="B876" t="inlineStr">
        <is>
          <t>2025-12</t>
        </is>
      </c>
      <c r="C876" t="inlineStr">
        <is>
          <t>Maringá</t>
        </is>
      </c>
      <c r="D876" t="inlineStr">
        <is>
          <t>LIEBHERR</t>
        </is>
      </c>
      <c r="E876" t="inlineStr">
        <is>
          <t>EHL0043</t>
        </is>
      </c>
      <c r="F876" t="inlineStr">
        <is>
          <t>SELETIVA</t>
        </is>
      </c>
      <c r="G876" t="inlineStr">
        <is>
          <t>CTA</t>
        </is>
      </c>
      <c r="H876" t="inlineStr">
        <is>
          <t>7.1.22</t>
        </is>
      </c>
      <c r="I876" t="inlineStr">
        <is>
          <t>COMBUSTÍVEL - DIESEL (INTERNO)</t>
        </is>
      </c>
      <c r="J876" t="n">
        <v>3105.27</v>
      </c>
      <c r="K876" t="n">
        <v>-3105.27</v>
      </c>
    </row>
    <row r="877" hidden="1" s="154">
      <c r="A877" t="n">
        <v>2026</v>
      </c>
      <c r="B877" t="inlineStr">
        <is>
          <t>2026-01</t>
        </is>
      </c>
      <c r="C877" t="inlineStr">
        <is>
          <t>Maringá</t>
        </is>
      </c>
      <c r="D877" t="inlineStr">
        <is>
          <t>LIEBHERR</t>
        </is>
      </c>
      <c r="E877" t="inlineStr">
        <is>
          <t>EHL0043</t>
        </is>
      </c>
      <c r="F877" t="inlineStr">
        <is>
          <t>SELETIVA</t>
        </is>
      </c>
      <c r="G877" t="inlineStr">
        <is>
          <t>G&amp;S MARINGA</t>
        </is>
      </c>
      <c r="H877" t="inlineStr">
        <is>
          <t>7.1.2</t>
        </is>
      </c>
      <c r="I877" t="inlineStr">
        <is>
          <t>MANUTENÇÃO DE VEÍCULOS/MAQUINAS</t>
        </is>
      </c>
      <c r="J877" t="n">
        <v>1400</v>
      </c>
      <c r="K877" t="n">
        <v>-1400</v>
      </c>
    </row>
    <row r="878" hidden="1" s="154">
      <c r="A878" t="n">
        <v>2026</v>
      </c>
      <c r="B878" t="inlineStr">
        <is>
          <t>2026-01</t>
        </is>
      </c>
      <c r="C878" t="inlineStr">
        <is>
          <t>Maringá</t>
        </is>
      </c>
      <c r="D878" t="inlineStr">
        <is>
          <t>LIEBHERR</t>
        </is>
      </c>
      <c r="E878" t="inlineStr">
        <is>
          <t>EHL0043</t>
        </is>
      </c>
      <c r="F878" t="inlineStr">
        <is>
          <t>SELETIVA</t>
        </is>
      </c>
      <c r="G878" t="inlineStr">
        <is>
          <t>G&amp;S PRUDENTE</t>
        </is>
      </c>
      <c r="H878" t="inlineStr">
        <is>
          <t>7.1.2</t>
        </is>
      </c>
      <c r="I878" t="inlineStr">
        <is>
          <t>MANUTENÇÃO DE VEÍCULOS/MAQUINAS</t>
        </is>
      </c>
      <c r="J878" t="n">
        <v>1988</v>
      </c>
      <c r="K878" t="n">
        <v>-1988</v>
      </c>
    </row>
    <row r="879" hidden="1" s="154">
      <c r="A879" t="n">
        <v>2026</v>
      </c>
      <c r="B879" t="inlineStr">
        <is>
          <t>2026-01</t>
        </is>
      </c>
      <c r="C879" t="inlineStr">
        <is>
          <t>Maringá</t>
        </is>
      </c>
      <c r="D879" t="inlineStr">
        <is>
          <t>LIEBHERR</t>
        </is>
      </c>
      <c r="E879" t="inlineStr">
        <is>
          <t>EHL0043</t>
        </is>
      </c>
      <c r="F879" t="inlineStr">
        <is>
          <t>SELETIVA</t>
        </is>
      </c>
      <c r="G879" t="inlineStr">
        <is>
          <t>G&amp;S PRUDENTE</t>
        </is>
      </c>
      <c r="H879" t="inlineStr">
        <is>
          <t>7.1.18</t>
        </is>
      </c>
      <c r="I879" t="inlineStr">
        <is>
          <t>FRETES E CARRETOS</t>
        </is>
      </c>
      <c r="J879" t="n">
        <v>68.59999999999999</v>
      </c>
      <c r="K879" t="n">
        <v>-68.59999999999999</v>
      </c>
    </row>
    <row r="880" hidden="1" s="154">
      <c r="A880" t="n">
        <v>2026</v>
      </c>
      <c r="B880" t="inlineStr">
        <is>
          <t>2026-01</t>
        </is>
      </c>
      <c r="C880" t="inlineStr">
        <is>
          <t>Maringá</t>
        </is>
      </c>
      <c r="D880" t="inlineStr">
        <is>
          <t>LIEBHERR</t>
        </is>
      </c>
      <c r="E880" t="inlineStr">
        <is>
          <t>EHL0043</t>
        </is>
      </c>
      <c r="F880" t="inlineStr">
        <is>
          <t>SELETIVA</t>
        </is>
      </c>
      <c r="G880" t="inlineStr">
        <is>
          <t>G&amp;S MARINGA</t>
        </is>
      </c>
      <c r="H880" t="inlineStr">
        <is>
          <t>7.1.18</t>
        </is>
      </c>
      <c r="I880" t="inlineStr">
        <is>
          <t>FRETES E CARRETOS</t>
        </is>
      </c>
      <c r="J880" t="n">
        <v>310.91</v>
      </c>
      <c r="K880" t="n">
        <v>-310.91</v>
      </c>
    </row>
    <row r="881" hidden="1" s="154">
      <c r="A881" t="n">
        <v>2026</v>
      </c>
      <c r="B881" t="inlineStr">
        <is>
          <t>2026-01</t>
        </is>
      </c>
      <c r="C881" t="inlineStr">
        <is>
          <t>Maringá</t>
        </is>
      </c>
      <c r="D881" t="inlineStr">
        <is>
          <t>LIEBHERR</t>
        </is>
      </c>
      <c r="E881" t="inlineStr">
        <is>
          <t>EHL0043</t>
        </is>
      </c>
      <c r="F881" t="inlineStr">
        <is>
          <t>SELETIVA</t>
        </is>
      </c>
      <c r="G881" t="inlineStr">
        <is>
          <t>G&amp;S MARINGA</t>
        </is>
      </c>
      <c r="H881" t="inlineStr">
        <is>
          <t>7.1.2</t>
        </is>
      </c>
      <c r="I881" t="inlineStr">
        <is>
          <t>MANUTENÇÃO DE VEÍCULOS/MAQUINAS</t>
        </is>
      </c>
      <c r="J881" t="n">
        <v>6733.91</v>
      </c>
      <c r="K881" t="n">
        <v>-6733.91</v>
      </c>
    </row>
    <row r="882" hidden="1" s="154">
      <c r="A882" t="n">
        <v>2026</v>
      </c>
      <c r="B882" t="inlineStr">
        <is>
          <t>2026-01</t>
        </is>
      </c>
      <c r="C882" t="inlineStr">
        <is>
          <t>Maringá</t>
        </is>
      </c>
      <c r="D882" t="inlineStr">
        <is>
          <t>LIEBHERR</t>
        </is>
      </c>
      <c r="E882" t="inlineStr">
        <is>
          <t>EHL0043</t>
        </is>
      </c>
      <c r="F882" t="inlineStr">
        <is>
          <t>SELETIVA</t>
        </is>
      </c>
      <c r="G882" t="inlineStr">
        <is>
          <t>G&amp;S MARINGA</t>
        </is>
      </c>
      <c r="H882" t="inlineStr">
        <is>
          <t>7.1.2</t>
        </is>
      </c>
      <c r="I882" t="inlineStr">
        <is>
          <t>MANUTENÇÃO DE VEÍCULOS/MAQUINAS</t>
        </is>
      </c>
      <c r="J882" t="n">
        <v>7765.61</v>
      </c>
      <c r="K882" t="n">
        <v>-7765.61</v>
      </c>
    </row>
    <row r="883" hidden="1" s="154">
      <c r="A883" t="n">
        <v>2026</v>
      </c>
      <c r="B883" t="inlineStr">
        <is>
          <t>2026-02</t>
        </is>
      </c>
      <c r="C883" t="inlineStr">
        <is>
          <t>Maringá</t>
        </is>
      </c>
      <c r="D883" t="inlineStr">
        <is>
          <t>LIEBHERR</t>
        </is>
      </c>
      <c r="E883" t="inlineStr">
        <is>
          <t>EHL0043</t>
        </is>
      </c>
      <c r="F883" t="inlineStr">
        <is>
          <t>SELETIVA</t>
        </is>
      </c>
      <c r="G883" t="inlineStr">
        <is>
          <t>G&amp;S MARINGA</t>
        </is>
      </c>
      <c r="H883" t="inlineStr">
        <is>
          <t>7.1.2</t>
        </is>
      </c>
      <c r="I883" t="inlineStr">
        <is>
          <t>MANUTENÇÃO DE VEÍCULOS/MAQUINAS</t>
        </is>
      </c>
      <c r="J883" t="n">
        <v>3075</v>
      </c>
      <c r="K883" t="n">
        <v>-3075</v>
      </c>
    </row>
    <row r="884" hidden="1" s="154">
      <c r="A884" t="n">
        <v>2026</v>
      </c>
      <c r="B884" t="inlineStr">
        <is>
          <t>2026-02</t>
        </is>
      </c>
      <c r="C884" t="inlineStr">
        <is>
          <t>Maringá</t>
        </is>
      </c>
      <c r="D884" t="inlineStr">
        <is>
          <t>LIEBHERR</t>
        </is>
      </c>
      <c r="E884" t="inlineStr">
        <is>
          <t>EHL0043</t>
        </is>
      </c>
      <c r="F884" t="inlineStr">
        <is>
          <t>SELETIVA</t>
        </is>
      </c>
      <c r="G884" t="inlineStr">
        <is>
          <t>G&amp;S MARINGA</t>
        </is>
      </c>
      <c r="H884" t="inlineStr">
        <is>
          <t>7.1.2</t>
        </is>
      </c>
      <c r="I884" t="inlineStr">
        <is>
          <t>MANUTENÇÃO DE VEÍCULOS/MAQUINAS</t>
        </is>
      </c>
      <c r="J884" t="n">
        <v>527.4</v>
      </c>
      <c r="K884" t="n">
        <v>-527.4</v>
      </c>
    </row>
    <row r="885" hidden="1" s="154">
      <c r="A885" t="n">
        <v>2026</v>
      </c>
      <c r="B885" t="inlineStr">
        <is>
          <t>2026-02</t>
        </is>
      </c>
      <c r="C885" t="inlineStr">
        <is>
          <t>Maringá</t>
        </is>
      </c>
      <c r="D885" t="inlineStr">
        <is>
          <t>LIEBHERR</t>
        </is>
      </c>
      <c r="E885" t="inlineStr">
        <is>
          <t>EHL0043</t>
        </is>
      </c>
      <c r="F885" t="inlineStr">
        <is>
          <t>SELETIVA</t>
        </is>
      </c>
      <c r="G885" t="inlineStr">
        <is>
          <t>G3S MARINGA</t>
        </is>
      </c>
      <c r="H885" t="inlineStr">
        <is>
          <t>7.1.2</t>
        </is>
      </c>
      <c r="I885" t="inlineStr">
        <is>
          <t>MANUTENÇÃO DE VEÍCULOS/MAQUINAS</t>
        </is>
      </c>
      <c r="J885" t="n">
        <v>179.25</v>
      </c>
      <c r="K885" t="n">
        <v>-179.25</v>
      </c>
    </row>
    <row r="886" hidden="1" s="154">
      <c r="A886" t="n">
        <v>2026</v>
      </c>
      <c r="B886" t="inlineStr">
        <is>
          <t>2026-02</t>
        </is>
      </c>
      <c r="C886" t="inlineStr">
        <is>
          <t>Maringá</t>
        </is>
      </c>
      <c r="D886" t="inlineStr">
        <is>
          <t>LIEBHERR</t>
        </is>
      </c>
      <c r="E886" t="inlineStr">
        <is>
          <t>EHL0043</t>
        </is>
      </c>
      <c r="F886" t="inlineStr">
        <is>
          <t>SELETIVA</t>
        </is>
      </c>
      <c r="G886" t="inlineStr">
        <is>
          <t>G&amp;S MARINGA</t>
        </is>
      </c>
      <c r="H886" t="inlineStr">
        <is>
          <t>7.1.2</t>
        </is>
      </c>
      <c r="I886" t="inlineStr">
        <is>
          <t>MANUTENÇÃO DE VEÍCULOS/MAQUINAS</t>
        </is>
      </c>
      <c r="J886" t="n">
        <v>90</v>
      </c>
      <c r="K886" t="n">
        <v>-90</v>
      </c>
    </row>
    <row r="887" hidden="1" s="154">
      <c r="A887" t="n">
        <v>2026</v>
      </c>
      <c r="B887" t="inlineStr">
        <is>
          <t>2026-03</t>
        </is>
      </c>
      <c r="C887" t="inlineStr">
        <is>
          <t>Maringá</t>
        </is>
      </c>
      <c r="D887" t="inlineStr">
        <is>
          <t>LIEBHERR</t>
        </is>
      </c>
      <c r="E887" t="inlineStr">
        <is>
          <t>EHL0043</t>
        </is>
      </c>
      <c r="F887" t="inlineStr">
        <is>
          <t>SELETIVA</t>
        </is>
      </c>
      <c r="G887" t="inlineStr">
        <is>
          <t>G&amp;S MARINGA</t>
        </is>
      </c>
      <c r="H887" t="inlineStr">
        <is>
          <t>7.1.2</t>
        </is>
      </c>
      <c r="I887" t="inlineStr">
        <is>
          <t>MANUTENÇÃO DE VEÍCULOS/MAQUINAS</t>
        </is>
      </c>
      <c r="J887" t="n">
        <v>9301.790000000001</v>
      </c>
      <c r="K887" t="n">
        <v>-9301.790000000001</v>
      </c>
    </row>
    <row r="888" hidden="1" s="154">
      <c r="A888" t="n">
        <v>2026</v>
      </c>
      <c r="B888" t="inlineStr">
        <is>
          <t>2026-03</t>
        </is>
      </c>
      <c r="C888" t="inlineStr">
        <is>
          <t>Maringá</t>
        </is>
      </c>
      <c r="D888" t="inlineStr">
        <is>
          <t>LIEBHERR</t>
        </is>
      </c>
      <c r="E888" t="inlineStr">
        <is>
          <t>EHL0043</t>
        </is>
      </c>
      <c r="F888" t="inlineStr">
        <is>
          <t>SELETIVA</t>
        </is>
      </c>
      <c r="G888" t="inlineStr">
        <is>
          <t>G&amp;S MARINGA</t>
        </is>
      </c>
      <c r="H888" t="inlineStr">
        <is>
          <t>7.1.2</t>
        </is>
      </c>
      <c r="I888" t="inlineStr">
        <is>
          <t>MANUTENÇÃO DE VEÍCULOS/MAQUINAS</t>
        </is>
      </c>
      <c r="J888" t="n">
        <v>533.33</v>
      </c>
      <c r="K888" t="n">
        <v>-533.33</v>
      </c>
    </row>
    <row r="889" hidden="1" s="154">
      <c r="A889" t="n">
        <v>2026</v>
      </c>
      <c r="B889" t="inlineStr">
        <is>
          <t>2026-03</t>
        </is>
      </c>
      <c r="C889" t="inlineStr">
        <is>
          <t>Maringá</t>
        </is>
      </c>
      <c r="D889" t="inlineStr">
        <is>
          <t>LIEBHERR</t>
        </is>
      </c>
      <c r="E889" t="inlineStr">
        <is>
          <t>EHL0043</t>
        </is>
      </c>
      <c r="F889" t="inlineStr">
        <is>
          <t>SELETIVA</t>
        </is>
      </c>
      <c r="G889" t="inlineStr">
        <is>
          <t>G&amp;S MARINGA</t>
        </is>
      </c>
      <c r="H889" t="inlineStr">
        <is>
          <t>7.1.2</t>
        </is>
      </c>
      <c r="I889" t="inlineStr">
        <is>
          <t>MANUTENÇÃO DE VEÍCULOS/MAQUINAS</t>
        </is>
      </c>
      <c r="J889" t="n">
        <v>533.33</v>
      </c>
      <c r="K889" t="n">
        <v>-533.33</v>
      </c>
    </row>
    <row r="890" hidden="1" s="154">
      <c r="A890" t="n">
        <v>2026</v>
      </c>
      <c r="B890" t="inlineStr">
        <is>
          <t>2026-03</t>
        </is>
      </c>
      <c r="C890" t="inlineStr">
        <is>
          <t>Maringá</t>
        </is>
      </c>
      <c r="D890" t="inlineStr">
        <is>
          <t>LIEBHERR</t>
        </is>
      </c>
      <c r="E890" t="inlineStr">
        <is>
          <t>EHL0043</t>
        </is>
      </c>
      <c r="F890" t="inlineStr">
        <is>
          <t>SELETIVA</t>
        </is>
      </c>
      <c r="G890" t="inlineStr">
        <is>
          <t>G&amp;S MARINGA</t>
        </is>
      </c>
      <c r="H890" t="inlineStr">
        <is>
          <t>7.1.2</t>
        </is>
      </c>
      <c r="I890" t="inlineStr">
        <is>
          <t>MANUTENÇÃO DE VEÍCULOS/MAQUINAS</t>
        </is>
      </c>
      <c r="J890" t="n">
        <v>5800</v>
      </c>
      <c r="K890" t="n">
        <v>-5800</v>
      </c>
    </row>
    <row r="891" hidden="1" s="154">
      <c r="A891" t="n">
        <v>2026</v>
      </c>
      <c r="B891" t="inlineStr">
        <is>
          <t>2026-03</t>
        </is>
      </c>
      <c r="C891" t="inlineStr">
        <is>
          <t>Maringá</t>
        </is>
      </c>
      <c r="D891" t="inlineStr">
        <is>
          <t>LIEBHERR</t>
        </is>
      </c>
      <c r="E891" t="inlineStr">
        <is>
          <t>EHL0043</t>
        </is>
      </c>
      <c r="F891" t="inlineStr">
        <is>
          <t>SELETIVA</t>
        </is>
      </c>
      <c r="G891" t="inlineStr">
        <is>
          <t>G&amp;S PRUDENTE</t>
        </is>
      </c>
      <c r="H891" t="inlineStr">
        <is>
          <t>7.1.2</t>
        </is>
      </c>
      <c r="I891" t="inlineStr">
        <is>
          <t>MANUTENÇÃO DE VEÍCULOS/MAQUINAS</t>
        </is>
      </c>
      <c r="J891" t="n">
        <v>3400</v>
      </c>
      <c r="K891" t="n">
        <v>-3400</v>
      </c>
    </row>
    <row r="892" hidden="1" s="154">
      <c r="A892" t="n">
        <v>2026</v>
      </c>
      <c r="B892" t="inlineStr">
        <is>
          <t>2026-03</t>
        </is>
      </c>
      <c r="C892" t="inlineStr">
        <is>
          <t>Maringá</t>
        </is>
      </c>
      <c r="D892" t="inlineStr">
        <is>
          <t>LIEBHERR</t>
        </is>
      </c>
      <c r="E892" t="inlineStr">
        <is>
          <t>EHL0043</t>
        </is>
      </c>
      <c r="F892" t="inlineStr">
        <is>
          <t>SELETIVA</t>
        </is>
      </c>
      <c r="G892" t="inlineStr">
        <is>
          <t>G&amp;S MARINGA</t>
        </is>
      </c>
      <c r="H892" t="inlineStr">
        <is>
          <t>7.1.2</t>
        </is>
      </c>
      <c r="I892" t="inlineStr">
        <is>
          <t>MANUTENÇÃO DE VEÍCULOS/MAQUINAS</t>
        </is>
      </c>
      <c r="J892" t="n">
        <v>4300</v>
      </c>
      <c r="K892" t="n">
        <v>-4300</v>
      </c>
    </row>
    <row r="893" hidden="1" s="154">
      <c r="A893" t="n">
        <v>2026</v>
      </c>
      <c r="B893" t="inlineStr">
        <is>
          <t>2026-03</t>
        </is>
      </c>
      <c r="C893" t="inlineStr">
        <is>
          <t>Maringá</t>
        </is>
      </c>
      <c r="D893" t="inlineStr">
        <is>
          <t>LIEBHERR</t>
        </is>
      </c>
      <c r="E893" t="inlineStr">
        <is>
          <t>EHL0043</t>
        </is>
      </c>
      <c r="F893" t="inlineStr">
        <is>
          <t>SELETIVA</t>
        </is>
      </c>
      <c r="G893" t="inlineStr">
        <is>
          <t>G3S MARINGA</t>
        </is>
      </c>
      <c r="H893" t="inlineStr">
        <is>
          <t>7.1.2</t>
        </is>
      </c>
      <c r="I893" t="inlineStr">
        <is>
          <t>MANUTENÇÃO DE VEÍCULOS/MAQUINAS</t>
        </is>
      </c>
      <c r="J893" t="n">
        <v>130</v>
      </c>
      <c r="K893" t="n">
        <v>-130</v>
      </c>
    </row>
    <row r="894" hidden="1" s="154">
      <c r="A894" t="n">
        <v>2025</v>
      </c>
      <c r="B894" t="inlineStr">
        <is>
          <t>2025-11</t>
        </is>
      </c>
      <c r="C894" t="inlineStr">
        <is>
          <t>Maringá</t>
        </is>
      </c>
      <c r="D894" t="inlineStr">
        <is>
          <t>LIEBHERR</t>
        </is>
      </c>
      <c r="E894" t="inlineStr">
        <is>
          <t>EHL0070</t>
        </is>
      </c>
      <c r="F894" t="inlineStr">
        <is>
          <t>EKIPA LOCACOES RSE</t>
        </is>
      </c>
      <c r="G894" t="inlineStr">
        <is>
          <t>G&amp;S PRUDENTE</t>
        </is>
      </c>
      <c r="H894" t="inlineStr">
        <is>
          <t>7.1.2</t>
        </is>
      </c>
      <c r="I894" t="inlineStr">
        <is>
          <t>MANUTENÇÃO DE VEÍCULOS/MAQUINAS</t>
        </is>
      </c>
      <c r="J894" t="n">
        <v>400</v>
      </c>
      <c r="K894" t="n">
        <v>-400</v>
      </c>
    </row>
    <row r="895" hidden="1" s="154">
      <c r="A895" t="n">
        <v>2025</v>
      </c>
      <c r="B895" t="inlineStr">
        <is>
          <t>2025-01</t>
        </is>
      </c>
      <c r="C895" t="inlineStr">
        <is>
          <t>Matheus</t>
        </is>
      </c>
      <c r="D895" t="inlineStr">
        <is>
          <t>HYUNDAI</t>
        </is>
      </c>
      <c r="E895" t="inlineStr">
        <is>
          <t>EHH0007</t>
        </is>
      </c>
      <c r="F895" t="inlineStr">
        <is>
          <t>SELETIVA</t>
        </is>
      </c>
      <c r="G895" t="inlineStr">
        <is>
          <t>G&amp;G MATRIZ</t>
        </is>
      </c>
      <c r="H895" t="inlineStr">
        <is>
          <t>7.1.1</t>
        </is>
      </c>
      <c r="I895" t="inlineStr">
        <is>
          <t>PEÇAS DE MANUTENÇÃO</t>
        </is>
      </c>
      <c r="J895" t="n">
        <v>1640</v>
      </c>
      <c r="K895" t="n">
        <v>1640</v>
      </c>
    </row>
    <row r="896" hidden="1" s="154">
      <c r="A896" t="n">
        <v>2025</v>
      </c>
      <c r="B896" t="inlineStr">
        <is>
          <t>2025-05</t>
        </is>
      </c>
      <c r="C896" t="inlineStr">
        <is>
          <t>Matheus</t>
        </is>
      </c>
      <c r="D896" t="inlineStr">
        <is>
          <t>HYUNDAI</t>
        </is>
      </c>
      <c r="E896" t="inlineStr">
        <is>
          <t>EHH0007</t>
        </is>
      </c>
      <c r="F896" t="inlineStr">
        <is>
          <t>SELETIVA</t>
        </is>
      </c>
      <c r="G896" t="inlineStr">
        <is>
          <t>G&amp;G MATRIZ</t>
        </is>
      </c>
      <c r="H896" t="inlineStr">
        <is>
          <t>7.1.1</t>
        </is>
      </c>
      <c r="I896" t="inlineStr">
        <is>
          <t>PEÇAS DE MANUTENÇÃO</t>
        </is>
      </c>
      <c r="J896" t="n">
        <v>41.59</v>
      </c>
      <c r="K896" t="n">
        <v>41.59</v>
      </c>
    </row>
    <row r="897" hidden="1" s="154">
      <c r="A897" t="n">
        <v>2025</v>
      </c>
      <c r="B897" t="inlineStr">
        <is>
          <t>2025-05</t>
        </is>
      </c>
      <c r="C897" t="inlineStr">
        <is>
          <t>Matheus</t>
        </is>
      </c>
      <c r="D897" t="inlineStr">
        <is>
          <t>HYUNDAI</t>
        </is>
      </c>
      <c r="E897" t="inlineStr">
        <is>
          <t>EHH0007</t>
        </is>
      </c>
      <c r="F897" t="inlineStr">
        <is>
          <t>SELETIVA</t>
        </is>
      </c>
      <c r="G897" t="inlineStr">
        <is>
          <t>G&amp;G MATRIZ</t>
        </is>
      </c>
      <c r="H897" t="inlineStr">
        <is>
          <t>7.1.1</t>
        </is>
      </c>
      <c r="I897" t="inlineStr">
        <is>
          <t>PEÇAS DE MANUTENÇÃO</t>
        </is>
      </c>
      <c r="J897" t="n">
        <v>15</v>
      </c>
      <c r="K897" t="n">
        <v>15</v>
      </c>
    </row>
    <row r="898" hidden="1" s="154">
      <c r="A898" t="n">
        <v>2025</v>
      </c>
      <c r="B898" t="inlineStr">
        <is>
          <t>2025-05</t>
        </is>
      </c>
      <c r="C898" t="inlineStr">
        <is>
          <t>Matheus</t>
        </is>
      </c>
      <c r="D898" t="inlineStr">
        <is>
          <t>HYUNDAI</t>
        </is>
      </c>
      <c r="E898" t="inlineStr">
        <is>
          <t>EHH0007</t>
        </is>
      </c>
      <c r="F898" t="inlineStr">
        <is>
          <t>SELETIVA</t>
        </is>
      </c>
      <c r="G898" t="inlineStr">
        <is>
          <t>G&amp;G MATRIZ</t>
        </is>
      </c>
      <c r="H898" t="inlineStr">
        <is>
          <t>7.1.1</t>
        </is>
      </c>
      <c r="I898" t="inlineStr">
        <is>
          <t>PEÇAS DE MANUTENÇÃO</t>
        </is>
      </c>
      <c r="J898" t="n">
        <v>209.36</v>
      </c>
      <c r="K898" t="n">
        <v>209.36</v>
      </c>
    </row>
    <row r="899" hidden="1" s="154">
      <c r="A899" t="n">
        <v>2025</v>
      </c>
      <c r="B899" t="inlineStr">
        <is>
          <t>2025-05</t>
        </is>
      </c>
      <c r="C899" t="inlineStr">
        <is>
          <t>Matheus</t>
        </is>
      </c>
      <c r="D899" t="inlineStr">
        <is>
          <t>HYUNDAI</t>
        </is>
      </c>
      <c r="E899" t="inlineStr">
        <is>
          <t>EHH0007</t>
        </is>
      </c>
      <c r="F899" t="inlineStr">
        <is>
          <t>SELETIVA</t>
        </is>
      </c>
      <c r="G899" t="inlineStr">
        <is>
          <t>G&amp;G MATRIZ</t>
        </is>
      </c>
      <c r="H899" t="inlineStr">
        <is>
          <t>7.1.1</t>
        </is>
      </c>
      <c r="I899" t="inlineStr">
        <is>
          <t>PEÇAS DE MANUTENÇÃO</t>
        </is>
      </c>
      <c r="J899" t="n">
        <v>294</v>
      </c>
      <c r="K899" t="n">
        <v>294</v>
      </c>
    </row>
    <row r="900" hidden="1" s="154">
      <c r="A900" t="n">
        <v>2025</v>
      </c>
      <c r="B900" t="inlineStr">
        <is>
          <t>2025-05</t>
        </is>
      </c>
      <c r="C900" t="inlineStr">
        <is>
          <t>Matheus</t>
        </is>
      </c>
      <c r="D900" t="inlineStr">
        <is>
          <t>HYUNDAI</t>
        </is>
      </c>
      <c r="E900" t="inlineStr">
        <is>
          <t>EHH0007</t>
        </is>
      </c>
      <c r="F900" t="inlineStr">
        <is>
          <t>SELETIVA</t>
        </is>
      </c>
      <c r="G900" t="inlineStr">
        <is>
          <t>G&amp;G MATRIZ</t>
        </is>
      </c>
      <c r="H900" t="inlineStr">
        <is>
          <t>7.1.22</t>
        </is>
      </c>
      <c r="I900" t="inlineStr">
        <is>
          <t>COMBUSTÍVEL - DIESEL (INTERNO)</t>
        </is>
      </c>
      <c r="J900" t="n">
        <v>1456</v>
      </c>
      <c r="K900" t="n">
        <v>1456</v>
      </c>
    </row>
    <row r="901" hidden="1" s="154">
      <c r="A901" t="n">
        <v>2025</v>
      </c>
      <c r="B901" t="inlineStr">
        <is>
          <t>2025-05</t>
        </is>
      </c>
      <c r="C901" t="inlineStr">
        <is>
          <t>Matheus</t>
        </is>
      </c>
      <c r="D901" t="inlineStr">
        <is>
          <t>HYUNDAI</t>
        </is>
      </c>
      <c r="E901" t="inlineStr">
        <is>
          <t>EHH0007</t>
        </is>
      </c>
      <c r="F901" t="inlineStr">
        <is>
          <t>SELETIVA</t>
        </is>
      </c>
      <c r="G901" t="inlineStr">
        <is>
          <t>G&amp;G MATRIZ</t>
        </is>
      </c>
      <c r="H901" t="inlineStr">
        <is>
          <t>7.1.4</t>
        </is>
      </c>
      <c r="I901" t="inlineStr">
        <is>
          <t>COMBUSTÍVEL - DIESEL (POSTO)</t>
        </is>
      </c>
      <c r="J901" t="n">
        <v>1943.4</v>
      </c>
      <c r="K901" t="n">
        <v>1943.4</v>
      </c>
    </row>
    <row r="902" hidden="1" s="154">
      <c r="A902" t="n">
        <v>2025</v>
      </c>
      <c r="B902" t="inlineStr">
        <is>
          <t>2025-05</t>
        </is>
      </c>
      <c r="C902" t="inlineStr">
        <is>
          <t>Matheus</t>
        </is>
      </c>
      <c r="D902" t="inlineStr">
        <is>
          <t>HYUNDAI</t>
        </is>
      </c>
      <c r="E902" t="inlineStr">
        <is>
          <t>EHH0007</t>
        </is>
      </c>
      <c r="F902" t="inlineStr">
        <is>
          <t>SELETIVA</t>
        </is>
      </c>
      <c r="G902" t="inlineStr">
        <is>
          <t>G&amp;G MATRIZ</t>
        </is>
      </c>
      <c r="H902" t="inlineStr">
        <is>
          <t>7.1.1</t>
        </is>
      </c>
      <c r="I902" t="inlineStr">
        <is>
          <t>PEÇAS DE MANUTENÇÃO</t>
        </is>
      </c>
      <c r="J902" t="n">
        <v>673.77</v>
      </c>
      <c r="K902" t="n">
        <v>673.77</v>
      </c>
    </row>
    <row r="903" hidden="1" s="154">
      <c r="A903" t="n">
        <v>2025</v>
      </c>
      <c r="B903" t="inlineStr">
        <is>
          <t>2025-05</t>
        </is>
      </c>
      <c r="C903" t="inlineStr">
        <is>
          <t>Matheus</t>
        </is>
      </c>
      <c r="D903" t="inlineStr">
        <is>
          <t>HYUNDAI</t>
        </is>
      </c>
      <c r="E903" t="inlineStr">
        <is>
          <t>EHH0007</t>
        </is>
      </c>
      <c r="F903" t="inlineStr">
        <is>
          <t>SELETIVA</t>
        </is>
      </c>
      <c r="G903" t="inlineStr">
        <is>
          <t>G&amp;G MATRIZ</t>
        </is>
      </c>
      <c r="H903" t="inlineStr">
        <is>
          <t>7.1.1</t>
        </is>
      </c>
      <c r="I903" t="inlineStr">
        <is>
          <t>PEÇAS DE MANUTENÇÃO</t>
        </is>
      </c>
      <c r="J903" t="n">
        <v>7.09</v>
      </c>
      <c r="K903" t="n">
        <v>7.09</v>
      </c>
    </row>
    <row r="904" hidden="1" s="154">
      <c r="A904" t="n">
        <v>2025</v>
      </c>
      <c r="B904" t="inlineStr">
        <is>
          <t>2025-05</t>
        </is>
      </c>
      <c r="C904" t="inlineStr">
        <is>
          <t>Matheus</t>
        </is>
      </c>
      <c r="D904" t="inlineStr">
        <is>
          <t>HYUNDAI</t>
        </is>
      </c>
      <c r="E904" t="inlineStr">
        <is>
          <t>EHH0007</t>
        </is>
      </c>
      <c r="F904" t="inlineStr">
        <is>
          <t>SELETIVA</t>
        </is>
      </c>
      <c r="G904" t="inlineStr">
        <is>
          <t>G&amp;G MATRIZ</t>
        </is>
      </c>
      <c r="H904" t="inlineStr">
        <is>
          <t>7.1.1</t>
        </is>
      </c>
      <c r="I904" t="inlineStr">
        <is>
          <t>PEÇAS DE MANUTENÇÃO</t>
        </is>
      </c>
      <c r="J904" t="n">
        <v>35.2</v>
      </c>
      <c r="K904" t="n">
        <v>35.2</v>
      </c>
    </row>
    <row r="905" hidden="1" s="154">
      <c r="A905" t="n">
        <v>2025</v>
      </c>
      <c r="B905" t="inlineStr">
        <is>
          <t>2025-05</t>
        </is>
      </c>
      <c r="C905" t="inlineStr">
        <is>
          <t>Matheus</t>
        </is>
      </c>
      <c r="D905" t="inlineStr">
        <is>
          <t>HYUNDAI</t>
        </is>
      </c>
      <c r="E905" t="inlineStr">
        <is>
          <t>EHH0007</t>
        </is>
      </c>
      <c r="F905" t="inlineStr">
        <is>
          <t>SELETIVA</t>
        </is>
      </c>
      <c r="G905" t="inlineStr">
        <is>
          <t>G&amp;G MATRIZ</t>
        </is>
      </c>
      <c r="H905" t="inlineStr">
        <is>
          <t>7.1.1</t>
        </is>
      </c>
      <c r="I905" t="inlineStr">
        <is>
          <t>PEÇAS DE MANUTENÇÃO</t>
        </is>
      </c>
      <c r="J905" t="n">
        <v>34.4</v>
      </c>
      <c r="K905" t="n">
        <v>34.4</v>
      </c>
    </row>
    <row r="906" hidden="1" s="154">
      <c r="A906" t="n">
        <v>2025</v>
      </c>
      <c r="B906" t="inlineStr">
        <is>
          <t>2025-05</t>
        </is>
      </c>
      <c r="C906" t="inlineStr">
        <is>
          <t>Matheus</t>
        </is>
      </c>
      <c r="D906" t="inlineStr">
        <is>
          <t>HYUNDAI</t>
        </is>
      </c>
      <c r="E906" t="inlineStr">
        <is>
          <t>EHH0007</t>
        </is>
      </c>
      <c r="F906" t="inlineStr">
        <is>
          <t>SELETIVA</t>
        </is>
      </c>
      <c r="G906" t="inlineStr">
        <is>
          <t>G&amp;G MATRIZ</t>
        </is>
      </c>
      <c r="H906" t="inlineStr">
        <is>
          <t>7.1.1</t>
        </is>
      </c>
      <c r="I906" t="inlineStr">
        <is>
          <t>PEÇAS DE MANUTENÇÃO</t>
        </is>
      </c>
      <c r="J906" t="n">
        <v>27.62</v>
      </c>
      <c r="K906" t="n">
        <v>27.62</v>
      </c>
    </row>
    <row r="907" hidden="1" s="154">
      <c r="A907" t="n">
        <v>2025</v>
      </c>
      <c r="B907" t="inlineStr">
        <is>
          <t>2025-05</t>
        </is>
      </c>
      <c r="C907" t="inlineStr">
        <is>
          <t>Matheus</t>
        </is>
      </c>
      <c r="D907" t="inlineStr">
        <is>
          <t>HYUNDAI</t>
        </is>
      </c>
      <c r="E907" t="inlineStr">
        <is>
          <t>EHH0007</t>
        </is>
      </c>
      <c r="F907" t="inlineStr">
        <is>
          <t>SELETIVA</t>
        </is>
      </c>
      <c r="G907" t="inlineStr">
        <is>
          <t>G&amp;G MATRIZ</t>
        </is>
      </c>
      <c r="H907" t="inlineStr">
        <is>
          <t>7.1.1</t>
        </is>
      </c>
      <c r="I907" t="inlineStr">
        <is>
          <t>PEÇAS DE MANUTENÇÃO</t>
        </is>
      </c>
      <c r="J907" t="n">
        <v>34.08</v>
      </c>
      <c r="K907" t="n">
        <v>34.08</v>
      </c>
    </row>
    <row r="908" hidden="1" s="154">
      <c r="A908" t="n">
        <v>2025</v>
      </c>
      <c r="B908" t="inlineStr">
        <is>
          <t>2025-05</t>
        </is>
      </c>
      <c r="C908" t="inlineStr">
        <is>
          <t>Matheus</t>
        </is>
      </c>
      <c r="D908" t="inlineStr">
        <is>
          <t>HYUNDAI</t>
        </is>
      </c>
      <c r="E908" t="inlineStr">
        <is>
          <t>EHH0007</t>
        </is>
      </c>
      <c r="F908" t="inlineStr">
        <is>
          <t>SELETIVA</t>
        </is>
      </c>
      <c r="G908" t="inlineStr">
        <is>
          <t>G&amp;G MATRIZ</t>
        </is>
      </c>
      <c r="H908" t="inlineStr">
        <is>
          <t>7.1.1</t>
        </is>
      </c>
      <c r="I908" t="inlineStr">
        <is>
          <t>PEÇAS DE MANUTENÇÃO</t>
        </is>
      </c>
      <c r="J908" t="n">
        <v>1268</v>
      </c>
      <c r="K908" t="n">
        <v>1268</v>
      </c>
    </row>
    <row r="909" hidden="1" s="154">
      <c r="A909" t="n">
        <v>2025</v>
      </c>
      <c r="B909" t="inlineStr">
        <is>
          <t>2025-06</t>
        </is>
      </c>
      <c r="C909" t="inlineStr">
        <is>
          <t>Matheus</t>
        </is>
      </c>
      <c r="D909" t="inlineStr">
        <is>
          <t>HYUNDAI</t>
        </is>
      </c>
      <c r="E909" t="inlineStr">
        <is>
          <t>EHH0007</t>
        </is>
      </c>
      <c r="F909" t="inlineStr">
        <is>
          <t>EKIPA LOCACOES RSE</t>
        </is>
      </c>
      <c r="G909" t="inlineStr">
        <is>
          <t>G&amp;S PRUDENTE</t>
        </is>
      </c>
      <c r="H909" t="inlineStr">
        <is>
          <t>7.1.2</t>
        </is>
      </c>
      <c r="I909" t="inlineStr">
        <is>
          <t>MANUTENÇÃO DE VEÍCULOS/MAQUINAS</t>
        </is>
      </c>
      <c r="J909" t="n">
        <v>2200</v>
      </c>
      <c r="K909" t="n">
        <v>-2200</v>
      </c>
    </row>
    <row r="910" hidden="1" s="154">
      <c r="A910" t="n">
        <v>2025</v>
      </c>
      <c r="B910" t="inlineStr">
        <is>
          <t>2025-06</t>
        </is>
      </c>
      <c r="C910" t="inlineStr">
        <is>
          <t>Matheus</t>
        </is>
      </c>
      <c r="D910" t="inlineStr">
        <is>
          <t>HYUNDAI</t>
        </is>
      </c>
      <c r="E910" t="inlineStr">
        <is>
          <t>EHH0007</t>
        </is>
      </c>
      <c r="F910" t="inlineStr">
        <is>
          <t>EKIPA LOCACOES RSE</t>
        </is>
      </c>
      <c r="G910" t="inlineStr">
        <is>
          <t>G&amp;S PRUDENTE</t>
        </is>
      </c>
      <c r="H910" t="inlineStr">
        <is>
          <t>7.1.2</t>
        </is>
      </c>
      <c r="I910" t="inlineStr">
        <is>
          <t>MANUTENÇÃO DE VEÍCULOS/MAQUINAS</t>
        </is>
      </c>
      <c r="J910" t="n">
        <v>1500</v>
      </c>
      <c r="K910" t="n">
        <v>-1500</v>
      </c>
    </row>
    <row r="911" hidden="1" s="154">
      <c r="A911" t="n">
        <v>2025</v>
      </c>
      <c r="B911" t="inlineStr">
        <is>
          <t>2025-06</t>
        </is>
      </c>
      <c r="C911" t="inlineStr">
        <is>
          <t>Matheus</t>
        </is>
      </c>
      <c r="D911" t="inlineStr">
        <is>
          <t>HYUNDAI</t>
        </is>
      </c>
      <c r="E911" t="inlineStr">
        <is>
          <t>EHH0007</t>
        </is>
      </c>
      <c r="F911" t="inlineStr">
        <is>
          <t>EKIPA LOCACOES RSE</t>
        </is>
      </c>
      <c r="G911" t="inlineStr">
        <is>
          <t>G&amp;S PRUDENTE</t>
        </is>
      </c>
      <c r="H911" t="inlineStr">
        <is>
          <t>7.1.2</t>
        </is>
      </c>
      <c r="I911" t="inlineStr">
        <is>
          <t>MANUTENÇÃO DE VEÍCULOS/MAQUINAS</t>
        </is>
      </c>
      <c r="J911" t="n">
        <v>62</v>
      </c>
      <c r="K911" t="n">
        <v>-62</v>
      </c>
    </row>
    <row r="912" hidden="1" s="154">
      <c r="A912" t="n">
        <v>2025</v>
      </c>
      <c r="B912" t="inlineStr">
        <is>
          <t>2025-06</t>
        </is>
      </c>
      <c r="C912" t="inlineStr">
        <is>
          <t>Matheus</t>
        </is>
      </c>
      <c r="D912" t="inlineStr">
        <is>
          <t>HYUNDAI</t>
        </is>
      </c>
      <c r="E912" t="inlineStr">
        <is>
          <t>EHH0007</t>
        </is>
      </c>
      <c r="F912" t="inlineStr">
        <is>
          <t>EKIPA LOCACOES RSE</t>
        </is>
      </c>
      <c r="G912" t="inlineStr">
        <is>
          <t>G&amp;S PRUDENTE</t>
        </is>
      </c>
      <c r="H912" t="inlineStr">
        <is>
          <t>7.1.2</t>
        </is>
      </c>
      <c r="I912" t="inlineStr">
        <is>
          <t>MANUTENÇÃO DE VEÍCULOS/MAQUINAS</t>
        </is>
      </c>
      <c r="J912" t="n">
        <v>283.1</v>
      </c>
      <c r="K912" t="n">
        <v>-283.1</v>
      </c>
    </row>
    <row r="913" hidden="1" s="154">
      <c r="A913" t="n">
        <v>2025</v>
      </c>
      <c r="B913" t="inlineStr">
        <is>
          <t>2025-06</t>
        </is>
      </c>
      <c r="C913" t="inlineStr">
        <is>
          <t>Matheus</t>
        </is>
      </c>
      <c r="D913" t="inlineStr">
        <is>
          <t>HYUNDAI</t>
        </is>
      </c>
      <c r="E913" t="inlineStr">
        <is>
          <t>EHH0007</t>
        </is>
      </c>
      <c r="F913" t="inlineStr">
        <is>
          <t>EKIPA LOCACOES RSE</t>
        </is>
      </c>
      <c r="G913" t="inlineStr">
        <is>
          <t>G&amp;S PRUDENTE</t>
        </is>
      </c>
      <c r="H913" t="inlineStr">
        <is>
          <t>7.1.2</t>
        </is>
      </c>
      <c r="I913" t="inlineStr">
        <is>
          <t>MANUTENÇÃO DE VEÍCULOS/MAQUINAS</t>
        </is>
      </c>
      <c r="J913" t="n">
        <v>73</v>
      </c>
      <c r="K913" t="n">
        <v>-73</v>
      </c>
    </row>
    <row r="914" hidden="1" s="154">
      <c r="A914" t="n">
        <v>2025</v>
      </c>
      <c r="B914" t="inlineStr">
        <is>
          <t>2025-06</t>
        </is>
      </c>
      <c r="C914" t="inlineStr">
        <is>
          <t>Matheus</t>
        </is>
      </c>
      <c r="D914" t="inlineStr">
        <is>
          <t>HYUNDAI</t>
        </is>
      </c>
      <c r="E914" t="inlineStr">
        <is>
          <t>EHH0007</t>
        </is>
      </c>
      <c r="F914" t="inlineStr">
        <is>
          <t>EKIPA LOCACOES RSE</t>
        </is>
      </c>
      <c r="G914" t="inlineStr">
        <is>
          <t>G&amp;S PRUDENTE</t>
        </is>
      </c>
      <c r="H914" t="inlineStr">
        <is>
          <t>7.1.2</t>
        </is>
      </c>
      <c r="I914" t="inlineStr">
        <is>
          <t>MANUTENÇÃO DE VEÍCULOS/MAQUINAS</t>
        </is>
      </c>
      <c r="J914" t="n">
        <v>250</v>
      </c>
      <c r="K914" t="n">
        <v>-250</v>
      </c>
    </row>
    <row r="915" hidden="1" s="154">
      <c r="A915" t="n">
        <v>2025</v>
      </c>
      <c r="B915" t="inlineStr">
        <is>
          <t>2025-06</t>
        </is>
      </c>
      <c r="C915" t="inlineStr">
        <is>
          <t>Matheus</t>
        </is>
      </c>
      <c r="D915" t="inlineStr">
        <is>
          <t>HYUNDAI</t>
        </is>
      </c>
      <c r="E915" t="inlineStr">
        <is>
          <t>EHH0007</t>
        </is>
      </c>
      <c r="F915" t="inlineStr">
        <is>
          <t>EKIPA LOCACOES RSE</t>
        </is>
      </c>
      <c r="G915" t="inlineStr">
        <is>
          <t>G&amp;S PRUDENTE</t>
        </is>
      </c>
      <c r="H915" t="inlineStr">
        <is>
          <t>7.1.2</t>
        </is>
      </c>
      <c r="I915" t="inlineStr">
        <is>
          <t>MANUTENÇÃO DE VEÍCULOS/MAQUINAS</t>
        </is>
      </c>
      <c r="J915" t="n">
        <v>26</v>
      </c>
      <c r="K915" t="n">
        <v>-26</v>
      </c>
    </row>
    <row r="916" hidden="1" s="154">
      <c r="A916" t="n">
        <v>2025</v>
      </c>
      <c r="B916" t="inlineStr">
        <is>
          <t>2025-06</t>
        </is>
      </c>
      <c r="C916" t="inlineStr">
        <is>
          <t>Matheus</t>
        </is>
      </c>
      <c r="D916" t="inlineStr">
        <is>
          <t>HYUNDAI</t>
        </is>
      </c>
      <c r="E916" t="inlineStr">
        <is>
          <t>EHH0007</t>
        </is>
      </c>
      <c r="F916" t="inlineStr">
        <is>
          <t>EKIPA LOCACOES RSE</t>
        </is>
      </c>
      <c r="G916" t="inlineStr">
        <is>
          <t>G&amp;S PRUDENTE</t>
        </is>
      </c>
      <c r="H916" t="inlineStr">
        <is>
          <t>7.1.2</t>
        </is>
      </c>
      <c r="I916" t="inlineStr">
        <is>
          <t>MANUTENÇÃO DE VEÍCULOS/MAQUINAS</t>
        </is>
      </c>
      <c r="J916" t="n">
        <v>300</v>
      </c>
      <c r="K916" t="n">
        <v>-300</v>
      </c>
    </row>
    <row r="917" hidden="1" s="154">
      <c r="A917" t="n">
        <v>2025</v>
      </c>
      <c r="B917" t="inlineStr">
        <is>
          <t>2025-06</t>
        </is>
      </c>
      <c r="C917" t="inlineStr">
        <is>
          <t>Matheus</t>
        </is>
      </c>
      <c r="D917" t="inlineStr">
        <is>
          <t>HYUNDAI</t>
        </is>
      </c>
      <c r="E917" t="inlineStr">
        <is>
          <t>EHH0007</t>
        </is>
      </c>
      <c r="F917" t="inlineStr">
        <is>
          <t>EKIPA LOCACOES RSE</t>
        </is>
      </c>
      <c r="G917" t="inlineStr">
        <is>
          <t>G&amp;S PRUDENTE</t>
        </is>
      </c>
      <c r="H917" t="inlineStr">
        <is>
          <t>7.1.18</t>
        </is>
      </c>
      <c r="I917" t="inlineStr">
        <is>
          <t>FRETES E CARRETOS</t>
        </is>
      </c>
      <c r="J917" t="n">
        <v>42.52</v>
      </c>
      <c r="K917" t="n">
        <v>-42.52</v>
      </c>
    </row>
    <row r="918" hidden="1" s="154">
      <c r="A918" t="n">
        <v>2025</v>
      </c>
      <c r="B918" t="inlineStr">
        <is>
          <t>2025-06</t>
        </is>
      </c>
      <c r="C918" t="inlineStr">
        <is>
          <t>Matheus</t>
        </is>
      </c>
      <c r="D918" t="inlineStr">
        <is>
          <t>HYUNDAI</t>
        </is>
      </c>
      <c r="E918" t="inlineStr">
        <is>
          <t>EHH0007</t>
        </is>
      </c>
      <c r="F918" t="inlineStr">
        <is>
          <t>EKIPA LOCACOES RSE</t>
        </is>
      </c>
      <c r="G918" t="inlineStr">
        <is>
          <t>G&amp;S PRUDENTE</t>
        </is>
      </c>
      <c r="H918" t="inlineStr">
        <is>
          <t>7.1.2</t>
        </is>
      </c>
      <c r="I918" t="inlineStr">
        <is>
          <t>MANUTENÇÃO DE VEÍCULOS/MAQUINAS</t>
        </is>
      </c>
      <c r="J918" t="n">
        <v>250</v>
      </c>
      <c r="K918" t="n">
        <v>-250</v>
      </c>
    </row>
    <row r="919" hidden="1" s="154">
      <c r="A919" t="n">
        <v>2025</v>
      </c>
      <c r="B919" t="inlineStr">
        <is>
          <t>2025-06</t>
        </is>
      </c>
      <c r="C919" t="inlineStr">
        <is>
          <t>Matheus</t>
        </is>
      </c>
      <c r="D919" t="inlineStr">
        <is>
          <t>HYUNDAI</t>
        </is>
      </c>
      <c r="E919" t="inlineStr">
        <is>
          <t>EHH0007</t>
        </is>
      </c>
      <c r="F919" t="inlineStr">
        <is>
          <t>SELETIVA</t>
        </is>
      </c>
      <c r="G919" t="inlineStr">
        <is>
          <t>G&amp;S PRUDENTE</t>
        </is>
      </c>
      <c r="H919" t="inlineStr">
        <is>
          <t>7.1.2</t>
        </is>
      </c>
      <c r="I919" t="inlineStr">
        <is>
          <t>MANUTENÇÃO DE VEÍCULOS/MAQUINAS</t>
        </is>
      </c>
      <c r="J919" t="n">
        <v>70</v>
      </c>
      <c r="K919" t="n">
        <v>-70</v>
      </c>
    </row>
    <row r="920" hidden="1" s="154">
      <c r="A920" t="n">
        <v>2025</v>
      </c>
      <c r="B920" t="inlineStr">
        <is>
          <t>2025-06</t>
        </is>
      </c>
      <c r="C920" t="inlineStr">
        <is>
          <t>Matheus</t>
        </is>
      </c>
      <c r="D920" t="inlineStr">
        <is>
          <t>HYUNDAI</t>
        </is>
      </c>
      <c r="E920" t="inlineStr">
        <is>
          <t>EHH0007</t>
        </is>
      </c>
      <c r="F920" t="inlineStr">
        <is>
          <t>EKIPA LOCACOES RSE</t>
        </is>
      </c>
      <c r="G920" t="inlineStr">
        <is>
          <t>G&amp;S PRUDENTE</t>
        </is>
      </c>
      <c r="H920" t="inlineStr">
        <is>
          <t>7.1.2</t>
        </is>
      </c>
      <c r="I920" t="inlineStr">
        <is>
          <t>MANUTENÇÃO DE VEÍCULOS/MAQUINAS</t>
        </is>
      </c>
      <c r="J920" t="n">
        <v>3200</v>
      </c>
      <c r="K920" t="n">
        <v>-3200</v>
      </c>
    </row>
    <row r="921" hidden="1" s="154">
      <c r="A921" t="n">
        <v>2025</v>
      </c>
      <c r="B921" t="inlineStr">
        <is>
          <t>2025-06</t>
        </is>
      </c>
      <c r="C921" t="inlineStr">
        <is>
          <t>Matheus</t>
        </is>
      </c>
      <c r="D921" t="inlineStr">
        <is>
          <t>HYUNDAI</t>
        </is>
      </c>
      <c r="E921" t="inlineStr">
        <is>
          <t>EHH0007</t>
        </is>
      </c>
      <c r="F921" t="inlineStr">
        <is>
          <t>EKIPA LOCACOES RSE</t>
        </is>
      </c>
      <c r="G921" t="inlineStr">
        <is>
          <t>G&amp;S PRUDENTE</t>
        </is>
      </c>
      <c r="H921" t="inlineStr">
        <is>
          <t>7.1.2</t>
        </is>
      </c>
      <c r="I921" t="inlineStr">
        <is>
          <t>MANUTENÇÃO DE VEÍCULOS/MAQUINAS</t>
        </is>
      </c>
      <c r="J921" t="n">
        <v>170</v>
      </c>
      <c r="K921" t="n">
        <v>-170</v>
      </c>
    </row>
    <row r="922" hidden="1" s="154">
      <c r="A922" t="n">
        <v>2025</v>
      </c>
      <c r="B922" t="inlineStr">
        <is>
          <t>2025-06</t>
        </is>
      </c>
      <c r="C922" t="inlineStr">
        <is>
          <t>Matheus</t>
        </is>
      </c>
      <c r="D922" t="inlineStr">
        <is>
          <t>HYUNDAI</t>
        </is>
      </c>
      <c r="E922" t="inlineStr">
        <is>
          <t>EHH0007</t>
        </is>
      </c>
      <c r="F922" t="inlineStr">
        <is>
          <t>EKIPA LOCACOES RSE</t>
        </is>
      </c>
      <c r="G922" t="inlineStr">
        <is>
          <t>G&amp;S PRUDENTE</t>
        </is>
      </c>
      <c r="H922" t="inlineStr">
        <is>
          <t>7.1.2</t>
        </is>
      </c>
      <c r="I922" t="inlineStr">
        <is>
          <t>MANUTENÇÃO DE VEÍCULOS/MAQUINAS</t>
        </is>
      </c>
      <c r="J922" t="n">
        <v>550</v>
      </c>
      <c r="K922" t="n">
        <v>-550</v>
      </c>
    </row>
    <row r="923" hidden="1" s="154">
      <c r="A923" t="n">
        <v>2025</v>
      </c>
      <c r="B923" t="inlineStr">
        <is>
          <t>2025-06</t>
        </is>
      </c>
      <c r="C923" t="inlineStr">
        <is>
          <t>Matheus</t>
        </is>
      </c>
      <c r="D923" t="inlineStr">
        <is>
          <t>HYUNDAI</t>
        </is>
      </c>
      <c r="E923" t="inlineStr">
        <is>
          <t>EHH0007</t>
        </is>
      </c>
      <c r="F923" t="inlineStr">
        <is>
          <t>EKIPA LOCACOES RSE</t>
        </is>
      </c>
      <c r="G923" t="inlineStr">
        <is>
          <t>G&amp;S PRUDENTE</t>
        </is>
      </c>
      <c r="H923" t="inlineStr">
        <is>
          <t>7.1.2</t>
        </is>
      </c>
      <c r="I923" t="inlineStr">
        <is>
          <t>MANUTENÇÃO DE VEÍCULOS/MAQUINAS</t>
        </is>
      </c>
      <c r="J923" t="n">
        <v>319.07</v>
      </c>
      <c r="K923" t="n">
        <v>-319.07</v>
      </c>
    </row>
    <row r="924" hidden="1" s="154">
      <c r="A924" t="n">
        <v>2025</v>
      </c>
      <c r="B924" t="inlineStr">
        <is>
          <t>2025-06</t>
        </is>
      </c>
      <c r="C924" t="inlineStr">
        <is>
          <t>Matheus</t>
        </is>
      </c>
      <c r="D924" t="inlineStr">
        <is>
          <t>HYUNDAI</t>
        </is>
      </c>
      <c r="E924" t="inlineStr">
        <is>
          <t>EHH0007</t>
        </is>
      </c>
      <c r="F924" t="inlineStr">
        <is>
          <t>EKIPA LOCACOES RSE</t>
        </is>
      </c>
      <c r="G924" t="inlineStr">
        <is>
          <t>G&amp;S PRUDENTE</t>
        </is>
      </c>
      <c r="H924" t="inlineStr">
        <is>
          <t>7.1.2</t>
        </is>
      </c>
      <c r="I924" t="inlineStr">
        <is>
          <t>MANUTENÇÃO DE VEÍCULOS/MAQUINAS</t>
        </is>
      </c>
      <c r="J924" t="n">
        <v>1930</v>
      </c>
      <c r="K924" t="n">
        <v>-1930</v>
      </c>
    </row>
    <row r="925" hidden="1" s="154">
      <c r="A925" t="n">
        <v>2025</v>
      </c>
      <c r="B925" t="inlineStr">
        <is>
          <t>2025-06</t>
        </is>
      </c>
      <c r="C925" t="inlineStr">
        <is>
          <t>Matheus</t>
        </is>
      </c>
      <c r="D925" t="inlineStr">
        <is>
          <t>HYUNDAI</t>
        </is>
      </c>
      <c r="E925" t="inlineStr">
        <is>
          <t>EHH0007</t>
        </is>
      </c>
      <c r="F925" t="inlineStr">
        <is>
          <t>EKIPA LOCACOES RSE</t>
        </is>
      </c>
      <c r="G925" t="inlineStr">
        <is>
          <t>G&amp;S PRUDENTE</t>
        </is>
      </c>
      <c r="H925" t="inlineStr">
        <is>
          <t>7.1.2</t>
        </is>
      </c>
      <c r="I925" t="inlineStr">
        <is>
          <t>MANUTENÇÃO DE VEÍCULOS/MAQUINAS</t>
        </is>
      </c>
      <c r="J925" t="n">
        <v>190</v>
      </c>
      <c r="K925" t="n">
        <v>-190</v>
      </c>
    </row>
    <row r="926" hidden="1" s="154">
      <c r="A926" t="n">
        <v>2025</v>
      </c>
      <c r="B926" t="inlineStr">
        <is>
          <t>2025-06</t>
        </is>
      </c>
      <c r="C926" t="inlineStr">
        <is>
          <t>Matheus</t>
        </is>
      </c>
      <c r="D926" t="inlineStr">
        <is>
          <t>HYUNDAI</t>
        </is>
      </c>
      <c r="E926" t="inlineStr">
        <is>
          <t>EHH0007</t>
        </is>
      </c>
      <c r="F926" t="inlineStr">
        <is>
          <t>EKIPA LOCACOES RSE</t>
        </is>
      </c>
      <c r="G926" t="inlineStr">
        <is>
          <t>G&amp;S PRUDENTE</t>
        </is>
      </c>
      <c r="H926" t="inlineStr">
        <is>
          <t>7.1.2</t>
        </is>
      </c>
      <c r="I926" t="inlineStr">
        <is>
          <t>MANUTENÇÃO DE VEÍCULOS/MAQUINAS</t>
        </is>
      </c>
      <c r="J926" t="n">
        <v>200</v>
      </c>
      <c r="K926" t="n">
        <v>-200</v>
      </c>
    </row>
    <row r="927" hidden="1" s="154">
      <c r="A927" t="n">
        <v>2025</v>
      </c>
      <c r="B927" t="inlineStr">
        <is>
          <t>2025-06</t>
        </is>
      </c>
      <c r="C927" t="inlineStr">
        <is>
          <t>Matheus</t>
        </is>
      </c>
      <c r="D927" t="inlineStr">
        <is>
          <t>HYUNDAI</t>
        </is>
      </c>
      <c r="E927" t="inlineStr">
        <is>
          <t>EHH0007</t>
        </is>
      </c>
      <c r="F927" t="inlineStr">
        <is>
          <t>EKIPA LOCACOES RSE</t>
        </is>
      </c>
      <c r="G927" t="inlineStr">
        <is>
          <t>G&amp;S PRUDENTE</t>
        </is>
      </c>
      <c r="H927" t="inlineStr">
        <is>
          <t>7.1.2</t>
        </is>
      </c>
      <c r="I927" t="inlineStr">
        <is>
          <t>MANUTENÇÃO DE VEÍCULOS/MAQUINAS</t>
        </is>
      </c>
      <c r="J927" t="n">
        <v>535</v>
      </c>
      <c r="K927" t="n">
        <v>-535</v>
      </c>
    </row>
    <row r="928" hidden="1" s="154">
      <c r="A928" t="n">
        <v>2025</v>
      </c>
      <c r="B928" t="inlineStr">
        <is>
          <t>2025-06</t>
        </is>
      </c>
      <c r="C928" t="inlineStr">
        <is>
          <t>Matheus</t>
        </is>
      </c>
      <c r="D928" t="inlineStr">
        <is>
          <t>HYUNDAI</t>
        </is>
      </c>
      <c r="E928" t="inlineStr">
        <is>
          <t>EHH0007</t>
        </is>
      </c>
      <c r="F928" t="inlineStr">
        <is>
          <t>EKIPA LOCACOES RSE</t>
        </is>
      </c>
      <c r="G928" t="inlineStr">
        <is>
          <t>G&amp;S PRUDENTE</t>
        </is>
      </c>
      <c r="H928" t="inlineStr">
        <is>
          <t>7.1.2</t>
        </is>
      </c>
      <c r="I928" t="inlineStr">
        <is>
          <t>MANUTENÇÃO DE VEÍCULOS/MAQUINAS</t>
        </is>
      </c>
      <c r="J928" t="n">
        <v>850</v>
      </c>
      <c r="K928" t="n">
        <v>-850</v>
      </c>
    </row>
    <row r="929" hidden="1" s="154">
      <c r="A929" t="n">
        <v>2025</v>
      </c>
      <c r="B929" t="inlineStr">
        <is>
          <t>2025-06</t>
        </is>
      </c>
      <c r="C929" t="inlineStr">
        <is>
          <t>Matheus</t>
        </is>
      </c>
      <c r="D929" t="inlineStr">
        <is>
          <t>HYUNDAI</t>
        </is>
      </c>
      <c r="E929" t="inlineStr">
        <is>
          <t>EHH0007</t>
        </is>
      </c>
      <c r="F929" t="inlineStr">
        <is>
          <t>EKIPA LOCACOES RSE</t>
        </is>
      </c>
      <c r="G929" t="inlineStr">
        <is>
          <t>CTA</t>
        </is>
      </c>
      <c r="H929" t="inlineStr">
        <is>
          <t>7.1.22</t>
        </is>
      </c>
      <c r="I929" t="inlineStr">
        <is>
          <t>COMBUSTÍVEL - DIESEL (INTERNO)</t>
        </is>
      </c>
      <c r="J929" t="n">
        <v>4451.7</v>
      </c>
      <c r="K929" t="n">
        <v>-4451.7</v>
      </c>
    </row>
    <row r="930" hidden="1" s="154">
      <c r="A930" t="n">
        <v>2025</v>
      </c>
      <c r="B930" t="inlineStr">
        <is>
          <t>2025-07</t>
        </is>
      </c>
      <c r="C930" t="inlineStr">
        <is>
          <t>Matheus</t>
        </is>
      </c>
      <c r="D930" t="inlineStr">
        <is>
          <t>HYUNDAI</t>
        </is>
      </c>
      <c r="E930" t="inlineStr">
        <is>
          <t>EHH0007</t>
        </is>
      </c>
      <c r="F930" t="inlineStr">
        <is>
          <t>EKIPA LOCACOES RSE</t>
        </is>
      </c>
      <c r="G930" t="inlineStr">
        <is>
          <t>G&amp;S PRUDENTE</t>
        </is>
      </c>
      <c r="H930" t="inlineStr">
        <is>
          <t>7.1.2</t>
        </is>
      </c>
      <c r="I930" t="inlineStr">
        <is>
          <t>MANUTENÇÃO DE VEÍCULOS/MAQUINAS</t>
        </is>
      </c>
      <c r="J930" t="n">
        <v>440</v>
      </c>
      <c r="K930" t="n">
        <v>-440</v>
      </c>
    </row>
    <row r="931" hidden="1" s="154">
      <c r="A931" t="n">
        <v>2025</v>
      </c>
      <c r="B931" t="inlineStr">
        <is>
          <t>2025-07</t>
        </is>
      </c>
      <c r="C931" t="inlineStr">
        <is>
          <t>Matheus</t>
        </is>
      </c>
      <c r="D931" t="inlineStr">
        <is>
          <t>HYUNDAI</t>
        </is>
      </c>
      <c r="E931" t="inlineStr">
        <is>
          <t>EHH0007</t>
        </is>
      </c>
      <c r="F931" t="inlineStr">
        <is>
          <t>EKIPA LOCACOES RSE</t>
        </is>
      </c>
      <c r="G931" t="inlineStr">
        <is>
          <t>G&amp;S PRUDENTE</t>
        </is>
      </c>
      <c r="H931" t="inlineStr">
        <is>
          <t>7.1.2</t>
        </is>
      </c>
      <c r="I931" t="inlineStr">
        <is>
          <t>MANUTENÇÃO DE VEÍCULOS/MAQUINAS</t>
        </is>
      </c>
      <c r="J931" t="n">
        <v>367.46</v>
      </c>
      <c r="K931" t="n">
        <v>-367.46</v>
      </c>
    </row>
    <row r="932" hidden="1" s="154">
      <c r="A932" t="n">
        <v>2025</v>
      </c>
      <c r="B932" t="inlineStr">
        <is>
          <t>2025-07</t>
        </is>
      </c>
      <c r="C932" t="inlineStr">
        <is>
          <t>Matheus</t>
        </is>
      </c>
      <c r="D932" t="inlineStr">
        <is>
          <t>HYUNDAI</t>
        </is>
      </c>
      <c r="E932" t="inlineStr">
        <is>
          <t>EHH0007</t>
        </is>
      </c>
      <c r="F932" t="inlineStr">
        <is>
          <t>EKIPA LOCACOES RSE</t>
        </is>
      </c>
      <c r="G932" t="inlineStr">
        <is>
          <t>G&amp;S MARINGA</t>
        </is>
      </c>
      <c r="H932" t="inlineStr">
        <is>
          <t>7.1.2</t>
        </is>
      </c>
      <c r="I932" t="inlineStr">
        <is>
          <t>MANUTENÇÃO DE VEÍCULOS/MAQUINAS</t>
        </is>
      </c>
      <c r="J932" t="n">
        <v>3330</v>
      </c>
      <c r="K932" t="n">
        <v>-3330</v>
      </c>
    </row>
    <row r="933" hidden="1" s="154">
      <c r="A933" t="n">
        <v>2025</v>
      </c>
      <c r="B933" t="inlineStr">
        <is>
          <t>2025-07</t>
        </is>
      </c>
      <c r="C933" t="inlineStr">
        <is>
          <t>Matheus</t>
        </is>
      </c>
      <c r="D933" t="inlineStr">
        <is>
          <t>HYUNDAI</t>
        </is>
      </c>
      <c r="E933" t="inlineStr">
        <is>
          <t>EHH0007</t>
        </is>
      </c>
      <c r="F933" t="inlineStr">
        <is>
          <t>EKIPA LOCACOES RSE</t>
        </is>
      </c>
      <c r="G933" t="inlineStr">
        <is>
          <t>CTA</t>
        </is>
      </c>
      <c r="H933" t="inlineStr">
        <is>
          <t>7.1.22</t>
        </is>
      </c>
      <c r="I933" t="inlineStr">
        <is>
          <t>COMBUSTÍVEL - DIESEL (INTERNO)</t>
        </is>
      </c>
      <c r="J933" t="n">
        <v>4759.37</v>
      </c>
      <c r="K933" t="n">
        <v>-4759.37</v>
      </c>
    </row>
    <row r="934" hidden="1" s="154">
      <c r="A934" t="n">
        <v>2025</v>
      </c>
      <c r="B934" t="inlineStr">
        <is>
          <t>2025-08</t>
        </is>
      </c>
      <c r="C934" t="inlineStr">
        <is>
          <t>Matheus</t>
        </is>
      </c>
      <c r="D934" t="inlineStr">
        <is>
          <t>HYUNDAI</t>
        </is>
      </c>
      <c r="E934" t="inlineStr">
        <is>
          <t>EHH0007</t>
        </is>
      </c>
      <c r="F934" t="inlineStr">
        <is>
          <t>EKIPA LOCACOES RSE</t>
        </is>
      </c>
      <c r="G934" t="inlineStr">
        <is>
          <t>CTA</t>
        </is>
      </c>
      <c r="H934" t="inlineStr">
        <is>
          <t>7.1.22</t>
        </is>
      </c>
      <c r="I934" t="inlineStr">
        <is>
          <t>COMBUSTÍVEL - DIESEL (INTERNO)</t>
        </is>
      </c>
      <c r="J934" t="n">
        <v>4485.34</v>
      </c>
      <c r="K934" t="n">
        <v>-4485.34</v>
      </c>
    </row>
    <row r="935" hidden="1" s="154">
      <c r="A935" t="n">
        <v>2025</v>
      </c>
      <c r="B935" t="inlineStr">
        <is>
          <t>2025-08</t>
        </is>
      </c>
      <c r="C935" t="inlineStr">
        <is>
          <t>Matheus</t>
        </is>
      </c>
      <c r="D935" t="inlineStr">
        <is>
          <t>HYUNDAI</t>
        </is>
      </c>
      <c r="E935" t="inlineStr">
        <is>
          <t>EHH0007</t>
        </is>
      </c>
      <c r="F935" t="inlineStr">
        <is>
          <t>EKIPA LOCACOES RSE</t>
        </is>
      </c>
      <c r="G935" t="inlineStr">
        <is>
          <t>G&amp;S MARINGA</t>
        </is>
      </c>
      <c r="H935" t="inlineStr">
        <is>
          <t>7.1.2</t>
        </is>
      </c>
      <c r="I935" t="inlineStr">
        <is>
          <t>MANUTENÇÃO DE VEÍCULOS/MAQUINAS</t>
        </is>
      </c>
      <c r="J935" t="n">
        <v>5057</v>
      </c>
      <c r="K935" t="n">
        <v>-5057</v>
      </c>
    </row>
    <row r="936" hidden="1" s="154">
      <c r="A936" t="n">
        <v>2025</v>
      </c>
      <c r="B936" t="inlineStr">
        <is>
          <t>2025-08</t>
        </is>
      </c>
      <c r="C936" t="inlineStr">
        <is>
          <t>Matheus</t>
        </is>
      </c>
      <c r="D936" t="inlineStr">
        <is>
          <t>HYUNDAI</t>
        </is>
      </c>
      <c r="E936" t="inlineStr">
        <is>
          <t>EHH0007</t>
        </is>
      </c>
      <c r="F936" t="inlineStr">
        <is>
          <t>EKIPA LOCACOES RSE</t>
        </is>
      </c>
      <c r="G936" t="inlineStr">
        <is>
          <t>G&amp;S MARINGA</t>
        </is>
      </c>
      <c r="H936" t="inlineStr">
        <is>
          <t>7.1.2</t>
        </is>
      </c>
      <c r="I936" t="inlineStr">
        <is>
          <t>MANUTENÇÃO DE VEÍCULOS/MAQUINAS</t>
        </is>
      </c>
      <c r="J936" t="n">
        <v>1160</v>
      </c>
      <c r="K936" t="n">
        <v>-1160</v>
      </c>
    </row>
    <row r="937" hidden="1" s="154">
      <c r="A937" t="n">
        <v>2025</v>
      </c>
      <c r="B937" t="inlineStr">
        <is>
          <t>2025-08</t>
        </is>
      </c>
      <c r="C937" t="inlineStr">
        <is>
          <t>Matheus</t>
        </is>
      </c>
      <c r="D937" t="inlineStr">
        <is>
          <t>HYUNDAI</t>
        </is>
      </c>
      <c r="E937" t="inlineStr">
        <is>
          <t>EHH0007</t>
        </is>
      </c>
      <c r="F937" t="inlineStr">
        <is>
          <t>EKIPA LOCACOES RSE</t>
        </is>
      </c>
      <c r="G937" t="inlineStr">
        <is>
          <t>G&amp;S MARINGA</t>
        </is>
      </c>
      <c r="H937" t="inlineStr">
        <is>
          <t>7.1.2</t>
        </is>
      </c>
      <c r="I937" t="inlineStr">
        <is>
          <t>MANUTENÇÃO DE VEÍCULOS/MAQUINAS</t>
        </is>
      </c>
      <c r="J937" t="n">
        <v>790</v>
      </c>
      <c r="K937" t="n">
        <v>-790</v>
      </c>
    </row>
    <row r="938" hidden="1" s="154">
      <c r="A938" t="n">
        <v>2025</v>
      </c>
      <c r="B938" t="inlineStr">
        <is>
          <t>2025-08</t>
        </is>
      </c>
      <c r="C938" t="inlineStr">
        <is>
          <t>Matheus</t>
        </is>
      </c>
      <c r="D938" t="inlineStr">
        <is>
          <t>HYUNDAI</t>
        </is>
      </c>
      <c r="E938" t="inlineStr">
        <is>
          <t>EHH0007</t>
        </is>
      </c>
      <c r="F938" t="inlineStr">
        <is>
          <t>EKIPA LOCACOES RSE</t>
        </is>
      </c>
      <c r="G938" t="inlineStr">
        <is>
          <t>G&amp;S MARINGA</t>
        </is>
      </c>
      <c r="H938" t="inlineStr">
        <is>
          <t>7.1.2</t>
        </is>
      </c>
      <c r="I938" t="inlineStr">
        <is>
          <t>MANUTENÇÃO DE VEÍCULOS/MAQUINAS</t>
        </is>
      </c>
      <c r="J938" t="n">
        <v>7500</v>
      </c>
      <c r="K938" t="n">
        <v>-7500</v>
      </c>
    </row>
    <row r="939" hidden="1" s="154">
      <c r="A939" t="n">
        <v>2025</v>
      </c>
      <c r="B939" t="inlineStr">
        <is>
          <t>2025-09</t>
        </is>
      </c>
      <c r="C939" t="inlineStr">
        <is>
          <t>Matheus</t>
        </is>
      </c>
      <c r="D939" t="inlineStr">
        <is>
          <t>HYUNDAI</t>
        </is>
      </c>
      <c r="E939" t="inlineStr">
        <is>
          <t>EHH0007</t>
        </is>
      </c>
      <c r="F939" t="inlineStr">
        <is>
          <t>EKIPA LOCACOES RSE</t>
        </is>
      </c>
      <c r="G939" t="inlineStr">
        <is>
          <t>G&amp;S PRUDENTE</t>
        </is>
      </c>
      <c r="H939" t="inlineStr">
        <is>
          <t>7.1.18</t>
        </is>
      </c>
      <c r="I939" t="inlineStr">
        <is>
          <t>FRETES E CARRETOS</t>
        </is>
      </c>
      <c r="J939" t="n">
        <v>125</v>
      </c>
      <c r="K939" t="n">
        <v>-125</v>
      </c>
    </row>
    <row r="940" hidden="1" s="154">
      <c r="A940" t="n">
        <v>2025</v>
      </c>
      <c r="B940" t="inlineStr">
        <is>
          <t>2025-09</t>
        </is>
      </c>
      <c r="C940" t="inlineStr">
        <is>
          <t>Matheus</t>
        </is>
      </c>
      <c r="D940" t="inlineStr">
        <is>
          <t>HYUNDAI</t>
        </is>
      </c>
      <c r="E940" t="inlineStr">
        <is>
          <t>EHH0007</t>
        </is>
      </c>
      <c r="F940" t="inlineStr">
        <is>
          <t>EKIPA LOCACOES RSE</t>
        </is>
      </c>
      <c r="G940" t="inlineStr">
        <is>
          <t>G&amp;S PRUDENTE</t>
        </is>
      </c>
      <c r="H940" t="inlineStr">
        <is>
          <t>7.1.2</t>
        </is>
      </c>
      <c r="I940" t="inlineStr">
        <is>
          <t>MANUTENÇÃO DE VEÍCULOS/MAQUINAS</t>
        </is>
      </c>
      <c r="J940" t="n">
        <v>1497.99</v>
      </c>
      <c r="K940" t="n">
        <v>-1497.99</v>
      </c>
    </row>
    <row r="941" hidden="1" s="154">
      <c r="A941" t="n">
        <v>2025</v>
      </c>
      <c r="B941" t="inlineStr">
        <is>
          <t>2025-09</t>
        </is>
      </c>
      <c r="C941" t="inlineStr">
        <is>
          <t>Matheus</t>
        </is>
      </c>
      <c r="D941" t="inlineStr">
        <is>
          <t>HYUNDAI</t>
        </is>
      </c>
      <c r="E941" t="inlineStr">
        <is>
          <t>EHH0007</t>
        </is>
      </c>
      <c r="F941" t="inlineStr">
        <is>
          <t>EKIPA LOCACOES RSE</t>
        </is>
      </c>
      <c r="G941" t="inlineStr">
        <is>
          <t>G&amp;S PRUDENTE</t>
        </is>
      </c>
      <c r="H941" t="inlineStr">
        <is>
          <t>7.1.2</t>
        </is>
      </c>
      <c r="I941" t="inlineStr">
        <is>
          <t>MANUTENÇÃO DE VEÍCULOS/MAQUINAS</t>
        </is>
      </c>
      <c r="J941" t="n">
        <v>1264.9</v>
      </c>
      <c r="K941" t="n">
        <v>-1264.9</v>
      </c>
    </row>
    <row r="942" hidden="1" s="154">
      <c r="A942" t="n">
        <v>2025</v>
      </c>
      <c r="B942" t="inlineStr">
        <is>
          <t>2025-09</t>
        </is>
      </c>
      <c r="C942" t="inlineStr">
        <is>
          <t>Matheus</t>
        </is>
      </c>
      <c r="D942" t="inlineStr">
        <is>
          <t>HYUNDAI</t>
        </is>
      </c>
      <c r="E942" t="inlineStr">
        <is>
          <t>EHH0007</t>
        </is>
      </c>
      <c r="F942" t="inlineStr">
        <is>
          <t>EKIPA LOCACOES RSE</t>
        </is>
      </c>
      <c r="G942" t="inlineStr">
        <is>
          <t>G&amp;S PRUDENTE</t>
        </is>
      </c>
      <c r="H942" t="inlineStr">
        <is>
          <t>7.1.2</t>
        </is>
      </c>
      <c r="I942" t="inlineStr">
        <is>
          <t>MANUTENÇÃO DE VEÍCULOS/MAQUINAS</t>
        </is>
      </c>
      <c r="J942" t="n">
        <v>173</v>
      </c>
      <c r="K942" t="n">
        <v>-173</v>
      </c>
    </row>
    <row r="943" hidden="1" s="154">
      <c r="A943" t="n">
        <v>2025</v>
      </c>
      <c r="B943" t="inlineStr">
        <is>
          <t>2025-09</t>
        </is>
      </c>
      <c r="C943" t="inlineStr">
        <is>
          <t>Matheus</t>
        </is>
      </c>
      <c r="D943" t="inlineStr">
        <is>
          <t>HYUNDAI</t>
        </is>
      </c>
      <c r="E943" t="inlineStr">
        <is>
          <t>EHH0007</t>
        </is>
      </c>
      <c r="F943" t="inlineStr">
        <is>
          <t>EKIPA LOCACOES RSE</t>
        </is>
      </c>
      <c r="G943" t="inlineStr">
        <is>
          <t>G&amp;S PRUDENTE</t>
        </is>
      </c>
      <c r="H943" t="inlineStr">
        <is>
          <t>7.1.2</t>
        </is>
      </c>
      <c r="I943" t="inlineStr">
        <is>
          <t>MANUTENÇÃO DE VEÍCULOS/MAQUINAS</t>
        </is>
      </c>
      <c r="J943" t="n">
        <v>2430</v>
      </c>
      <c r="K943" t="n">
        <v>-2430</v>
      </c>
    </row>
    <row r="944" hidden="1" s="154">
      <c r="A944" t="n">
        <v>2025</v>
      </c>
      <c r="B944" t="inlineStr">
        <is>
          <t>2025-09</t>
        </is>
      </c>
      <c r="C944" t="inlineStr">
        <is>
          <t>Matheus</t>
        </is>
      </c>
      <c r="D944" t="inlineStr">
        <is>
          <t>HYUNDAI</t>
        </is>
      </c>
      <c r="E944" t="inlineStr">
        <is>
          <t>EHH0007</t>
        </is>
      </c>
      <c r="F944" t="inlineStr">
        <is>
          <t>EKIPA LOCACOES RSE</t>
        </is>
      </c>
      <c r="G944" t="inlineStr">
        <is>
          <t>G&amp;S PRUDENTE</t>
        </is>
      </c>
      <c r="H944" t="inlineStr">
        <is>
          <t>7.1.2</t>
        </is>
      </c>
      <c r="I944" t="inlineStr">
        <is>
          <t>MANUTENÇÃO DE VEÍCULOS/MAQUINAS</t>
        </is>
      </c>
      <c r="J944" t="n">
        <v>421.43</v>
      </c>
      <c r="K944" t="n">
        <v>-421.43</v>
      </c>
    </row>
    <row r="945" hidden="1" s="154">
      <c r="A945" t="n">
        <v>2025</v>
      </c>
      <c r="B945" t="inlineStr">
        <is>
          <t>2025-09</t>
        </is>
      </c>
      <c r="C945" t="inlineStr">
        <is>
          <t>Matheus</t>
        </is>
      </c>
      <c r="D945" t="inlineStr">
        <is>
          <t>HYUNDAI</t>
        </is>
      </c>
      <c r="E945" t="inlineStr">
        <is>
          <t>EHH0007</t>
        </is>
      </c>
      <c r="F945" t="inlineStr">
        <is>
          <t>EKIPA LOCACOES RSE</t>
        </is>
      </c>
      <c r="G945" t="inlineStr">
        <is>
          <t>CTA</t>
        </is>
      </c>
      <c r="H945" t="inlineStr">
        <is>
          <t>7.1.22</t>
        </is>
      </c>
      <c r="I945" t="inlineStr">
        <is>
          <t>COMBUSTÍVEL - DIESEL (INTERNO)</t>
        </is>
      </c>
      <c r="J945" t="n">
        <v>2469.57</v>
      </c>
      <c r="K945" t="n">
        <v>-2469.57</v>
      </c>
    </row>
    <row r="946" hidden="1" s="154">
      <c r="A946" t="n">
        <v>2025</v>
      </c>
      <c r="B946" t="inlineStr">
        <is>
          <t>2025-10</t>
        </is>
      </c>
      <c r="C946" t="inlineStr">
        <is>
          <t>Matheus</t>
        </is>
      </c>
      <c r="D946" t="inlineStr">
        <is>
          <t>HYUNDAI</t>
        </is>
      </c>
      <c r="E946" t="inlineStr">
        <is>
          <t>EHH0007</t>
        </is>
      </c>
      <c r="F946" t="inlineStr">
        <is>
          <t>EKIPA LOCACOES RSE</t>
        </is>
      </c>
      <c r="G946" t="inlineStr">
        <is>
          <t>G&amp;S PRUDENTE</t>
        </is>
      </c>
      <c r="H946" t="inlineStr">
        <is>
          <t>7.1.2</t>
        </is>
      </c>
      <c r="I946" t="inlineStr">
        <is>
          <t>MANUTENÇÃO DE VEÍCULOS/MAQUINAS</t>
        </is>
      </c>
      <c r="J946" t="n">
        <v>3800</v>
      </c>
      <c r="K946" t="n">
        <v>-3800</v>
      </c>
    </row>
    <row r="947" hidden="1" s="154">
      <c r="A947" t="n">
        <v>2025</v>
      </c>
      <c r="B947" t="inlineStr">
        <is>
          <t>2025-10</t>
        </is>
      </c>
      <c r="C947" t="inlineStr">
        <is>
          <t>Matheus</t>
        </is>
      </c>
      <c r="D947" t="inlineStr">
        <is>
          <t>HYUNDAI</t>
        </is>
      </c>
      <c r="E947" t="inlineStr">
        <is>
          <t>EHH0007</t>
        </is>
      </c>
      <c r="F947" t="inlineStr">
        <is>
          <t>EKIPA LOCACOES RSE</t>
        </is>
      </c>
      <c r="G947" t="inlineStr">
        <is>
          <t>G&amp;S PRUDENTE</t>
        </is>
      </c>
      <c r="H947" t="inlineStr">
        <is>
          <t>7.1.2</t>
        </is>
      </c>
      <c r="I947" t="inlineStr">
        <is>
          <t>MANUTENÇÃO DE VEÍCULOS/MAQUINAS</t>
        </is>
      </c>
      <c r="J947" t="n">
        <v>252.99</v>
      </c>
      <c r="K947" t="n">
        <v>-252.99</v>
      </c>
    </row>
    <row r="948" hidden="1" s="154">
      <c r="A948" t="n">
        <v>2025</v>
      </c>
      <c r="B948" t="inlineStr">
        <is>
          <t>2025-10</t>
        </is>
      </c>
      <c r="C948" t="inlineStr">
        <is>
          <t>Matheus</t>
        </is>
      </c>
      <c r="D948" t="inlineStr">
        <is>
          <t>HYUNDAI</t>
        </is>
      </c>
      <c r="E948" t="inlineStr">
        <is>
          <t>EHH0007</t>
        </is>
      </c>
      <c r="F948" t="inlineStr">
        <is>
          <t>EKIPA LOCACOES RSE</t>
        </is>
      </c>
      <c r="G948" t="inlineStr">
        <is>
          <t>G&amp;S PRUDENTE</t>
        </is>
      </c>
      <c r="H948" t="inlineStr">
        <is>
          <t>7.1.2</t>
        </is>
      </c>
      <c r="I948" t="inlineStr">
        <is>
          <t>MANUTENÇÃO DE VEÍCULOS/MAQUINAS</t>
        </is>
      </c>
      <c r="J948" t="n">
        <v>600</v>
      </c>
      <c r="K948" t="n">
        <v>-600</v>
      </c>
    </row>
    <row r="949" hidden="1" s="154">
      <c r="A949" t="n">
        <v>2025</v>
      </c>
      <c r="B949" t="inlineStr">
        <is>
          <t>2025-10</t>
        </is>
      </c>
      <c r="C949" t="inlineStr">
        <is>
          <t>Matheus</t>
        </is>
      </c>
      <c r="D949" t="inlineStr">
        <is>
          <t>HYUNDAI</t>
        </is>
      </c>
      <c r="E949" t="inlineStr">
        <is>
          <t>EHH0007</t>
        </is>
      </c>
      <c r="F949" t="inlineStr">
        <is>
          <t>EKIPA LOCACOES RSE</t>
        </is>
      </c>
      <c r="G949" t="inlineStr">
        <is>
          <t>G&amp;S PRUDENTE</t>
        </is>
      </c>
      <c r="H949" t="inlineStr">
        <is>
          <t>7.1.2</t>
        </is>
      </c>
      <c r="I949" t="inlineStr">
        <is>
          <t>MANUTENÇÃO DE VEÍCULOS/MAQUINAS</t>
        </is>
      </c>
      <c r="J949" t="n">
        <v>65.76000000000001</v>
      </c>
      <c r="K949" t="n">
        <v>-65.76000000000001</v>
      </c>
    </row>
    <row r="950" hidden="1" s="154">
      <c r="A950" t="n">
        <v>2025</v>
      </c>
      <c r="B950" t="inlineStr">
        <is>
          <t>2025-10</t>
        </is>
      </c>
      <c r="C950" t="inlineStr">
        <is>
          <t>Matheus</t>
        </is>
      </c>
      <c r="D950" t="inlineStr">
        <is>
          <t>HYUNDAI</t>
        </is>
      </c>
      <c r="E950" t="inlineStr">
        <is>
          <t>EHH0007</t>
        </is>
      </c>
      <c r="F950" t="inlineStr">
        <is>
          <t>EKIPA LOCACOES RSE</t>
        </is>
      </c>
      <c r="G950" t="inlineStr">
        <is>
          <t>G&amp;S PRUDENTE</t>
        </is>
      </c>
      <c r="H950" t="inlineStr">
        <is>
          <t>7.1.2</t>
        </is>
      </c>
      <c r="I950" t="inlineStr">
        <is>
          <t>MANUTENÇÃO DE VEÍCULOS/MAQUINAS</t>
        </is>
      </c>
      <c r="J950" t="n">
        <v>1450</v>
      </c>
      <c r="K950" t="n">
        <v>-1450</v>
      </c>
    </row>
    <row r="951" hidden="1" s="154">
      <c r="A951" t="n">
        <v>2025</v>
      </c>
      <c r="B951" t="inlineStr">
        <is>
          <t>2025-10</t>
        </is>
      </c>
      <c r="C951" t="inlineStr">
        <is>
          <t>Matheus</t>
        </is>
      </c>
      <c r="D951" t="inlineStr">
        <is>
          <t>HYUNDAI</t>
        </is>
      </c>
      <c r="E951" t="inlineStr">
        <is>
          <t>EHH0007</t>
        </is>
      </c>
      <c r="F951" t="inlineStr">
        <is>
          <t>EKIPA LOCACOES RSE</t>
        </is>
      </c>
      <c r="G951" t="inlineStr">
        <is>
          <t>G&amp;S PRUDENTE</t>
        </is>
      </c>
      <c r="H951" t="inlineStr">
        <is>
          <t>7.1.2</t>
        </is>
      </c>
      <c r="I951" t="inlineStr">
        <is>
          <t>MANUTENÇÃO DE VEÍCULOS/MAQUINAS</t>
        </is>
      </c>
      <c r="J951" t="n">
        <v>1125</v>
      </c>
      <c r="K951" t="n">
        <v>-1125</v>
      </c>
    </row>
    <row r="952" hidden="1" s="154">
      <c r="A952" t="n">
        <v>2025</v>
      </c>
      <c r="B952" t="inlineStr">
        <is>
          <t>2025-10</t>
        </is>
      </c>
      <c r="C952" t="inlineStr">
        <is>
          <t>Matheus</t>
        </is>
      </c>
      <c r="D952" t="inlineStr">
        <is>
          <t>HYUNDAI</t>
        </is>
      </c>
      <c r="E952" t="inlineStr">
        <is>
          <t>EHH0007</t>
        </is>
      </c>
      <c r="F952" t="inlineStr">
        <is>
          <t>EKIPA LOCACOES RSE</t>
        </is>
      </c>
      <c r="G952" t="inlineStr">
        <is>
          <t>G&amp;S PRUDENTE</t>
        </is>
      </c>
      <c r="H952" t="inlineStr">
        <is>
          <t>7.1.2</t>
        </is>
      </c>
      <c r="I952" t="inlineStr">
        <is>
          <t>MANUTENÇÃO DE VEÍCULOS/MAQUINAS</t>
        </is>
      </c>
      <c r="J952" t="n">
        <v>952</v>
      </c>
      <c r="K952" t="n">
        <v>-952</v>
      </c>
    </row>
    <row r="953" hidden="1" s="154">
      <c r="A953" t="n">
        <v>2025</v>
      </c>
      <c r="B953" t="inlineStr">
        <is>
          <t>2025-10</t>
        </is>
      </c>
      <c r="C953" t="inlineStr">
        <is>
          <t>Matheus</t>
        </is>
      </c>
      <c r="D953" t="inlineStr">
        <is>
          <t>HYUNDAI</t>
        </is>
      </c>
      <c r="E953" t="inlineStr">
        <is>
          <t>EHH0007</t>
        </is>
      </c>
      <c r="F953" t="inlineStr">
        <is>
          <t>EKIPA LOCACOES RSE</t>
        </is>
      </c>
      <c r="G953" t="inlineStr">
        <is>
          <t>CTA</t>
        </is>
      </c>
      <c r="H953" t="inlineStr">
        <is>
          <t>7.1.22</t>
        </is>
      </c>
      <c r="I953" t="inlineStr">
        <is>
          <t>COMBUSTÍVEL - DIESEL (INTERNO)</t>
        </is>
      </c>
      <c r="J953" t="n">
        <v>4828.64</v>
      </c>
      <c r="K953" t="n">
        <v>-4828.64</v>
      </c>
    </row>
    <row r="954" hidden="1" s="154">
      <c r="A954" t="n">
        <v>2025</v>
      </c>
      <c r="B954" t="inlineStr">
        <is>
          <t>2025-11</t>
        </is>
      </c>
      <c r="C954" t="inlineStr">
        <is>
          <t>Matheus</t>
        </is>
      </c>
      <c r="D954" t="inlineStr">
        <is>
          <t>HYUNDAI</t>
        </is>
      </c>
      <c r="E954" t="inlineStr">
        <is>
          <t>EHH0007</t>
        </is>
      </c>
      <c r="F954" t="inlineStr">
        <is>
          <t>EKIPA LOCACOES RSE</t>
        </is>
      </c>
      <c r="G954" t="inlineStr">
        <is>
          <t>G&amp;S PRUDENTE</t>
        </is>
      </c>
      <c r="H954" t="inlineStr">
        <is>
          <t>7.1.2</t>
        </is>
      </c>
      <c r="I954" t="inlineStr">
        <is>
          <t>MANUTENÇÃO DE VEÍCULOS/MAQUINAS</t>
        </is>
      </c>
      <c r="J954" t="n">
        <v>190</v>
      </c>
      <c r="K954" t="n">
        <v>-190</v>
      </c>
    </row>
    <row r="955" hidden="1" s="154">
      <c r="A955" t="n">
        <v>2025</v>
      </c>
      <c r="B955" t="inlineStr">
        <is>
          <t>2025-11</t>
        </is>
      </c>
      <c r="C955" t="inlineStr">
        <is>
          <t>Matheus</t>
        </is>
      </c>
      <c r="D955" t="inlineStr">
        <is>
          <t>HYUNDAI</t>
        </is>
      </c>
      <c r="E955" t="inlineStr">
        <is>
          <t>EHH0007</t>
        </is>
      </c>
      <c r="F955" t="inlineStr">
        <is>
          <t>EKIPA LOCACOES RSE</t>
        </is>
      </c>
      <c r="G955" t="inlineStr">
        <is>
          <t>G&amp;S PRUDENTE</t>
        </is>
      </c>
      <c r="H955" t="inlineStr">
        <is>
          <t>7.1.2</t>
        </is>
      </c>
      <c r="I955" t="inlineStr">
        <is>
          <t>MANUTENÇÃO DE VEÍCULOS/MAQUINAS</t>
        </is>
      </c>
      <c r="J955" t="n">
        <v>624</v>
      </c>
      <c r="K955" t="n">
        <v>-624</v>
      </c>
    </row>
    <row r="956" hidden="1" s="154">
      <c r="A956" t="n">
        <v>2025</v>
      </c>
      <c r="B956" t="inlineStr">
        <is>
          <t>2025-11</t>
        </is>
      </c>
      <c r="C956" t="inlineStr">
        <is>
          <t>Matheus</t>
        </is>
      </c>
      <c r="D956" t="inlineStr">
        <is>
          <t>HYUNDAI</t>
        </is>
      </c>
      <c r="E956" t="inlineStr">
        <is>
          <t>EHH0007</t>
        </is>
      </c>
      <c r="F956" t="inlineStr">
        <is>
          <t>EKIPA LOCACOES RSE</t>
        </is>
      </c>
      <c r="G956" t="inlineStr">
        <is>
          <t>G&amp;S PRUDENTE</t>
        </is>
      </c>
      <c r="H956" t="inlineStr">
        <is>
          <t>7.1.2</t>
        </is>
      </c>
      <c r="I956" t="inlineStr">
        <is>
          <t>MANUTENÇÃO DE VEÍCULOS/MAQUINAS</t>
        </is>
      </c>
      <c r="J956" t="n">
        <v>447.19</v>
      </c>
      <c r="K956" t="n">
        <v>-447.19</v>
      </c>
    </row>
    <row r="957" hidden="1" s="154">
      <c r="A957" t="n">
        <v>2025</v>
      </c>
      <c r="B957" t="inlineStr">
        <is>
          <t>2025-11</t>
        </is>
      </c>
      <c r="C957" t="inlineStr">
        <is>
          <t>Matheus</t>
        </is>
      </c>
      <c r="D957" t="inlineStr">
        <is>
          <t>HYUNDAI</t>
        </is>
      </c>
      <c r="E957" t="inlineStr">
        <is>
          <t>EHH0007</t>
        </is>
      </c>
      <c r="F957" t="inlineStr">
        <is>
          <t>EKIPA LOCACOES RSE</t>
        </is>
      </c>
      <c r="G957" t="inlineStr">
        <is>
          <t>G&amp;S PRUDENTE</t>
        </is>
      </c>
      <c r="H957" t="inlineStr">
        <is>
          <t>7.1.18</t>
        </is>
      </c>
      <c r="I957" t="inlineStr">
        <is>
          <t>FRETES E CARRETOS</t>
        </is>
      </c>
      <c r="J957" t="n">
        <v>193.18</v>
      </c>
      <c r="K957" t="n">
        <v>-193.18</v>
      </c>
    </row>
    <row r="958" hidden="1" s="154">
      <c r="A958" t="n">
        <v>2025</v>
      </c>
      <c r="B958" t="inlineStr">
        <is>
          <t>2025-11</t>
        </is>
      </c>
      <c r="C958" t="inlineStr">
        <is>
          <t>Matheus</t>
        </is>
      </c>
      <c r="D958" t="inlineStr">
        <is>
          <t>HYUNDAI</t>
        </is>
      </c>
      <c r="E958" t="inlineStr">
        <is>
          <t>EHH0007</t>
        </is>
      </c>
      <c r="F958" t="inlineStr">
        <is>
          <t>EKIPA LOCACOES RSE</t>
        </is>
      </c>
      <c r="G958" t="inlineStr">
        <is>
          <t>G&amp;S PRUDENTE</t>
        </is>
      </c>
      <c r="H958" t="inlineStr">
        <is>
          <t>7.1.2</t>
        </is>
      </c>
      <c r="I958" t="inlineStr">
        <is>
          <t>MANUTENÇÃO DE VEÍCULOS/MAQUINAS</t>
        </is>
      </c>
      <c r="J958" t="n">
        <v>1706.99</v>
      </c>
      <c r="K958" t="n">
        <v>-1706.99</v>
      </c>
    </row>
    <row r="959" hidden="1" s="154">
      <c r="A959" t="n">
        <v>2025</v>
      </c>
      <c r="B959" t="inlineStr">
        <is>
          <t>2025-11</t>
        </is>
      </c>
      <c r="C959" t="inlineStr">
        <is>
          <t>Matheus</t>
        </is>
      </c>
      <c r="D959" t="inlineStr">
        <is>
          <t>HYUNDAI</t>
        </is>
      </c>
      <c r="E959" t="inlineStr">
        <is>
          <t>EHH0007</t>
        </is>
      </c>
      <c r="F959" t="inlineStr">
        <is>
          <t>EKIPA LOCACOES RSE</t>
        </is>
      </c>
      <c r="G959" t="inlineStr">
        <is>
          <t>G&amp;S PRUDENTE</t>
        </is>
      </c>
      <c r="H959" t="inlineStr">
        <is>
          <t>7.1.2</t>
        </is>
      </c>
      <c r="I959" t="inlineStr">
        <is>
          <t>MANUTENÇÃO DE VEÍCULOS/MAQUINAS</t>
        </is>
      </c>
      <c r="J959" t="n">
        <v>80</v>
      </c>
      <c r="K959" t="n">
        <v>-80</v>
      </c>
    </row>
    <row r="960" hidden="1" s="154">
      <c r="A960" t="n">
        <v>2025</v>
      </c>
      <c r="B960" t="inlineStr">
        <is>
          <t>2025-11</t>
        </is>
      </c>
      <c r="C960" t="inlineStr">
        <is>
          <t>Matheus</t>
        </is>
      </c>
      <c r="D960" t="inlineStr">
        <is>
          <t>HYUNDAI</t>
        </is>
      </c>
      <c r="E960" t="inlineStr">
        <is>
          <t>EHH0007</t>
        </is>
      </c>
      <c r="F960" t="inlineStr">
        <is>
          <t>EKIPA LOCACOES RSE</t>
        </is>
      </c>
      <c r="G960" t="inlineStr">
        <is>
          <t>CTA</t>
        </is>
      </c>
      <c r="H960" t="inlineStr">
        <is>
          <t>7.1.22</t>
        </is>
      </c>
      <c r="I960" t="inlineStr">
        <is>
          <t>COMBUSTÍVEL - DIESEL (INTERNO)</t>
        </is>
      </c>
      <c r="J960" t="n">
        <v>3232.32</v>
      </c>
      <c r="K960" t="n">
        <v>-3232.32</v>
      </c>
    </row>
    <row r="961" hidden="1" s="154">
      <c r="A961" t="n">
        <v>2025</v>
      </c>
      <c r="B961" t="inlineStr">
        <is>
          <t>2025-12</t>
        </is>
      </c>
      <c r="C961" t="inlineStr">
        <is>
          <t>Matheus</t>
        </is>
      </c>
      <c r="D961" t="inlineStr">
        <is>
          <t>HYUNDAI</t>
        </is>
      </c>
      <c r="E961" t="inlineStr">
        <is>
          <t>EHH0007</t>
        </is>
      </c>
      <c r="F961" t="inlineStr">
        <is>
          <t>EKIPA LOCACOES RSE</t>
        </is>
      </c>
      <c r="G961" t="inlineStr">
        <is>
          <t>G&amp;S PRUDENTE</t>
        </is>
      </c>
      <c r="H961" t="inlineStr">
        <is>
          <t>7.1.2</t>
        </is>
      </c>
      <c r="I961" t="inlineStr">
        <is>
          <t>MANUTENÇÃO DE VEÍCULOS/MAQUINAS</t>
        </is>
      </c>
      <c r="J961" t="n">
        <v>315.71</v>
      </c>
      <c r="K961" t="n">
        <v>-315.71</v>
      </c>
    </row>
    <row r="962" hidden="1" s="154">
      <c r="A962" t="n">
        <v>2025</v>
      </c>
      <c r="B962" t="inlineStr">
        <is>
          <t>2025-12</t>
        </is>
      </c>
      <c r="C962" t="inlineStr">
        <is>
          <t>Matheus</t>
        </is>
      </c>
      <c r="D962" t="inlineStr">
        <is>
          <t>HYUNDAI</t>
        </is>
      </c>
      <c r="E962" t="inlineStr">
        <is>
          <t>EHH0007</t>
        </is>
      </c>
      <c r="F962" t="inlineStr">
        <is>
          <t>EKIPA LOCACOES RSE</t>
        </is>
      </c>
      <c r="G962" t="inlineStr">
        <is>
          <t>CTA</t>
        </is>
      </c>
      <c r="H962" t="inlineStr">
        <is>
          <t>7.1.22</t>
        </is>
      </c>
      <c r="I962" t="inlineStr">
        <is>
          <t>COMBUSTÍVEL - DIESEL (INTERNO)</t>
        </is>
      </c>
      <c r="J962" t="n">
        <v>1100</v>
      </c>
      <c r="K962" t="n">
        <v>-1100</v>
      </c>
    </row>
    <row r="963" hidden="1" s="154">
      <c r="A963" t="n">
        <v>2026</v>
      </c>
      <c r="B963" t="inlineStr">
        <is>
          <t>2026-01</t>
        </is>
      </c>
      <c r="C963" t="inlineStr">
        <is>
          <t>Matheus</t>
        </is>
      </c>
      <c r="D963" t="inlineStr">
        <is>
          <t>HYUNDAI</t>
        </is>
      </c>
      <c r="E963" t="inlineStr">
        <is>
          <t>EHH0007</t>
        </is>
      </c>
      <c r="F963" t="inlineStr">
        <is>
          <t>SELETIVA</t>
        </is>
      </c>
      <c r="G963" t="inlineStr">
        <is>
          <t>G&amp;S PRUDENTE</t>
        </is>
      </c>
      <c r="H963" t="inlineStr">
        <is>
          <t>7.1.18</t>
        </is>
      </c>
      <c r="I963" t="inlineStr">
        <is>
          <t>FRETES E CARRETOS</t>
        </is>
      </c>
      <c r="J963" t="n">
        <v>25.89</v>
      </c>
      <c r="K963" t="n">
        <v>-25.89</v>
      </c>
    </row>
    <row r="964" hidden="1" s="154">
      <c r="A964" t="n">
        <v>2026</v>
      </c>
      <c r="B964" t="inlineStr">
        <is>
          <t>2026-01</t>
        </is>
      </c>
      <c r="C964" t="inlineStr">
        <is>
          <t>Matheus</t>
        </is>
      </c>
      <c r="D964" t="inlineStr">
        <is>
          <t>HYUNDAI</t>
        </is>
      </c>
      <c r="E964" t="inlineStr">
        <is>
          <t>EHH0007</t>
        </is>
      </c>
      <c r="F964" t="inlineStr">
        <is>
          <t>SELETIVA</t>
        </is>
      </c>
      <c r="G964" t="inlineStr">
        <is>
          <t>G&amp;S PRUDENTE</t>
        </is>
      </c>
      <c r="H964" t="inlineStr">
        <is>
          <t>7.1.2</t>
        </is>
      </c>
      <c r="I964" t="inlineStr">
        <is>
          <t>MANUTENÇÃO DE VEÍCULOS/MAQUINAS</t>
        </is>
      </c>
      <c r="J964" t="n">
        <v>76.37</v>
      </c>
      <c r="K964" t="n">
        <v>-76.37</v>
      </c>
    </row>
    <row r="965" hidden="1" s="154">
      <c r="A965" t="n">
        <v>2026</v>
      </c>
      <c r="B965" t="inlineStr">
        <is>
          <t>2026-02</t>
        </is>
      </c>
      <c r="C965" t="inlineStr">
        <is>
          <t>Matheus</t>
        </is>
      </c>
      <c r="D965" t="inlineStr">
        <is>
          <t>HYUNDAI</t>
        </is>
      </c>
      <c r="E965" t="inlineStr">
        <is>
          <t>EHH0007</t>
        </is>
      </c>
      <c r="F965" t="inlineStr">
        <is>
          <t>SELETIVA</t>
        </is>
      </c>
      <c r="G965" t="inlineStr">
        <is>
          <t>G&amp;S PRUDENTE</t>
        </is>
      </c>
      <c r="H965" t="inlineStr">
        <is>
          <t>7.1.2</t>
        </is>
      </c>
      <c r="I965" t="inlineStr">
        <is>
          <t>MANUTENÇÃO DE VEÍCULOS/MAQUINAS</t>
        </is>
      </c>
      <c r="J965" t="n">
        <v>1000</v>
      </c>
      <c r="K965" t="n">
        <v>-1000</v>
      </c>
    </row>
    <row r="966" hidden="1" s="154">
      <c r="A966" t="n">
        <v>2026</v>
      </c>
      <c r="B966" t="inlineStr">
        <is>
          <t>2026-02</t>
        </is>
      </c>
      <c r="C966" t="inlineStr">
        <is>
          <t>Matheus</t>
        </is>
      </c>
      <c r="D966" t="inlineStr">
        <is>
          <t>HYUNDAI</t>
        </is>
      </c>
      <c r="E966" t="inlineStr">
        <is>
          <t>EHH0007</t>
        </is>
      </c>
      <c r="F966" t="inlineStr">
        <is>
          <t>SELETIVA</t>
        </is>
      </c>
      <c r="G966" t="inlineStr">
        <is>
          <t>G&amp;S MARINGA</t>
        </is>
      </c>
      <c r="H966" t="inlineStr">
        <is>
          <t>7.1.2</t>
        </is>
      </c>
      <c r="I966" t="inlineStr">
        <is>
          <t>MANUTENÇÃO DE VEÍCULOS/MAQUINAS</t>
        </is>
      </c>
      <c r="J966" t="n">
        <v>812.11</v>
      </c>
      <c r="K966" t="n">
        <v>-812.11</v>
      </c>
    </row>
    <row r="967" hidden="1" s="154">
      <c r="A967" t="n">
        <v>2026</v>
      </c>
      <c r="B967" t="inlineStr">
        <is>
          <t>2026-02</t>
        </is>
      </c>
      <c r="C967" t="inlineStr">
        <is>
          <t>Matheus</t>
        </is>
      </c>
      <c r="D967" t="inlineStr">
        <is>
          <t>HYUNDAI</t>
        </is>
      </c>
      <c r="E967" t="inlineStr">
        <is>
          <t>EHH0007</t>
        </is>
      </c>
      <c r="F967" t="inlineStr">
        <is>
          <t>SELETIVA</t>
        </is>
      </c>
      <c r="G967" t="inlineStr">
        <is>
          <t>G&amp;S PRUDENTE</t>
        </is>
      </c>
      <c r="H967" t="inlineStr">
        <is>
          <t>7.1.2</t>
        </is>
      </c>
      <c r="I967" t="inlineStr">
        <is>
          <t>MANUTENÇÃO DE VEÍCULOS/MAQUINAS</t>
        </is>
      </c>
      <c r="J967" t="n">
        <v>3462.96</v>
      </c>
      <c r="K967" t="n">
        <v>-3462.96</v>
      </c>
    </row>
    <row r="968" hidden="1" s="154">
      <c r="A968" t="n">
        <v>2026</v>
      </c>
      <c r="B968" t="inlineStr">
        <is>
          <t>2026-02</t>
        </is>
      </c>
      <c r="C968" t="inlineStr">
        <is>
          <t>Matheus</t>
        </is>
      </c>
      <c r="D968" t="inlineStr">
        <is>
          <t>HYUNDAI</t>
        </is>
      </c>
      <c r="E968" t="inlineStr">
        <is>
          <t>EHH0007</t>
        </is>
      </c>
      <c r="F968" t="inlineStr">
        <is>
          <t>SELETIVA</t>
        </is>
      </c>
      <c r="G968" t="inlineStr">
        <is>
          <t>G&amp;S PRUDENTE</t>
        </is>
      </c>
      <c r="H968" t="inlineStr">
        <is>
          <t>7.1.2</t>
        </is>
      </c>
      <c r="I968" t="inlineStr">
        <is>
          <t>MANUTENÇÃO DE VEÍCULOS/MAQUINAS</t>
        </is>
      </c>
      <c r="J968" t="n">
        <v>500</v>
      </c>
      <c r="K968" t="n">
        <v>-500</v>
      </c>
    </row>
    <row r="969" hidden="1" s="154">
      <c r="A969" t="n">
        <v>2026</v>
      </c>
      <c r="B969" t="inlineStr">
        <is>
          <t>2026-02</t>
        </is>
      </c>
      <c r="C969" t="inlineStr">
        <is>
          <t>Matheus</t>
        </is>
      </c>
      <c r="D969" t="inlineStr">
        <is>
          <t>HYUNDAI</t>
        </is>
      </c>
      <c r="E969" t="inlineStr">
        <is>
          <t>EHH0007</t>
        </is>
      </c>
      <c r="F969" t="inlineStr">
        <is>
          <t>SELETIVA</t>
        </is>
      </c>
      <c r="G969" t="inlineStr">
        <is>
          <t>G&amp;S PRUDENTE</t>
        </is>
      </c>
      <c r="H969" t="inlineStr">
        <is>
          <t>7.1.2</t>
        </is>
      </c>
      <c r="I969" t="inlineStr">
        <is>
          <t>MANUTENÇÃO DE VEÍCULOS/MAQUINAS</t>
        </is>
      </c>
      <c r="J969" t="n">
        <v>12.62</v>
      </c>
      <c r="K969" t="n">
        <v>-12.62</v>
      </c>
    </row>
    <row r="970" hidden="1" s="154">
      <c r="A970" t="n">
        <v>2026</v>
      </c>
      <c r="B970" t="inlineStr">
        <is>
          <t>2026-02</t>
        </is>
      </c>
      <c r="C970" t="inlineStr">
        <is>
          <t>Matheus</t>
        </is>
      </c>
      <c r="D970" t="inlineStr">
        <is>
          <t>HYUNDAI</t>
        </is>
      </c>
      <c r="E970" t="inlineStr">
        <is>
          <t>EHH0007</t>
        </is>
      </c>
      <c r="F970" t="inlineStr">
        <is>
          <t>SELETIVA</t>
        </is>
      </c>
      <c r="G970" t="inlineStr">
        <is>
          <t>G&amp;S PRUDENTE</t>
        </is>
      </c>
      <c r="H970" t="inlineStr">
        <is>
          <t>7.1.2</t>
        </is>
      </c>
      <c r="I970" t="inlineStr">
        <is>
          <t>MANUTENÇÃO DE VEÍCULOS/MAQUINAS</t>
        </is>
      </c>
      <c r="J970" t="n">
        <v>855</v>
      </c>
      <c r="K970" t="n">
        <v>-855</v>
      </c>
    </row>
    <row r="971" hidden="1" s="154">
      <c r="A971" t="n">
        <v>2026</v>
      </c>
      <c r="B971" t="inlineStr">
        <is>
          <t>2026-02</t>
        </is>
      </c>
      <c r="C971" t="inlineStr">
        <is>
          <t>Matheus</t>
        </is>
      </c>
      <c r="D971" t="inlineStr">
        <is>
          <t>HYUNDAI</t>
        </is>
      </c>
      <c r="E971" t="inlineStr">
        <is>
          <t>EHH0007</t>
        </is>
      </c>
      <c r="F971" t="inlineStr">
        <is>
          <t>SELETIVA</t>
        </is>
      </c>
      <c r="G971" t="inlineStr">
        <is>
          <t>G&amp;S PRUDENTE</t>
        </is>
      </c>
      <c r="H971" t="inlineStr">
        <is>
          <t>7.1.2</t>
        </is>
      </c>
      <c r="I971" t="inlineStr">
        <is>
          <t>MANUTENÇÃO DE VEÍCULOS/MAQUINAS</t>
        </is>
      </c>
      <c r="J971" t="n">
        <v>169</v>
      </c>
      <c r="K971" t="n">
        <v>-169</v>
      </c>
    </row>
    <row r="972" hidden="1" s="154">
      <c r="A972" t="n">
        <v>2026</v>
      </c>
      <c r="B972" t="inlineStr">
        <is>
          <t>2026-02</t>
        </is>
      </c>
      <c r="C972" t="inlineStr">
        <is>
          <t>Matheus</t>
        </is>
      </c>
      <c r="D972" t="inlineStr">
        <is>
          <t>HYUNDAI</t>
        </is>
      </c>
      <c r="E972" t="inlineStr">
        <is>
          <t>EHH0007</t>
        </is>
      </c>
      <c r="F972" t="inlineStr">
        <is>
          <t>SELETIVA</t>
        </is>
      </c>
      <c r="G972" t="inlineStr">
        <is>
          <t>G&amp;S PRUDENTE</t>
        </is>
      </c>
      <c r="H972" t="inlineStr">
        <is>
          <t>7.1.2</t>
        </is>
      </c>
      <c r="I972" t="inlineStr">
        <is>
          <t>MANUTENÇÃO DE VEÍCULOS/MAQUINAS</t>
        </is>
      </c>
      <c r="J972" t="n">
        <v>25</v>
      </c>
      <c r="K972" t="n">
        <v>-25</v>
      </c>
    </row>
    <row r="973" hidden="1" s="154">
      <c r="A973" t="n">
        <v>2026</v>
      </c>
      <c r="B973" t="inlineStr">
        <is>
          <t>2026-02</t>
        </is>
      </c>
      <c r="C973" t="inlineStr">
        <is>
          <t>Matheus</t>
        </is>
      </c>
      <c r="D973" t="inlineStr">
        <is>
          <t>HYUNDAI</t>
        </is>
      </c>
      <c r="E973" t="inlineStr">
        <is>
          <t>EHH0007</t>
        </is>
      </c>
      <c r="F973" t="inlineStr">
        <is>
          <t>SELETIVA</t>
        </is>
      </c>
      <c r="G973" t="inlineStr">
        <is>
          <t>G&amp;S PRUDENTE</t>
        </is>
      </c>
      <c r="H973" t="inlineStr">
        <is>
          <t>7.1.2</t>
        </is>
      </c>
      <c r="I973" t="inlineStr">
        <is>
          <t>MANUTENÇÃO DE VEÍCULOS/MAQUINAS</t>
        </is>
      </c>
      <c r="J973" t="n">
        <v>165.13</v>
      </c>
      <c r="K973" t="n">
        <v>-165.13</v>
      </c>
    </row>
    <row r="974" hidden="1" s="154">
      <c r="A974" t="n">
        <v>2026</v>
      </c>
      <c r="B974" t="inlineStr">
        <is>
          <t>2026-03</t>
        </is>
      </c>
      <c r="C974" t="inlineStr">
        <is>
          <t>Matheus</t>
        </is>
      </c>
      <c r="D974" t="inlineStr">
        <is>
          <t>HYUNDAI</t>
        </is>
      </c>
      <c r="E974" t="inlineStr">
        <is>
          <t>EHH0007</t>
        </is>
      </c>
      <c r="F974" t="inlineStr">
        <is>
          <t>SELETIVA</t>
        </is>
      </c>
      <c r="G974" t="inlineStr">
        <is>
          <t>G&amp;S PRUDENTE</t>
        </is>
      </c>
      <c r="H974" t="inlineStr">
        <is>
          <t>7.1.2</t>
        </is>
      </c>
      <c r="I974" t="inlineStr">
        <is>
          <t>MANUTENÇÃO DE VEÍCULOS/MAQUINAS</t>
        </is>
      </c>
      <c r="J974" t="n">
        <v>155</v>
      </c>
      <c r="K974" t="n">
        <v>-155</v>
      </c>
    </row>
    <row r="975" hidden="1" s="154">
      <c r="A975" t="n">
        <v>2026</v>
      </c>
      <c r="B975" t="inlineStr">
        <is>
          <t>2026-03</t>
        </is>
      </c>
      <c r="C975" t="inlineStr">
        <is>
          <t>Matheus</t>
        </is>
      </c>
      <c r="D975" t="inlineStr">
        <is>
          <t>HYUNDAI</t>
        </is>
      </c>
      <c r="E975" t="inlineStr">
        <is>
          <t>EHH0007</t>
        </is>
      </c>
      <c r="F975" t="inlineStr">
        <is>
          <t>SELETIVA</t>
        </is>
      </c>
      <c r="G975" t="inlineStr">
        <is>
          <t>G&amp;S PRUDENTE</t>
        </is>
      </c>
      <c r="H975" t="inlineStr">
        <is>
          <t>7.1.2</t>
        </is>
      </c>
      <c r="I975" t="inlineStr">
        <is>
          <t>MANUTENÇÃO DE VEÍCULOS/MAQUINAS</t>
        </is>
      </c>
      <c r="J975" t="n">
        <v>444.63</v>
      </c>
      <c r="K975" t="n">
        <v>-444.63</v>
      </c>
    </row>
    <row r="976" hidden="1" s="154">
      <c r="A976" t="n">
        <v>2026</v>
      </c>
      <c r="B976" t="inlineStr">
        <is>
          <t>2026-03</t>
        </is>
      </c>
      <c r="C976" t="inlineStr">
        <is>
          <t>Matheus</t>
        </is>
      </c>
      <c r="D976" t="inlineStr">
        <is>
          <t>HYUNDAI</t>
        </is>
      </c>
      <c r="E976" t="inlineStr">
        <is>
          <t>EHH0007</t>
        </is>
      </c>
      <c r="F976" t="inlineStr">
        <is>
          <t>SELETIVA</t>
        </is>
      </c>
      <c r="G976" t="inlineStr">
        <is>
          <t>G&amp;S PRUDENTE</t>
        </is>
      </c>
      <c r="H976" t="inlineStr">
        <is>
          <t>7.1.2</t>
        </is>
      </c>
      <c r="I976" t="inlineStr">
        <is>
          <t>MANUTENÇÃO DE VEÍCULOS/MAQUINAS</t>
        </is>
      </c>
      <c r="J976" t="n">
        <v>120</v>
      </c>
      <c r="K976" t="n">
        <v>-120</v>
      </c>
    </row>
    <row r="977" hidden="1" s="154">
      <c r="A977" t="n">
        <v>2026</v>
      </c>
      <c r="B977" t="inlineStr">
        <is>
          <t>2026-03</t>
        </is>
      </c>
      <c r="C977" t="inlineStr">
        <is>
          <t>Matheus</t>
        </is>
      </c>
      <c r="D977" t="inlineStr">
        <is>
          <t>HYUNDAI</t>
        </is>
      </c>
      <c r="E977" t="inlineStr">
        <is>
          <t>EHH0007</t>
        </is>
      </c>
      <c r="F977" t="inlineStr">
        <is>
          <t>SELETIVA</t>
        </is>
      </c>
      <c r="G977" t="inlineStr">
        <is>
          <t>G&amp;S PRUDENTE</t>
        </is>
      </c>
      <c r="H977" t="inlineStr">
        <is>
          <t>7.1.2</t>
        </is>
      </c>
      <c r="I977" t="inlineStr">
        <is>
          <t>MANUTENÇÃO DE VEÍCULOS/MAQUINAS</t>
        </is>
      </c>
      <c r="J977" t="n">
        <v>854.9299999999999</v>
      </c>
      <c r="K977" t="n">
        <v>-854.9299999999999</v>
      </c>
    </row>
    <row r="978" hidden="1" s="154">
      <c r="A978" t="n">
        <v>2025</v>
      </c>
      <c r="B978" t="inlineStr">
        <is>
          <t>2025-01</t>
        </is>
      </c>
      <c r="C978" t="inlineStr">
        <is>
          <t>Multi Aço</t>
        </is>
      </c>
      <c r="D978" t="inlineStr">
        <is>
          <t>HYUNDAI</t>
        </is>
      </c>
      <c r="E978" t="inlineStr">
        <is>
          <t>EHH0037</t>
        </is>
      </c>
      <c r="F978" t="inlineStr">
        <is>
          <t>SELETIVA</t>
        </is>
      </c>
      <c r="G978" t="inlineStr">
        <is>
          <t>G&amp;G MATRIZ</t>
        </is>
      </c>
      <c r="H978" t="inlineStr">
        <is>
          <t>7.1.22</t>
        </is>
      </c>
      <c r="I978" t="inlineStr">
        <is>
          <t>COMBUSTÍVEL - DIESEL (INTERNO)</t>
        </is>
      </c>
      <c r="J978" t="n">
        <v>1296.02</v>
      </c>
      <c r="K978" t="n">
        <v>1296.02</v>
      </c>
    </row>
    <row r="979" hidden="1" s="154">
      <c r="A979" t="n">
        <v>2025</v>
      </c>
      <c r="B979" t="inlineStr">
        <is>
          <t>2025-01</t>
        </is>
      </c>
      <c r="C979" t="inlineStr">
        <is>
          <t>Multi Aço</t>
        </is>
      </c>
      <c r="D979" t="inlineStr">
        <is>
          <t>HYUNDAI</t>
        </is>
      </c>
      <c r="E979" t="inlineStr">
        <is>
          <t>EHH0037</t>
        </is>
      </c>
      <c r="F979" t="inlineStr">
        <is>
          <t>SELETIVA</t>
        </is>
      </c>
      <c r="G979" t="inlineStr">
        <is>
          <t>G&amp;G MATRIZ</t>
        </is>
      </c>
      <c r="H979" t="inlineStr">
        <is>
          <t>7.1.2</t>
        </is>
      </c>
      <c r="I979" t="inlineStr">
        <is>
          <t>MANUTENÇÃO DE VEÍCULOS/MAQUINAS</t>
        </is>
      </c>
      <c r="J979" t="n">
        <v>2660.9</v>
      </c>
      <c r="K979" t="n">
        <v>2660.9</v>
      </c>
    </row>
    <row r="980" hidden="1" s="154">
      <c r="A980" t="n">
        <v>2025</v>
      </c>
      <c r="B980" t="inlineStr">
        <is>
          <t>2025-01</t>
        </is>
      </c>
      <c r="C980" t="inlineStr">
        <is>
          <t>Multi Aço</t>
        </is>
      </c>
      <c r="D980" t="inlineStr">
        <is>
          <t>HYUNDAI</t>
        </is>
      </c>
      <c r="E980" t="inlineStr">
        <is>
          <t>EHH0037</t>
        </is>
      </c>
      <c r="F980" t="inlineStr">
        <is>
          <t>SELETIVA</t>
        </is>
      </c>
      <c r="G980" t="inlineStr">
        <is>
          <t>G&amp;G MATRIZ</t>
        </is>
      </c>
      <c r="H980" t="inlineStr">
        <is>
          <t>7.1.1</t>
        </is>
      </c>
      <c r="I980" t="inlineStr">
        <is>
          <t>PEÇAS DE MANUTENÇÃO</t>
        </is>
      </c>
      <c r="J980" t="n">
        <v>449.05</v>
      </c>
      <c r="K980" t="n">
        <v>449.05</v>
      </c>
    </row>
    <row r="981" hidden="1" s="154">
      <c r="A981" t="n">
        <v>2025</v>
      </c>
      <c r="B981" t="inlineStr">
        <is>
          <t>2025-02</t>
        </is>
      </c>
      <c r="C981" t="inlineStr">
        <is>
          <t>Multi Aço</t>
        </is>
      </c>
      <c r="D981" t="inlineStr">
        <is>
          <t>HYUNDAI</t>
        </is>
      </c>
      <c r="E981" t="inlineStr">
        <is>
          <t>EHH0037</t>
        </is>
      </c>
      <c r="F981" t="inlineStr">
        <is>
          <t>SELETIVA</t>
        </is>
      </c>
      <c r="G981" t="inlineStr">
        <is>
          <t>G3S PRUDENTE</t>
        </is>
      </c>
      <c r="H981" t="inlineStr">
        <is>
          <t>7.1.2</t>
        </is>
      </c>
      <c r="I981" t="inlineStr">
        <is>
          <t>MANUTENÇÃO DE VEÍCULOS/MAQUINAS</t>
        </is>
      </c>
      <c r="J981" t="n">
        <v>1000</v>
      </c>
      <c r="K981" t="n">
        <v>1000</v>
      </c>
    </row>
    <row r="982" hidden="1" s="154">
      <c r="A982" t="n">
        <v>2025</v>
      </c>
      <c r="B982" t="inlineStr">
        <is>
          <t>2025-02</t>
        </is>
      </c>
      <c r="C982" t="inlineStr">
        <is>
          <t>Multi Aço</t>
        </is>
      </c>
      <c r="D982" t="inlineStr">
        <is>
          <t>HYUNDAI</t>
        </is>
      </c>
      <c r="E982" t="inlineStr">
        <is>
          <t>EHH0037</t>
        </is>
      </c>
      <c r="F982" t="inlineStr">
        <is>
          <t>SELETIVA</t>
        </is>
      </c>
      <c r="G982" t="inlineStr">
        <is>
          <t>G&amp;G MATRIZ</t>
        </is>
      </c>
      <c r="H982" t="inlineStr">
        <is>
          <t>7.1.2</t>
        </is>
      </c>
      <c r="I982" t="inlineStr">
        <is>
          <t>MANUTENÇÃO DE VEÍCULOS/MAQUINAS</t>
        </is>
      </c>
      <c r="J982" t="n">
        <v>1000</v>
      </c>
      <c r="K982" t="n">
        <v>1000</v>
      </c>
    </row>
    <row r="983" hidden="1" s="154">
      <c r="A983" t="n">
        <v>2025</v>
      </c>
      <c r="B983" t="inlineStr">
        <is>
          <t>2025-02</t>
        </is>
      </c>
      <c r="C983" t="inlineStr">
        <is>
          <t>Multi Aço</t>
        </is>
      </c>
      <c r="D983" t="inlineStr">
        <is>
          <t>HYUNDAI</t>
        </is>
      </c>
      <c r="E983" t="inlineStr">
        <is>
          <t>EHH0037</t>
        </is>
      </c>
      <c r="F983" t="inlineStr">
        <is>
          <t>SELETIVA</t>
        </is>
      </c>
      <c r="G983" t="inlineStr">
        <is>
          <t>G&amp;G MATRIZ</t>
        </is>
      </c>
      <c r="H983" t="inlineStr">
        <is>
          <t>7.1.1</t>
        </is>
      </c>
      <c r="I983" t="inlineStr">
        <is>
          <t>PEÇAS DE MANUTENÇÃO</t>
        </is>
      </c>
      <c r="J983" t="n">
        <v>229.5</v>
      </c>
      <c r="K983" t="n">
        <v>229.5</v>
      </c>
    </row>
    <row r="984" hidden="1" s="154">
      <c r="A984" t="n">
        <v>2025</v>
      </c>
      <c r="B984" t="inlineStr">
        <is>
          <t>2025-03</t>
        </is>
      </c>
      <c r="C984" t="inlineStr">
        <is>
          <t>Multi Aço</t>
        </is>
      </c>
      <c r="D984" t="inlineStr">
        <is>
          <t>HYUNDAI</t>
        </is>
      </c>
      <c r="E984" t="inlineStr">
        <is>
          <t>EHH0037</t>
        </is>
      </c>
      <c r="F984" t="inlineStr">
        <is>
          <t>SELETIVA</t>
        </is>
      </c>
      <c r="G984" t="inlineStr">
        <is>
          <t>G&amp;G MATRIZ</t>
        </is>
      </c>
      <c r="H984" t="inlineStr">
        <is>
          <t>7.1.22</t>
        </is>
      </c>
      <c r="I984" t="inlineStr">
        <is>
          <t>COMBUSTÍVEL - DIESEL (INTERNO)</t>
        </is>
      </c>
      <c r="J984" t="n">
        <v>1711.78</v>
      </c>
      <c r="K984" t="n">
        <v>1711.78</v>
      </c>
    </row>
    <row r="985" hidden="1" s="154">
      <c r="A985" t="n">
        <v>2025</v>
      </c>
      <c r="B985" t="inlineStr">
        <is>
          <t>2025-04</t>
        </is>
      </c>
      <c r="C985" t="inlineStr">
        <is>
          <t>Multi Aço</t>
        </is>
      </c>
      <c r="D985" t="inlineStr">
        <is>
          <t>HYUNDAI</t>
        </is>
      </c>
      <c r="E985" t="inlineStr">
        <is>
          <t>EHH0037</t>
        </is>
      </c>
      <c r="F985" t="inlineStr">
        <is>
          <t>SELETIVA</t>
        </is>
      </c>
      <c r="G985" t="inlineStr">
        <is>
          <t>G&amp;G MATRIZ</t>
        </is>
      </c>
      <c r="H985" t="inlineStr">
        <is>
          <t>7.1.1</t>
        </is>
      </c>
      <c r="I985" t="inlineStr">
        <is>
          <t>PEÇAS DE MANUTENÇÃO</t>
        </is>
      </c>
      <c r="J985" t="n">
        <v>150.6</v>
      </c>
      <c r="K985" t="n">
        <v>150.6</v>
      </c>
    </row>
    <row r="986" hidden="1" s="154">
      <c r="A986" t="n">
        <v>2025</v>
      </c>
      <c r="B986" t="inlineStr">
        <is>
          <t>2025-04</t>
        </is>
      </c>
      <c r="C986" t="inlineStr">
        <is>
          <t>Multi Aço</t>
        </is>
      </c>
      <c r="D986" t="inlineStr">
        <is>
          <t>HYUNDAI</t>
        </is>
      </c>
      <c r="E986" t="inlineStr">
        <is>
          <t>EHH0037</t>
        </is>
      </c>
      <c r="F986" t="inlineStr">
        <is>
          <t>SELETIVA</t>
        </is>
      </c>
      <c r="G986" t="inlineStr">
        <is>
          <t>G&amp;G MATRIZ</t>
        </is>
      </c>
      <c r="H986" t="inlineStr">
        <is>
          <t>7.1.2</t>
        </is>
      </c>
      <c r="I986" t="inlineStr">
        <is>
          <t>MANUTENÇÃO DE VEÍCULOS/MAQUINAS</t>
        </is>
      </c>
      <c r="J986" t="n">
        <v>400</v>
      </c>
      <c r="K986" t="n">
        <v>400</v>
      </c>
    </row>
    <row r="987" hidden="1" s="154">
      <c r="A987" t="n">
        <v>2025</v>
      </c>
      <c r="B987" t="inlineStr">
        <is>
          <t>2025-04</t>
        </is>
      </c>
      <c r="C987" t="inlineStr">
        <is>
          <t>Multi Aço</t>
        </is>
      </c>
      <c r="D987" t="inlineStr">
        <is>
          <t>HYUNDAI</t>
        </is>
      </c>
      <c r="E987" t="inlineStr">
        <is>
          <t>EHH0037</t>
        </is>
      </c>
      <c r="F987" t="inlineStr">
        <is>
          <t>SELETIVA</t>
        </is>
      </c>
      <c r="G987" t="inlineStr">
        <is>
          <t>G3S PRUDENTE</t>
        </is>
      </c>
      <c r="H987" t="inlineStr">
        <is>
          <t>7.1.2</t>
        </is>
      </c>
      <c r="I987" t="inlineStr">
        <is>
          <t>MANUTENÇÃO DE VEÍCULOS/MAQUINAS</t>
        </is>
      </c>
      <c r="J987" t="n">
        <v>400</v>
      </c>
      <c r="K987" t="n">
        <v>400</v>
      </c>
    </row>
    <row r="988" hidden="1" s="154">
      <c r="A988" t="n">
        <v>2025</v>
      </c>
      <c r="B988" t="inlineStr">
        <is>
          <t>2025-04</t>
        </is>
      </c>
      <c r="C988" t="inlineStr">
        <is>
          <t>Multi Aço</t>
        </is>
      </c>
      <c r="D988" t="inlineStr">
        <is>
          <t>HYUNDAI</t>
        </is>
      </c>
      <c r="E988" t="inlineStr">
        <is>
          <t>EHH0037</t>
        </is>
      </c>
      <c r="F988" t="inlineStr">
        <is>
          <t>SELETIVA</t>
        </is>
      </c>
      <c r="G988" t="inlineStr">
        <is>
          <t>G&amp;G MATRIZ</t>
        </is>
      </c>
      <c r="H988" t="inlineStr">
        <is>
          <t>7.1.1</t>
        </is>
      </c>
      <c r="I988" t="inlineStr">
        <is>
          <t>PEÇAS DE MANUTENÇÃO</t>
        </is>
      </c>
      <c r="J988" t="n">
        <v>42</v>
      </c>
      <c r="K988" t="n">
        <v>42</v>
      </c>
    </row>
    <row r="989" hidden="1" s="154">
      <c r="A989" t="n">
        <v>2025</v>
      </c>
      <c r="B989" t="inlineStr">
        <is>
          <t>2025-04</t>
        </is>
      </c>
      <c r="C989" t="inlineStr">
        <is>
          <t>Multi Aço</t>
        </is>
      </c>
      <c r="D989" t="inlineStr">
        <is>
          <t>HYUNDAI</t>
        </is>
      </c>
      <c r="E989" t="inlineStr">
        <is>
          <t>EHH0037</t>
        </is>
      </c>
      <c r="F989" t="inlineStr">
        <is>
          <t>SELETIVA</t>
        </is>
      </c>
      <c r="G989" t="inlineStr">
        <is>
          <t>G&amp;G MATRIZ</t>
        </is>
      </c>
      <c r="H989" t="inlineStr">
        <is>
          <t>7.1.2</t>
        </is>
      </c>
      <c r="I989" t="inlineStr">
        <is>
          <t>MANUTENÇÃO DE VEÍCULOS/MAQUINAS</t>
        </is>
      </c>
      <c r="J989" t="n">
        <v>200</v>
      </c>
      <c r="K989" t="n">
        <v>200</v>
      </c>
    </row>
    <row r="990" hidden="1" s="154">
      <c r="A990" t="n">
        <v>2025</v>
      </c>
      <c r="B990" t="inlineStr">
        <is>
          <t>2025-04</t>
        </is>
      </c>
      <c r="C990" t="inlineStr">
        <is>
          <t>Multi Aço</t>
        </is>
      </c>
      <c r="D990" t="inlineStr">
        <is>
          <t>HYUNDAI</t>
        </is>
      </c>
      <c r="E990" t="inlineStr">
        <is>
          <t>EHH0037</t>
        </is>
      </c>
      <c r="F990" t="inlineStr">
        <is>
          <t>SELETIVA</t>
        </is>
      </c>
      <c r="G990" t="inlineStr">
        <is>
          <t>G&amp;G MATRIZ</t>
        </is>
      </c>
      <c r="H990" t="inlineStr">
        <is>
          <t>7.1.22</t>
        </is>
      </c>
      <c r="I990" t="inlineStr">
        <is>
          <t>COMBUSTÍVEL - DIESEL (INTERNO)</t>
        </is>
      </c>
      <c r="J990" t="n">
        <v>972</v>
      </c>
      <c r="K990" t="n">
        <v>972</v>
      </c>
    </row>
    <row r="991" hidden="1" s="154">
      <c r="A991" t="n">
        <v>2025</v>
      </c>
      <c r="B991" t="inlineStr">
        <is>
          <t>2025-04</t>
        </is>
      </c>
      <c r="C991" t="inlineStr">
        <is>
          <t>Multi Aço</t>
        </is>
      </c>
      <c r="D991" t="inlineStr">
        <is>
          <t>HYUNDAI</t>
        </is>
      </c>
      <c r="E991" t="inlineStr">
        <is>
          <t>EHH0037</t>
        </is>
      </c>
      <c r="F991" t="inlineStr">
        <is>
          <t>SELETIVA</t>
        </is>
      </c>
      <c r="G991" t="inlineStr">
        <is>
          <t>G&amp;G MATRIZ</t>
        </is>
      </c>
      <c r="H991" t="inlineStr">
        <is>
          <t>7.1.1</t>
        </is>
      </c>
      <c r="I991" t="inlineStr">
        <is>
          <t>PEÇAS DE MANUTENÇÃO</t>
        </is>
      </c>
      <c r="J991" t="n">
        <v>2019.13</v>
      </c>
      <c r="K991" t="n">
        <v>2019.13</v>
      </c>
    </row>
    <row r="992" hidden="1" s="154">
      <c r="A992" t="n">
        <v>2025</v>
      </c>
      <c r="B992" t="inlineStr">
        <is>
          <t>2025-04</t>
        </is>
      </c>
      <c r="C992" t="inlineStr">
        <is>
          <t>Multi Aço</t>
        </is>
      </c>
      <c r="D992" t="inlineStr">
        <is>
          <t>HYUNDAI</t>
        </is>
      </c>
      <c r="E992" t="inlineStr">
        <is>
          <t>EHH0037</t>
        </is>
      </c>
      <c r="F992" t="inlineStr">
        <is>
          <t>SELETIVA</t>
        </is>
      </c>
      <c r="G992" t="inlineStr">
        <is>
          <t>G&amp;G MATRIZ</t>
        </is>
      </c>
      <c r="H992" t="inlineStr">
        <is>
          <t>7.1.2</t>
        </is>
      </c>
      <c r="I992" t="inlineStr">
        <is>
          <t>MANUTENÇÃO DE VEÍCULOS/MAQUINAS</t>
        </is>
      </c>
      <c r="J992" t="n">
        <v>400</v>
      </c>
      <c r="K992" t="n">
        <v>400</v>
      </c>
    </row>
    <row r="993" hidden="1" s="154">
      <c r="A993" t="n">
        <v>2025</v>
      </c>
      <c r="B993" t="inlineStr">
        <is>
          <t>2025-04</t>
        </is>
      </c>
      <c r="C993" t="inlineStr">
        <is>
          <t>Multi Aço</t>
        </is>
      </c>
      <c r="D993" t="inlineStr">
        <is>
          <t>HYUNDAI</t>
        </is>
      </c>
      <c r="E993" t="inlineStr">
        <is>
          <t>EHH0037</t>
        </is>
      </c>
      <c r="F993" t="inlineStr">
        <is>
          <t>SELETIVA</t>
        </is>
      </c>
      <c r="G993" t="inlineStr">
        <is>
          <t>G&amp;G MATRIZ</t>
        </is>
      </c>
      <c r="H993" t="inlineStr">
        <is>
          <t>7.1.1</t>
        </is>
      </c>
      <c r="I993" t="inlineStr">
        <is>
          <t>PEÇAS DE MANUTENÇÃO</t>
        </is>
      </c>
      <c r="J993" t="n">
        <v>120</v>
      </c>
      <c r="K993" t="n">
        <v>120</v>
      </c>
    </row>
    <row r="994" hidden="1" s="154">
      <c r="A994" t="n">
        <v>2025</v>
      </c>
      <c r="B994" t="inlineStr">
        <is>
          <t>2025-04</t>
        </is>
      </c>
      <c r="C994" t="inlineStr">
        <is>
          <t>Multi Aço</t>
        </is>
      </c>
      <c r="D994" t="inlineStr">
        <is>
          <t>HYUNDAI</t>
        </is>
      </c>
      <c r="E994" t="inlineStr">
        <is>
          <t>EHH0037</t>
        </is>
      </c>
      <c r="F994" t="inlineStr">
        <is>
          <t>SELETIVA</t>
        </is>
      </c>
      <c r="G994" t="inlineStr">
        <is>
          <t>G&amp;G MATRIZ</t>
        </is>
      </c>
      <c r="H994" t="inlineStr">
        <is>
          <t>7.1.2</t>
        </is>
      </c>
      <c r="I994" t="inlineStr">
        <is>
          <t>MANUTENÇÃO DE VEÍCULOS/MAQUINAS</t>
        </is>
      </c>
      <c r="J994" t="n">
        <v>70</v>
      </c>
      <c r="K994" t="n">
        <v>70</v>
      </c>
    </row>
    <row r="995" hidden="1" s="154">
      <c r="A995" t="n">
        <v>2025</v>
      </c>
      <c r="B995" t="inlineStr">
        <is>
          <t>2025-04</t>
        </is>
      </c>
      <c r="C995" t="inlineStr">
        <is>
          <t>Multi Aço</t>
        </is>
      </c>
      <c r="D995" t="inlineStr">
        <is>
          <t>HYUNDAI</t>
        </is>
      </c>
      <c r="E995" t="inlineStr">
        <is>
          <t>EHH0037</t>
        </is>
      </c>
      <c r="F995" t="inlineStr">
        <is>
          <t>SELETIVA</t>
        </is>
      </c>
      <c r="G995" t="inlineStr">
        <is>
          <t>G&amp;G MATRIZ</t>
        </is>
      </c>
      <c r="H995" t="inlineStr">
        <is>
          <t>7.1.1</t>
        </is>
      </c>
      <c r="I995" t="inlineStr">
        <is>
          <t>PEÇAS DE MANUTENÇÃO</t>
        </is>
      </c>
      <c r="J995" t="n">
        <v>159.97</v>
      </c>
      <c r="K995" t="n">
        <v>159.97</v>
      </c>
    </row>
    <row r="996" hidden="1" s="154">
      <c r="A996" t="n">
        <v>2025</v>
      </c>
      <c r="B996" t="inlineStr">
        <is>
          <t>2025-04</t>
        </is>
      </c>
      <c r="C996" t="inlineStr">
        <is>
          <t>Multi Aço</t>
        </is>
      </c>
      <c r="D996" t="inlineStr">
        <is>
          <t>HYUNDAI</t>
        </is>
      </c>
      <c r="E996" t="inlineStr">
        <is>
          <t>EHH0037</t>
        </is>
      </c>
      <c r="F996" t="inlineStr">
        <is>
          <t>SELETIVA</t>
        </is>
      </c>
      <c r="G996" t="inlineStr">
        <is>
          <t>G&amp;G MATRIZ</t>
        </is>
      </c>
      <c r="H996" t="inlineStr">
        <is>
          <t>7.1.1</t>
        </is>
      </c>
      <c r="I996" t="inlineStr">
        <is>
          <t>PEÇAS DE MANUTENÇÃO</t>
        </is>
      </c>
      <c r="J996" t="n">
        <v>26.3</v>
      </c>
      <c r="K996" t="n">
        <v>26.3</v>
      </c>
    </row>
    <row r="997" hidden="1" s="154">
      <c r="A997" t="n">
        <v>2025</v>
      </c>
      <c r="B997" t="inlineStr">
        <is>
          <t>2025-04</t>
        </is>
      </c>
      <c r="C997" t="inlineStr">
        <is>
          <t>Multi Aço</t>
        </is>
      </c>
      <c r="D997" t="inlineStr">
        <is>
          <t>HYUNDAI</t>
        </is>
      </c>
      <c r="E997" t="inlineStr">
        <is>
          <t>EHH0037</t>
        </is>
      </c>
      <c r="F997" t="inlineStr">
        <is>
          <t>SELETIVA</t>
        </is>
      </c>
      <c r="G997" t="inlineStr">
        <is>
          <t>G&amp;G MATRIZ</t>
        </is>
      </c>
      <c r="H997" t="inlineStr">
        <is>
          <t>7.1.1</t>
        </is>
      </c>
      <c r="I997" t="inlineStr">
        <is>
          <t>PEÇAS DE MANUTENÇÃO</t>
        </is>
      </c>
      <c r="J997" t="n">
        <v>1146</v>
      </c>
      <c r="K997" t="n">
        <v>1146</v>
      </c>
    </row>
    <row r="998" hidden="1" s="154">
      <c r="A998" t="n">
        <v>2025</v>
      </c>
      <c r="B998" t="inlineStr">
        <is>
          <t>2025-05</t>
        </is>
      </c>
      <c r="C998" t="inlineStr">
        <is>
          <t>Multi Aço</t>
        </is>
      </c>
      <c r="D998" t="inlineStr">
        <is>
          <t>HYUNDAI</t>
        </is>
      </c>
      <c r="E998" t="inlineStr">
        <is>
          <t>EHH0037</t>
        </is>
      </c>
      <c r="F998" t="inlineStr">
        <is>
          <t>SELETIVA</t>
        </is>
      </c>
      <c r="G998" t="inlineStr">
        <is>
          <t>G&amp;G MATRIZ</t>
        </is>
      </c>
      <c r="H998" t="inlineStr">
        <is>
          <t>7.1.2</t>
        </is>
      </c>
      <c r="I998" t="inlineStr">
        <is>
          <t>MANUTENÇÃO DE VEÍCULOS/MAQUINAS</t>
        </is>
      </c>
      <c r="J998" t="n">
        <v>120</v>
      </c>
      <c r="K998" t="n">
        <v>120</v>
      </c>
    </row>
    <row r="999" hidden="1" s="154">
      <c r="A999" t="n">
        <v>2025</v>
      </c>
      <c r="B999" t="inlineStr">
        <is>
          <t>2025-05</t>
        </is>
      </c>
      <c r="C999" t="inlineStr">
        <is>
          <t>Multi Aço</t>
        </is>
      </c>
      <c r="D999" t="inlineStr">
        <is>
          <t>HYUNDAI</t>
        </is>
      </c>
      <c r="E999" t="inlineStr">
        <is>
          <t>EHH0037</t>
        </is>
      </c>
      <c r="F999" t="inlineStr">
        <is>
          <t>SELETIVA</t>
        </is>
      </c>
      <c r="G999" t="inlineStr">
        <is>
          <t>G&amp;G MATRIZ</t>
        </is>
      </c>
      <c r="H999" t="inlineStr">
        <is>
          <t>7.1.2</t>
        </is>
      </c>
      <c r="I999" t="inlineStr">
        <is>
          <t>MANUTENÇÃO DE VEÍCULOS/MAQUINAS</t>
        </is>
      </c>
      <c r="J999" t="n">
        <v>1200</v>
      </c>
      <c r="K999" t="n">
        <v>1200</v>
      </c>
    </row>
    <row r="1000" hidden="1" s="154">
      <c r="A1000" t="n">
        <v>2025</v>
      </c>
      <c r="B1000" t="inlineStr">
        <is>
          <t>2025-05</t>
        </is>
      </c>
      <c r="C1000" t="inlineStr">
        <is>
          <t>Multi Aço</t>
        </is>
      </c>
      <c r="D1000" t="inlineStr">
        <is>
          <t>HYUNDAI</t>
        </is>
      </c>
      <c r="E1000" t="inlineStr">
        <is>
          <t>EHH0037</t>
        </is>
      </c>
      <c r="F1000" t="inlineStr">
        <is>
          <t>SELETIVA</t>
        </is>
      </c>
      <c r="G1000" t="inlineStr">
        <is>
          <t>G&amp;G MATRIZ</t>
        </is>
      </c>
      <c r="H1000" t="inlineStr">
        <is>
          <t>7.1.2</t>
        </is>
      </c>
      <c r="I1000" t="inlineStr">
        <is>
          <t>MANUTENÇÃO DE VEÍCULOS/MAQUINAS</t>
        </is>
      </c>
      <c r="J1000" t="n">
        <v>200</v>
      </c>
      <c r="K1000" t="n">
        <v>200</v>
      </c>
    </row>
    <row r="1001" hidden="1" s="154">
      <c r="A1001" t="n">
        <v>2025</v>
      </c>
      <c r="B1001" t="inlineStr">
        <is>
          <t>2025-05</t>
        </is>
      </c>
      <c r="C1001" t="inlineStr">
        <is>
          <t>Multi Aço</t>
        </is>
      </c>
      <c r="D1001" t="inlineStr">
        <is>
          <t>HYUNDAI</t>
        </is>
      </c>
      <c r="E1001" t="inlineStr">
        <is>
          <t>EHH0037</t>
        </is>
      </c>
      <c r="F1001" t="inlineStr">
        <is>
          <t>SELETIVA</t>
        </is>
      </c>
      <c r="G1001" t="inlineStr">
        <is>
          <t>G&amp;G MATRIZ</t>
        </is>
      </c>
      <c r="H1001" t="inlineStr">
        <is>
          <t>7.1.2</t>
        </is>
      </c>
      <c r="I1001" t="inlineStr">
        <is>
          <t>MANUTENÇÃO DE VEÍCULOS/MAQUINAS</t>
        </is>
      </c>
      <c r="J1001" t="n">
        <v>200</v>
      </c>
      <c r="K1001" t="n">
        <v>200</v>
      </c>
    </row>
    <row r="1002" hidden="1" s="154">
      <c r="A1002" t="n">
        <v>2025</v>
      </c>
      <c r="B1002" t="inlineStr">
        <is>
          <t>2025-05</t>
        </is>
      </c>
      <c r="C1002" t="inlineStr">
        <is>
          <t>Multi Aço</t>
        </is>
      </c>
      <c r="D1002" t="inlineStr">
        <is>
          <t>HYUNDAI</t>
        </is>
      </c>
      <c r="E1002" t="inlineStr">
        <is>
          <t>EHH0037</t>
        </is>
      </c>
      <c r="F1002" t="inlineStr">
        <is>
          <t>SELETIVA</t>
        </is>
      </c>
      <c r="G1002" t="inlineStr">
        <is>
          <t>G&amp;G MATRIZ</t>
        </is>
      </c>
      <c r="H1002" t="inlineStr">
        <is>
          <t>7.1.2</t>
        </is>
      </c>
      <c r="I1002" t="inlineStr">
        <is>
          <t>MANUTENÇÃO DE VEÍCULOS/MAQUINAS</t>
        </is>
      </c>
      <c r="J1002" t="n">
        <v>150</v>
      </c>
      <c r="K1002" t="n">
        <v>150</v>
      </c>
    </row>
    <row r="1003" hidden="1" s="154">
      <c r="A1003" t="n">
        <v>2025</v>
      </c>
      <c r="B1003" t="inlineStr">
        <is>
          <t>2025-05</t>
        </is>
      </c>
      <c r="C1003" t="inlineStr">
        <is>
          <t>Multi Aço</t>
        </is>
      </c>
      <c r="D1003" t="inlineStr">
        <is>
          <t>HYUNDAI</t>
        </is>
      </c>
      <c r="E1003" t="inlineStr">
        <is>
          <t>EHH0037</t>
        </is>
      </c>
      <c r="F1003" t="inlineStr">
        <is>
          <t>SELETIVA</t>
        </is>
      </c>
      <c r="G1003" t="inlineStr">
        <is>
          <t>G&amp;G MATRIZ</t>
        </is>
      </c>
      <c r="H1003" t="inlineStr">
        <is>
          <t>7.1.1</t>
        </is>
      </c>
      <c r="I1003" t="inlineStr">
        <is>
          <t>PEÇAS DE MANUTENÇÃO</t>
        </is>
      </c>
      <c r="J1003" t="n">
        <v>147.01</v>
      </c>
      <c r="K1003" t="n">
        <v>147.01</v>
      </c>
    </row>
    <row r="1004" hidden="1" s="154">
      <c r="A1004" t="n">
        <v>2025</v>
      </c>
      <c r="B1004" t="inlineStr">
        <is>
          <t>2025-05</t>
        </is>
      </c>
      <c r="C1004" t="inlineStr">
        <is>
          <t>Multi Aço</t>
        </is>
      </c>
      <c r="D1004" t="inlineStr">
        <is>
          <t>HYUNDAI</t>
        </is>
      </c>
      <c r="E1004" t="inlineStr">
        <is>
          <t>EHH0037</t>
        </is>
      </c>
      <c r="F1004" t="inlineStr">
        <is>
          <t>SELETIVA</t>
        </is>
      </c>
      <c r="G1004" t="inlineStr">
        <is>
          <t>G&amp;G MATRIZ</t>
        </is>
      </c>
      <c r="H1004" t="inlineStr">
        <is>
          <t>7.1.1</t>
        </is>
      </c>
      <c r="I1004" t="inlineStr">
        <is>
          <t>PEÇAS DE MANUTENÇÃO</t>
        </is>
      </c>
      <c r="J1004" t="n">
        <v>122.7</v>
      </c>
      <c r="K1004" t="n">
        <v>122.7</v>
      </c>
    </row>
    <row r="1005" hidden="1" s="154">
      <c r="A1005" t="n">
        <v>2025</v>
      </c>
      <c r="B1005" t="inlineStr">
        <is>
          <t>2025-05</t>
        </is>
      </c>
      <c r="C1005" t="inlineStr">
        <is>
          <t>Multi Aço</t>
        </is>
      </c>
      <c r="D1005" t="inlineStr">
        <is>
          <t>HYUNDAI</t>
        </is>
      </c>
      <c r="E1005" t="inlineStr">
        <is>
          <t>EHH0037</t>
        </is>
      </c>
      <c r="F1005" t="inlineStr">
        <is>
          <t>SELETIVA</t>
        </is>
      </c>
      <c r="G1005" t="inlineStr">
        <is>
          <t>G&amp;G MATRIZ</t>
        </is>
      </c>
      <c r="H1005" t="inlineStr">
        <is>
          <t>7.1.1</t>
        </is>
      </c>
      <c r="I1005" t="inlineStr">
        <is>
          <t>PEÇAS DE MANUTENÇÃO</t>
        </is>
      </c>
      <c r="J1005" t="n">
        <v>93.09999999999999</v>
      </c>
      <c r="K1005" t="n">
        <v>93.09999999999999</v>
      </c>
    </row>
    <row r="1006" hidden="1" s="154">
      <c r="A1006" t="n">
        <v>2025</v>
      </c>
      <c r="B1006" t="inlineStr">
        <is>
          <t>2025-05</t>
        </is>
      </c>
      <c r="C1006" t="inlineStr">
        <is>
          <t>Multi Aço</t>
        </is>
      </c>
      <c r="D1006" t="inlineStr">
        <is>
          <t>HYUNDAI</t>
        </is>
      </c>
      <c r="E1006" t="inlineStr">
        <is>
          <t>EHH0037</t>
        </is>
      </c>
      <c r="F1006" t="inlineStr">
        <is>
          <t>SELETIVA</t>
        </is>
      </c>
      <c r="G1006" t="inlineStr">
        <is>
          <t>G&amp;G MATRIZ</t>
        </is>
      </c>
      <c r="H1006" t="inlineStr">
        <is>
          <t>7.1.1</t>
        </is>
      </c>
      <c r="I1006" t="inlineStr">
        <is>
          <t>PEÇAS DE MANUTENÇÃO</t>
        </is>
      </c>
      <c r="J1006" t="n">
        <v>180.5</v>
      </c>
      <c r="K1006" t="n">
        <v>180.5</v>
      </c>
    </row>
    <row r="1007" hidden="1" s="154">
      <c r="A1007" t="n">
        <v>2025</v>
      </c>
      <c r="B1007" t="inlineStr">
        <is>
          <t>2025-05</t>
        </is>
      </c>
      <c r="C1007" t="inlineStr">
        <is>
          <t>Multi Aço</t>
        </is>
      </c>
      <c r="D1007" t="inlineStr">
        <is>
          <t>HYUNDAI</t>
        </is>
      </c>
      <c r="E1007" t="inlineStr">
        <is>
          <t>EHH0037</t>
        </is>
      </c>
      <c r="F1007" t="inlineStr">
        <is>
          <t>SELETIVA</t>
        </is>
      </c>
      <c r="G1007" t="inlineStr">
        <is>
          <t>G&amp;G MATRIZ</t>
        </is>
      </c>
      <c r="H1007" t="inlineStr">
        <is>
          <t>7.1.1</t>
        </is>
      </c>
      <c r="I1007" t="inlineStr">
        <is>
          <t>PEÇAS DE MANUTENÇÃO</t>
        </is>
      </c>
      <c r="J1007" t="n">
        <v>40.85</v>
      </c>
      <c r="K1007" t="n">
        <v>40.85</v>
      </c>
    </row>
    <row r="1008" hidden="1" s="154">
      <c r="A1008" t="n">
        <v>2025</v>
      </c>
      <c r="B1008" t="inlineStr">
        <is>
          <t>2025-05</t>
        </is>
      </c>
      <c r="C1008" t="inlineStr">
        <is>
          <t>Multi Aço</t>
        </is>
      </c>
      <c r="D1008" t="inlineStr">
        <is>
          <t>HYUNDAI</t>
        </is>
      </c>
      <c r="E1008" t="inlineStr">
        <is>
          <t>EHH0037</t>
        </is>
      </c>
      <c r="F1008" t="inlineStr">
        <is>
          <t>SELETIVA</t>
        </is>
      </c>
      <c r="G1008" t="inlineStr">
        <is>
          <t>G&amp;G MATRIZ</t>
        </is>
      </c>
      <c r="H1008" t="inlineStr">
        <is>
          <t>7.1.1</t>
        </is>
      </c>
      <c r="I1008" t="inlineStr">
        <is>
          <t>PEÇAS DE MANUTENÇÃO</t>
        </is>
      </c>
      <c r="J1008" t="n">
        <v>250.33</v>
      </c>
      <c r="K1008" t="n">
        <v>250.33</v>
      </c>
    </row>
    <row r="1009" hidden="1" s="154">
      <c r="A1009" t="n">
        <v>2025</v>
      </c>
      <c r="B1009" t="inlineStr">
        <is>
          <t>2025-05</t>
        </is>
      </c>
      <c r="C1009" t="inlineStr">
        <is>
          <t>Multi Aço</t>
        </is>
      </c>
      <c r="D1009" t="inlineStr">
        <is>
          <t>HYUNDAI</t>
        </is>
      </c>
      <c r="E1009" t="inlineStr">
        <is>
          <t>EHH0037</t>
        </is>
      </c>
      <c r="F1009" t="inlineStr">
        <is>
          <t>SELETIVA</t>
        </is>
      </c>
      <c r="G1009" t="inlineStr">
        <is>
          <t>G&amp;G MATRIZ</t>
        </is>
      </c>
      <c r="H1009" t="inlineStr">
        <is>
          <t>7.1.1</t>
        </is>
      </c>
      <c r="I1009" t="inlineStr">
        <is>
          <t>PEÇAS DE MANUTENÇÃO</t>
        </is>
      </c>
      <c r="J1009" t="n">
        <v>117.98</v>
      </c>
      <c r="K1009" t="n">
        <v>117.98</v>
      </c>
    </row>
    <row r="1010" hidden="1" s="154">
      <c r="A1010" t="n">
        <v>2025</v>
      </c>
      <c r="B1010" t="inlineStr">
        <is>
          <t>2025-05</t>
        </is>
      </c>
      <c r="C1010" t="inlineStr">
        <is>
          <t>Multi Aço</t>
        </is>
      </c>
      <c r="D1010" t="inlineStr">
        <is>
          <t>HYUNDAI</t>
        </is>
      </c>
      <c r="E1010" t="inlineStr">
        <is>
          <t>EHH0037</t>
        </is>
      </c>
      <c r="F1010" t="inlineStr">
        <is>
          <t>SELETIVA</t>
        </is>
      </c>
      <c r="G1010" t="inlineStr">
        <is>
          <t>G&amp;G MATRIZ</t>
        </is>
      </c>
      <c r="H1010" t="inlineStr">
        <is>
          <t>7.1.1</t>
        </is>
      </c>
      <c r="I1010" t="inlineStr">
        <is>
          <t>PEÇAS DE MANUTENÇÃO</t>
        </is>
      </c>
      <c r="J1010" t="n">
        <v>189.05</v>
      </c>
      <c r="K1010" t="n">
        <v>189.05</v>
      </c>
    </row>
    <row r="1011" hidden="1" s="154">
      <c r="A1011" t="n">
        <v>2025</v>
      </c>
      <c r="B1011" t="inlineStr">
        <is>
          <t>2025-05</t>
        </is>
      </c>
      <c r="C1011" t="inlineStr">
        <is>
          <t>Multi Aço</t>
        </is>
      </c>
      <c r="D1011" t="inlineStr">
        <is>
          <t>HYUNDAI</t>
        </is>
      </c>
      <c r="E1011" t="inlineStr">
        <is>
          <t>EHH0037</t>
        </is>
      </c>
      <c r="F1011" t="inlineStr">
        <is>
          <t>SELETIVA</t>
        </is>
      </c>
      <c r="G1011" t="inlineStr">
        <is>
          <t>G&amp;G MATRIZ</t>
        </is>
      </c>
      <c r="H1011" t="inlineStr">
        <is>
          <t>7.1.1</t>
        </is>
      </c>
      <c r="I1011" t="inlineStr">
        <is>
          <t>PEÇAS DE MANUTENÇÃO</t>
        </is>
      </c>
      <c r="J1011" t="n">
        <v>177.36</v>
      </c>
      <c r="K1011" t="n">
        <v>177.36</v>
      </c>
    </row>
    <row r="1012" hidden="1" s="154">
      <c r="A1012" t="n">
        <v>2025</v>
      </c>
      <c r="B1012" t="inlineStr">
        <is>
          <t>2025-05</t>
        </is>
      </c>
      <c r="C1012" t="inlineStr">
        <is>
          <t>Multi Aço</t>
        </is>
      </c>
      <c r="D1012" t="inlineStr">
        <is>
          <t>HYUNDAI</t>
        </is>
      </c>
      <c r="E1012" t="inlineStr">
        <is>
          <t>EHH0037</t>
        </is>
      </c>
      <c r="F1012" t="inlineStr">
        <is>
          <t>SELETIVA</t>
        </is>
      </c>
      <c r="G1012" t="inlineStr">
        <is>
          <t>G&amp;G MATRIZ</t>
        </is>
      </c>
      <c r="H1012" t="inlineStr">
        <is>
          <t>7.1.1</t>
        </is>
      </c>
      <c r="I1012" t="inlineStr">
        <is>
          <t>PEÇAS DE MANUTENÇÃO</t>
        </is>
      </c>
      <c r="J1012" t="n">
        <v>246.26</v>
      </c>
      <c r="K1012" t="n">
        <v>246.26</v>
      </c>
    </row>
    <row r="1013" hidden="1" s="154">
      <c r="A1013" t="n">
        <v>2025</v>
      </c>
      <c r="B1013" t="inlineStr">
        <is>
          <t>2025-05</t>
        </is>
      </c>
      <c r="C1013" t="inlineStr">
        <is>
          <t>Multi Aço</t>
        </is>
      </c>
      <c r="D1013" t="inlineStr">
        <is>
          <t>HYUNDAI</t>
        </is>
      </c>
      <c r="E1013" t="inlineStr">
        <is>
          <t>EHH0037</t>
        </is>
      </c>
      <c r="F1013" t="inlineStr">
        <is>
          <t>SELETIVA</t>
        </is>
      </c>
      <c r="G1013" t="inlineStr">
        <is>
          <t>G&amp;G MATRIZ</t>
        </is>
      </c>
      <c r="H1013" t="inlineStr">
        <is>
          <t>7.1.1</t>
        </is>
      </c>
      <c r="I1013" t="inlineStr">
        <is>
          <t>PEÇAS DE MANUTENÇÃO</t>
        </is>
      </c>
      <c r="J1013" t="n">
        <v>59.85</v>
      </c>
      <c r="K1013" t="n">
        <v>59.85</v>
      </c>
    </row>
    <row r="1014" hidden="1" s="154">
      <c r="A1014" t="n">
        <v>2025</v>
      </c>
      <c r="B1014" t="inlineStr">
        <is>
          <t>2025-05</t>
        </is>
      </c>
      <c r="C1014" t="inlineStr">
        <is>
          <t>Multi Aço</t>
        </is>
      </c>
      <c r="D1014" t="inlineStr">
        <is>
          <t>HYUNDAI</t>
        </is>
      </c>
      <c r="E1014" t="inlineStr">
        <is>
          <t>EHH0037</t>
        </is>
      </c>
      <c r="F1014" t="inlineStr">
        <is>
          <t>SELETIVA</t>
        </is>
      </c>
      <c r="G1014" t="inlineStr">
        <is>
          <t>G&amp;G MATRIZ</t>
        </is>
      </c>
      <c r="H1014" t="inlineStr">
        <is>
          <t>7.1.1</t>
        </is>
      </c>
      <c r="I1014" t="inlineStr">
        <is>
          <t>PEÇAS DE MANUTENÇÃO</t>
        </is>
      </c>
      <c r="J1014" t="n">
        <v>103.48</v>
      </c>
      <c r="K1014" t="n">
        <v>103.48</v>
      </c>
    </row>
    <row r="1015" hidden="1" s="154">
      <c r="A1015" t="n">
        <v>2025</v>
      </c>
      <c r="B1015" t="inlineStr">
        <is>
          <t>2025-05</t>
        </is>
      </c>
      <c r="C1015" t="inlineStr">
        <is>
          <t>Multi Aço</t>
        </is>
      </c>
      <c r="D1015" t="inlineStr">
        <is>
          <t>HYUNDAI</t>
        </is>
      </c>
      <c r="E1015" t="inlineStr">
        <is>
          <t>EHH0037</t>
        </is>
      </c>
      <c r="F1015" t="inlineStr">
        <is>
          <t>SELETIVA</t>
        </is>
      </c>
      <c r="G1015" t="inlineStr">
        <is>
          <t>G&amp;G MATRIZ</t>
        </is>
      </c>
      <c r="H1015" t="inlineStr">
        <is>
          <t>7.1.1</t>
        </is>
      </c>
      <c r="I1015" t="inlineStr">
        <is>
          <t>PEÇAS DE MANUTENÇÃO</t>
        </is>
      </c>
      <c r="J1015" t="n">
        <v>188.05</v>
      </c>
      <c r="K1015" t="n">
        <v>188.05</v>
      </c>
    </row>
    <row r="1016" hidden="1" s="154">
      <c r="A1016" t="n">
        <v>2025</v>
      </c>
      <c r="B1016" t="inlineStr">
        <is>
          <t>2025-06</t>
        </is>
      </c>
      <c r="C1016" t="inlineStr">
        <is>
          <t>Multi Aço</t>
        </is>
      </c>
      <c r="D1016" t="inlineStr">
        <is>
          <t>HYUNDAI</t>
        </is>
      </c>
      <c r="E1016" t="inlineStr">
        <is>
          <t>EHH0037</t>
        </is>
      </c>
      <c r="F1016" t="inlineStr">
        <is>
          <t>SELETIVA</t>
        </is>
      </c>
      <c r="G1016" t="inlineStr">
        <is>
          <t>G&amp;S PRUDENTE</t>
        </is>
      </c>
      <c r="H1016" t="inlineStr">
        <is>
          <t>7.1.2</t>
        </is>
      </c>
      <c r="I1016" t="inlineStr">
        <is>
          <t>MANUTENÇÃO DE VEÍCULOS/MAQUINAS</t>
        </is>
      </c>
      <c r="J1016" t="n">
        <v>2799.6</v>
      </c>
      <c r="K1016" t="n">
        <v>-2799.6</v>
      </c>
    </row>
    <row r="1017" hidden="1" s="154">
      <c r="A1017" t="n">
        <v>2025</v>
      </c>
      <c r="B1017" t="inlineStr">
        <is>
          <t>2025-10</t>
        </is>
      </c>
      <c r="C1017" t="inlineStr">
        <is>
          <t>Multi Aço</t>
        </is>
      </c>
      <c r="D1017" t="inlineStr">
        <is>
          <t>HYUNDAI</t>
        </is>
      </c>
      <c r="E1017" t="inlineStr">
        <is>
          <t>EHH0037</t>
        </is>
      </c>
      <c r="F1017" t="inlineStr">
        <is>
          <t>SELETIVA</t>
        </is>
      </c>
      <c r="G1017" t="inlineStr">
        <is>
          <t>G3S PRUDENTE</t>
        </is>
      </c>
      <c r="H1017" t="inlineStr">
        <is>
          <t>7.1.2</t>
        </is>
      </c>
      <c r="I1017" t="inlineStr">
        <is>
          <t>MANUTENÇÃO DE VEÍCULOS/MAQUINAS</t>
        </is>
      </c>
      <c r="J1017" t="n">
        <v>278</v>
      </c>
      <c r="K1017" t="n">
        <v>-278</v>
      </c>
    </row>
    <row r="1018" hidden="1" s="154">
      <c r="A1018" t="n">
        <v>2025</v>
      </c>
      <c r="B1018" t="inlineStr">
        <is>
          <t>2025-11</t>
        </is>
      </c>
      <c r="C1018" t="inlineStr">
        <is>
          <t>Multi Aço</t>
        </is>
      </c>
      <c r="D1018" t="inlineStr">
        <is>
          <t>HYUNDAI</t>
        </is>
      </c>
      <c r="E1018" t="inlineStr">
        <is>
          <t>EHH0037</t>
        </is>
      </c>
      <c r="F1018" t="inlineStr">
        <is>
          <t>SELETIVA</t>
        </is>
      </c>
      <c r="G1018" t="inlineStr">
        <is>
          <t>G&amp;S PRUDENTE</t>
        </is>
      </c>
      <c r="H1018" t="inlineStr">
        <is>
          <t>7.1.2</t>
        </is>
      </c>
      <c r="I1018" t="inlineStr">
        <is>
          <t>MANUTENÇÃO DE VEÍCULOS/MAQUINAS</t>
        </is>
      </c>
      <c r="J1018" t="n">
        <v>1690.6</v>
      </c>
      <c r="K1018" t="n">
        <v>-1690.6</v>
      </c>
    </row>
    <row r="1019" hidden="1" s="154">
      <c r="A1019" t="n">
        <v>2025</v>
      </c>
      <c r="B1019" t="inlineStr">
        <is>
          <t>2025-12</t>
        </is>
      </c>
      <c r="C1019" t="inlineStr">
        <is>
          <t>Multi Aço</t>
        </is>
      </c>
      <c r="D1019" t="inlineStr">
        <is>
          <t>HYUNDAI</t>
        </is>
      </c>
      <c r="E1019" t="inlineStr">
        <is>
          <t>EHH0037</t>
        </is>
      </c>
      <c r="F1019" t="inlineStr">
        <is>
          <t>SELETIVA</t>
        </is>
      </c>
      <c r="G1019" t="inlineStr">
        <is>
          <t>G&amp;S PRUDENTE</t>
        </is>
      </c>
      <c r="H1019" t="inlineStr">
        <is>
          <t>7.1.2</t>
        </is>
      </c>
      <c r="I1019" t="inlineStr">
        <is>
          <t>MANUTENÇÃO DE VEÍCULOS/MAQUINAS</t>
        </is>
      </c>
      <c r="J1019" t="n">
        <v>2146.14</v>
      </c>
      <c r="K1019" t="n">
        <v>-2146.14</v>
      </c>
    </row>
    <row r="1020" hidden="1" s="154">
      <c r="A1020" t="n">
        <v>2025</v>
      </c>
      <c r="B1020" t="inlineStr">
        <is>
          <t>2025-12</t>
        </is>
      </c>
      <c r="C1020" t="inlineStr">
        <is>
          <t>Multi Aço</t>
        </is>
      </c>
      <c r="D1020" t="inlineStr">
        <is>
          <t>HYUNDAI</t>
        </is>
      </c>
      <c r="E1020" t="inlineStr">
        <is>
          <t>EHH0037</t>
        </is>
      </c>
      <c r="F1020" t="inlineStr">
        <is>
          <t>SELETIVA</t>
        </is>
      </c>
      <c r="G1020" t="inlineStr">
        <is>
          <t>G&amp;S PRUDENTE</t>
        </is>
      </c>
      <c r="H1020" t="inlineStr">
        <is>
          <t>7.1.2</t>
        </is>
      </c>
      <c r="I1020" t="inlineStr">
        <is>
          <t>MANUTENÇÃO DE VEÍCULOS/MAQUINAS</t>
        </is>
      </c>
      <c r="J1020" t="n">
        <v>815</v>
      </c>
      <c r="K1020" t="n">
        <v>-815</v>
      </c>
    </row>
    <row r="1021" hidden="1" s="154">
      <c r="A1021" t="n">
        <v>2026</v>
      </c>
      <c r="B1021" t="inlineStr">
        <is>
          <t>2026-01</t>
        </is>
      </c>
      <c r="C1021" t="inlineStr">
        <is>
          <t>Multi Aço</t>
        </is>
      </c>
      <c r="D1021" t="inlineStr">
        <is>
          <t>HYUNDAI</t>
        </is>
      </c>
      <c r="E1021" t="inlineStr">
        <is>
          <t>EHH0037</t>
        </is>
      </c>
      <c r="F1021" t="inlineStr">
        <is>
          <t>SELETIVA</t>
        </is>
      </c>
      <c r="G1021" t="inlineStr">
        <is>
          <t>G&amp;S PRUDENTE</t>
        </is>
      </c>
      <c r="H1021" t="inlineStr">
        <is>
          <t>7.1.2</t>
        </is>
      </c>
      <c r="I1021" t="inlineStr">
        <is>
          <t>MANUTENÇÃO DE VEÍCULOS/MAQUINAS</t>
        </is>
      </c>
      <c r="J1021" t="n">
        <v>476</v>
      </c>
      <c r="K1021" t="n">
        <v>-476</v>
      </c>
    </row>
    <row r="1022" hidden="1" s="154">
      <c r="A1022" t="n">
        <v>2026</v>
      </c>
      <c r="B1022" t="inlineStr">
        <is>
          <t>2026-01</t>
        </is>
      </c>
      <c r="C1022" t="inlineStr">
        <is>
          <t>Multi Aço</t>
        </is>
      </c>
      <c r="D1022" t="inlineStr">
        <is>
          <t>HYUNDAI</t>
        </is>
      </c>
      <c r="E1022" t="inlineStr">
        <is>
          <t>EHH0037</t>
        </is>
      </c>
      <c r="F1022" t="inlineStr">
        <is>
          <t>SELETIVA</t>
        </is>
      </c>
      <c r="G1022" t="inlineStr">
        <is>
          <t>G&amp;S PRUDENTE</t>
        </is>
      </c>
      <c r="H1022" t="inlineStr">
        <is>
          <t>7.1.2</t>
        </is>
      </c>
      <c r="I1022" t="inlineStr">
        <is>
          <t>MANUTENÇÃO DE VEÍCULOS/MAQUINAS</t>
        </is>
      </c>
      <c r="J1022" t="n">
        <v>145.8</v>
      </c>
      <c r="K1022" t="n">
        <v>-145.8</v>
      </c>
    </row>
    <row r="1023" hidden="1" s="154">
      <c r="A1023" t="n">
        <v>2026</v>
      </c>
      <c r="B1023" t="inlineStr">
        <is>
          <t>2026-01</t>
        </is>
      </c>
      <c r="C1023" t="inlineStr">
        <is>
          <t>Multi Aço</t>
        </is>
      </c>
      <c r="D1023" t="inlineStr">
        <is>
          <t>HYUNDAI</t>
        </is>
      </c>
      <c r="E1023" t="inlineStr">
        <is>
          <t>EHH0037</t>
        </is>
      </c>
      <c r="F1023" t="inlineStr">
        <is>
          <t>SELETIVA</t>
        </is>
      </c>
      <c r="G1023" t="inlineStr">
        <is>
          <t>G&amp;S PRUDENTE</t>
        </is>
      </c>
      <c r="H1023" t="inlineStr">
        <is>
          <t>7.1.2</t>
        </is>
      </c>
      <c r="I1023" t="inlineStr">
        <is>
          <t>MANUTENÇÃO DE VEÍCULOS/MAQUINAS</t>
        </is>
      </c>
      <c r="J1023" t="n">
        <v>39</v>
      </c>
      <c r="K1023" t="n">
        <v>-39</v>
      </c>
    </row>
    <row r="1024" hidden="1" s="154">
      <c r="A1024" t="n">
        <v>2026</v>
      </c>
      <c r="B1024" t="inlineStr">
        <is>
          <t>2026-01</t>
        </is>
      </c>
      <c r="C1024" t="inlineStr">
        <is>
          <t>Multi Aço</t>
        </is>
      </c>
      <c r="D1024" t="inlineStr">
        <is>
          <t>HYUNDAI</t>
        </is>
      </c>
      <c r="E1024" t="inlineStr">
        <is>
          <t>EHH0037</t>
        </is>
      </c>
      <c r="F1024" t="inlineStr">
        <is>
          <t>SELETIVA</t>
        </is>
      </c>
      <c r="G1024" t="inlineStr">
        <is>
          <t>G&amp;S PRUDENTE</t>
        </is>
      </c>
      <c r="H1024" t="inlineStr">
        <is>
          <t>7.1.2</t>
        </is>
      </c>
      <c r="I1024" t="inlineStr">
        <is>
          <t>MANUTENÇÃO DE VEÍCULOS/MAQUINAS</t>
        </is>
      </c>
      <c r="J1024" t="n">
        <v>816.96</v>
      </c>
      <c r="K1024" t="n">
        <v>-816.96</v>
      </c>
    </row>
    <row r="1025" hidden="1" s="154">
      <c r="A1025" t="n">
        <v>2026</v>
      </c>
      <c r="B1025" t="inlineStr">
        <is>
          <t>2026-01</t>
        </is>
      </c>
      <c r="C1025" t="inlineStr">
        <is>
          <t>Multi Aço</t>
        </is>
      </c>
      <c r="D1025" t="inlineStr">
        <is>
          <t>HYUNDAI</t>
        </is>
      </c>
      <c r="E1025" t="inlineStr">
        <is>
          <t>EHH0037</t>
        </is>
      </c>
      <c r="F1025" t="inlineStr">
        <is>
          <t>SELETIVA</t>
        </is>
      </c>
      <c r="G1025" t="inlineStr">
        <is>
          <t>G&amp;S PRUDENTE</t>
        </is>
      </c>
      <c r="H1025" t="inlineStr">
        <is>
          <t>7.1.2</t>
        </is>
      </c>
      <c r="I1025" t="inlineStr">
        <is>
          <t>MANUTENÇÃO DE VEÍCULOS/MAQUINAS</t>
        </is>
      </c>
      <c r="J1025" t="n">
        <v>183.66</v>
      </c>
      <c r="K1025" t="n">
        <v>-183.66</v>
      </c>
    </row>
    <row r="1026" hidden="1" s="154">
      <c r="A1026" t="n">
        <v>2026</v>
      </c>
      <c r="B1026" t="inlineStr">
        <is>
          <t>2026-02</t>
        </is>
      </c>
      <c r="C1026" t="inlineStr">
        <is>
          <t>Multi Aço</t>
        </is>
      </c>
      <c r="D1026" t="inlineStr">
        <is>
          <t>HYUNDAI</t>
        </is>
      </c>
      <c r="E1026" t="inlineStr">
        <is>
          <t>EHH0037</t>
        </is>
      </c>
      <c r="F1026" t="inlineStr">
        <is>
          <t>EKIPA LOCACOES E SERV G&amp;S</t>
        </is>
      </c>
      <c r="G1026" t="inlineStr">
        <is>
          <t>G&amp;S PRUDENTE</t>
        </is>
      </c>
      <c r="H1026" t="inlineStr">
        <is>
          <t>7.1.2</t>
        </is>
      </c>
      <c r="I1026" t="inlineStr">
        <is>
          <t>MANUTENÇÃO DE VEÍCULOS/MAQUINAS</t>
        </is>
      </c>
      <c r="J1026" t="n">
        <v>1360</v>
      </c>
      <c r="K1026" t="n">
        <v>-1360</v>
      </c>
    </row>
    <row r="1027" hidden="1" s="154">
      <c r="A1027" t="n">
        <v>2026</v>
      </c>
      <c r="B1027" t="inlineStr">
        <is>
          <t>2026-02</t>
        </is>
      </c>
      <c r="C1027" t="inlineStr">
        <is>
          <t>Multi Aço</t>
        </is>
      </c>
      <c r="D1027" t="inlineStr">
        <is>
          <t>HYUNDAI</t>
        </is>
      </c>
      <c r="E1027" t="inlineStr">
        <is>
          <t>EHH0037</t>
        </is>
      </c>
      <c r="F1027" t="inlineStr">
        <is>
          <t>EKIPA LOCACOES E SERV G&amp;S</t>
        </is>
      </c>
      <c r="G1027" t="inlineStr">
        <is>
          <t>G&amp;S PRUDENTE</t>
        </is>
      </c>
      <c r="H1027" t="inlineStr">
        <is>
          <t>7.1.2</t>
        </is>
      </c>
      <c r="I1027" t="inlineStr">
        <is>
          <t>MANUTENÇÃO DE VEÍCULOS/MAQUINAS</t>
        </is>
      </c>
      <c r="J1027" t="n">
        <v>98</v>
      </c>
      <c r="K1027" t="n">
        <v>-98</v>
      </c>
    </row>
    <row r="1028" hidden="1" s="154">
      <c r="A1028" t="n">
        <v>2026</v>
      </c>
      <c r="B1028" t="inlineStr">
        <is>
          <t>2026-03</t>
        </is>
      </c>
      <c r="C1028" t="inlineStr">
        <is>
          <t>Multi Aço</t>
        </is>
      </c>
      <c r="D1028" t="inlineStr">
        <is>
          <t>HYUNDAI</t>
        </is>
      </c>
      <c r="E1028" t="inlineStr">
        <is>
          <t>EHH0037</t>
        </is>
      </c>
      <c r="F1028" t="inlineStr">
        <is>
          <t>EKIPA LOCACOES E SERV G&amp;S</t>
        </is>
      </c>
      <c r="G1028" t="inlineStr">
        <is>
          <t>G&amp;S PRUDENTE</t>
        </is>
      </c>
      <c r="H1028" t="inlineStr">
        <is>
          <t>7.1.2</t>
        </is>
      </c>
      <c r="I1028" t="inlineStr">
        <is>
          <t>MANUTENÇÃO DE VEÍCULOS/MAQUINAS</t>
        </is>
      </c>
      <c r="J1028" t="n">
        <v>115</v>
      </c>
      <c r="K1028" t="n">
        <v>-115</v>
      </c>
    </row>
    <row r="1029" hidden="1" s="154">
      <c r="A1029" t="n">
        <v>2026</v>
      </c>
      <c r="B1029" t="inlineStr">
        <is>
          <t>2026-03</t>
        </is>
      </c>
      <c r="C1029" t="inlineStr">
        <is>
          <t>Multi Aço</t>
        </is>
      </c>
      <c r="D1029" t="inlineStr">
        <is>
          <t>HYUNDAI</t>
        </is>
      </c>
      <c r="E1029" t="inlineStr">
        <is>
          <t>EHH0037</t>
        </is>
      </c>
      <c r="F1029" t="inlineStr">
        <is>
          <t>EKIPA LOCACOES E SERV G&amp;S</t>
        </is>
      </c>
      <c r="G1029" t="inlineStr">
        <is>
          <t>G&amp;S PRUDENTE</t>
        </is>
      </c>
      <c r="H1029" t="inlineStr">
        <is>
          <t>7.1.2</t>
        </is>
      </c>
      <c r="I1029" t="inlineStr">
        <is>
          <t>MANUTENÇÃO DE VEÍCULOS/MAQUINAS</t>
        </is>
      </c>
      <c r="J1029" t="n">
        <v>680</v>
      </c>
      <c r="K1029" t="n">
        <v>-680</v>
      </c>
    </row>
    <row r="1030" hidden="1" s="154">
      <c r="A1030" t="n">
        <v>2026</v>
      </c>
      <c r="B1030" t="inlineStr">
        <is>
          <t>2026-03</t>
        </is>
      </c>
      <c r="C1030" t="inlineStr">
        <is>
          <t>Multi Aço</t>
        </is>
      </c>
      <c r="D1030" t="inlineStr">
        <is>
          <t>HYUNDAI</t>
        </is>
      </c>
      <c r="E1030" t="inlineStr">
        <is>
          <t>EHH0037</t>
        </is>
      </c>
      <c r="F1030" t="inlineStr">
        <is>
          <t>EKIPA LOCACOES E SERV G&amp;S</t>
        </is>
      </c>
      <c r="G1030" t="inlineStr">
        <is>
          <t>G&amp;S PRUDENTE</t>
        </is>
      </c>
      <c r="H1030" t="inlineStr">
        <is>
          <t>7.1.2</t>
        </is>
      </c>
      <c r="I1030" t="inlineStr">
        <is>
          <t>MANUTENÇÃO DE VEÍCULOS/MAQUINAS</t>
        </is>
      </c>
      <c r="J1030" t="n">
        <v>1904.43</v>
      </c>
      <c r="K1030" t="n">
        <v>-1904.43</v>
      </c>
    </row>
    <row r="1031" hidden="1" s="154">
      <c r="A1031" t="n">
        <v>2026</v>
      </c>
      <c r="B1031" t="inlineStr">
        <is>
          <t>2026-03</t>
        </is>
      </c>
      <c r="C1031" t="inlineStr">
        <is>
          <t>Multi Aço</t>
        </is>
      </c>
      <c r="D1031" t="inlineStr">
        <is>
          <t>HYUNDAI</t>
        </is>
      </c>
      <c r="E1031" t="inlineStr">
        <is>
          <t>EHH0037</t>
        </is>
      </c>
      <c r="F1031" t="inlineStr">
        <is>
          <t>EKIPA LOCACOES E SERV G&amp;S</t>
        </is>
      </c>
      <c r="G1031" t="inlineStr">
        <is>
          <t>G&amp;S PRUDENTE</t>
        </is>
      </c>
      <c r="H1031" t="inlineStr">
        <is>
          <t>7.1.2</t>
        </is>
      </c>
      <c r="I1031" t="inlineStr">
        <is>
          <t>MANUTENÇÃO DE VEÍCULOS/MAQUINAS</t>
        </is>
      </c>
      <c r="J1031" t="n">
        <v>1809.42</v>
      </c>
      <c r="K1031" t="n">
        <v>-1809.42</v>
      </c>
    </row>
    <row r="1032" hidden="1" s="154">
      <c r="A1032" t="n">
        <v>2026</v>
      </c>
      <c r="B1032" t="inlineStr">
        <is>
          <t>2026-03</t>
        </is>
      </c>
      <c r="C1032" t="inlineStr">
        <is>
          <t>Multi Aço</t>
        </is>
      </c>
      <c r="D1032" t="inlineStr">
        <is>
          <t>HYUNDAI</t>
        </is>
      </c>
      <c r="E1032" t="inlineStr">
        <is>
          <t>EHH0037</t>
        </is>
      </c>
      <c r="F1032" t="inlineStr">
        <is>
          <t>EKIPA LOCACOES E SERV G&amp;S</t>
        </is>
      </c>
      <c r="G1032" t="inlineStr">
        <is>
          <t>G&amp;S PRUDENTE</t>
        </is>
      </c>
      <c r="H1032" t="inlineStr">
        <is>
          <t>7.1.2</t>
        </is>
      </c>
      <c r="I1032" t="inlineStr">
        <is>
          <t>MANUTENÇÃO DE VEÍCULOS/MAQUINAS</t>
        </is>
      </c>
      <c r="J1032" t="n">
        <v>825.6</v>
      </c>
      <c r="K1032" t="n">
        <v>-825.6</v>
      </c>
    </row>
    <row r="1033" hidden="1" s="154">
      <c r="A1033" t="n">
        <v>2025</v>
      </c>
      <c r="B1033" t="inlineStr">
        <is>
          <t>2025-01</t>
        </is>
      </c>
      <c r="C1033" t="inlineStr">
        <is>
          <t>Prudente</t>
        </is>
      </c>
      <c r="D1033" t="inlineStr">
        <is>
          <t>HYUNDAI</t>
        </is>
      </c>
      <c r="E1033" t="inlineStr">
        <is>
          <t>EHH0006</t>
        </is>
      </c>
      <c r="F1033" t="inlineStr">
        <is>
          <t>SELETIVA</t>
        </is>
      </c>
      <c r="G1033" t="inlineStr">
        <is>
          <t>G&amp;G MATRIZ</t>
        </is>
      </c>
      <c r="H1033" t="inlineStr">
        <is>
          <t>7.1.2</t>
        </is>
      </c>
      <c r="I1033" t="inlineStr">
        <is>
          <t>MANUTENÇÃO DE VEÍCULOS/MAQUINAS</t>
        </is>
      </c>
      <c r="J1033" t="n">
        <v>1600</v>
      </c>
      <c r="K1033" t="n">
        <v>1600</v>
      </c>
    </row>
    <row r="1034" hidden="1" s="154">
      <c r="A1034" t="n">
        <v>2025</v>
      </c>
      <c r="B1034" t="inlineStr">
        <is>
          <t>2025-02</t>
        </is>
      </c>
      <c r="C1034" t="inlineStr">
        <is>
          <t>Prudente</t>
        </is>
      </c>
      <c r="D1034" t="inlineStr">
        <is>
          <t>HYUNDAI</t>
        </is>
      </c>
      <c r="E1034" t="inlineStr">
        <is>
          <t>EHH0006</t>
        </is>
      </c>
      <c r="F1034" t="inlineStr">
        <is>
          <t>SELETIVA</t>
        </is>
      </c>
      <c r="G1034" t="inlineStr">
        <is>
          <t>G&amp;G MATRIZ</t>
        </is>
      </c>
      <c r="H1034" t="inlineStr">
        <is>
          <t>7.1.1</t>
        </is>
      </c>
      <c r="I1034" t="inlineStr">
        <is>
          <t>PEÇAS DE MANUTENÇÃO</t>
        </is>
      </c>
      <c r="J1034" t="n">
        <v>988.1900000000001</v>
      </c>
      <c r="K1034" t="n">
        <v>988.1900000000001</v>
      </c>
    </row>
    <row r="1035" hidden="1" s="154">
      <c r="A1035" t="n">
        <v>2025</v>
      </c>
      <c r="B1035" t="inlineStr">
        <is>
          <t>2025-02</t>
        </is>
      </c>
      <c r="C1035" t="inlineStr">
        <is>
          <t>Prudente</t>
        </is>
      </c>
      <c r="D1035" t="inlineStr">
        <is>
          <t>HYUNDAI</t>
        </is>
      </c>
      <c r="E1035" t="inlineStr">
        <is>
          <t>EHH0006</t>
        </is>
      </c>
      <c r="F1035" t="inlineStr">
        <is>
          <t>SELETIVA</t>
        </is>
      </c>
      <c r="G1035" t="inlineStr">
        <is>
          <t>G&amp;G MATRIZ</t>
        </is>
      </c>
      <c r="H1035" t="inlineStr">
        <is>
          <t>7.1.2</t>
        </is>
      </c>
      <c r="I1035" t="inlineStr">
        <is>
          <t>MANUTENÇÃO DE VEÍCULOS/MAQUINAS</t>
        </is>
      </c>
      <c r="J1035" t="n">
        <v>1000</v>
      </c>
      <c r="K1035" t="n">
        <v>1000</v>
      </c>
    </row>
    <row r="1036" hidden="1" s="154">
      <c r="A1036" t="n">
        <v>2025</v>
      </c>
      <c r="B1036" t="inlineStr">
        <is>
          <t>2025-02</t>
        </is>
      </c>
      <c r="C1036" t="inlineStr">
        <is>
          <t>Prudente</t>
        </is>
      </c>
      <c r="D1036" t="inlineStr">
        <is>
          <t>HYUNDAI</t>
        </is>
      </c>
      <c r="E1036" t="inlineStr">
        <is>
          <t>EHH0006</t>
        </is>
      </c>
      <c r="F1036" t="inlineStr">
        <is>
          <t>SELETIVA</t>
        </is>
      </c>
      <c r="G1036" t="inlineStr">
        <is>
          <t>G&amp;G MATRIZ</t>
        </is>
      </c>
      <c r="H1036" t="inlineStr">
        <is>
          <t>7.1.2</t>
        </is>
      </c>
      <c r="I1036" t="inlineStr">
        <is>
          <t>MANUTENÇÃO DE VEÍCULOS/MAQUINAS</t>
        </is>
      </c>
      <c r="J1036" t="n">
        <v>1000</v>
      </c>
      <c r="K1036" t="n">
        <v>1000</v>
      </c>
    </row>
    <row r="1037" hidden="1" s="154">
      <c r="A1037" t="n">
        <v>2025</v>
      </c>
      <c r="B1037" t="inlineStr">
        <is>
          <t>2025-05</t>
        </is>
      </c>
      <c r="C1037" t="inlineStr">
        <is>
          <t>Prudente</t>
        </is>
      </c>
      <c r="D1037" t="inlineStr">
        <is>
          <t>HYUNDAI</t>
        </is>
      </c>
      <c r="E1037" t="inlineStr">
        <is>
          <t>EHH0006</t>
        </is>
      </c>
      <c r="F1037" t="inlineStr">
        <is>
          <t>SELETIVA</t>
        </is>
      </c>
      <c r="G1037" t="inlineStr">
        <is>
          <t>G&amp;G MATRIZ</t>
        </is>
      </c>
      <c r="H1037" t="inlineStr">
        <is>
          <t>7.1.1</t>
        </is>
      </c>
      <c r="I1037" t="inlineStr">
        <is>
          <t>PEÇAS DE MANUTENÇÃO</t>
        </is>
      </c>
      <c r="J1037" t="n">
        <v>15</v>
      </c>
      <c r="K1037" t="n">
        <v>15</v>
      </c>
    </row>
    <row r="1038" hidden="1" s="154">
      <c r="A1038" t="n">
        <v>2025</v>
      </c>
      <c r="B1038" t="inlineStr">
        <is>
          <t>2025-05</t>
        </is>
      </c>
      <c r="C1038" t="inlineStr">
        <is>
          <t>Prudente</t>
        </is>
      </c>
      <c r="D1038" t="inlineStr">
        <is>
          <t>HYUNDAI</t>
        </is>
      </c>
      <c r="E1038" t="inlineStr">
        <is>
          <t>EHH0006</t>
        </is>
      </c>
      <c r="F1038" t="inlineStr">
        <is>
          <t>SELETIVA</t>
        </is>
      </c>
      <c r="G1038" t="inlineStr">
        <is>
          <t>G&amp;G MATRIZ</t>
        </is>
      </c>
      <c r="H1038" t="inlineStr">
        <is>
          <t>7.1.1</t>
        </is>
      </c>
      <c r="I1038" t="inlineStr">
        <is>
          <t>PEÇAS DE MANUTENÇÃO</t>
        </is>
      </c>
      <c r="J1038" t="n">
        <v>54.54</v>
      </c>
      <c r="K1038" t="n">
        <v>54.54</v>
      </c>
    </row>
    <row r="1039" hidden="1" s="154">
      <c r="A1039" t="n">
        <v>2025</v>
      </c>
      <c r="B1039" t="inlineStr">
        <is>
          <t>2025-05</t>
        </is>
      </c>
      <c r="C1039" t="inlineStr">
        <is>
          <t>Prudente</t>
        </is>
      </c>
      <c r="D1039" t="inlineStr">
        <is>
          <t>HYUNDAI</t>
        </is>
      </c>
      <c r="E1039" t="inlineStr">
        <is>
          <t>EHH0006</t>
        </is>
      </c>
      <c r="F1039" t="inlineStr">
        <is>
          <t>SELETIVA</t>
        </is>
      </c>
      <c r="G1039" t="inlineStr">
        <is>
          <t>G&amp;G MATRIZ</t>
        </is>
      </c>
      <c r="H1039" t="inlineStr">
        <is>
          <t>7.1.1</t>
        </is>
      </c>
      <c r="I1039" t="inlineStr">
        <is>
          <t>PEÇAS DE MANUTENÇÃO</t>
        </is>
      </c>
      <c r="J1039" t="n">
        <v>35.2</v>
      </c>
      <c r="K1039" t="n">
        <v>35.2</v>
      </c>
    </row>
    <row r="1040" hidden="1" s="154">
      <c r="A1040" t="n">
        <v>2025</v>
      </c>
      <c r="B1040" t="inlineStr">
        <is>
          <t>2025-05</t>
        </is>
      </c>
      <c r="C1040" t="inlineStr">
        <is>
          <t>Prudente</t>
        </is>
      </c>
      <c r="D1040" t="inlineStr">
        <is>
          <t>HYUNDAI</t>
        </is>
      </c>
      <c r="E1040" t="inlineStr">
        <is>
          <t>EHH0006</t>
        </is>
      </c>
      <c r="F1040" t="inlineStr">
        <is>
          <t>SELETIVA</t>
        </is>
      </c>
      <c r="G1040" t="inlineStr">
        <is>
          <t>G&amp;G MATRIZ</t>
        </is>
      </c>
      <c r="H1040" t="inlineStr">
        <is>
          <t>7.1.1</t>
        </is>
      </c>
      <c r="I1040" t="inlineStr">
        <is>
          <t>PEÇAS DE MANUTENÇÃO</t>
        </is>
      </c>
      <c r="J1040" t="n">
        <v>27.62</v>
      </c>
      <c r="K1040" t="n">
        <v>27.62</v>
      </c>
    </row>
    <row r="1041" hidden="1" s="154">
      <c r="A1041" t="n">
        <v>2025</v>
      </c>
      <c r="B1041" t="inlineStr">
        <is>
          <t>2025-05</t>
        </is>
      </c>
      <c r="C1041" t="inlineStr">
        <is>
          <t>Prudente</t>
        </is>
      </c>
      <c r="D1041" t="inlineStr">
        <is>
          <t>HYUNDAI</t>
        </is>
      </c>
      <c r="E1041" t="inlineStr">
        <is>
          <t>EHH0006</t>
        </is>
      </c>
      <c r="F1041" t="inlineStr">
        <is>
          <t>SELETIVA</t>
        </is>
      </c>
      <c r="G1041" t="inlineStr">
        <is>
          <t>G&amp;G MATRIZ</t>
        </is>
      </c>
      <c r="H1041" t="inlineStr">
        <is>
          <t>7.1.1</t>
        </is>
      </c>
      <c r="I1041" t="inlineStr">
        <is>
          <t>PEÇAS DE MANUTENÇÃO</t>
        </is>
      </c>
      <c r="J1041" t="n">
        <v>34.08</v>
      </c>
      <c r="K1041" t="n">
        <v>34.08</v>
      </c>
    </row>
    <row r="1042" hidden="1" s="154">
      <c r="A1042" t="n">
        <v>2025</v>
      </c>
      <c r="B1042" t="inlineStr">
        <is>
          <t>2025-06</t>
        </is>
      </c>
      <c r="C1042" t="inlineStr">
        <is>
          <t>Prudente</t>
        </is>
      </c>
      <c r="D1042" t="inlineStr">
        <is>
          <t>HYUNDAI</t>
        </is>
      </c>
      <c r="E1042" t="inlineStr">
        <is>
          <t>EHH0006</t>
        </is>
      </c>
      <c r="F1042" t="inlineStr">
        <is>
          <t>SELETIVA</t>
        </is>
      </c>
      <c r="G1042" t="inlineStr">
        <is>
          <t>G&amp;S PRUDENTE</t>
        </is>
      </c>
      <c r="H1042" t="inlineStr">
        <is>
          <t>7.1.2</t>
        </is>
      </c>
      <c r="I1042" t="inlineStr">
        <is>
          <t>MANUTENÇÃO DE VEÍCULOS/MAQUINAS</t>
        </is>
      </c>
      <c r="J1042" t="n">
        <v>283.1</v>
      </c>
      <c r="K1042" t="n">
        <v>-283.1</v>
      </c>
    </row>
    <row r="1043" hidden="1" s="154">
      <c r="A1043" t="n">
        <v>2025</v>
      </c>
      <c r="B1043" t="inlineStr">
        <is>
          <t>2025-06</t>
        </is>
      </c>
      <c r="C1043" t="inlineStr">
        <is>
          <t>Prudente</t>
        </is>
      </c>
      <c r="D1043" t="inlineStr">
        <is>
          <t>HYUNDAI</t>
        </is>
      </c>
      <c r="E1043" t="inlineStr">
        <is>
          <t>EHH0006</t>
        </is>
      </c>
      <c r="F1043" t="inlineStr">
        <is>
          <t>SELETIVA</t>
        </is>
      </c>
      <c r="G1043" t="inlineStr">
        <is>
          <t>G&amp;S PRUDENTE</t>
        </is>
      </c>
      <c r="H1043" t="inlineStr">
        <is>
          <t>7.1.18</t>
        </is>
      </c>
      <c r="I1043" t="inlineStr">
        <is>
          <t>FRETES E CARRETOS</t>
        </is>
      </c>
      <c r="J1043" t="n">
        <v>42.53</v>
      </c>
      <c r="K1043" t="n">
        <v>-42.53</v>
      </c>
    </row>
    <row r="1044" hidden="1" s="154">
      <c r="A1044" t="n">
        <v>2025</v>
      </c>
      <c r="B1044" t="inlineStr">
        <is>
          <t>2025-06</t>
        </is>
      </c>
      <c r="C1044" t="inlineStr">
        <is>
          <t>Prudente</t>
        </is>
      </c>
      <c r="D1044" t="inlineStr">
        <is>
          <t>HYUNDAI</t>
        </is>
      </c>
      <c r="E1044" t="inlineStr">
        <is>
          <t>EHH0006</t>
        </is>
      </c>
      <c r="F1044" t="inlineStr">
        <is>
          <t>SELETIVA</t>
        </is>
      </c>
      <c r="G1044" t="inlineStr">
        <is>
          <t>G&amp;S PRUDENTE</t>
        </is>
      </c>
      <c r="H1044" t="inlineStr">
        <is>
          <t>7.1.2</t>
        </is>
      </c>
      <c r="I1044" t="inlineStr">
        <is>
          <t>MANUTENÇÃO DE VEÍCULOS/MAQUINAS</t>
        </is>
      </c>
      <c r="J1044" t="n">
        <v>19.35</v>
      </c>
      <c r="K1044" t="n">
        <v>-19.35</v>
      </c>
    </row>
    <row r="1045" hidden="1" s="154">
      <c r="A1045" t="n">
        <v>2025</v>
      </c>
      <c r="B1045" t="inlineStr">
        <is>
          <t>2025-06</t>
        </is>
      </c>
      <c r="C1045" t="inlineStr">
        <is>
          <t>Prudente</t>
        </is>
      </c>
      <c r="D1045" t="inlineStr">
        <is>
          <t>HYUNDAI</t>
        </is>
      </c>
      <c r="E1045" t="inlineStr">
        <is>
          <t>EHH0006</t>
        </is>
      </c>
      <c r="F1045" t="inlineStr">
        <is>
          <t>SELETIVA</t>
        </is>
      </c>
      <c r="G1045" t="inlineStr">
        <is>
          <t>G&amp;S PRUDENTE</t>
        </is>
      </c>
      <c r="H1045" t="inlineStr">
        <is>
          <t>7.1.2</t>
        </is>
      </c>
      <c r="I1045" t="inlineStr">
        <is>
          <t>MANUTENÇÃO DE VEÍCULOS/MAQUINAS</t>
        </is>
      </c>
      <c r="J1045" t="n">
        <v>2000</v>
      </c>
      <c r="K1045" t="n">
        <v>-2000</v>
      </c>
    </row>
    <row r="1046" hidden="1" s="154">
      <c r="A1046" t="n">
        <v>2025</v>
      </c>
      <c r="B1046" t="inlineStr">
        <is>
          <t>2025-07</t>
        </is>
      </c>
      <c r="C1046" t="inlineStr">
        <is>
          <t>Prudente</t>
        </is>
      </c>
      <c r="D1046" t="inlineStr">
        <is>
          <t>HYUNDAI</t>
        </is>
      </c>
      <c r="E1046" t="inlineStr">
        <is>
          <t>EHH0006</t>
        </is>
      </c>
      <c r="F1046" t="inlineStr">
        <is>
          <t>SELETIVA</t>
        </is>
      </c>
      <c r="G1046" t="inlineStr">
        <is>
          <t>G&amp;S PRUDENTE</t>
        </is>
      </c>
      <c r="H1046" t="inlineStr">
        <is>
          <t>7.1.2</t>
        </is>
      </c>
      <c r="I1046" t="inlineStr">
        <is>
          <t>MANUTENÇÃO DE VEÍCULOS/MAQUINAS</t>
        </is>
      </c>
      <c r="J1046" t="n">
        <v>367.46</v>
      </c>
      <c r="K1046" t="n">
        <v>-367.46</v>
      </c>
    </row>
    <row r="1047" hidden="1" s="154">
      <c r="A1047" t="n">
        <v>2025</v>
      </c>
      <c r="B1047" t="inlineStr">
        <is>
          <t>2025-08</t>
        </is>
      </c>
      <c r="C1047" t="inlineStr">
        <is>
          <t>Prudente</t>
        </is>
      </c>
      <c r="D1047" t="inlineStr">
        <is>
          <t>HYUNDAI</t>
        </is>
      </c>
      <c r="E1047" t="inlineStr">
        <is>
          <t>EHH0006</t>
        </is>
      </c>
      <c r="F1047" t="inlineStr">
        <is>
          <t>SELETIVA</t>
        </is>
      </c>
      <c r="G1047" t="inlineStr">
        <is>
          <t>G&amp;S PRUDENTE</t>
        </is>
      </c>
      <c r="H1047" t="inlineStr">
        <is>
          <t>7.1.2</t>
        </is>
      </c>
      <c r="I1047" t="inlineStr">
        <is>
          <t>MANUTENÇÃO DE VEÍCULOS/MAQUINAS</t>
        </is>
      </c>
      <c r="J1047" t="n">
        <v>394.63</v>
      </c>
      <c r="K1047" t="n">
        <v>-394.63</v>
      </c>
    </row>
    <row r="1048" hidden="1" s="154">
      <c r="A1048" t="n">
        <v>2025</v>
      </c>
      <c r="B1048" t="inlineStr">
        <is>
          <t>2025-08</t>
        </is>
      </c>
      <c r="C1048" t="inlineStr">
        <is>
          <t>Prudente</t>
        </is>
      </c>
      <c r="D1048" t="inlineStr">
        <is>
          <t>HYUNDAI</t>
        </is>
      </c>
      <c r="E1048" t="inlineStr">
        <is>
          <t>EHH0006</t>
        </is>
      </c>
      <c r="F1048" t="inlineStr">
        <is>
          <t>SELETIVA</t>
        </is>
      </c>
      <c r="G1048" t="inlineStr">
        <is>
          <t>G&amp;S PRUDENTE</t>
        </is>
      </c>
      <c r="H1048" t="inlineStr">
        <is>
          <t>7.1.2</t>
        </is>
      </c>
      <c r="I1048" t="inlineStr">
        <is>
          <t>MANUTENÇÃO DE VEÍCULOS/MAQUINAS</t>
        </is>
      </c>
      <c r="J1048" t="n">
        <v>780</v>
      </c>
      <c r="K1048" t="n">
        <v>-780</v>
      </c>
    </row>
    <row r="1049" hidden="1" s="154">
      <c r="A1049" t="n">
        <v>2025</v>
      </c>
      <c r="B1049" t="inlineStr">
        <is>
          <t>2025-09</t>
        </is>
      </c>
      <c r="C1049" t="inlineStr">
        <is>
          <t>Prudente</t>
        </is>
      </c>
      <c r="D1049" t="inlineStr">
        <is>
          <t>HYUNDAI</t>
        </is>
      </c>
      <c r="E1049" t="inlineStr">
        <is>
          <t>EHH0006</t>
        </is>
      </c>
      <c r="F1049" t="inlineStr">
        <is>
          <t>SELETIVA</t>
        </is>
      </c>
      <c r="G1049" t="inlineStr">
        <is>
          <t>G&amp;S PRUDENTE</t>
        </is>
      </c>
      <c r="H1049" t="inlineStr">
        <is>
          <t>7.1.2</t>
        </is>
      </c>
      <c r="I1049" t="inlineStr">
        <is>
          <t>MANUTENÇÃO DE VEÍCULOS/MAQUINAS</t>
        </is>
      </c>
      <c r="J1049" t="n">
        <v>31.22</v>
      </c>
      <c r="K1049" t="n">
        <v>-31.22</v>
      </c>
    </row>
    <row r="1050" hidden="1" s="154">
      <c r="A1050" t="n">
        <v>2025</v>
      </c>
      <c r="B1050" t="inlineStr">
        <is>
          <t>2025-09</t>
        </is>
      </c>
      <c r="C1050" t="inlineStr">
        <is>
          <t>Prudente</t>
        </is>
      </c>
      <c r="D1050" t="inlineStr">
        <is>
          <t>HYUNDAI</t>
        </is>
      </c>
      <c r="E1050" t="inlineStr">
        <is>
          <t>EHH0006</t>
        </is>
      </c>
      <c r="F1050" t="inlineStr">
        <is>
          <t>SELETIVA</t>
        </is>
      </c>
      <c r="G1050" t="inlineStr">
        <is>
          <t>G&amp;S PRUDENTE</t>
        </is>
      </c>
      <c r="H1050" t="inlineStr">
        <is>
          <t>7.1.2</t>
        </is>
      </c>
      <c r="I1050" t="inlineStr">
        <is>
          <t>MANUTENÇÃO DE VEÍCULOS/MAQUINAS</t>
        </is>
      </c>
      <c r="J1050" t="n">
        <v>120.7</v>
      </c>
      <c r="K1050" t="n">
        <v>-120.7</v>
      </c>
    </row>
    <row r="1051" hidden="1" s="154">
      <c r="A1051" t="n">
        <v>2025</v>
      </c>
      <c r="B1051" t="inlineStr">
        <is>
          <t>2025-09</t>
        </is>
      </c>
      <c r="C1051" t="inlineStr">
        <is>
          <t>Prudente</t>
        </is>
      </c>
      <c r="D1051" t="inlineStr">
        <is>
          <t>HYUNDAI</t>
        </is>
      </c>
      <c r="E1051" t="inlineStr">
        <is>
          <t>EHH0006</t>
        </is>
      </c>
      <c r="F1051" t="inlineStr">
        <is>
          <t>SELETIVA</t>
        </is>
      </c>
      <c r="G1051" t="inlineStr">
        <is>
          <t>G&amp;S PRUDENTE</t>
        </is>
      </c>
      <c r="H1051" t="inlineStr">
        <is>
          <t>7.1.2</t>
        </is>
      </c>
      <c r="I1051" t="inlineStr">
        <is>
          <t>MANUTENÇÃO DE VEÍCULOS/MAQUINAS</t>
        </is>
      </c>
      <c r="J1051" t="n">
        <v>875</v>
      </c>
      <c r="K1051" t="n">
        <v>-875</v>
      </c>
    </row>
    <row r="1052" hidden="1" s="154">
      <c r="A1052" t="n">
        <v>2025</v>
      </c>
      <c r="B1052" t="inlineStr">
        <is>
          <t>2025-09</t>
        </is>
      </c>
      <c r="C1052" t="inlineStr">
        <is>
          <t>Prudente</t>
        </is>
      </c>
      <c r="D1052" t="inlineStr">
        <is>
          <t>HYUNDAI</t>
        </is>
      </c>
      <c r="E1052" t="inlineStr">
        <is>
          <t>EHH0006</t>
        </is>
      </c>
      <c r="F1052" t="inlineStr">
        <is>
          <t>SELETIVA</t>
        </is>
      </c>
      <c r="G1052" t="inlineStr">
        <is>
          <t>G&amp;S PRUDENTE</t>
        </is>
      </c>
      <c r="H1052" t="inlineStr">
        <is>
          <t>7.1.2</t>
        </is>
      </c>
      <c r="I1052" t="inlineStr">
        <is>
          <t>MANUTENÇÃO DE VEÍCULOS/MAQUINAS</t>
        </is>
      </c>
      <c r="J1052" t="n">
        <v>184</v>
      </c>
      <c r="K1052" t="n">
        <v>-184</v>
      </c>
    </row>
    <row r="1053" hidden="1" s="154">
      <c r="A1053" t="n">
        <v>2025</v>
      </c>
      <c r="B1053" t="inlineStr">
        <is>
          <t>2025-09</t>
        </is>
      </c>
      <c r="C1053" t="inlineStr">
        <is>
          <t>Prudente</t>
        </is>
      </c>
      <c r="D1053" t="inlineStr">
        <is>
          <t>HYUNDAI</t>
        </is>
      </c>
      <c r="E1053" t="inlineStr">
        <is>
          <t>EHH0006</t>
        </is>
      </c>
      <c r="F1053" t="inlineStr">
        <is>
          <t>SELETIVA</t>
        </is>
      </c>
      <c r="G1053" t="inlineStr">
        <is>
          <t>G&amp;S PRUDENTE</t>
        </is>
      </c>
      <c r="H1053" t="inlineStr">
        <is>
          <t>7.1.2</t>
        </is>
      </c>
      <c r="I1053" t="inlineStr">
        <is>
          <t>MANUTENÇÃO DE VEÍCULOS/MAQUINAS</t>
        </is>
      </c>
      <c r="J1053" t="n">
        <v>1454</v>
      </c>
      <c r="K1053" t="n">
        <v>-1454</v>
      </c>
    </row>
    <row r="1054" hidden="1" s="154">
      <c r="A1054" t="n">
        <v>2025</v>
      </c>
      <c r="B1054" t="inlineStr">
        <is>
          <t>2025-10</t>
        </is>
      </c>
      <c r="C1054" t="inlineStr">
        <is>
          <t>Prudente</t>
        </is>
      </c>
      <c r="D1054" t="inlineStr">
        <is>
          <t>HYUNDAI</t>
        </is>
      </c>
      <c r="E1054" t="inlineStr">
        <is>
          <t>EHH0006</t>
        </is>
      </c>
      <c r="F1054" t="inlineStr">
        <is>
          <t>SELETIVA</t>
        </is>
      </c>
      <c r="G1054" t="inlineStr">
        <is>
          <t>G&amp;S PRUDENTE</t>
        </is>
      </c>
      <c r="H1054" t="inlineStr">
        <is>
          <t>7.1.2</t>
        </is>
      </c>
      <c r="I1054" t="inlineStr">
        <is>
          <t>MANUTENÇÃO DE VEÍCULOS/MAQUINAS</t>
        </is>
      </c>
      <c r="J1054" t="n">
        <v>660</v>
      </c>
      <c r="K1054" t="n">
        <v>-660</v>
      </c>
    </row>
    <row r="1055" hidden="1" s="154">
      <c r="A1055" t="n">
        <v>2025</v>
      </c>
      <c r="B1055" t="inlineStr">
        <is>
          <t>2025-10</t>
        </is>
      </c>
      <c r="C1055" t="inlineStr">
        <is>
          <t>Prudente</t>
        </is>
      </c>
      <c r="D1055" t="inlineStr">
        <is>
          <t>HYUNDAI</t>
        </is>
      </c>
      <c r="E1055" t="inlineStr">
        <is>
          <t>EHH0006</t>
        </is>
      </c>
      <c r="F1055" t="inlineStr">
        <is>
          <t>SELETIVA</t>
        </is>
      </c>
      <c r="G1055" t="inlineStr">
        <is>
          <t>G&amp;S PRUDENTE</t>
        </is>
      </c>
      <c r="H1055" t="inlineStr">
        <is>
          <t>7.1.2</t>
        </is>
      </c>
      <c r="I1055" t="inlineStr">
        <is>
          <t>MANUTENÇÃO DE VEÍCULOS/MAQUINAS</t>
        </is>
      </c>
      <c r="J1055" t="n">
        <v>490</v>
      </c>
      <c r="K1055" t="n">
        <v>-490</v>
      </c>
    </row>
    <row r="1056" hidden="1" s="154">
      <c r="A1056" t="n">
        <v>2025</v>
      </c>
      <c r="B1056" t="inlineStr">
        <is>
          <t>2025-10</t>
        </is>
      </c>
      <c r="C1056" t="inlineStr">
        <is>
          <t>Prudente</t>
        </is>
      </c>
      <c r="D1056" t="inlineStr">
        <is>
          <t>HYUNDAI</t>
        </is>
      </c>
      <c r="E1056" t="inlineStr">
        <is>
          <t>EHH0006</t>
        </is>
      </c>
      <c r="F1056" t="inlineStr">
        <is>
          <t>SELETIVA</t>
        </is>
      </c>
      <c r="G1056" t="inlineStr">
        <is>
          <t>G&amp;S PRUDENTE</t>
        </is>
      </c>
      <c r="H1056" t="inlineStr">
        <is>
          <t>7.1.2</t>
        </is>
      </c>
      <c r="I1056" t="inlineStr">
        <is>
          <t>MANUTENÇÃO DE VEÍCULOS/MAQUINAS</t>
        </is>
      </c>
      <c r="J1056" t="n">
        <v>84.81999999999999</v>
      </c>
      <c r="K1056" t="n">
        <v>-84.81999999999999</v>
      </c>
    </row>
    <row r="1057" hidden="1" s="154">
      <c r="A1057" t="n">
        <v>2025</v>
      </c>
      <c r="B1057" t="inlineStr">
        <is>
          <t>2025-10</t>
        </is>
      </c>
      <c r="C1057" t="inlineStr">
        <is>
          <t>Prudente</t>
        </is>
      </c>
      <c r="D1057" t="inlineStr">
        <is>
          <t>HYUNDAI</t>
        </is>
      </c>
      <c r="E1057" t="inlineStr">
        <is>
          <t>EHH0006</t>
        </is>
      </c>
      <c r="F1057" t="inlineStr">
        <is>
          <t>SELETIVA</t>
        </is>
      </c>
      <c r="G1057" t="inlineStr">
        <is>
          <t>G&amp;S PRUDENTE</t>
        </is>
      </c>
      <c r="H1057" t="inlineStr">
        <is>
          <t>7.1.2</t>
        </is>
      </c>
      <c r="I1057" t="inlineStr">
        <is>
          <t>MANUTENÇÃO DE VEÍCULOS/MAQUINAS</t>
        </is>
      </c>
      <c r="J1057" t="n">
        <v>91</v>
      </c>
      <c r="K1057" t="n">
        <v>-91</v>
      </c>
    </row>
    <row r="1058" hidden="1" s="154">
      <c r="A1058" t="n">
        <v>2025</v>
      </c>
      <c r="B1058" t="inlineStr">
        <is>
          <t>2025-10</t>
        </is>
      </c>
      <c r="C1058" t="inlineStr">
        <is>
          <t>Prudente</t>
        </is>
      </c>
      <c r="D1058" t="inlineStr">
        <is>
          <t>HYUNDAI</t>
        </is>
      </c>
      <c r="E1058" t="inlineStr">
        <is>
          <t>EHH0006</t>
        </is>
      </c>
      <c r="F1058" t="inlineStr">
        <is>
          <t>SELETIVA</t>
        </is>
      </c>
      <c r="G1058" t="inlineStr">
        <is>
          <t>G&amp;S PRUDENTE</t>
        </is>
      </c>
      <c r="H1058" t="inlineStr">
        <is>
          <t>7.1.2</t>
        </is>
      </c>
      <c r="I1058" t="inlineStr">
        <is>
          <t>MANUTENÇÃO DE VEÍCULOS/MAQUINAS</t>
        </is>
      </c>
      <c r="J1058" t="n">
        <v>600</v>
      </c>
      <c r="K1058" t="n">
        <v>-600</v>
      </c>
    </row>
    <row r="1059" hidden="1" s="154">
      <c r="A1059" t="n">
        <v>2025</v>
      </c>
      <c r="B1059" t="inlineStr">
        <is>
          <t>2025-11</t>
        </is>
      </c>
      <c r="C1059" t="inlineStr">
        <is>
          <t>Prudente</t>
        </is>
      </c>
      <c r="D1059" t="inlineStr">
        <is>
          <t>HYUNDAI</t>
        </is>
      </c>
      <c r="E1059" t="inlineStr">
        <is>
          <t>EHH0006</t>
        </is>
      </c>
      <c r="F1059" t="inlineStr">
        <is>
          <t>SELETIVA</t>
        </is>
      </c>
      <c r="G1059" t="inlineStr">
        <is>
          <t>G&amp;S PRUDENTE</t>
        </is>
      </c>
      <c r="H1059" t="inlineStr">
        <is>
          <t>7.1.2</t>
        </is>
      </c>
      <c r="I1059" t="inlineStr">
        <is>
          <t>MANUTENÇÃO DE VEÍCULOS/MAQUINAS</t>
        </is>
      </c>
      <c r="J1059" t="n">
        <v>350</v>
      </c>
      <c r="K1059" t="n">
        <v>-350</v>
      </c>
    </row>
    <row r="1060" hidden="1" s="154">
      <c r="A1060" t="n">
        <v>2025</v>
      </c>
      <c r="B1060" t="inlineStr">
        <is>
          <t>2025-12</t>
        </is>
      </c>
      <c r="C1060" t="inlineStr">
        <is>
          <t>Prudente</t>
        </is>
      </c>
      <c r="D1060" t="inlineStr">
        <is>
          <t>HYUNDAI</t>
        </is>
      </c>
      <c r="E1060" t="inlineStr">
        <is>
          <t>EHH0006</t>
        </is>
      </c>
      <c r="F1060" t="inlineStr">
        <is>
          <t>SELETIVA</t>
        </is>
      </c>
      <c r="G1060" t="inlineStr">
        <is>
          <t>G3S PRUDENTE</t>
        </is>
      </c>
      <c r="H1060" t="inlineStr">
        <is>
          <t>7.1.2</t>
        </is>
      </c>
      <c r="I1060" t="inlineStr">
        <is>
          <t>MANUTENÇÃO DE VEÍCULOS/MAQUINAS</t>
        </is>
      </c>
      <c r="J1060" t="n">
        <v>179.38</v>
      </c>
      <c r="K1060" t="n">
        <v>-179.38</v>
      </c>
    </row>
    <row r="1061" hidden="1" s="154">
      <c r="A1061" t="n">
        <v>2026</v>
      </c>
      <c r="B1061" t="inlineStr">
        <is>
          <t>2026-01</t>
        </is>
      </c>
      <c r="C1061" t="inlineStr">
        <is>
          <t>Prudente</t>
        </is>
      </c>
      <c r="D1061" t="inlineStr">
        <is>
          <t>HYUNDAI</t>
        </is>
      </c>
      <c r="E1061" t="inlineStr">
        <is>
          <t>EHH0006</t>
        </is>
      </c>
      <c r="F1061" t="inlineStr">
        <is>
          <t>SELETIVA</t>
        </is>
      </c>
      <c r="G1061" t="inlineStr">
        <is>
          <t>G&amp;S PRUDENTE</t>
        </is>
      </c>
      <c r="H1061" t="inlineStr">
        <is>
          <t>7.1.2</t>
        </is>
      </c>
      <c r="I1061" t="inlineStr">
        <is>
          <t>MANUTENÇÃO DE VEÍCULOS/MAQUINAS</t>
        </is>
      </c>
      <c r="J1061" t="n">
        <v>108</v>
      </c>
      <c r="K1061" t="n">
        <v>-108</v>
      </c>
    </row>
    <row r="1062" hidden="1" s="154">
      <c r="A1062" t="n">
        <v>2026</v>
      </c>
      <c r="B1062" t="inlineStr">
        <is>
          <t>2026-03</t>
        </is>
      </c>
      <c r="C1062" t="inlineStr">
        <is>
          <t>Prudente</t>
        </is>
      </c>
      <c r="D1062" t="inlineStr">
        <is>
          <t>HYUNDAI</t>
        </is>
      </c>
      <c r="E1062" t="inlineStr">
        <is>
          <t>EHH0006</t>
        </is>
      </c>
      <c r="F1062" t="inlineStr">
        <is>
          <t>SELETIVA</t>
        </is>
      </c>
      <c r="G1062" t="inlineStr">
        <is>
          <t>G&amp;S PRUDENTE</t>
        </is>
      </c>
      <c r="H1062" t="inlineStr">
        <is>
          <t>7.1.2</t>
        </is>
      </c>
      <c r="I1062" t="inlineStr">
        <is>
          <t>MANUTENÇÃO DE VEÍCULOS/MAQUINAS</t>
        </is>
      </c>
      <c r="J1062" t="n">
        <v>79.8</v>
      </c>
      <c r="K1062" t="n">
        <v>-79.8</v>
      </c>
    </row>
    <row r="1063" hidden="1" s="154">
      <c r="A1063" t="n">
        <v>2026</v>
      </c>
      <c r="B1063" t="inlineStr">
        <is>
          <t>2026-03</t>
        </is>
      </c>
      <c r="C1063" t="inlineStr">
        <is>
          <t>Prudente</t>
        </is>
      </c>
      <c r="D1063" t="inlineStr">
        <is>
          <t>HYUNDAI</t>
        </is>
      </c>
      <c r="E1063" t="inlineStr">
        <is>
          <t>EHH0006</t>
        </is>
      </c>
      <c r="F1063" t="inlineStr">
        <is>
          <t>SELETIVA</t>
        </is>
      </c>
      <c r="G1063" t="inlineStr">
        <is>
          <t>G&amp;S PRUDENTE</t>
        </is>
      </c>
      <c r="H1063" t="inlineStr">
        <is>
          <t>7.1.2</t>
        </is>
      </c>
      <c r="I1063" t="inlineStr">
        <is>
          <t>MANUTENÇÃO DE VEÍCULOS/MAQUINAS</t>
        </is>
      </c>
      <c r="J1063" t="n">
        <v>3000</v>
      </c>
      <c r="K1063" t="n">
        <v>-3000</v>
      </c>
    </row>
    <row r="1064" hidden="1" s="154">
      <c r="A1064" t="n">
        <v>2026</v>
      </c>
      <c r="B1064" t="inlineStr">
        <is>
          <t>2026-03</t>
        </is>
      </c>
      <c r="C1064" t="inlineStr">
        <is>
          <t>Prudente</t>
        </is>
      </c>
      <c r="D1064" t="inlineStr">
        <is>
          <t>HYUNDAI</t>
        </is>
      </c>
      <c r="E1064" t="inlineStr">
        <is>
          <t>EHH0006</t>
        </is>
      </c>
      <c r="F1064" t="inlineStr">
        <is>
          <t>SELETIVA</t>
        </is>
      </c>
      <c r="G1064" t="inlineStr">
        <is>
          <t>G&amp;S PRUDENTE</t>
        </is>
      </c>
      <c r="H1064" t="inlineStr">
        <is>
          <t>7.1.2</t>
        </is>
      </c>
      <c r="I1064" t="inlineStr">
        <is>
          <t>MANUTENÇÃO DE VEÍCULOS/MAQUINAS</t>
        </is>
      </c>
      <c r="J1064" t="n">
        <v>942.86</v>
      </c>
      <c r="K1064" t="n">
        <v>-942.86</v>
      </c>
    </row>
    <row r="1065" hidden="1" s="154">
      <c r="A1065" t="n">
        <v>2026</v>
      </c>
      <c r="B1065" t="inlineStr">
        <is>
          <t>2026-03</t>
        </is>
      </c>
      <c r="C1065" t="inlineStr">
        <is>
          <t>Prudente</t>
        </is>
      </c>
      <c r="D1065" t="inlineStr">
        <is>
          <t>HYUNDAI</t>
        </is>
      </c>
      <c r="E1065" t="inlineStr">
        <is>
          <t>EHH0006</t>
        </is>
      </c>
      <c r="F1065" t="inlineStr">
        <is>
          <t>SELETIVA</t>
        </is>
      </c>
      <c r="G1065" t="inlineStr">
        <is>
          <t>G&amp;S PRUDENTE</t>
        </is>
      </c>
      <c r="H1065" t="inlineStr">
        <is>
          <t>7.1.2</t>
        </is>
      </c>
      <c r="I1065" t="inlineStr">
        <is>
          <t>MANUTENÇÃO DE VEÍCULOS/MAQUINAS</t>
        </is>
      </c>
      <c r="J1065" t="n">
        <v>350</v>
      </c>
      <c r="K1065" t="n">
        <v>-350</v>
      </c>
    </row>
    <row r="1066" hidden="1" s="154">
      <c r="A1066" t="n">
        <v>2026</v>
      </c>
      <c r="B1066" t="inlineStr">
        <is>
          <t>2026-03</t>
        </is>
      </c>
      <c r="C1066" t="inlineStr">
        <is>
          <t>Prudente</t>
        </is>
      </c>
      <c r="D1066" t="inlineStr">
        <is>
          <t>HYUNDAI</t>
        </is>
      </c>
      <c r="E1066" t="inlineStr">
        <is>
          <t>EHH0006</t>
        </is>
      </c>
      <c r="F1066" t="inlineStr">
        <is>
          <t>SELETIVA</t>
        </is>
      </c>
      <c r="G1066" t="inlineStr">
        <is>
          <t>G&amp;S PRUDENTE</t>
        </is>
      </c>
      <c r="H1066" t="inlineStr">
        <is>
          <t>7.1.2</t>
        </is>
      </c>
      <c r="I1066" t="inlineStr">
        <is>
          <t>MANUTENÇÃO DE VEÍCULOS/MAQUINAS</t>
        </is>
      </c>
      <c r="J1066" t="n">
        <v>800</v>
      </c>
      <c r="K1066" t="n">
        <v>-800</v>
      </c>
    </row>
    <row r="1067" hidden="1" s="154">
      <c r="A1067" t="n">
        <v>2026</v>
      </c>
      <c r="B1067" t="inlineStr">
        <is>
          <t>2026-03</t>
        </is>
      </c>
      <c r="C1067" t="inlineStr">
        <is>
          <t>Prudente</t>
        </is>
      </c>
      <c r="D1067" t="inlineStr">
        <is>
          <t>HYUNDAI</t>
        </is>
      </c>
      <c r="E1067" t="inlineStr">
        <is>
          <t>EHH0006</t>
        </is>
      </c>
      <c r="F1067" t="inlineStr">
        <is>
          <t>SELETIVA</t>
        </is>
      </c>
      <c r="G1067" t="inlineStr">
        <is>
          <t>G&amp;S PRUDENTE</t>
        </is>
      </c>
      <c r="H1067" t="inlineStr">
        <is>
          <t>7.1.2</t>
        </is>
      </c>
      <c r="I1067" t="inlineStr">
        <is>
          <t>MANUTENÇÃO DE VEÍCULOS/MAQUINAS</t>
        </is>
      </c>
      <c r="J1067" t="n">
        <v>930</v>
      </c>
      <c r="K1067" t="n">
        <v>-930</v>
      </c>
    </row>
    <row r="1068" hidden="1" s="154">
      <c r="A1068" t="n">
        <v>2026</v>
      </c>
      <c r="B1068" t="inlineStr">
        <is>
          <t>2026-03</t>
        </is>
      </c>
      <c r="C1068" t="inlineStr">
        <is>
          <t>Prudente</t>
        </is>
      </c>
      <c r="D1068" t="inlineStr">
        <is>
          <t>HYUNDAI</t>
        </is>
      </c>
      <c r="E1068" t="inlineStr">
        <is>
          <t>EHH0006</t>
        </is>
      </c>
      <c r="F1068" t="inlineStr">
        <is>
          <t>SELETIVA</t>
        </is>
      </c>
      <c r="G1068" t="inlineStr">
        <is>
          <t>G&amp;S PRUDENTE</t>
        </is>
      </c>
      <c r="H1068" t="inlineStr">
        <is>
          <t>7.1.2</t>
        </is>
      </c>
      <c r="I1068" t="inlineStr">
        <is>
          <t>MANUTENÇÃO DE VEÍCULOS/MAQUINAS</t>
        </is>
      </c>
      <c r="J1068" t="n">
        <v>214.43</v>
      </c>
      <c r="K1068" t="n">
        <v>-214.43</v>
      </c>
    </row>
    <row r="1069" hidden="1" s="154">
      <c r="A1069" t="n">
        <v>2026</v>
      </c>
      <c r="B1069" t="inlineStr">
        <is>
          <t>2026-03</t>
        </is>
      </c>
      <c r="C1069" t="inlineStr">
        <is>
          <t>Prudente</t>
        </is>
      </c>
      <c r="D1069" t="inlineStr">
        <is>
          <t>HYUNDAI</t>
        </is>
      </c>
      <c r="E1069" t="inlineStr">
        <is>
          <t>EHH0006</t>
        </is>
      </c>
      <c r="F1069" t="inlineStr">
        <is>
          <t>SELETIVA</t>
        </is>
      </c>
      <c r="G1069" t="inlineStr">
        <is>
          <t>G&amp;S PRUDENTE</t>
        </is>
      </c>
      <c r="H1069" t="inlineStr">
        <is>
          <t>7.1.2</t>
        </is>
      </c>
      <c r="I1069" t="inlineStr">
        <is>
          <t>MANUTENÇÃO DE VEÍCULOS/MAQUINAS</t>
        </is>
      </c>
      <c r="J1069" t="n">
        <v>1575.02</v>
      </c>
      <c r="K1069" t="n">
        <v>-1575.02</v>
      </c>
    </row>
    <row r="1070" hidden="1" s="154">
      <c r="A1070" t="n">
        <v>2026</v>
      </c>
      <c r="B1070" t="inlineStr">
        <is>
          <t>2026-03</t>
        </is>
      </c>
      <c r="C1070" t="inlineStr">
        <is>
          <t>Prudente</t>
        </is>
      </c>
      <c r="D1070" t="inlineStr">
        <is>
          <t>HYUNDAI</t>
        </is>
      </c>
      <c r="E1070" t="inlineStr">
        <is>
          <t>EHH0006</t>
        </is>
      </c>
      <c r="F1070" t="inlineStr">
        <is>
          <t>SELETIVA</t>
        </is>
      </c>
      <c r="G1070" t="inlineStr">
        <is>
          <t>G&amp;S PRUDENTE</t>
        </is>
      </c>
      <c r="H1070" t="inlineStr">
        <is>
          <t>7.1.2</t>
        </is>
      </c>
      <c r="I1070" t="inlineStr">
        <is>
          <t>MANUTENÇÃO DE VEÍCULOS/MAQUINAS</t>
        </is>
      </c>
      <c r="J1070" t="n">
        <v>45</v>
      </c>
      <c r="K1070" t="n">
        <v>-45</v>
      </c>
    </row>
    <row r="1071" hidden="1" s="154">
      <c r="A1071" t="n">
        <v>2026</v>
      </c>
      <c r="B1071" t="inlineStr">
        <is>
          <t>2026-03</t>
        </is>
      </c>
      <c r="C1071" t="inlineStr">
        <is>
          <t>Prudente</t>
        </is>
      </c>
      <c r="D1071" t="inlineStr">
        <is>
          <t>HYUNDAI</t>
        </is>
      </c>
      <c r="E1071" t="inlineStr">
        <is>
          <t>EHH0006</t>
        </is>
      </c>
      <c r="F1071" t="inlineStr">
        <is>
          <t>SELETIVA</t>
        </is>
      </c>
      <c r="G1071" t="inlineStr">
        <is>
          <t>G&amp;S PRUDENTE</t>
        </is>
      </c>
      <c r="H1071" t="inlineStr">
        <is>
          <t>7.1.2</t>
        </is>
      </c>
      <c r="I1071" t="inlineStr">
        <is>
          <t>MANUTENÇÃO DE VEÍCULOS/MAQUINAS</t>
        </is>
      </c>
      <c r="J1071" t="n">
        <v>564</v>
      </c>
      <c r="K1071" t="n">
        <v>-564</v>
      </c>
    </row>
    <row r="1072" hidden="1" s="154">
      <c r="A1072" t="n">
        <v>2026</v>
      </c>
      <c r="B1072" t="inlineStr">
        <is>
          <t>2026-03</t>
        </is>
      </c>
      <c r="C1072" t="inlineStr">
        <is>
          <t>Prudente</t>
        </is>
      </c>
      <c r="D1072" t="inlineStr">
        <is>
          <t>HYUNDAI</t>
        </is>
      </c>
      <c r="E1072" t="inlineStr">
        <is>
          <t>EHH0006</t>
        </is>
      </c>
      <c r="F1072" t="inlineStr">
        <is>
          <t>SELETIVA</t>
        </is>
      </c>
      <c r="G1072" t="inlineStr">
        <is>
          <t>G&amp;S PRUDENTE</t>
        </is>
      </c>
      <c r="H1072" t="inlineStr">
        <is>
          <t>7.1.2</t>
        </is>
      </c>
      <c r="I1072" t="inlineStr">
        <is>
          <t>MANUTENÇÃO DE VEÍCULOS/MAQUINAS</t>
        </is>
      </c>
      <c r="J1072" t="n">
        <v>32</v>
      </c>
      <c r="K1072" t="n">
        <v>-32</v>
      </c>
    </row>
    <row r="1073" hidden="1" s="154">
      <c r="A1073" t="n">
        <v>2025</v>
      </c>
      <c r="B1073" t="inlineStr">
        <is>
          <t>2025-05</t>
        </is>
      </c>
      <c r="C1073" t="inlineStr">
        <is>
          <t>Prudente</t>
        </is>
      </c>
      <c r="D1073" t="inlineStr">
        <is>
          <t>HYUNDAI</t>
        </is>
      </c>
      <c r="E1073" t="inlineStr">
        <is>
          <t>EHH0009</t>
        </is>
      </c>
      <c r="F1073" t="inlineStr">
        <is>
          <t>SELETIVA</t>
        </is>
      </c>
      <c r="G1073" t="inlineStr">
        <is>
          <t>G&amp;G MATRIZ</t>
        </is>
      </c>
      <c r="H1073" t="inlineStr">
        <is>
          <t>7.1.2</t>
        </is>
      </c>
      <c r="I1073" t="inlineStr">
        <is>
          <t>MANUTENÇÃO DE VEÍCULOS/MAQUINAS</t>
        </is>
      </c>
      <c r="J1073" t="n">
        <v>1100</v>
      </c>
      <c r="K1073" t="n">
        <v>1100</v>
      </c>
    </row>
    <row r="1074" hidden="1" s="154">
      <c r="A1074" t="n">
        <v>2025</v>
      </c>
      <c r="B1074" t="inlineStr">
        <is>
          <t>2025-05</t>
        </is>
      </c>
      <c r="C1074" t="inlineStr">
        <is>
          <t>Prudente</t>
        </is>
      </c>
      <c r="D1074" t="inlineStr">
        <is>
          <t>HYUNDAI</t>
        </is>
      </c>
      <c r="E1074" t="inlineStr">
        <is>
          <t>EHH0009</t>
        </is>
      </c>
      <c r="F1074" t="inlineStr">
        <is>
          <t>SELETIVA</t>
        </is>
      </c>
      <c r="G1074" t="inlineStr">
        <is>
          <t>G&amp;G MATRIZ</t>
        </is>
      </c>
      <c r="H1074" t="inlineStr">
        <is>
          <t>7.1.1</t>
        </is>
      </c>
      <c r="I1074" t="inlineStr">
        <is>
          <t>PEÇAS DE MANUTENÇÃO</t>
        </is>
      </c>
      <c r="J1074" t="n">
        <v>20</v>
      </c>
      <c r="K1074" t="n">
        <v>20</v>
      </c>
    </row>
    <row r="1075" hidden="1" s="154">
      <c r="A1075" t="n">
        <v>2025</v>
      </c>
      <c r="B1075" t="inlineStr">
        <is>
          <t>2025-05</t>
        </is>
      </c>
      <c r="C1075" t="inlineStr">
        <is>
          <t>Prudente</t>
        </is>
      </c>
      <c r="D1075" t="inlineStr">
        <is>
          <t>HYUNDAI</t>
        </is>
      </c>
      <c r="E1075" t="inlineStr">
        <is>
          <t>EHH0009</t>
        </is>
      </c>
      <c r="F1075" t="inlineStr">
        <is>
          <t>SELETIVA</t>
        </is>
      </c>
      <c r="G1075" t="inlineStr">
        <is>
          <t>G&amp;G MATRIZ</t>
        </is>
      </c>
      <c r="H1075" t="inlineStr">
        <is>
          <t>7.1.1</t>
        </is>
      </c>
      <c r="I1075" t="inlineStr">
        <is>
          <t>PEÇAS DE MANUTENÇÃO</t>
        </is>
      </c>
      <c r="J1075" t="n">
        <v>7.09</v>
      </c>
      <c r="K1075" t="n">
        <v>7.09</v>
      </c>
    </row>
    <row r="1076" hidden="1" s="154">
      <c r="A1076" t="n">
        <v>2025</v>
      </c>
      <c r="B1076" t="inlineStr">
        <is>
          <t>2025-05</t>
        </is>
      </c>
      <c r="C1076" t="inlineStr">
        <is>
          <t>Prudente</t>
        </is>
      </c>
      <c r="D1076" t="inlineStr">
        <is>
          <t>HYUNDAI</t>
        </is>
      </c>
      <c r="E1076" t="inlineStr">
        <is>
          <t>EHH0009</t>
        </is>
      </c>
      <c r="F1076" t="inlineStr">
        <is>
          <t>SELETIVA</t>
        </is>
      </c>
      <c r="G1076" t="inlineStr">
        <is>
          <t>G&amp;G MATRIZ</t>
        </is>
      </c>
      <c r="H1076" t="inlineStr">
        <is>
          <t>7.1.1</t>
        </is>
      </c>
      <c r="I1076" t="inlineStr">
        <is>
          <t>PEÇAS DE MANUTENÇÃO</t>
        </is>
      </c>
      <c r="J1076" t="n">
        <v>35.2</v>
      </c>
      <c r="K1076" t="n">
        <v>35.2</v>
      </c>
    </row>
    <row r="1077" hidden="1" s="154">
      <c r="A1077" t="n">
        <v>2025</v>
      </c>
      <c r="B1077" t="inlineStr">
        <is>
          <t>2025-05</t>
        </is>
      </c>
      <c r="C1077" t="inlineStr">
        <is>
          <t>Prudente</t>
        </is>
      </c>
      <c r="D1077" t="inlineStr">
        <is>
          <t>HYUNDAI</t>
        </is>
      </c>
      <c r="E1077" t="inlineStr">
        <is>
          <t>EHH0009</t>
        </is>
      </c>
      <c r="F1077" t="inlineStr">
        <is>
          <t>SELETIVA</t>
        </is>
      </c>
      <c r="G1077" t="inlineStr">
        <is>
          <t>G&amp;G MATRIZ</t>
        </is>
      </c>
      <c r="H1077" t="inlineStr">
        <is>
          <t>7.1.1</t>
        </is>
      </c>
      <c r="I1077" t="inlineStr">
        <is>
          <t>PEÇAS DE MANUTENÇÃO</t>
        </is>
      </c>
      <c r="J1077" t="n">
        <v>27.62</v>
      </c>
      <c r="K1077" t="n">
        <v>27.62</v>
      </c>
    </row>
    <row r="1078" hidden="1" s="154">
      <c r="A1078" t="n">
        <v>2025</v>
      </c>
      <c r="B1078" t="inlineStr">
        <is>
          <t>2025-05</t>
        </is>
      </c>
      <c r="C1078" t="inlineStr">
        <is>
          <t>Prudente</t>
        </is>
      </c>
      <c r="D1078" t="inlineStr">
        <is>
          <t>HYUNDAI</t>
        </is>
      </c>
      <c r="E1078" t="inlineStr">
        <is>
          <t>EHH0009</t>
        </is>
      </c>
      <c r="F1078" t="inlineStr">
        <is>
          <t>SELETIVA</t>
        </is>
      </c>
      <c r="G1078" t="inlineStr">
        <is>
          <t>G&amp;G MATRIZ</t>
        </is>
      </c>
      <c r="H1078" t="inlineStr">
        <is>
          <t>7.1.1</t>
        </is>
      </c>
      <c r="I1078" t="inlineStr">
        <is>
          <t>PEÇAS DE MANUTENÇÃO</t>
        </is>
      </c>
      <c r="J1078" t="n">
        <v>10</v>
      </c>
      <c r="K1078" t="n">
        <v>10</v>
      </c>
    </row>
    <row r="1079" hidden="1" s="154">
      <c r="A1079" t="n">
        <v>2025</v>
      </c>
      <c r="B1079" t="inlineStr">
        <is>
          <t>2025-05</t>
        </is>
      </c>
      <c r="C1079" t="inlineStr">
        <is>
          <t>Prudente</t>
        </is>
      </c>
      <c r="D1079" t="inlineStr">
        <is>
          <t>HYUNDAI</t>
        </is>
      </c>
      <c r="E1079" t="inlineStr">
        <is>
          <t>EHH0009</t>
        </is>
      </c>
      <c r="F1079" t="inlineStr">
        <is>
          <t>SELETIVA</t>
        </is>
      </c>
      <c r="G1079" t="inlineStr">
        <is>
          <t>G&amp;G MATRIZ</t>
        </is>
      </c>
      <c r="H1079" t="inlineStr">
        <is>
          <t>7.1.1</t>
        </is>
      </c>
      <c r="I1079" t="inlineStr">
        <is>
          <t>PEÇAS DE MANUTENÇÃO</t>
        </is>
      </c>
      <c r="J1079" t="n">
        <v>34.08</v>
      </c>
      <c r="K1079" t="n">
        <v>34.08</v>
      </c>
    </row>
    <row r="1080" hidden="1" s="154">
      <c r="A1080" t="n">
        <v>2025</v>
      </c>
      <c r="B1080" t="inlineStr">
        <is>
          <t>2025-06</t>
        </is>
      </c>
      <c r="C1080" t="inlineStr">
        <is>
          <t>Prudente</t>
        </is>
      </c>
      <c r="D1080" t="inlineStr">
        <is>
          <t>HYUNDAI</t>
        </is>
      </c>
      <c r="E1080" t="inlineStr">
        <is>
          <t>EHH0009</t>
        </is>
      </c>
      <c r="F1080" t="inlineStr">
        <is>
          <t>SELETIVA</t>
        </is>
      </c>
      <c r="G1080" t="inlineStr">
        <is>
          <t>G&amp;S PRUDENTE</t>
        </is>
      </c>
      <c r="H1080" t="inlineStr">
        <is>
          <t>7.1.2</t>
        </is>
      </c>
      <c r="I1080" t="inlineStr">
        <is>
          <t>MANUTENÇÃO DE VEÍCULOS/MAQUINAS</t>
        </is>
      </c>
      <c r="J1080" t="n">
        <v>187.37</v>
      </c>
      <c r="K1080" t="n">
        <v>-187.37</v>
      </c>
    </row>
    <row r="1081" hidden="1" s="154">
      <c r="A1081" t="n">
        <v>2025</v>
      </c>
      <c r="B1081" t="inlineStr">
        <is>
          <t>2025-06</t>
        </is>
      </c>
      <c r="C1081" t="inlineStr">
        <is>
          <t>Prudente</t>
        </is>
      </c>
      <c r="D1081" t="inlineStr">
        <is>
          <t>HYUNDAI</t>
        </is>
      </c>
      <c r="E1081" t="inlineStr">
        <is>
          <t>EHH0009</t>
        </is>
      </c>
      <c r="F1081" t="inlineStr">
        <is>
          <t>SELETIVA</t>
        </is>
      </c>
      <c r="G1081" t="inlineStr">
        <is>
          <t>G&amp;S PRUDENTE</t>
        </is>
      </c>
      <c r="H1081" t="inlineStr">
        <is>
          <t>7.1.2</t>
        </is>
      </c>
      <c r="I1081" t="inlineStr">
        <is>
          <t>MANUTENÇÃO DE VEÍCULOS/MAQUINAS</t>
        </is>
      </c>
      <c r="J1081" t="n">
        <v>850</v>
      </c>
      <c r="K1081" t="n">
        <v>-850</v>
      </c>
    </row>
    <row r="1082" hidden="1" s="154">
      <c r="A1082" t="n">
        <v>2025</v>
      </c>
      <c r="B1082" t="inlineStr">
        <is>
          <t>2025-07</t>
        </is>
      </c>
      <c r="C1082" t="inlineStr">
        <is>
          <t>Prudente</t>
        </is>
      </c>
      <c r="D1082" t="inlineStr">
        <is>
          <t>HYUNDAI</t>
        </is>
      </c>
      <c r="E1082" t="inlineStr">
        <is>
          <t>EHH0009</t>
        </is>
      </c>
      <c r="F1082" t="inlineStr">
        <is>
          <t>SELETIVA</t>
        </is>
      </c>
      <c r="G1082" t="inlineStr">
        <is>
          <t>G3S PRUDENTE</t>
        </is>
      </c>
      <c r="H1082" t="inlineStr">
        <is>
          <t>7.1.18</t>
        </is>
      </c>
      <c r="I1082" t="inlineStr">
        <is>
          <t>FRETES E CARRETOS</t>
        </is>
      </c>
      <c r="J1082" t="n">
        <v>84.44</v>
      </c>
      <c r="K1082" t="n">
        <v>-84.44</v>
      </c>
    </row>
    <row r="1083" hidden="1" s="154">
      <c r="A1083" t="n">
        <v>2025</v>
      </c>
      <c r="B1083" t="inlineStr">
        <is>
          <t>2025-07</t>
        </is>
      </c>
      <c r="C1083" t="inlineStr">
        <is>
          <t>Prudente</t>
        </is>
      </c>
      <c r="D1083" t="inlineStr">
        <is>
          <t>HYUNDAI</t>
        </is>
      </c>
      <c r="E1083" t="inlineStr">
        <is>
          <t>EHH0009</t>
        </is>
      </c>
      <c r="F1083" t="inlineStr">
        <is>
          <t>SELETIVA</t>
        </is>
      </c>
      <c r="G1083" t="inlineStr">
        <is>
          <t>G&amp;S PRUDENTE</t>
        </is>
      </c>
      <c r="H1083" t="inlineStr">
        <is>
          <t>7.1.2</t>
        </is>
      </c>
      <c r="I1083" t="inlineStr">
        <is>
          <t>MANUTENÇÃO DE VEÍCULOS/MAQUINAS</t>
        </is>
      </c>
      <c r="J1083" t="n">
        <v>390</v>
      </c>
      <c r="K1083" t="n">
        <v>-390</v>
      </c>
    </row>
    <row r="1084" hidden="1" s="154">
      <c r="A1084" t="n">
        <v>2025</v>
      </c>
      <c r="B1084" t="inlineStr">
        <is>
          <t>2025-07</t>
        </is>
      </c>
      <c r="C1084" t="inlineStr">
        <is>
          <t>Prudente</t>
        </is>
      </c>
      <c r="D1084" t="inlineStr">
        <is>
          <t>HYUNDAI</t>
        </is>
      </c>
      <c r="E1084" t="inlineStr">
        <is>
          <t>EHH0009</t>
        </is>
      </c>
      <c r="F1084" t="inlineStr">
        <is>
          <t>SELETIVA</t>
        </is>
      </c>
      <c r="G1084" t="inlineStr">
        <is>
          <t>G&amp;S PRUDENTE</t>
        </is>
      </c>
      <c r="H1084" t="inlineStr">
        <is>
          <t>7.1.2</t>
        </is>
      </c>
      <c r="I1084" t="inlineStr">
        <is>
          <t>MANUTENÇÃO DE VEÍCULOS/MAQUINAS</t>
        </is>
      </c>
      <c r="J1084" t="n">
        <v>225</v>
      </c>
      <c r="K1084" t="n">
        <v>-225</v>
      </c>
    </row>
    <row r="1085" hidden="1" s="154">
      <c r="A1085" t="n">
        <v>2025</v>
      </c>
      <c r="B1085" t="inlineStr">
        <is>
          <t>2025-07</t>
        </is>
      </c>
      <c r="C1085" t="inlineStr">
        <is>
          <t>Prudente</t>
        </is>
      </c>
      <c r="D1085" t="inlineStr">
        <is>
          <t>HYUNDAI</t>
        </is>
      </c>
      <c r="E1085" t="inlineStr">
        <is>
          <t>EHH0009</t>
        </is>
      </c>
      <c r="F1085" t="inlineStr">
        <is>
          <t>SELETIVA</t>
        </is>
      </c>
      <c r="G1085" t="inlineStr">
        <is>
          <t>G&amp;S PRUDENTE</t>
        </is>
      </c>
      <c r="H1085" t="inlineStr">
        <is>
          <t>7.1.2</t>
        </is>
      </c>
      <c r="I1085" t="inlineStr">
        <is>
          <t>MANUTENÇÃO DE VEÍCULOS/MAQUINAS</t>
        </is>
      </c>
      <c r="J1085" t="n">
        <v>2300</v>
      </c>
      <c r="K1085" t="n">
        <v>-2300</v>
      </c>
    </row>
    <row r="1086" hidden="1" s="154">
      <c r="A1086" t="n">
        <v>2025</v>
      </c>
      <c r="B1086" t="inlineStr">
        <is>
          <t>2025-07</t>
        </is>
      </c>
      <c r="C1086" t="inlineStr">
        <is>
          <t>Prudente</t>
        </is>
      </c>
      <c r="D1086" t="inlineStr">
        <is>
          <t>HYUNDAI</t>
        </is>
      </c>
      <c r="E1086" t="inlineStr">
        <is>
          <t>EHH0009</t>
        </is>
      </c>
      <c r="F1086" t="inlineStr">
        <is>
          <t>SELETIVA</t>
        </is>
      </c>
      <c r="G1086" t="inlineStr">
        <is>
          <t>G&amp;S PRUDENTE</t>
        </is>
      </c>
      <c r="H1086" t="inlineStr">
        <is>
          <t>7.1.2</t>
        </is>
      </c>
      <c r="I1086" t="inlineStr">
        <is>
          <t>MANUTENÇÃO DE VEÍCULOS/MAQUINAS</t>
        </is>
      </c>
      <c r="J1086" t="n">
        <v>200.14</v>
      </c>
      <c r="K1086" t="n">
        <v>-200.14</v>
      </c>
    </row>
    <row r="1087" hidden="1" s="154">
      <c r="A1087" t="n">
        <v>2025</v>
      </c>
      <c r="B1087" t="inlineStr">
        <is>
          <t>2025-07</t>
        </is>
      </c>
      <c r="C1087" t="inlineStr">
        <is>
          <t>Prudente</t>
        </is>
      </c>
      <c r="D1087" t="inlineStr">
        <is>
          <t>HYUNDAI</t>
        </is>
      </c>
      <c r="E1087" t="inlineStr">
        <is>
          <t>EHH0009</t>
        </is>
      </c>
      <c r="F1087" t="inlineStr">
        <is>
          <t>SELETIVA</t>
        </is>
      </c>
      <c r="G1087" t="inlineStr">
        <is>
          <t>G&amp;S PRUDENTE</t>
        </is>
      </c>
      <c r="H1087" t="inlineStr">
        <is>
          <t>7.1.2</t>
        </is>
      </c>
      <c r="I1087" t="inlineStr">
        <is>
          <t>MANUTENÇÃO DE VEÍCULOS/MAQUINAS</t>
        </is>
      </c>
      <c r="J1087" t="n">
        <v>150</v>
      </c>
      <c r="K1087" t="n">
        <v>-150</v>
      </c>
    </row>
    <row r="1088" hidden="1" s="154">
      <c r="A1088" t="n">
        <v>2025</v>
      </c>
      <c r="B1088" t="inlineStr">
        <is>
          <t>2025-07</t>
        </is>
      </c>
      <c r="C1088" t="inlineStr">
        <is>
          <t>Prudente</t>
        </is>
      </c>
      <c r="D1088" t="inlineStr">
        <is>
          <t>HYUNDAI</t>
        </is>
      </c>
      <c r="E1088" t="inlineStr">
        <is>
          <t>EHH0009</t>
        </is>
      </c>
      <c r="F1088" t="inlineStr">
        <is>
          <t>SELETIVA</t>
        </is>
      </c>
      <c r="G1088" t="inlineStr">
        <is>
          <t>G&amp;S PRUDENTE</t>
        </is>
      </c>
      <c r="H1088" t="inlineStr">
        <is>
          <t>7.1.2</t>
        </is>
      </c>
      <c r="I1088" t="inlineStr">
        <is>
          <t>MANUTENÇÃO DE VEÍCULOS/MAQUINAS</t>
        </is>
      </c>
      <c r="J1088" t="n">
        <v>145</v>
      </c>
      <c r="K1088" t="n">
        <v>-145</v>
      </c>
    </row>
    <row r="1089" hidden="1" s="154">
      <c r="A1089" t="n">
        <v>2025</v>
      </c>
      <c r="B1089" t="inlineStr">
        <is>
          <t>2025-07</t>
        </is>
      </c>
      <c r="C1089" t="inlineStr">
        <is>
          <t>Prudente</t>
        </is>
      </c>
      <c r="D1089" t="inlineStr">
        <is>
          <t>HYUNDAI</t>
        </is>
      </c>
      <c r="E1089" t="inlineStr">
        <is>
          <t>EHH0009</t>
        </is>
      </c>
      <c r="F1089" t="inlineStr">
        <is>
          <t>SELETIVA</t>
        </is>
      </c>
      <c r="G1089" t="inlineStr">
        <is>
          <t>G&amp;S PRUDENTE</t>
        </is>
      </c>
      <c r="H1089" t="inlineStr">
        <is>
          <t>7.1.2</t>
        </is>
      </c>
      <c r="I1089" t="inlineStr">
        <is>
          <t>MANUTENÇÃO DE VEÍCULOS/MAQUINAS</t>
        </is>
      </c>
      <c r="J1089" t="n">
        <v>500</v>
      </c>
      <c r="K1089" t="n">
        <v>-500</v>
      </c>
    </row>
    <row r="1090" hidden="1" s="154">
      <c r="A1090" t="n">
        <v>2025</v>
      </c>
      <c r="B1090" t="inlineStr">
        <is>
          <t>2025-07</t>
        </is>
      </c>
      <c r="C1090" t="inlineStr">
        <is>
          <t>Prudente</t>
        </is>
      </c>
      <c r="D1090" t="inlineStr">
        <is>
          <t>HYUNDAI</t>
        </is>
      </c>
      <c r="E1090" t="inlineStr">
        <is>
          <t>EHH0009</t>
        </is>
      </c>
      <c r="F1090" t="inlineStr">
        <is>
          <t>SELETIVA</t>
        </is>
      </c>
      <c r="G1090" t="inlineStr">
        <is>
          <t>G&amp;S PRUDENTE</t>
        </is>
      </c>
      <c r="H1090" t="inlineStr">
        <is>
          <t>7.1.2</t>
        </is>
      </c>
      <c r="I1090" t="inlineStr">
        <is>
          <t>MANUTENÇÃO DE VEÍCULOS/MAQUINAS</t>
        </is>
      </c>
      <c r="J1090" t="n">
        <v>866.67</v>
      </c>
      <c r="K1090" t="n">
        <v>-866.67</v>
      </c>
    </row>
    <row r="1091" hidden="1" s="154">
      <c r="A1091" t="n">
        <v>2025</v>
      </c>
      <c r="B1091" t="inlineStr">
        <is>
          <t>2025-07</t>
        </is>
      </c>
      <c r="C1091" t="inlineStr">
        <is>
          <t>Prudente</t>
        </is>
      </c>
      <c r="D1091" t="inlineStr">
        <is>
          <t>HYUNDAI</t>
        </is>
      </c>
      <c r="E1091" t="inlineStr">
        <is>
          <t>EHH0009</t>
        </is>
      </c>
      <c r="F1091" t="inlineStr">
        <is>
          <t>SELETIVA</t>
        </is>
      </c>
      <c r="G1091" t="inlineStr">
        <is>
          <t>G&amp;S PRUDENTE</t>
        </is>
      </c>
      <c r="H1091" t="inlineStr">
        <is>
          <t>7.1.2</t>
        </is>
      </c>
      <c r="I1091" t="inlineStr">
        <is>
          <t>MANUTENÇÃO DE VEÍCULOS/MAQUINAS</t>
        </is>
      </c>
      <c r="J1091" t="n">
        <v>166.97</v>
      </c>
      <c r="K1091" t="n">
        <v>-166.97</v>
      </c>
    </row>
    <row r="1092" hidden="1" s="154">
      <c r="A1092" t="n">
        <v>2025</v>
      </c>
      <c r="B1092" t="inlineStr">
        <is>
          <t>2025-07</t>
        </is>
      </c>
      <c r="C1092" t="inlineStr">
        <is>
          <t>Prudente</t>
        </is>
      </c>
      <c r="D1092" t="inlineStr">
        <is>
          <t>HYUNDAI</t>
        </is>
      </c>
      <c r="E1092" t="inlineStr">
        <is>
          <t>EHH0009</t>
        </is>
      </c>
      <c r="F1092" t="inlineStr">
        <is>
          <t>SELETIVA</t>
        </is>
      </c>
      <c r="G1092" t="inlineStr">
        <is>
          <t>CTA</t>
        </is>
      </c>
      <c r="H1092" t="inlineStr">
        <is>
          <t>7.1.22</t>
        </is>
      </c>
      <c r="I1092" t="inlineStr">
        <is>
          <t>COMBUSTÍVEL - DIESEL (INTERNO)</t>
        </is>
      </c>
      <c r="J1092" t="n">
        <v>2650.93</v>
      </c>
      <c r="K1092" t="n">
        <v>-2650.93</v>
      </c>
    </row>
    <row r="1093" hidden="1" s="154">
      <c r="A1093" t="n">
        <v>2025</v>
      </c>
      <c r="B1093" t="inlineStr">
        <is>
          <t>2025-08</t>
        </is>
      </c>
      <c r="C1093" t="inlineStr">
        <is>
          <t>Prudente</t>
        </is>
      </c>
      <c r="D1093" t="inlineStr">
        <is>
          <t>HYUNDAI</t>
        </is>
      </c>
      <c r="E1093" t="inlineStr">
        <is>
          <t>EHH0009</t>
        </is>
      </c>
      <c r="F1093" t="inlineStr">
        <is>
          <t>SELETIVA</t>
        </is>
      </c>
      <c r="G1093" t="inlineStr">
        <is>
          <t>CTA</t>
        </is>
      </c>
      <c r="H1093" t="inlineStr">
        <is>
          <t>7.1.22</t>
        </is>
      </c>
      <c r="I1093" t="inlineStr">
        <is>
          <t>COMBUSTÍVEL - DIESEL (INTERNO)</t>
        </is>
      </c>
      <c r="J1093" t="n">
        <v>8607.15</v>
      </c>
      <c r="K1093" t="n">
        <v>-8607.15</v>
      </c>
    </row>
    <row r="1094" hidden="1" s="154">
      <c r="A1094" t="n">
        <v>2025</v>
      </c>
      <c r="B1094" t="inlineStr">
        <is>
          <t>2025-08</t>
        </is>
      </c>
      <c r="C1094" t="inlineStr">
        <is>
          <t>Prudente</t>
        </is>
      </c>
      <c r="D1094" t="inlineStr">
        <is>
          <t>HYUNDAI</t>
        </is>
      </c>
      <c r="E1094" t="inlineStr">
        <is>
          <t>EHH0009</t>
        </is>
      </c>
      <c r="F1094" t="inlineStr">
        <is>
          <t>SELETIVA</t>
        </is>
      </c>
      <c r="G1094" t="inlineStr">
        <is>
          <t>G&amp;S PRUDENTE</t>
        </is>
      </c>
      <c r="H1094" t="inlineStr">
        <is>
          <t>7.1.2</t>
        </is>
      </c>
      <c r="I1094" t="inlineStr">
        <is>
          <t>MANUTENÇÃO DE VEÍCULOS/MAQUINAS</t>
        </is>
      </c>
      <c r="J1094" t="n">
        <v>40</v>
      </c>
      <c r="K1094" t="n">
        <v>-40</v>
      </c>
    </row>
    <row r="1095" hidden="1" s="154">
      <c r="A1095" t="n">
        <v>2025</v>
      </c>
      <c r="B1095" t="inlineStr">
        <is>
          <t>2025-08</t>
        </is>
      </c>
      <c r="C1095" t="inlineStr">
        <is>
          <t>Prudente</t>
        </is>
      </c>
      <c r="D1095" t="inlineStr">
        <is>
          <t>HYUNDAI</t>
        </is>
      </c>
      <c r="E1095" t="inlineStr">
        <is>
          <t>EHH0009</t>
        </is>
      </c>
      <c r="F1095" t="inlineStr">
        <is>
          <t>SELETIVA</t>
        </is>
      </c>
      <c r="G1095" t="inlineStr">
        <is>
          <t>G&amp;S PRUDENTE</t>
        </is>
      </c>
      <c r="H1095" t="inlineStr">
        <is>
          <t>7.1.2</t>
        </is>
      </c>
      <c r="I1095" t="inlineStr">
        <is>
          <t>MANUTENÇÃO DE VEÍCULOS/MAQUINAS</t>
        </is>
      </c>
      <c r="J1095" t="n">
        <v>800</v>
      </c>
      <c r="K1095" t="n">
        <v>-800</v>
      </c>
    </row>
    <row r="1096" hidden="1" s="154">
      <c r="A1096" t="n">
        <v>2025</v>
      </c>
      <c r="B1096" t="inlineStr">
        <is>
          <t>2025-08</t>
        </is>
      </c>
      <c r="C1096" t="inlineStr">
        <is>
          <t>Prudente</t>
        </is>
      </c>
      <c r="D1096" t="inlineStr">
        <is>
          <t>HYUNDAI</t>
        </is>
      </c>
      <c r="E1096" t="inlineStr">
        <is>
          <t>EHH0009</t>
        </is>
      </c>
      <c r="F1096" t="inlineStr">
        <is>
          <t>SELETIVA</t>
        </is>
      </c>
      <c r="G1096" t="inlineStr">
        <is>
          <t>G&amp;S PRUDENTE</t>
        </is>
      </c>
      <c r="H1096" t="inlineStr">
        <is>
          <t>7.1.2</t>
        </is>
      </c>
      <c r="I1096" t="inlineStr">
        <is>
          <t>MANUTENÇÃO DE VEÍCULOS/MAQUINAS</t>
        </is>
      </c>
      <c r="J1096" t="n">
        <v>51</v>
      </c>
      <c r="K1096" t="n">
        <v>-51</v>
      </c>
    </row>
    <row r="1097" hidden="1" s="154">
      <c r="A1097" t="n">
        <v>2025</v>
      </c>
      <c r="B1097" t="inlineStr">
        <is>
          <t>2025-08</t>
        </is>
      </c>
      <c r="C1097" t="inlineStr">
        <is>
          <t>Prudente</t>
        </is>
      </c>
      <c r="D1097" t="inlineStr">
        <is>
          <t>HYUNDAI</t>
        </is>
      </c>
      <c r="E1097" t="inlineStr">
        <is>
          <t>EHH0009</t>
        </is>
      </c>
      <c r="F1097" t="inlineStr">
        <is>
          <t>SELETIVA</t>
        </is>
      </c>
      <c r="G1097" t="inlineStr">
        <is>
          <t>G&amp;S PRUDENTE</t>
        </is>
      </c>
      <c r="H1097" t="inlineStr">
        <is>
          <t>7.1.2</t>
        </is>
      </c>
      <c r="I1097" t="inlineStr">
        <is>
          <t>MANUTENÇÃO DE VEÍCULOS/MAQUINAS</t>
        </is>
      </c>
      <c r="J1097" t="n">
        <v>777.85</v>
      </c>
      <c r="K1097" t="n">
        <v>-777.85</v>
      </c>
    </row>
    <row r="1098" hidden="1" s="154">
      <c r="A1098" t="n">
        <v>2025</v>
      </c>
      <c r="B1098" t="inlineStr">
        <is>
          <t>2025-08</t>
        </is>
      </c>
      <c r="C1098" t="inlineStr">
        <is>
          <t>Prudente</t>
        </is>
      </c>
      <c r="D1098" t="inlineStr">
        <is>
          <t>HYUNDAI</t>
        </is>
      </c>
      <c r="E1098" t="inlineStr">
        <is>
          <t>EHH0009</t>
        </is>
      </c>
      <c r="F1098" t="inlineStr">
        <is>
          <t>SELETIVA</t>
        </is>
      </c>
      <c r="G1098" t="inlineStr">
        <is>
          <t>G&amp;S PRUDENTE</t>
        </is>
      </c>
      <c r="H1098" t="inlineStr">
        <is>
          <t>7.1.2</t>
        </is>
      </c>
      <c r="I1098" t="inlineStr">
        <is>
          <t>MANUTENÇÃO DE VEÍCULOS/MAQUINAS</t>
        </is>
      </c>
      <c r="J1098" t="n">
        <v>394.63</v>
      </c>
      <c r="K1098" t="n">
        <v>-394.63</v>
      </c>
    </row>
    <row r="1099" hidden="1" s="154">
      <c r="A1099" t="n">
        <v>2025</v>
      </c>
      <c r="B1099" t="inlineStr">
        <is>
          <t>2025-08</t>
        </is>
      </c>
      <c r="C1099" t="inlineStr">
        <is>
          <t>Prudente</t>
        </is>
      </c>
      <c r="D1099" t="inlineStr">
        <is>
          <t>HYUNDAI</t>
        </is>
      </c>
      <c r="E1099" t="inlineStr">
        <is>
          <t>EHH0009</t>
        </is>
      </c>
      <c r="F1099" t="inlineStr">
        <is>
          <t>SELETIVA</t>
        </is>
      </c>
      <c r="G1099" t="inlineStr">
        <is>
          <t>G&amp;S PRUDENTE</t>
        </is>
      </c>
      <c r="H1099" t="inlineStr">
        <is>
          <t>7.1.2</t>
        </is>
      </c>
      <c r="I1099" t="inlineStr">
        <is>
          <t>MANUTENÇÃO DE VEÍCULOS/MAQUINAS</t>
        </is>
      </c>
      <c r="J1099" t="n">
        <v>150</v>
      </c>
      <c r="K1099" t="n">
        <v>-150</v>
      </c>
    </row>
    <row r="1100" hidden="1" s="154">
      <c r="A1100" t="n">
        <v>2025</v>
      </c>
      <c r="B1100" t="inlineStr">
        <is>
          <t>2025-08</t>
        </is>
      </c>
      <c r="C1100" t="inlineStr">
        <is>
          <t>Prudente</t>
        </is>
      </c>
      <c r="D1100" t="inlineStr">
        <is>
          <t>HYUNDAI</t>
        </is>
      </c>
      <c r="E1100" t="inlineStr">
        <is>
          <t>EHH0009</t>
        </is>
      </c>
      <c r="F1100" t="inlineStr">
        <is>
          <t>SELETIVA</t>
        </is>
      </c>
      <c r="G1100" t="inlineStr">
        <is>
          <t>G&amp;S PRUDENTE</t>
        </is>
      </c>
      <c r="H1100" t="inlineStr">
        <is>
          <t>7.1.2</t>
        </is>
      </c>
      <c r="I1100" t="inlineStr">
        <is>
          <t>MANUTENÇÃO DE VEÍCULOS/MAQUINAS</t>
        </is>
      </c>
      <c r="J1100" t="n">
        <v>663.52</v>
      </c>
      <c r="K1100" t="n">
        <v>-663.52</v>
      </c>
    </row>
    <row r="1101" hidden="1" s="154">
      <c r="A1101" t="n">
        <v>2025</v>
      </c>
      <c r="B1101" t="inlineStr">
        <is>
          <t>2025-08</t>
        </is>
      </c>
      <c r="C1101" t="inlineStr">
        <is>
          <t>Prudente</t>
        </is>
      </c>
      <c r="D1101" t="inlineStr">
        <is>
          <t>HYUNDAI</t>
        </is>
      </c>
      <c r="E1101" t="inlineStr">
        <is>
          <t>EHH0009</t>
        </is>
      </c>
      <c r="F1101" t="inlineStr">
        <is>
          <t>SELETIVA</t>
        </is>
      </c>
      <c r="G1101" t="inlineStr">
        <is>
          <t>G&amp;S PRUDENTE</t>
        </is>
      </c>
      <c r="H1101" t="inlineStr">
        <is>
          <t>7.1.2</t>
        </is>
      </c>
      <c r="I1101" t="inlineStr">
        <is>
          <t>MANUTENÇÃO DE VEÍCULOS/MAQUINAS</t>
        </is>
      </c>
      <c r="J1101" t="n">
        <v>150.18</v>
      </c>
      <c r="K1101" t="n">
        <v>-150.18</v>
      </c>
    </row>
    <row r="1102" hidden="1" s="154">
      <c r="A1102" t="n">
        <v>2025</v>
      </c>
      <c r="B1102" t="inlineStr">
        <is>
          <t>2025-08</t>
        </is>
      </c>
      <c r="C1102" t="inlineStr">
        <is>
          <t>Prudente</t>
        </is>
      </c>
      <c r="D1102" t="inlineStr">
        <is>
          <t>HYUNDAI</t>
        </is>
      </c>
      <c r="E1102" t="inlineStr">
        <is>
          <t>EHH0009</t>
        </is>
      </c>
      <c r="F1102" t="inlineStr">
        <is>
          <t>SELETIVA</t>
        </is>
      </c>
      <c r="G1102" t="inlineStr">
        <is>
          <t>G&amp;S PRUDENTE</t>
        </is>
      </c>
      <c r="H1102" t="inlineStr">
        <is>
          <t>7.1.2</t>
        </is>
      </c>
      <c r="I1102" t="inlineStr">
        <is>
          <t>MANUTENÇÃO DE VEÍCULOS/MAQUINAS</t>
        </is>
      </c>
      <c r="J1102" t="n">
        <v>361</v>
      </c>
      <c r="K1102" t="n">
        <v>-361</v>
      </c>
    </row>
    <row r="1103" hidden="1" s="154">
      <c r="A1103" t="n">
        <v>2025</v>
      </c>
      <c r="B1103" t="inlineStr">
        <is>
          <t>2025-08</t>
        </is>
      </c>
      <c r="C1103" t="inlineStr">
        <is>
          <t>Prudente</t>
        </is>
      </c>
      <c r="D1103" t="inlineStr">
        <is>
          <t>HYUNDAI</t>
        </is>
      </c>
      <c r="E1103" t="inlineStr">
        <is>
          <t>EHH0009</t>
        </is>
      </c>
      <c r="F1103" t="inlineStr">
        <is>
          <t>SELETIVA</t>
        </is>
      </c>
      <c r="G1103" t="inlineStr">
        <is>
          <t>G&amp;S PRUDENTE</t>
        </is>
      </c>
      <c r="H1103" t="inlineStr">
        <is>
          <t>7.1.2</t>
        </is>
      </c>
      <c r="I1103" t="inlineStr">
        <is>
          <t>MANUTENÇÃO DE VEÍCULOS/MAQUINAS</t>
        </is>
      </c>
      <c r="J1103" t="n">
        <v>1900</v>
      </c>
      <c r="K1103" t="n">
        <v>-1900</v>
      </c>
    </row>
    <row r="1104" hidden="1" s="154">
      <c r="A1104" t="n">
        <v>2025</v>
      </c>
      <c r="B1104" t="inlineStr">
        <is>
          <t>2025-08</t>
        </is>
      </c>
      <c r="C1104" t="inlineStr">
        <is>
          <t>Prudente</t>
        </is>
      </c>
      <c r="D1104" t="inlineStr">
        <is>
          <t>HYUNDAI</t>
        </is>
      </c>
      <c r="E1104" t="inlineStr">
        <is>
          <t>EHH0009</t>
        </is>
      </c>
      <c r="F1104" t="inlineStr">
        <is>
          <t>SELETIVA</t>
        </is>
      </c>
      <c r="G1104" t="inlineStr">
        <is>
          <t>G&amp;S PRUDENTE</t>
        </is>
      </c>
      <c r="H1104" t="inlineStr">
        <is>
          <t>7.1.2</t>
        </is>
      </c>
      <c r="I1104" t="inlineStr">
        <is>
          <t>MANUTENÇÃO DE VEÍCULOS/MAQUINAS</t>
        </is>
      </c>
      <c r="J1104" t="n">
        <v>515</v>
      </c>
      <c r="K1104" t="n">
        <v>-515</v>
      </c>
    </row>
    <row r="1105" hidden="1" s="154">
      <c r="A1105" t="n">
        <v>2025</v>
      </c>
      <c r="B1105" t="inlineStr">
        <is>
          <t>2025-08</t>
        </is>
      </c>
      <c r="C1105" t="inlineStr">
        <is>
          <t>Prudente</t>
        </is>
      </c>
      <c r="D1105" t="inlineStr">
        <is>
          <t>HYUNDAI</t>
        </is>
      </c>
      <c r="E1105" t="inlineStr">
        <is>
          <t>EHH0009</t>
        </is>
      </c>
      <c r="F1105" t="inlineStr">
        <is>
          <t>SELETIVA</t>
        </is>
      </c>
      <c r="G1105" t="inlineStr">
        <is>
          <t>G&amp;S PRUDENTE</t>
        </is>
      </c>
      <c r="H1105" t="inlineStr">
        <is>
          <t>7.1.2</t>
        </is>
      </c>
      <c r="I1105" t="inlineStr">
        <is>
          <t>MANUTENÇÃO DE VEÍCULOS/MAQUINAS</t>
        </is>
      </c>
      <c r="J1105" t="n">
        <v>400</v>
      </c>
      <c r="K1105" t="n">
        <v>-400</v>
      </c>
    </row>
    <row r="1106" hidden="1" s="154">
      <c r="A1106" t="n">
        <v>2025</v>
      </c>
      <c r="B1106" t="inlineStr">
        <is>
          <t>2025-09</t>
        </is>
      </c>
      <c r="C1106" t="inlineStr">
        <is>
          <t>Prudente</t>
        </is>
      </c>
      <c r="D1106" t="inlineStr">
        <is>
          <t>HYUNDAI</t>
        </is>
      </c>
      <c r="E1106" t="inlineStr">
        <is>
          <t>EHH0009</t>
        </is>
      </c>
      <c r="F1106" t="inlineStr">
        <is>
          <t>SELETIVA</t>
        </is>
      </c>
      <c r="G1106" t="inlineStr">
        <is>
          <t>G&amp;S PRUDENTE</t>
        </is>
      </c>
      <c r="H1106" t="inlineStr">
        <is>
          <t>7.1.2</t>
        </is>
      </c>
      <c r="I1106" t="inlineStr">
        <is>
          <t>MANUTENÇÃO DE VEÍCULOS/MAQUINAS</t>
        </is>
      </c>
      <c r="J1106" t="n">
        <v>2100</v>
      </c>
      <c r="K1106" t="n">
        <v>-2100</v>
      </c>
    </row>
    <row r="1107" hidden="1" s="154">
      <c r="A1107" t="n">
        <v>2025</v>
      </c>
      <c r="B1107" t="inlineStr">
        <is>
          <t>2025-09</t>
        </is>
      </c>
      <c r="C1107" t="inlineStr">
        <is>
          <t>Prudente</t>
        </is>
      </c>
      <c r="D1107" t="inlineStr">
        <is>
          <t>HYUNDAI</t>
        </is>
      </c>
      <c r="E1107" t="inlineStr">
        <is>
          <t>EHH0009</t>
        </is>
      </c>
      <c r="F1107" t="inlineStr">
        <is>
          <t>SELETIVA</t>
        </is>
      </c>
      <c r="G1107" t="inlineStr">
        <is>
          <t>G&amp;S MARINGA</t>
        </is>
      </c>
      <c r="H1107" t="inlineStr">
        <is>
          <t>7.1.18</t>
        </is>
      </c>
      <c r="I1107" t="inlineStr">
        <is>
          <t>FRETES E CARRETOS</t>
        </is>
      </c>
      <c r="J1107" t="n">
        <v>101.13</v>
      </c>
      <c r="K1107" t="n">
        <v>-101.13</v>
      </c>
    </row>
    <row r="1108" hidden="1" s="154">
      <c r="A1108" t="n">
        <v>2025</v>
      </c>
      <c r="B1108" t="inlineStr">
        <is>
          <t>2025-09</t>
        </is>
      </c>
      <c r="C1108" t="inlineStr">
        <is>
          <t>Prudente</t>
        </is>
      </c>
      <c r="D1108" t="inlineStr">
        <is>
          <t>HYUNDAI</t>
        </is>
      </c>
      <c r="E1108" t="inlineStr">
        <is>
          <t>EHH0009</t>
        </is>
      </c>
      <c r="F1108" t="inlineStr">
        <is>
          <t>SELETIVA</t>
        </is>
      </c>
      <c r="G1108" t="inlineStr">
        <is>
          <t>G&amp;S PRUDENTE</t>
        </is>
      </c>
      <c r="H1108" t="inlineStr">
        <is>
          <t>7.1.2</t>
        </is>
      </c>
      <c r="I1108" t="inlineStr">
        <is>
          <t>MANUTENÇÃO DE VEÍCULOS/MAQUINAS</t>
        </is>
      </c>
      <c r="J1108" t="n">
        <v>2700</v>
      </c>
      <c r="K1108" t="n">
        <v>-2700</v>
      </c>
    </row>
    <row r="1109" hidden="1" s="154">
      <c r="A1109" t="n">
        <v>2025</v>
      </c>
      <c r="B1109" t="inlineStr">
        <is>
          <t>2025-09</t>
        </is>
      </c>
      <c r="C1109" t="inlineStr">
        <is>
          <t>Prudente</t>
        </is>
      </c>
      <c r="D1109" t="inlineStr">
        <is>
          <t>HYUNDAI</t>
        </is>
      </c>
      <c r="E1109" t="inlineStr">
        <is>
          <t>EHH0009</t>
        </is>
      </c>
      <c r="F1109" t="inlineStr">
        <is>
          <t>SELETIVA</t>
        </is>
      </c>
      <c r="G1109" t="inlineStr">
        <is>
          <t>G&amp;S PRUDENTE</t>
        </is>
      </c>
      <c r="H1109" t="inlineStr">
        <is>
          <t>7.1.2</t>
        </is>
      </c>
      <c r="I1109" t="inlineStr">
        <is>
          <t>MANUTENÇÃO DE VEÍCULOS/MAQUINAS</t>
        </is>
      </c>
      <c r="J1109" t="n">
        <v>350.91</v>
      </c>
      <c r="K1109" t="n">
        <v>-350.91</v>
      </c>
    </row>
    <row r="1110" hidden="1" s="154">
      <c r="A1110" t="n">
        <v>2025</v>
      </c>
      <c r="B1110" t="inlineStr">
        <is>
          <t>2025-09</t>
        </is>
      </c>
      <c r="C1110" t="inlineStr">
        <is>
          <t>Prudente</t>
        </is>
      </c>
      <c r="D1110" t="inlineStr">
        <is>
          <t>HYUNDAI</t>
        </is>
      </c>
      <c r="E1110" t="inlineStr">
        <is>
          <t>EHH0009</t>
        </is>
      </c>
      <c r="F1110" t="inlineStr">
        <is>
          <t>SELETIVA</t>
        </is>
      </c>
      <c r="G1110" t="inlineStr">
        <is>
          <t>G&amp;S PRUDENTE</t>
        </is>
      </c>
      <c r="H1110" t="inlineStr">
        <is>
          <t>7.1.2</t>
        </is>
      </c>
      <c r="I1110" t="inlineStr">
        <is>
          <t>MANUTENÇÃO DE VEÍCULOS/MAQUINAS</t>
        </is>
      </c>
      <c r="J1110" t="n">
        <v>513.1799999999999</v>
      </c>
      <c r="K1110" t="n">
        <v>-513.1799999999999</v>
      </c>
    </row>
    <row r="1111" hidden="1" s="154">
      <c r="A1111" t="n">
        <v>2025</v>
      </c>
      <c r="B1111" t="inlineStr">
        <is>
          <t>2025-09</t>
        </is>
      </c>
      <c r="C1111" t="inlineStr">
        <is>
          <t>Prudente</t>
        </is>
      </c>
      <c r="D1111" t="inlineStr">
        <is>
          <t>HYUNDAI</t>
        </is>
      </c>
      <c r="E1111" t="inlineStr">
        <is>
          <t>EHH0009</t>
        </is>
      </c>
      <c r="F1111" t="inlineStr">
        <is>
          <t>SELETIVA</t>
        </is>
      </c>
      <c r="G1111" t="inlineStr">
        <is>
          <t>G&amp;S PRUDENTE</t>
        </is>
      </c>
      <c r="H1111" t="inlineStr">
        <is>
          <t>7.1.2</t>
        </is>
      </c>
      <c r="I1111" t="inlineStr">
        <is>
          <t>MANUTENÇÃO DE VEÍCULOS/MAQUINAS</t>
        </is>
      </c>
      <c r="J1111" t="n">
        <v>47.86</v>
      </c>
      <c r="K1111" t="n">
        <v>-47.86</v>
      </c>
    </row>
    <row r="1112" hidden="1" s="154">
      <c r="A1112" t="n">
        <v>2025</v>
      </c>
      <c r="B1112" t="inlineStr">
        <is>
          <t>2025-09</t>
        </is>
      </c>
      <c r="C1112" t="inlineStr">
        <is>
          <t>Prudente</t>
        </is>
      </c>
      <c r="D1112" t="inlineStr">
        <is>
          <t>HYUNDAI</t>
        </is>
      </c>
      <c r="E1112" t="inlineStr">
        <is>
          <t>EHH0009</t>
        </is>
      </c>
      <c r="F1112" t="inlineStr">
        <is>
          <t>SELETIVA</t>
        </is>
      </c>
      <c r="G1112" t="inlineStr">
        <is>
          <t>G&amp;S MARINGA</t>
        </is>
      </c>
      <c r="H1112" t="inlineStr">
        <is>
          <t>7.1.2</t>
        </is>
      </c>
      <c r="I1112" t="inlineStr">
        <is>
          <t>MANUTENÇÃO DE VEÍCULOS/MAQUINAS</t>
        </is>
      </c>
      <c r="J1112" t="n">
        <v>1915</v>
      </c>
      <c r="K1112" t="n">
        <v>-1915</v>
      </c>
    </row>
    <row r="1113" hidden="1" s="154">
      <c r="A1113" t="n">
        <v>2025</v>
      </c>
      <c r="B1113" t="inlineStr">
        <is>
          <t>2025-09</t>
        </is>
      </c>
      <c r="C1113" t="inlineStr">
        <is>
          <t>Prudente</t>
        </is>
      </c>
      <c r="D1113" t="inlineStr">
        <is>
          <t>HYUNDAI</t>
        </is>
      </c>
      <c r="E1113" t="inlineStr">
        <is>
          <t>EHH0009</t>
        </is>
      </c>
      <c r="F1113" t="inlineStr">
        <is>
          <t>SELETIVA</t>
        </is>
      </c>
      <c r="G1113" t="inlineStr">
        <is>
          <t>G&amp;S PRUDENTE</t>
        </is>
      </c>
      <c r="H1113" t="inlineStr">
        <is>
          <t>7.1.2</t>
        </is>
      </c>
      <c r="I1113" t="inlineStr">
        <is>
          <t>MANUTENÇÃO DE VEÍCULOS/MAQUINAS</t>
        </is>
      </c>
      <c r="J1113" t="n">
        <v>650</v>
      </c>
      <c r="K1113" t="n">
        <v>-650</v>
      </c>
    </row>
    <row r="1114" hidden="1" s="154">
      <c r="A1114" t="n">
        <v>2025</v>
      </c>
      <c r="B1114" t="inlineStr">
        <is>
          <t>2025-09</t>
        </is>
      </c>
      <c r="C1114" t="inlineStr">
        <is>
          <t>Prudente</t>
        </is>
      </c>
      <c r="D1114" t="inlineStr">
        <is>
          <t>HYUNDAI</t>
        </is>
      </c>
      <c r="E1114" t="inlineStr">
        <is>
          <t>EHH0009</t>
        </is>
      </c>
      <c r="F1114" t="inlineStr">
        <is>
          <t>SELETIVA</t>
        </is>
      </c>
      <c r="G1114" t="inlineStr">
        <is>
          <t>G&amp;S PRUDENTE</t>
        </is>
      </c>
      <c r="H1114" t="inlineStr">
        <is>
          <t>7.1.2</t>
        </is>
      </c>
      <c r="I1114" t="inlineStr">
        <is>
          <t>MANUTENÇÃO DE VEÍCULOS/MAQUINAS</t>
        </is>
      </c>
      <c r="J1114" t="n">
        <v>649.27</v>
      </c>
      <c r="K1114" t="n">
        <v>-649.27</v>
      </c>
    </row>
    <row r="1115" hidden="1" s="154">
      <c r="A1115" t="n">
        <v>2025</v>
      </c>
      <c r="B1115" t="inlineStr">
        <is>
          <t>2025-09</t>
        </is>
      </c>
      <c r="C1115" t="inlineStr">
        <is>
          <t>Prudente</t>
        </is>
      </c>
      <c r="D1115" t="inlineStr">
        <is>
          <t>HYUNDAI</t>
        </is>
      </c>
      <c r="E1115" t="inlineStr">
        <is>
          <t>EHH0009</t>
        </is>
      </c>
      <c r="F1115" t="inlineStr">
        <is>
          <t>SELETIVA</t>
        </is>
      </c>
      <c r="G1115" t="inlineStr">
        <is>
          <t>G&amp;S PRUDENTE</t>
        </is>
      </c>
      <c r="H1115" t="inlineStr">
        <is>
          <t>7.1.2</t>
        </is>
      </c>
      <c r="I1115" t="inlineStr">
        <is>
          <t>MANUTENÇÃO DE VEÍCULOS/MAQUINAS</t>
        </is>
      </c>
      <c r="J1115" t="n">
        <v>875</v>
      </c>
      <c r="K1115" t="n">
        <v>-875</v>
      </c>
    </row>
    <row r="1116" hidden="1" s="154">
      <c r="A1116" t="n">
        <v>2025</v>
      </c>
      <c r="B1116" t="inlineStr">
        <is>
          <t>2025-09</t>
        </is>
      </c>
      <c r="C1116" t="inlineStr">
        <is>
          <t>Prudente</t>
        </is>
      </c>
      <c r="D1116" t="inlineStr">
        <is>
          <t>HYUNDAI</t>
        </is>
      </c>
      <c r="E1116" t="inlineStr">
        <is>
          <t>EHH0009</t>
        </is>
      </c>
      <c r="F1116" t="inlineStr">
        <is>
          <t>SELETIVA</t>
        </is>
      </c>
      <c r="G1116" t="inlineStr">
        <is>
          <t>CTA</t>
        </is>
      </c>
      <c r="H1116" t="inlineStr">
        <is>
          <t>7.1.22</t>
        </is>
      </c>
      <c r="I1116" t="inlineStr">
        <is>
          <t>COMBUSTÍVEL - DIESEL (INTERNO)</t>
        </is>
      </c>
      <c r="J1116" t="n">
        <v>2957.36</v>
      </c>
      <c r="K1116" t="n">
        <v>-2957.36</v>
      </c>
    </row>
    <row r="1117" hidden="1" s="154">
      <c r="A1117" t="n">
        <v>2025</v>
      </c>
      <c r="B1117" t="inlineStr">
        <is>
          <t>2025-10</t>
        </is>
      </c>
      <c r="C1117" t="inlineStr">
        <is>
          <t>Prudente</t>
        </is>
      </c>
      <c r="D1117" t="inlineStr">
        <is>
          <t>HYUNDAI</t>
        </is>
      </c>
      <c r="E1117" t="inlineStr">
        <is>
          <t>EHH0009</t>
        </is>
      </c>
      <c r="F1117" t="inlineStr">
        <is>
          <t>SELETIVA</t>
        </is>
      </c>
      <c r="G1117" t="inlineStr">
        <is>
          <t>G&amp;S PRUDENTE</t>
        </is>
      </c>
      <c r="H1117" t="inlineStr">
        <is>
          <t>7.1.2</t>
        </is>
      </c>
      <c r="I1117" t="inlineStr">
        <is>
          <t>MANUTENÇÃO DE VEÍCULOS/MAQUINAS</t>
        </is>
      </c>
      <c r="J1117" t="n">
        <v>660</v>
      </c>
      <c r="K1117" t="n">
        <v>-660</v>
      </c>
    </row>
    <row r="1118" hidden="1" s="154">
      <c r="A1118" t="n">
        <v>2025</v>
      </c>
      <c r="B1118" t="inlineStr">
        <is>
          <t>2025-10</t>
        </is>
      </c>
      <c r="C1118" t="inlineStr">
        <is>
          <t>Prudente</t>
        </is>
      </c>
      <c r="D1118" t="inlineStr">
        <is>
          <t>HYUNDAI</t>
        </is>
      </c>
      <c r="E1118" t="inlineStr">
        <is>
          <t>EHH0009</t>
        </is>
      </c>
      <c r="F1118" t="inlineStr">
        <is>
          <t>SELETIVA</t>
        </is>
      </c>
      <c r="G1118" t="inlineStr">
        <is>
          <t>G&amp;S PRUDENTE</t>
        </is>
      </c>
      <c r="H1118" t="inlineStr">
        <is>
          <t>7.1.2</t>
        </is>
      </c>
      <c r="I1118" t="inlineStr">
        <is>
          <t>MANUTENÇÃO DE VEÍCULOS/MAQUINAS</t>
        </is>
      </c>
      <c r="J1118" t="n">
        <v>490</v>
      </c>
      <c r="K1118" t="n">
        <v>-490</v>
      </c>
    </row>
    <row r="1119" hidden="1" s="154">
      <c r="A1119" t="n">
        <v>2025</v>
      </c>
      <c r="B1119" t="inlineStr">
        <is>
          <t>2025-10</t>
        </is>
      </c>
      <c r="C1119" t="inlineStr">
        <is>
          <t>Prudente</t>
        </is>
      </c>
      <c r="D1119" t="inlineStr">
        <is>
          <t>HYUNDAI</t>
        </is>
      </c>
      <c r="E1119" t="inlineStr">
        <is>
          <t>EHH0009</t>
        </is>
      </c>
      <c r="F1119" t="inlineStr">
        <is>
          <t>SELETIVA</t>
        </is>
      </c>
      <c r="G1119" t="inlineStr">
        <is>
          <t>G&amp;S PRUDENTE</t>
        </is>
      </c>
      <c r="H1119" t="inlineStr">
        <is>
          <t>7.1.2</t>
        </is>
      </c>
      <c r="I1119" t="inlineStr">
        <is>
          <t>MANUTENÇÃO DE VEÍCULOS/MAQUINAS</t>
        </is>
      </c>
      <c r="J1119" t="n">
        <v>84.81999999999999</v>
      </c>
      <c r="K1119" t="n">
        <v>-84.81999999999999</v>
      </c>
    </row>
    <row r="1120" hidden="1" s="154">
      <c r="A1120" t="n">
        <v>2025</v>
      </c>
      <c r="B1120" t="inlineStr">
        <is>
          <t>2025-10</t>
        </is>
      </c>
      <c r="C1120" t="inlineStr">
        <is>
          <t>Prudente</t>
        </is>
      </c>
      <c r="D1120" t="inlineStr">
        <is>
          <t>HYUNDAI</t>
        </is>
      </c>
      <c r="E1120" t="inlineStr">
        <is>
          <t>EHH0009</t>
        </is>
      </c>
      <c r="F1120" t="inlineStr">
        <is>
          <t>SELETIVA</t>
        </is>
      </c>
      <c r="G1120" t="inlineStr">
        <is>
          <t>G3S PRUDENTE</t>
        </is>
      </c>
      <c r="H1120" t="inlineStr">
        <is>
          <t>7.1.2</t>
        </is>
      </c>
      <c r="I1120" t="inlineStr">
        <is>
          <t>MANUTENÇÃO DE VEÍCULOS/MAQUINAS</t>
        </is>
      </c>
      <c r="J1120" t="n">
        <v>500</v>
      </c>
      <c r="K1120" t="n">
        <v>-500</v>
      </c>
    </row>
    <row r="1121" hidden="1" s="154">
      <c r="A1121" t="n">
        <v>2025</v>
      </c>
      <c r="B1121" t="inlineStr">
        <is>
          <t>2025-10</t>
        </is>
      </c>
      <c r="C1121" t="inlineStr">
        <is>
          <t>Prudente</t>
        </is>
      </c>
      <c r="D1121" t="inlineStr">
        <is>
          <t>HYUNDAI</t>
        </is>
      </c>
      <c r="E1121" t="inlineStr">
        <is>
          <t>EHH0009</t>
        </is>
      </c>
      <c r="F1121" t="inlineStr">
        <is>
          <t>SELETIVA</t>
        </is>
      </c>
      <c r="G1121" t="inlineStr">
        <is>
          <t>G&amp;S PRUDENTE</t>
        </is>
      </c>
      <c r="H1121" t="inlineStr">
        <is>
          <t>7.1.2</t>
        </is>
      </c>
      <c r="I1121" t="inlineStr">
        <is>
          <t>MANUTENÇÃO DE VEÍCULOS/MAQUINAS</t>
        </is>
      </c>
      <c r="J1121" t="n">
        <v>360</v>
      </c>
      <c r="K1121" t="n">
        <v>-360</v>
      </c>
    </row>
    <row r="1122" hidden="1" s="154">
      <c r="A1122" t="n">
        <v>2025</v>
      </c>
      <c r="B1122" t="inlineStr">
        <is>
          <t>2025-10</t>
        </is>
      </c>
      <c r="C1122" t="inlineStr">
        <is>
          <t>Prudente</t>
        </is>
      </c>
      <c r="D1122" t="inlineStr">
        <is>
          <t>HYUNDAI</t>
        </is>
      </c>
      <c r="E1122" t="inlineStr">
        <is>
          <t>EHH0009</t>
        </is>
      </c>
      <c r="F1122" t="inlineStr">
        <is>
          <t>SELETIVA</t>
        </is>
      </c>
      <c r="G1122" t="inlineStr">
        <is>
          <t>G&amp;S PRUDENTE</t>
        </is>
      </c>
      <c r="H1122" t="inlineStr">
        <is>
          <t>7.1.18</t>
        </is>
      </c>
      <c r="I1122" t="inlineStr">
        <is>
          <t>FRETES E CARRETOS</t>
        </is>
      </c>
      <c r="J1122" t="n">
        <v>96.59</v>
      </c>
      <c r="K1122" t="n">
        <v>-96.59</v>
      </c>
    </row>
    <row r="1123" hidden="1" s="154">
      <c r="A1123" t="n">
        <v>2025</v>
      </c>
      <c r="B1123" t="inlineStr">
        <is>
          <t>2025-10</t>
        </is>
      </c>
      <c r="C1123" t="inlineStr">
        <is>
          <t>Prudente</t>
        </is>
      </c>
      <c r="D1123" t="inlineStr">
        <is>
          <t>HYUNDAI</t>
        </is>
      </c>
      <c r="E1123" t="inlineStr">
        <is>
          <t>EHH0009</t>
        </is>
      </c>
      <c r="F1123" t="inlineStr">
        <is>
          <t>SELETIVA</t>
        </is>
      </c>
      <c r="G1123" t="inlineStr">
        <is>
          <t>G&amp;S PRUDENTE</t>
        </is>
      </c>
      <c r="H1123" t="inlineStr">
        <is>
          <t>7.1.18</t>
        </is>
      </c>
      <c r="I1123" t="inlineStr">
        <is>
          <t>FRETES E CARRETOS</t>
        </is>
      </c>
      <c r="J1123" t="n">
        <v>96.59</v>
      </c>
      <c r="K1123" t="n">
        <v>-96.59</v>
      </c>
    </row>
    <row r="1124" hidden="1" s="154">
      <c r="A1124" t="n">
        <v>2025</v>
      </c>
      <c r="B1124" t="inlineStr">
        <is>
          <t>2025-10</t>
        </is>
      </c>
      <c r="C1124" t="inlineStr">
        <is>
          <t>Prudente</t>
        </is>
      </c>
      <c r="D1124" t="inlineStr">
        <is>
          <t>HYUNDAI</t>
        </is>
      </c>
      <c r="E1124" t="inlineStr">
        <is>
          <t>EHH0009</t>
        </is>
      </c>
      <c r="F1124" t="inlineStr">
        <is>
          <t>SELETIVA</t>
        </is>
      </c>
      <c r="G1124" t="inlineStr">
        <is>
          <t>G&amp;S PRUDENTE</t>
        </is>
      </c>
      <c r="H1124" t="inlineStr">
        <is>
          <t>7.1.2</t>
        </is>
      </c>
      <c r="I1124" t="inlineStr">
        <is>
          <t>MANUTENÇÃO DE VEÍCULOS/MAQUINAS</t>
        </is>
      </c>
      <c r="J1124" t="n">
        <v>982</v>
      </c>
      <c r="K1124" t="n">
        <v>-982</v>
      </c>
    </row>
    <row r="1125" hidden="1" s="154">
      <c r="A1125" t="n">
        <v>2025</v>
      </c>
      <c r="B1125" t="inlineStr">
        <is>
          <t>2025-10</t>
        </is>
      </c>
      <c r="C1125" t="inlineStr">
        <is>
          <t>Prudente</t>
        </is>
      </c>
      <c r="D1125" t="inlineStr">
        <is>
          <t>HYUNDAI</t>
        </is>
      </c>
      <c r="E1125" t="inlineStr">
        <is>
          <t>EHH0009</t>
        </is>
      </c>
      <c r="F1125" t="inlineStr">
        <is>
          <t>SELETIVA</t>
        </is>
      </c>
      <c r="G1125" t="inlineStr">
        <is>
          <t>G&amp;S PRUDENTE</t>
        </is>
      </c>
      <c r="H1125" t="inlineStr">
        <is>
          <t>7.1.2</t>
        </is>
      </c>
      <c r="I1125" t="inlineStr">
        <is>
          <t>MANUTENÇÃO DE VEÍCULOS/MAQUINAS</t>
        </is>
      </c>
      <c r="J1125" t="n">
        <v>706</v>
      </c>
      <c r="K1125" t="n">
        <v>-706</v>
      </c>
    </row>
    <row r="1126" hidden="1" s="154">
      <c r="A1126" t="n">
        <v>2025</v>
      </c>
      <c r="B1126" t="inlineStr">
        <is>
          <t>2025-10</t>
        </is>
      </c>
      <c r="C1126" t="inlineStr">
        <is>
          <t>Prudente</t>
        </is>
      </c>
      <c r="D1126" t="inlineStr">
        <is>
          <t>HYUNDAI</t>
        </is>
      </c>
      <c r="E1126" t="inlineStr">
        <is>
          <t>EHH0009</t>
        </is>
      </c>
      <c r="F1126" t="inlineStr">
        <is>
          <t>SELETIVA</t>
        </is>
      </c>
      <c r="G1126" t="inlineStr">
        <is>
          <t>G&amp;S PRUDENTE</t>
        </is>
      </c>
      <c r="H1126" t="inlineStr">
        <is>
          <t>7.1.2</t>
        </is>
      </c>
      <c r="I1126" t="inlineStr">
        <is>
          <t>MANUTENÇÃO DE VEÍCULOS/MAQUINAS</t>
        </is>
      </c>
      <c r="J1126" t="n">
        <v>1400</v>
      </c>
      <c r="K1126" t="n">
        <v>-1400</v>
      </c>
    </row>
    <row r="1127" hidden="1" s="154">
      <c r="A1127" t="n">
        <v>2025</v>
      </c>
      <c r="B1127" t="inlineStr">
        <is>
          <t>2025-10</t>
        </is>
      </c>
      <c r="C1127" t="inlineStr">
        <is>
          <t>Prudente</t>
        </is>
      </c>
      <c r="D1127" t="inlineStr">
        <is>
          <t>HYUNDAI</t>
        </is>
      </c>
      <c r="E1127" t="inlineStr">
        <is>
          <t>EHH0009</t>
        </is>
      </c>
      <c r="F1127" t="inlineStr">
        <is>
          <t>SELETIVA</t>
        </is>
      </c>
      <c r="G1127" t="inlineStr">
        <is>
          <t>G&amp;S PRUDENTE</t>
        </is>
      </c>
      <c r="H1127" t="inlineStr">
        <is>
          <t>7.1.2</t>
        </is>
      </c>
      <c r="I1127" t="inlineStr">
        <is>
          <t>MANUTENÇÃO DE VEÍCULOS/MAQUINAS</t>
        </is>
      </c>
      <c r="J1127" t="n">
        <v>181</v>
      </c>
      <c r="K1127" t="n">
        <v>-181</v>
      </c>
    </row>
    <row r="1128" hidden="1" s="154">
      <c r="A1128" t="n">
        <v>2025</v>
      </c>
      <c r="B1128" t="inlineStr">
        <is>
          <t>2025-10</t>
        </is>
      </c>
      <c r="C1128" t="inlineStr">
        <is>
          <t>Prudente</t>
        </is>
      </c>
      <c r="D1128" t="inlineStr">
        <is>
          <t>HYUNDAI</t>
        </is>
      </c>
      <c r="E1128" t="inlineStr">
        <is>
          <t>EHH0009</t>
        </is>
      </c>
      <c r="F1128" t="inlineStr">
        <is>
          <t>SELETIVA</t>
        </is>
      </c>
      <c r="G1128" t="inlineStr">
        <is>
          <t>CTA</t>
        </is>
      </c>
      <c r="H1128" t="inlineStr">
        <is>
          <t>7.1.22</t>
        </is>
      </c>
      <c r="I1128" t="inlineStr">
        <is>
          <t>COMBUSTÍVEL - DIESEL (INTERNO)</t>
        </is>
      </c>
      <c r="J1128" t="n">
        <v>2493.38</v>
      </c>
      <c r="K1128" t="n">
        <v>-2493.38</v>
      </c>
    </row>
    <row r="1129" hidden="1" s="154">
      <c r="A1129" t="n">
        <v>2025</v>
      </c>
      <c r="B1129" t="inlineStr">
        <is>
          <t>2025-11</t>
        </is>
      </c>
      <c r="C1129" t="inlineStr">
        <is>
          <t>Prudente</t>
        </is>
      </c>
      <c r="D1129" t="inlineStr">
        <is>
          <t>HYUNDAI</t>
        </is>
      </c>
      <c r="E1129" t="inlineStr">
        <is>
          <t>EHH0009</t>
        </is>
      </c>
      <c r="F1129" t="inlineStr">
        <is>
          <t>SELETIVA</t>
        </is>
      </c>
      <c r="G1129" t="inlineStr">
        <is>
          <t>G&amp;S PRUDENTE</t>
        </is>
      </c>
      <c r="H1129" t="inlineStr">
        <is>
          <t>7.1.2</t>
        </is>
      </c>
      <c r="I1129" t="inlineStr">
        <is>
          <t>MANUTENÇÃO DE VEÍCULOS/MAQUINAS</t>
        </is>
      </c>
      <c r="J1129" t="n">
        <v>447.2</v>
      </c>
      <c r="K1129" t="n">
        <v>-447.2</v>
      </c>
    </row>
    <row r="1130" hidden="1" s="154">
      <c r="A1130" t="n">
        <v>2025</v>
      </c>
      <c r="B1130" t="inlineStr">
        <is>
          <t>2025-12</t>
        </is>
      </c>
      <c r="C1130" t="inlineStr">
        <is>
          <t>Prudente</t>
        </is>
      </c>
      <c r="D1130" t="inlineStr">
        <is>
          <t>HYUNDAI</t>
        </is>
      </c>
      <c r="E1130" t="inlineStr">
        <is>
          <t>EHH0009</t>
        </is>
      </c>
      <c r="F1130" t="inlineStr">
        <is>
          <t>SELETIVA</t>
        </is>
      </c>
      <c r="G1130" t="inlineStr">
        <is>
          <t>G&amp;S PRUDENTE</t>
        </is>
      </c>
      <c r="H1130" t="inlineStr">
        <is>
          <t>7.1.2</t>
        </is>
      </c>
      <c r="I1130" t="inlineStr">
        <is>
          <t>MANUTENÇÃO DE VEÍCULOS/MAQUINAS</t>
        </is>
      </c>
      <c r="J1130" t="n">
        <v>684</v>
      </c>
      <c r="K1130" t="n">
        <v>-684</v>
      </c>
    </row>
    <row r="1131" hidden="1" s="154">
      <c r="A1131" t="n">
        <v>2025</v>
      </c>
      <c r="B1131" t="inlineStr">
        <is>
          <t>2025-12</t>
        </is>
      </c>
      <c r="C1131" t="inlineStr">
        <is>
          <t>Prudente</t>
        </is>
      </c>
      <c r="D1131" t="inlineStr">
        <is>
          <t>HYUNDAI</t>
        </is>
      </c>
      <c r="E1131" t="inlineStr">
        <is>
          <t>EHH0009</t>
        </is>
      </c>
      <c r="F1131" t="inlineStr">
        <is>
          <t>SELETIVA</t>
        </is>
      </c>
      <c r="G1131" t="inlineStr">
        <is>
          <t>G&amp;S PRUDENTE</t>
        </is>
      </c>
      <c r="H1131" t="inlineStr">
        <is>
          <t>7.1.2</t>
        </is>
      </c>
      <c r="I1131" t="inlineStr">
        <is>
          <t>MANUTENÇÃO DE VEÍCULOS/MAQUINAS</t>
        </is>
      </c>
      <c r="J1131" t="n">
        <v>684</v>
      </c>
      <c r="K1131" t="n">
        <v>-684</v>
      </c>
    </row>
    <row r="1132" hidden="1" s="154">
      <c r="A1132" t="n">
        <v>2025</v>
      </c>
      <c r="B1132" t="inlineStr">
        <is>
          <t>2025-12</t>
        </is>
      </c>
      <c r="C1132" t="inlineStr">
        <is>
          <t>Prudente</t>
        </is>
      </c>
      <c r="D1132" t="inlineStr">
        <is>
          <t>HYUNDAI</t>
        </is>
      </c>
      <c r="E1132" t="inlineStr">
        <is>
          <t>EHH0009</t>
        </is>
      </c>
      <c r="F1132" t="inlineStr">
        <is>
          <t>SELETIVA</t>
        </is>
      </c>
      <c r="G1132" t="inlineStr">
        <is>
          <t>G&amp;S PRUDENTE</t>
        </is>
      </c>
      <c r="H1132" t="inlineStr">
        <is>
          <t>7.1.2</t>
        </is>
      </c>
      <c r="I1132" t="inlineStr">
        <is>
          <t>MANUTENÇÃO DE VEÍCULOS/MAQUINAS</t>
        </is>
      </c>
      <c r="J1132" t="n">
        <v>684</v>
      </c>
      <c r="K1132" t="n">
        <v>-684</v>
      </c>
    </row>
    <row r="1133" hidden="1" s="154">
      <c r="A1133" t="n">
        <v>2025</v>
      </c>
      <c r="B1133" t="inlineStr">
        <is>
          <t>2025-12</t>
        </is>
      </c>
      <c r="C1133" t="inlineStr">
        <is>
          <t>Prudente</t>
        </is>
      </c>
      <c r="D1133" t="inlineStr">
        <is>
          <t>HYUNDAI</t>
        </is>
      </c>
      <c r="E1133" t="inlineStr">
        <is>
          <t>EHH0009</t>
        </is>
      </c>
      <c r="F1133" t="inlineStr">
        <is>
          <t>SELETIVA</t>
        </is>
      </c>
      <c r="G1133" t="inlineStr">
        <is>
          <t>G&amp;S PRUDENTE</t>
        </is>
      </c>
      <c r="H1133" t="inlineStr">
        <is>
          <t>7.1.2</t>
        </is>
      </c>
      <c r="I1133" t="inlineStr">
        <is>
          <t>MANUTENÇÃO DE VEÍCULOS/MAQUINAS</t>
        </is>
      </c>
      <c r="J1133" t="n">
        <v>696.66</v>
      </c>
      <c r="K1133" t="n">
        <v>-696.66</v>
      </c>
    </row>
    <row r="1134" hidden="1" s="154">
      <c r="A1134" t="n">
        <v>2025</v>
      </c>
      <c r="B1134" t="inlineStr">
        <is>
          <t>2025-12</t>
        </is>
      </c>
      <c r="C1134" t="inlineStr">
        <is>
          <t>Prudente</t>
        </is>
      </c>
      <c r="D1134" t="inlineStr">
        <is>
          <t>HYUNDAI</t>
        </is>
      </c>
      <c r="E1134" t="inlineStr">
        <is>
          <t>EHH0009</t>
        </is>
      </c>
      <c r="F1134" t="inlineStr">
        <is>
          <t>SELETIVA</t>
        </is>
      </c>
      <c r="G1134" t="inlineStr">
        <is>
          <t>G&amp;S PRUDENTE</t>
        </is>
      </c>
      <c r="H1134" t="inlineStr">
        <is>
          <t>7.1.2</t>
        </is>
      </c>
      <c r="I1134" t="inlineStr">
        <is>
          <t>MANUTENÇÃO DE VEÍCULOS/MAQUINAS</t>
        </is>
      </c>
      <c r="J1134" t="n">
        <v>696.67</v>
      </c>
      <c r="K1134" t="n">
        <v>-696.67</v>
      </c>
    </row>
    <row r="1135" hidden="1" s="154">
      <c r="A1135" t="n">
        <v>2025</v>
      </c>
      <c r="B1135" t="inlineStr">
        <is>
          <t>2025-12</t>
        </is>
      </c>
      <c r="C1135" t="inlineStr">
        <is>
          <t>Prudente</t>
        </is>
      </c>
      <c r="D1135" t="inlineStr">
        <is>
          <t>HYUNDAI</t>
        </is>
      </c>
      <c r="E1135" t="inlineStr">
        <is>
          <t>EHH0009</t>
        </is>
      </c>
      <c r="F1135" t="inlineStr">
        <is>
          <t>SELETIVA</t>
        </is>
      </c>
      <c r="G1135" t="inlineStr">
        <is>
          <t>G&amp;S PRUDENTE</t>
        </is>
      </c>
      <c r="H1135" t="inlineStr">
        <is>
          <t>7.1.2</t>
        </is>
      </c>
      <c r="I1135" t="inlineStr">
        <is>
          <t>MANUTENÇÃO DE VEÍCULOS/MAQUINAS</t>
        </is>
      </c>
      <c r="J1135" t="n">
        <v>696.67</v>
      </c>
      <c r="K1135" t="n">
        <v>-696.67</v>
      </c>
    </row>
    <row r="1136" hidden="1" s="154">
      <c r="A1136" t="n">
        <v>2025</v>
      </c>
      <c r="B1136" t="inlineStr">
        <is>
          <t>2025-12</t>
        </is>
      </c>
      <c r="C1136" t="inlineStr">
        <is>
          <t>Prudente</t>
        </is>
      </c>
      <c r="D1136" t="inlineStr">
        <is>
          <t>HYUNDAI</t>
        </is>
      </c>
      <c r="E1136" t="inlineStr">
        <is>
          <t>EHH0009</t>
        </is>
      </c>
      <c r="F1136" t="inlineStr">
        <is>
          <t>SELETIVA</t>
        </is>
      </c>
      <c r="G1136" t="inlineStr">
        <is>
          <t>G&amp;S PRUDENTE</t>
        </is>
      </c>
      <c r="H1136" t="inlineStr">
        <is>
          <t>7.1.2</t>
        </is>
      </c>
      <c r="I1136" t="inlineStr">
        <is>
          <t>MANUTENÇÃO DE VEÍCULOS/MAQUINAS</t>
        </is>
      </c>
      <c r="J1136" t="n">
        <v>58.34</v>
      </c>
      <c r="K1136" t="n">
        <v>-58.34</v>
      </c>
    </row>
    <row r="1137" hidden="1" s="154">
      <c r="A1137" t="n">
        <v>2025</v>
      </c>
      <c r="B1137" t="inlineStr">
        <is>
          <t>2025-12</t>
        </is>
      </c>
      <c r="C1137" t="inlineStr">
        <is>
          <t>Prudente</t>
        </is>
      </c>
      <c r="D1137" t="inlineStr">
        <is>
          <t>HYUNDAI</t>
        </is>
      </c>
      <c r="E1137" t="inlineStr">
        <is>
          <t>EHH0009</t>
        </is>
      </c>
      <c r="F1137" t="inlineStr">
        <is>
          <t>SELETIVA</t>
        </is>
      </c>
      <c r="G1137" t="inlineStr">
        <is>
          <t>G&amp;S PRUDENTE</t>
        </is>
      </c>
      <c r="H1137" t="inlineStr">
        <is>
          <t>7.1.2</t>
        </is>
      </c>
      <c r="I1137" t="inlineStr">
        <is>
          <t>MANUTENÇÃO DE VEÍCULOS/MAQUINAS</t>
        </is>
      </c>
      <c r="J1137" t="n">
        <v>219.56</v>
      </c>
      <c r="K1137" t="n">
        <v>-219.56</v>
      </c>
    </row>
    <row r="1138" hidden="1" s="154">
      <c r="A1138" t="n">
        <v>2025</v>
      </c>
      <c r="B1138" t="inlineStr">
        <is>
          <t>2025-12</t>
        </is>
      </c>
      <c r="C1138" t="inlineStr">
        <is>
          <t>Prudente</t>
        </is>
      </c>
      <c r="D1138" t="inlineStr">
        <is>
          <t>HYUNDAI</t>
        </is>
      </c>
      <c r="E1138" t="inlineStr">
        <is>
          <t>EHH0009</t>
        </is>
      </c>
      <c r="F1138" t="inlineStr">
        <is>
          <t>SELETIVA</t>
        </is>
      </c>
      <c r="G1138" t="inlineStr">
        <is>
          <t>CTA</t>
        </is>
      </c>
      <c r="H1138" t="inlineStr">
        <is>
          <t>7.1.22</t>
        </is>
      </c>
      <c r="I1138" t="inlineStr">
        <is>
          <t>COMBUSTÍVEL - DIESEL (INTERNO)</t>
        </is>
      </c>
      <c r="J1138" t="n">
        <v>2733.28</v>
      </c>
      <c r="K1138" t="n">
        <v>-2733.28</v>
      </c>
    </row>
    <row r="1139" hidden="1" s="154">
      <c r="A1139" t="n">
        <v>2026</v>
      </c>
      <c r="B1139" t="inlineStr">
        <is>
          <t>2026-01</t>
        </is>
      </c>
      <c r="C1139" t="inlineStr">
        <is>
          <t>Prudente</t>
        </is>
      </c>
      <c r="D1139" t="inlineStr">
        <is>
          <t>HYUNDAI</t>
        </is>
      </c>
      <c r="E1139" t="inlineStr">
        <is>
          <t>EHH0009</t>
        </is>
      </c>
      <c r="F1139" t="inlineStr">
        <is>
          <t>SELETIVA</t>
        </is>
      </c>
      <c r="G1139" t="inlineStr">
        <is>
          <t>G&amp;S PRUDENTE</t>
        </is>
      </c>
      <c r="H1139" t="inlineStr">
        <is>
          <t>7.1.2</t>
        </is>
      </c>
      <c r="I1139" t="inlineStr">
        <is>
          <t>MANUTENÇÃO DE VEÍCULOS/MAQUINAS</t>
        </is>
      </c>
      <c r="J1139" t="n">
        <v>67.27</v>
      </c>
      <c r="K1139" t="n">
        <v>-67.27</v>
      </c>
    </row>
    <row r="1140" hidden="1" s="154">
      <c r="A1140" t="n">
        <v>2026</v>
      </c>
      <c r="B1140" t="inlineStr">
        <is>
          <t>2026-01</t>
        </is>
      </c>
      <c r="C1140" t="inlineStr">
        <is>
          <t>Prudente</t>
        </is>
      </c>
      <c r="D1140" t="inlineStr">
        <is>
          <t>HYUNDAI</t>
        </is>
      </c>
      <c r="E1140" t="inlineStr">
        <is>
          <t>EHH0009</t>
        </is>
      </c>
      <c r="F1140" t="inlineStr">
        <is>
          <t>SELETIVA</t>
        </is>
      </c>
      <c r="G1140" t="inlineStr">
        <is>
          <t>G&amp;S PRUDENTE</t>
        </is>
      </c>
      <c r="H1140" t="inlineStr">
        <is>
          <t>7.1.2</t>
        </is>
      </c>
      <c r="I1140" t="inlineStr">
        <is>
          <t>MANUTENÇÃO DE VEÍCULOS/MAQUINAS</t>
        </is>
      </c>
      <c r="J1140" t="n">
        <v>298.16</v>
      </c>
      <c r="K1140" t="n">
        <v>-298.16</v>
      </c>
    </row>
    <row r="1141" hidden="1" s="154">
      <c r="A1141" t="n">
        <v>2026</v>
      </c>
      <c r="B1141" t="inlineStr">
        <is>
          <t>2026-01</t>
        </is>
      </c>
      <c r="C1141" t="inlineStr">
        <is>
          <t>Prudente</t>
        </is>
      </c>
      <c r="D1141" t="inlineStr">
        <is>
          <t>HYUNDAI</t>
        </is>
      </c>
      <c r="E1141" t="inlineStr">
        <is>
          <t>EHH0009</t>
        </is>
      </c>
      <c r="F1141" t="inlineStr">
        <is>
          <t>SELETIVA</t>
        </is>
      </c>
      <c r="G1141" t="inlineStr">
        <is>
          <t>G&amp;S PRUDENTE</t>
        </is>
      </c>
      <c r="H1141" t="inlineStr">
        <is>
          <t>7.1.2</t>
        </is>
      </c>
      <c r="I1141" t="inlineStr">
        <is>
          <t>MANUTENÇÃO DE VEÍCULOS/MAQUINAS</t>
        </is>
      </c>
      <c r="J1141" t="n">
        <v>390.88</v>
      </c>
      <c r="K1141" t="n">
        <v>-390.88</v>
      </c>
    </row>
    <row r="1142" hidden="1" s="154">
      <c r="A1142" t="n">
        <v>2026</v>
      </c>
      <c r="B1142" t="inlineStr">
        <is>
          <t>2026-01</t>
        </is>
      </c>
      <c r="C1142" t="inlineStr">
        <is>
          <t>Prudente</t>
        </is>
      </c>
      <c r="D1142" t="inlineStr">
        <is>
          <t>HYUNDAI</t>
        </is>
      </c>
      <c r="E1142" t="inlineStr">
        <is>
          <t>EHH0009</t>
        </is>
      </c>
      <c r="F1142" t="inlineStr">
        <is>
          <t>SELETIVA</t>
        </is>
      </c>
      <c r="G1142" t="inlineStr">
        <is>
          <t>G&amp;S PRUDENTE</t>
        </is>
      </c>
      <c r="H1142" t="inlineStr">
        <is>
          <t>7.1.2</t>
        </is>
      </c>
      <c r="I1142" t="inlineStr">
        <is>
          <t>MANUTENÇÃO DE VEÍCULOS/MAQUINAS</t>
        </is>
      </c>
      <c r="J1142" t="n">
        <v>60</v>
      </c>
      <c r="K1142" t="n">
        <v>-60</v>
      </c>
    </row>
    <row r="1143" hidden="1" s="154">
      <c r="A1143" t="n">
        <v>2026</v>
      </c>
      <c r="B1143" t="inlineStr">
        <is>
          <t>2026-01</t>
        </is>
      </c>
      <c r="C1143" t="inlineStr">
        <is>
          <t>Prudente</t>
        </is>
      </c>
      <c r="D1143" t="inlineStr">
        <is>
          <t>HYUNDAI</t>
        </is>
      </c>
      <c r="E1143" t="inlineStr">
        <is>
          <t>EHH0009</t>
        </is>
      </c>
      <c r="F1143" t="inlineStr">
        <is>
          <t>SELETIVA</t>
        </is>
      </c>
      <c r="G1143" t="inlineStr">
        <is>
          <t>G&amp;S PRUDENTE</t>
        </is>
      </c>
      <c r="H1143" t="inlineStr">
        <is>
          <t>7.1.2</t>
        </is>
      </c>
      <c r="I1143" t="inlineStr">
        <is>
          <t>MANUTENÇÃO DE VEÍCULOS/MAQUINAS</t>
        </is>
      </c>
      <c r="J1143" t="n">
        <v>256.45</v>
      </c>
      <c r="K1143" t="n">
        <v>-256.45</v>
      </c>
    </row>
    <row r="1144" hidden="1" s="154">
      <c r="A1144" t="n">
        <v>2026</v>
      </c>
      <c r="B1144" t="inlineStr">
        <is>
          <t>2026-02</t>
        </is>
      </c>
      <c r="C1144" t="inlineStr">
        <is>
          <t>Prudente</t>
        </is>
      </c>
      <c r="D1144" t="inlineStr">
        <is>
          <t>HYUNDAI</t>
        </is>
      </c>
      <c r="E1144" t="inlineStr">
        <is>
          <t>EHH0009</t>
        </is>
      </c>
      <c r="F1144" t="inlineStr">
        <is>
          <t>SELETIVA</t>
        </is>
      </c>
      <c r="G1144" t="inlineStr">
        <is>
          <t>G&amp;S PRUDENTE</t>
        </is>
      </c>
      <c r="H1144" t="inlineStr">
        <is>
          <t>7.1.2</t>
        </is>
      </c>
      <c r="I1144" t="inlineStr">
        <is>
          <t>MANUTENÇÃO DE VEÍCULOS/MAQUINAS</t>
        </is>
      </c>
      <c r="J1144" t="n">
        <v>110</v>
      </c>
      <c r="K1144" t="n">
        <v>-110</v>
      </c>
    </row>
    <row r="1145" hidden="1" s="154">
      <c r="A1145" t="n">
        <v>2026</v>
      </c>
      <c r="B1145" t="inlineStr">
        <is>
          <t>2026-02</t>
        </is>
      </c>
      <c r="C1145" t="inlineStr">
        <is>
          <t>Prudente</t>
        </is>
      </c>
      <c r="D1145" t="inlineStr">
        <is>
          <t>HYUNDAI</t>
        </is>
      </c>
      <c r="E1145" t="inlineStr">
        <is>
          <t>EHH0009</t>
        </is>
      </c>
      <c r="F1145" t="inlineStr">
        <is>
          <t>SELETIVA</t>
        </is>
      </c>
      <c r="G1145" t="inlineStr">
        <is>
          <t>G&amp;S PRUDENTE</t>
        </is>
      </c>
      <c r="H1145" t="inlineStr">
        <is>
          <t>7.1.18</t>
        </is>
      </c>
      <c r="I1145" t="inlineStr">
        <is>
          <t>FRETES E CARRETOS</t>
        </is>
      </c>
      <c r="J1145" t="n">
        <v>82.79000000000001</v>
      </c>
      <c r="K1145" t="n">
        <v>-82.79000000000001</v>
      </c>
    </row>
    <row r="1146" hidden="1" s="154">
      <c r="A1146" t="n">
        <v>2026</v>
      </c>
      <c r="B1146" t="inlineStr">
        <is>
          <t>2026-02</t>
        </is>
      </c>
      <c r="C1146" t="inlineStr">
        <is>
          <t>Prudente</t>
        </is>
      </c>
      <c r="D1146" t="inlineStr">
        <is>
          <t>HYUNDAI</t>
        </is>
      </c>
      <c r="E1146" t="inlineStr">
        <is>
          <t>EHH0009</t>
        </is>
      </c>
      <c r="F1146" t="inlineStr">
        <is>
          <t>SELETIVA</t>
        </is>
      </c>
      <c r="G1146" t="inlineStr">
        <is>
          <t>G&amp;S PRUDENTE</t>
        </is>
      </c>
      <c r="H1146" t="inlineStr">
        <is>
          <t>7.1.2</t>
        </is>
      </c>
      <c r="I1146" t="inlineStr">
        <is>
          <t>MANUTENÇÃO DE VEÍCULOS/MAQUINAS</t>
        </is>
      </c>
      <c r="J1146" t="n">
        <v>752.26</v>
      </c>
      <c r="K1146" t="n">
        <v>-752.26</v>
      </c>
    </row>
    <row r="1147" hidden="1" s="154">
      <c r="A1147" t="n">
        <v>2026</v>
      </c>
      <c r="B1147" t="inlineStr">
        <is>
          <t>2026-02</t>
        </is>
      </c>
      <c r="C1147" t="inlineStr">
        <is>
          <t>Prudente</t>
        </is>
      </c>
      <c r="D1147" t="inlineStr">
        <is>
          <t>HYUNDAI</t>
        </is>
      </c>
      <c r="E1147" t="inlineStr">
        <is>
          <t>EHH0009</t>
        </is>
      </c>
      <c r="F1147" t="inlineStr">
        <is>
          <t>SELETIVA</t>
        </is>
      </c>
      <c r="G1147" t="inlineStr">
        <is>
          <t>G&amp;S PRUDENTE</t>
        </is>
      </c>
      <c r="H1147" t="inlineStr">
        <is>
          <t>7.1.2</t>
        </is>
      </c>
      <c r="I1147" t="inlineStr">
        <is>
          <t>MANUTENÇÃO DE VEÍCULOS/MAQUINAS</t>
        </is>
      </c>
      <c r="J1147" t="n">
        <v>2000</v>
      </c>
      <c r="K1147" t="n">
        <v>-2000</v>
      </c>
    </row>
    <row r="1148" hidden="1" s="154">
      <c r="A1148" t="n">
        <v>2026</v>
      </c>
      <c r="B1148" t="inlineStr">
        <is>
          <t>2026-02</t>
        </is>
      </c>
      <c r="C1148" t="inlineStr">
        <is>
          <t>Prudente</t>
        </is>
      </c>
      <c r="D1148" t="inlineStr">
        <is>
          <t>HYUNDAI</t>
        </is>
      </c>
      <c r="E1148" t="inlineStr">
        <is>
          <t>EHH0009</t>
        </is>
      </c>
      <c r="F1148" t="inlineStr">
        <is>
          <t>SELETIVA</t>
        </is>
      </c>
      <c r="G1148" t="inlineStr">
        <is>
          <t>G&amp;S PRUDENTE</t>
        </is>
      </c>
      <c r="H1148" t="inlineStr">
        <is>
          <t>7.1.2</t>
        </is>
      </c>
      <c r="I1148" t="inlineStr">
        <is>
          <t>MANUTENÇÃO DE VEÍCULOS/MAQUINAS</t>
        </is>
      </c>
      <c r="J1148" t="n">
        <v>600</v>
      </c>
      <c r="K1148" t="n">
        <v>-600</v>
      </c>
    </row>
    <row r="1149" hidden="1" s="154">
      <c r="A1149" t="n">
        <v>2026</v>
      </c>
      <c r="B1149" t="inlineStr">
        <is>
          <t>2026-02</t>
        </is>
      </c>
      <c r="C1149" t="inlineStr">
        <is>
          <t>Prudente</t>
        </is>
      </c>
      <c r="D1149" t="inlineStr">
        <is>
          <t>HYUNDAI</t>
        </is>
      </c>
      <c r="E1149" t="inlineStr">
        <is>
          <t>EHH0009</t>
        </is>
      </c>
      <c r="F1149" t="inlineStr">
        <is>
          <t>SELETIVA</t>
        </is>
      </c>
      <c r="G1149" t="inlineStr">
        <is>
          <t>G&amp;S MARINGA</t>
        </is>
      </c>
      <c r="H1149" t="inlineStr">
        <is>
          <t>7.1.2</t>
        </is>
      </c>
      <c r="I1149" t="inlineStr">
        <is>
          <t>MANUTENÇÃO DE VEÍCULOS/MAQUINAS</t>
        </is>
      </c>
      <c r="J1149" t="n">
        <v>812.12</v>
      </c>
      <c r="K1149" t="n">
        <v>-812.12</v>
      </c>
    </row>
    <row r="1150" hidden="1" s="154">
      <c r="A1150" t="n">
        <v>2026</v>
      </c>
      <c r="B1150" t="inlineStr">
        <is>
          <t>2026-02</t>
        </is>
      </c>
      <c r="C1150" t="inlineStr">
        <is>
          <t>Prudente</t>
        </is>
      </c>
      <c r="D1150" t="inlineStr">
        <is>
          <t>HYUNDAI</t>
        </is>
      </c>
      <c r="E1150" t="inlineStr">
        <is>
          <t>EHH0009</t>
        </is>
      </c>
      <c r="F1150" t="inlineStr">
        <is>
          <t>SELETIVA</t>
        </is>
      </c>
      <c r="G1150" t="inlineStr">
        <is>
          <t>G&amp;S PRUDENTE</t>
        </is>
      </c>
      <c r="H1150" t="inlineStr">
        <is>
          <t>7.1.2</t>
        </is>
      </c>
      <c r="I1150" t="inlineStr">
        <is>
          <t>MANUTENÇÃO DE VEÍCULOS/MAQUINAS</t>
        </is>
      </c>
      <c r="J1150" t="n">
        <v>12.63</v>
      </c>
      <c r="K1150" t="n">
        <v>-12.63</v>
      </c>
    </row>
    <row r="1151" hidden="1" s="154">
      <c r="A1151" t="n">
        <v>2026</v>
      </c>
      <c r="B1151" t="inlineStr">
        <is>
          <t>2026-02</t>
        </is>
      </c>
      <c r="C1151" t="inlineStr">
        <is>
          <t>Prudente</t>
        </is>
      </c>
      <c r="D1151" t="inlineStr">
        <is>
          <t>HYUNDAI</t>
        </is>
      </c>
      <c r="E1151" t="inlineStr">
        <is>
          <t>EHH0009</t>
        </is>
      </c>
      <c r="F1151" t="inlineStr">
        <is>
          <t>SELETIVA</t>
        </is>
      </c>
      <c r="G1151" t="inlineStr">
        <is>
          <t>G&amp;S PRUDENTE</t>
        </is>
      </c>
      <c r="H1151" t="inlineStr">
        <is>
          <t>7.1.2</t>
        </is>
      </c>
      <c r="I1151" t="inlineStr">
        <is>
          <t>MANUTENÇÃO DE VEÍCULOS/MAQUINAS</t>
        </is>
      </c>
      <c r="J1151" t="n">
        <v>438.94</v>
      </c>
      <c r="K1151" t="n">
        <v>-438.94</v>
      </c>
    </row>
    <row r="1152" hidden="1" s="154">
      <c r="A1152" t="n">
        <v>2026</v>
      </c>
      <c r="B1152" t="inlineStr">
        <is>
          <t>2026-02</t>
        </is>
      </c>
      <c r="C1152" t="inlineStr">
        <is>
          <t>Prudente</t>
        </is>
      </c>
      <c r="D1152" t="inlineStr">
        <is>
          <t>HYUNDAI</t>
        </is>
      </c>
      <c r="E1152" t="inlineStr">
        <is>
          <t>EHH0009</t>
        </is>
      </c>
      <c r="F1152" t="inlineStr">
        <is>
          <t>SELETIVA</t>
        </is>
      </c>
      <c r="G1152" t="inlineStr">
        <is>
          <t>G&amp;S PRUDENTE</t>
        </is>
      </c>
      <c r="H1152" t="inlineStr">
        <is>
          <t>7.1.2</t>
        </is>
      </c>
      <c r="I1152" t="inlineStr">
        <is>
          <t>MANUTENÇÃO DE VEÍCULOS/MAQUINAS</t>
        </is>
      </c>
      <c r="J1152" t="n">
        <v>118.96</v>
      </c>
      <c r="K1152" t="n">
        <v>-118.96</v>
      </c>
    </row>
    <row r="1153" hidden="1" s="154">
      <c r="A1153" t="n">
        <v>2026</v>
      </c>
      <c r="B1153" t="inlineStr">
        <is>
          <t>2026-02</t>
        </is>
      </c>
      <c r="C1153" t="inlineStr">
        <is>
          <t>Prudente</t>
        </is>
      </c>
      <c r="D1153" t="inlineStr">
        <is>
          <t>HYUNDAI</t>
        </is>
      </c>
      <c r="E1153" t="inlineStr">
        <is>
          <t>EHH0009</t>
        </is>
      </c>
      <c r="F1153" t="inlineStr">
        <is>
          <t>SELETIVA</t>
        </is>
      </c>
      <c r="G1153" t="inlineStr">
        <is>
          <t>G&amp;S PRUDENTE</t>
        </is>
      </c>
      <c r="H1153" t="inlineStr">
        <is>
          <t>7.1.2</t>
        </is>
      </c>
      <c r="I1153" t="inlineStr">
        <is>
          <t>MANUTENÇÃO DE VEÍCULOS/MAQUINAS</t>
        </is>
      </c>
      <c r="J1153" t="n">
        <v>1157.07</v>
      </c>
      <c r="K1153" t="n">
        <v>-1157.07</v>
      </c>
    </row>
    <row r="1154" hidden="1" s="154">
      <c r="A1154" t="n">
        <v>2026</v>
      </c>
      <c r="B1154" t="inlineStr">
        <is>
          <t>2026-02</t>
        </is>
      </c>
      <c r="C1154" t="inlineStr">
        <is>
          <t>Prudente</t>
        </is>
      </c>
      <c r="D1154" t="inlineStr">
        <is>
          <t>HYUNDAI</t>
        </is>
      </c>
      <c r="E1154" t="inlineStr">
        <is>
          <t>EHH0009</t>
        </is>
      </c>
      <c r="F1154" t="inlineStr">
        <is>
          <t>SELETIVA</t>
        </is>
      </c>
      <c r="G1154" t="inlineStr">
        <is>
          <t>G&amp;S PRUDENTE</t>
        </is>
      </c>
      <c r="H1154" t="inlineStr">
        <is>
          <t>7.1.2</t>
        </is>
      </c>
      <c r="I1154" t="inlineStr">
        <is>
          <t>MANUTENÇÃO DE VEÍCULOS/MAQUINAS</t>
        </is>
      </c>
      <c r="J1154" t="n">
        <v>180</v>
      </c>
      <c r="K1154" t="n">
        <v>-180</v>
      </c>
    </row>
    <row r="1155" hidden="1" s="154">
      <c r="A1155" t="n">
        <v>2026</v>
      </c>
      <c r="B1155" t="inlineStr">
        <is>
          <t>2026-02</t>
        </is>
      </c>
      <c r="C1155" t="inlineStr">
        <is>
          <t>Prudente</t>
        </is>
      </c>
      <c r="D1155" t="inlineStr">
        <is>
          <t>HYUNDAI</t>
        </is>
      </c>
      <c r="E1155" t="inlineStr">
        <is>
          <t>EHH0009</t>
        </is>
      </c>
      <c r="F1155" t="inlineStr">
        <is>
          <t>SELETIVA</t>
        </is>
      </c>
      <c r="G1155" t="inlineStr">
        <is>
          <t>G&amp;S PRUDENTE</t>
        </is>
      </c>
      <c r="H1155" t="inlineStr">
        <is>
          <t>7.1.2</t>
        </is>
      </c>
      <c r="I1155" t="inlineStr">
        <is>
          <t>MANUTENÇÃO DE VEÍCULOS/MAQUINAS</t>
        </is>
      </c>
      <c r="J1155" t="n">
        <v>550</v>
      </c>
      <c r="K1155" t="n">
        <v>-550</v>
      </c>
    </row>
    <row r="1156" hidden="1" s="154">
      <c r="A1156" t="n">
        <v>2026</v>
      </c>
      <c r="B1156" t="inlineStr">
        <is>
          <t>2026-02</t>
        </is>
      </c>
      <c r="C1156" t="inlineStr">
        <is>
          <t>Prudente</t>
        </is>
      </c>
      <c r="D1156" t="inlineStr">
        <is>
          <t>HYUNDAI</t>
        </is>
      </c>
      <c r="E1156" t="inlineStr">
        <is>
          <t>EHH0009</t>
        </is>
      </c>
      <c r="F1156" t="inlineStr">
        <is>
          <t>SELETIVA</t>
        </is>
      </c>
      <c r="G1156" t="inlineStr">
        <is>
          <t>G&amp;S PRUDENTE</t>
        </is>
      </c>
      <c r="H1156" t="inlineStr">
        <is>
          <t>7.1.2</t>
        </is>
      </c>
      <c r="I1156" t="inlineStr">
        <is>
          <t>MANUTENÇÃO DE VEÍCULOS/MAQUINAS</t>
        </is>
      </c>
      <c r="J1156" t="n">
        <v>730</v>
      </c>
      <c r="K1156" t="n">
        <v>-730</v>
      </c>
    </row>
    <row r="1157" hidden="1" s="154">
      <c r="A1157" t="n">
        <v>2026</v>
      </c>
      <c r="B1157" t="inlineStr">
        <is>
          <t>2026-02</t>
        </is>
      </c>
      <c r="C1157" t="inlineStr">
        <is>
          <t>Prudente</t>
        </is>
      </c>
      <c r="D1157" t="inlineStr">
        <is>
          <t>HYUNDAI</t>
        </is>
      </c>
      <c r="E1157" t="inlineStr">
        <is>
          <t>EHH0009</t>
        </is>
      </c>
      <c r="F1157" t="inlineStr">
        <is>
          <t>SELETIVA</t>
        </is>
      </c>
      <c r="G1157" t="inlineStr">
        <is>
          <t>G&amp;S PRUDENTE</t>
        </is>
      </c>
      <c r="H1157" t="inlineStr">
        <is>
          <t>7.1.2</t>
        </is>
      </c>
      <c r="I1157" t="inlineStr">
        <is>
          <t>MANUTENÇÃO DE VEÍCULOS/MAQUINAS</t>
        </is>
      </c>
      <c r="J1157" t="n">
        <v>1100</v>
      </c>
      <c r="K1157" t="n">
        <v>-1100</v>
      </c>
    </row>
    <row r="1158" hidden="1" s="154">
      <c r="A1158" t="n">
        <v>2026</v>
      </c>
      <c r="B1158" t="inlineStr">
        <is>
          <t>2026-03</t>
        </is>
      </c>
      <c r="C1158" t="inlineStr">
        <is>
          <t>Prudente</t>
        </is>
      </c>
      <c r="D1158" t="inlineStr">
        <is>
          <t>HYUNDAI</t>
        </is>
      </c>
      <c r="E1158" t="inlineStr">
        <is>
          <t>EHH0009</t>
        </is>
      </c>
      <c r="F1158" t="inlineStr">
        <is>
          <t>SELETIVA</t>
        </is>
      </c>
      <c r="G1158" t="inlineStr">
        <is>
          <t>G&amp;S PRUDENTE</t>
        </is>
      </c>
      <c r="H1158" t="inlineStr">
        <is>
          <t>7.1.2</t>
        </is>
      </c>
      <c r="I1158" t="inlineStr">
        <is>
          <t>MANUTENÇÃO DE VEÍCULOS/MAQUINAS</t>
        </is>
      </c>
      <c r="J1158" t="n">
        <v>56.14</v>
      </c>
      <c r="K1158" t="n">
        <v>-56.14</v>
      </c>
    </row>
    <row r="1159" hidden="1" s="154">
      <c r="A1159" t="n">
        <v>2026</v>
      </c>
      <c r="B1159" t="inlineStr">
        <is>
          <t>2026-03</t>
        </is>
      </c>
      <c r="C1159" t="inlineStr">
        <is>
          <t>Prudente</t>
        </is>
      </c>
      <c r="D1159" t="inlineStr">
        <is>
          <t>HYUNDAI</t>
        </is>
      </c>
      <c r="E1159" t="inlineStr">
        <is>
          <t>EHH0009</t>
        </is>
      </c>
      <c r="F1159" t="inlineStr">
        <is>
          <t>SELETIVA</t>
        </is>
      </c>
      <c r="G1159" t="inlineStr">
        <is>
          <t>G&amp;S PRUDENTE</t>
        </is>
      </c>
      <c r="H1159" t="inlineStr">
        <is>
          <t>7.1.2</t>
        </is>
      </c>
      <c r="I1159" t="inlineStr">
        <is>
          <t>MANUTENÇÃO DE VEÍCULOS/MAQUINAS</t>
        </is>
      </c>
      <c r="J1159" t="n">
        <v>530</v>
      </c>
      <c r="K1159" t="n">
        <v>-530</v>
      </c>
    </row>
    <row r="1160" hidden="1" s="154">
      <c r="A1160" t="n">
        <v>2026</v>
      </c>
      <c r="B1160" t="inlineStr">
        <is>
          <t>2026-03</t>
        </is>
      </c>
      <c r="C1160" t="inlineStr">
        <is>
          <t>Prudente</t>
        </is>
      </c>
      <c r="D1160" t="inlineStr">
        <is>
          <t>HYUNDAI</t>
        </is>
      </c>
      <c r="E1160" t="inlineStr">
        <is>
          <t>EHH0009</t>
        </is>
      </c>
      <c r="F1160" t="inlineStr">
        <is>
          <t>SELETIVA</t>
        </is>
      </c>
      <c r="G1160" t="inlineStr">
        <is>
          <t>G&amp;S PRUDENTE</t>
        </is>
      </c>
      <c r="H1160" t="inlineStr">
        <is>
          <t>7.1.2</t>
        </is>
      </c>
      <c r="I1160" t="inlineStr">
        <is>
          <t>MANUTENÇÃO DE VEÍCULOS/MAQUINAS</t>
        </is>
      </c>
      <c r="J1160" t="n">
        <v>333.88</v>
      </c>
      <c r="K1160" t="n">
        <v>-333.88</v>
      </c>
    </row>
    <row r="1161" hidden="1" s="154">
      <c r="A1161" t="n">
        <v>2026</v>
      </c>
      <c r="B1161" t="inlineStr">
        <is>
          <t>2026-03</t>
        </is>
      </c>
      <c r="C1161" t="inlineStr">
        <is>
          <t>Prudente</t>
        </is>
      </c>
      <c r="D1161" t="inlineStr">
        <is>
          <t>HYUNDAI</t>
        </is>
      </c>
      <c r="E1161" t="inlineStr">
        <is>
          <t>EHH0009</t>
        </is>
      </c>
      <c r="F1161" t="inlineStr">
        <is>
          <t>SELETIVA</t>
        </is>
      </c>
      <c r="G1161" t="inlineStr">
        <is>
          <t>G&amp;S PRUDENTE</t>
        </is>
      </c>
      <c r="H1161" t="inlineStr">
        <is>
          <t>7.1.2</t>
        </is>
      </c>
      <c r="I1161" t="inlineStr">
        <is>
          <t>MANUTENÇÃO DE VEÍCULOS/MAQUINAS</t>
        </is>
      </c>
      <c r="J1161" t="n">
        <v>650</v>
      </c>
      <c r="K1161" t="n">
        <v>-650</v>
      </c>
    </row>
    <row r="1162" hidden="1" s="154">
      <c r="A1162" t="n">
        <v>2026</v>
      </c>
      <c r="B1162" t="inlineStr">
        <is>
          <t>2026-03</t>
        </is>
      </c>
      <c r="C1162" t="inlineStr">
        <is>
          <t>Prudente</t>
        </is>
      </c>
      <c r="D1162" t="inlineStr">
        <is>
          <t>HYUNDAI</t>
        </is>
      </c>
      <c r="E1162" t="inlineStr">
        <is>
          <t>EHH0009</t>
        </is>
      </c>
      <c r="F1162" t="inlineStr">
        <is>
          <t>SELETIVA</t>
        </is>
      </c>
      <c r="G1162" t="inlineStr">
        <is>
          <t>G&amp;S PRUDENTE</t>
        </is>
      </c>
      <c r="H1162" t="inlineStr">
        <is>
          <t>7.1.2</t>
        </is>
      </c>
      <c r="I1162" t="inlineStr">
        <is>
          <t>MANUTENÇÃO DE VEÍCULOS/MAQUINAS</t>
        </is>
      </c>
      <c r="J1162" t="n">
        <v>28.04</v>
      </c>
      <c r="K1162" t="n">
        <v>-28.04</v>
      </c>
    </row>
    <row r="1163" hidden="1" s="154">
      <c r="A1163" t="n">
        <v>2026</v>
      </c>
      <c r="B1163" t="inlineStr">
        <is>
          <t>2026-03</t>
        </is>
      </c>
      <c r="C1163" t="inlineStr">
        <is>
          <t>Prudente</t>
        </is>
      </c>
      <c r="D1163" t="inlineStr">
        <is>
          <t>HYUNDAI</t>
        </is>
      </c>
      <c r="E1163" t="inlineStr">
        <is>
          <t>EHH0009</t>
        </is>
      </c>
      <c r="F1163" t="inlineStr">
        <is>
          <t>SELETIVA</t>
        </is>
      </c>
      <c r="G1163" t="inlineStr">
        <is>
          <t>G&amp;S PRUDENTE</t>
        </is>
      </c>
      <c r="H1163" t="inlineStr">
        <is>
          <t>7.1.2</t>
        </is>
      </c>
      <c r="I1163" t="inlineStr">
        <is>
          <t>MANUTENÇÃO DE VEÍCULOS/MAQUINAS</t>
        </is>
      </c>
      <c r="J1163" t="n">
        <v>267</v>
      </c>
      <c r="K1163" t="n">
        <v>-267</v>
      </c>
    </row>
    <row r="1164" hidden="1" s="154">
      <c r="A1164" t="n">
        <v>2026</v>
      </c>
      <c r="B1164" t="inlineStr">
        <is>
          <t>2026-03</t>
        </is>
      </c>
      <c r="C1164" t="inlineStr">
        <is>
          <t>Prudente</t>
        </is>
      </c>
      <c r="D1164" t="inlineStr">
        <is>
          <t>HYUNDAI</t>
        </is>
      </c>
      <c r="E1164" t="inlineStr">
        <is>
          <t>EHH0009</t>
        </is>
      </c>
      <c r="F1164" t="inlineStr">
        <is>
          <t>SELETIVA</t>
        </is>
      </c>
      <c r="G1164" t="inlineStr">
        <is>
          <t>G&amp;S PRUDENTE</t>
        </is>
      </c>
      <c r="H1164" t="inlineStr">
        <is>
          <t>7.1.18</t>
        </is>
      </c>
      <c r="I1164" t="inlineStr">
        <is>
          <t>FRETES E CARRETOS</t>
        </is>
      </c>
      <c r="J1164" t="n">
        <v>105</v>
      </c>
      <c r="K1164" t="n">
        <v>-105</v>
      </c>
    </row>
    <row r="1165" hidden="1" s="154">
      <c r="A1165" t="n">
        <v>2026</v>
      </c>
      <c r="B1165" t="inlineStr">
        <is>
          <t>2026-03</t>
        </is>
      </c>
      <c r="C1165" t="inlineStr">
        <is>
          <t>Prudente</t>
        </is>
      </c>
      <c r="D1165" t="inlineStr">
        <is>
          <t>HYUNDAI</t>
        </is>
      </c>
      <c r="E1165" t="inlineStr">
        <is>
          <t>EHH0009</t>
        </is>
      </c>
      <c r="F1165" t="inlineStr">
        <is>
          <t>SELETIVA</t>
        </is>
      </c>
      <c r="G1165" t="inlineStr">
        <is>
          <t>G&amp;S PRUDENTE</t>
        </is>
      </c>
      <c r="H1165" t="inlineStr">
        <is>
          <t>7.1.2</t>
        </is>
      </c>
      <c r="I1165" t="inlineStr">
        <is>
          <t>MANUTENÇÃO DE VEÍCULOS/MAQUINAS</t>
        </is>
      </c>
      <c r="J1165" t="n">
        <v>588.8</v>
      </c>
      <c r="K1165" t="n">
        <v>-588.8</v>
      </c>
    </row>
    <row r="1166" hidden="1" s="154">
      <c r="A1166" t="n">
        <v>2026</v>
      </c>
      <c r="B1166" t="inlineStr">
        <is>
          <t>2026-03</t>
        </is>
      </c>
      <c r="C1166" t="inlineStr">
        <is>
          <t>Prudente</t>
        </is>
      </c>
      <c r="D1166" t="inlineStr">
        <is>
          <t>HYUNDAI</t>
        </is>
      </c>
      <c r="E1166" t="inlineStr">
        <is>
          <t>EHH0009</t>
        </is>
      </c>
      <c r="F1166" t="inlineStr">
        <is>
          <t>SELETIVA</t>
        </is>
      </c>
      <c r="G1166" t="inlineStr">
        <is>
          <t>G&amp;S PRUDENTE</t>
        </is>
      </c>
      <c r="H1166" t="inlineStr">
        <is>
          <t>7.1.2</t>
        </is>
      </c>
      <c r="I1166" t="inlineStr">
        <is>
          <t>MANUTENÇÃO DE VEÍCULOS/MAQUINAS</t>
        </is>
      </c>
      <c r="J1166" t="n">
        <v>450</v>
      </c>
      <c r="K1166" t="n">
        <v>-450</v>
      </c>
    </row>
    <row r="1167" hidden="1" s="154">
      <c r="A1167" t="n">
        <v>2026</v>
      </c>
      <c r="B1167" t="inlineStr">
        <is>
          <t>2026-03</t>
        </is>
      </c>
      <c r="C1167" t="inlineStr">
        <is>
          <t>Prudente</t>
        </is>
      </c>
      <c r="D1167" t="inlineStr">
        <is>
          <t>HYUNDAI</t>
        </is>
      </c>
      <c r="E1167" t="inlineStr">
        <is>
          <t>EHH0009</t>
        </is>
      </c>
      <c r="F1167" t="inlineStr">
        <is>
          <t>SELETIVA</t>
        </is>
      </c>
      <c r="G1167" t="inlineStr">
        <is>
          <t>G&amp;S PRUDENTE</t>
        </is>
      </c>
      <c r="H1167" t="inlineStr">
        <is>
          <t>7.1.2</t>
        </is>
      </c>
      <c r="I1167" t="inlineStr">
        <is>
          <t>MANUTENÇÃO DE VEÍCULOS/MAQUINAS</t>
        </is>
      </c>
      <c r="J1167" t="n">
        <v>6813.62</v>
      </c>
      <c r="K1167" t="n">
        <v>-6813.62</v>
      </c>
    </row>
    <row r="1168" hidden="1" s="154">
      <c r="A1168" t="n">
        <v>2026</v>
      </c>
      <c r="B1168" t="inlineStr">
        <is>
          <t>2026-03</t>
        </is>
      </c>
      <c r="C1168" t="inlineStr">
        <is>
          <t>Prudente</t>
        </is>
      </c>
      <c r="D1168" t="inlineStr">
        <is>
          <t>HYUNDAI</t>
        </is>
      </c>
      <c r="E1168" t="inlineStr">
        <is>
          <t>EHH0009</t>
        </is>
      </c>
      <c r="F1168" t="inlineStr">
        <is>
          <t>SELETIVA</t>
        </is>
      </c>
      <c r="G1168" t="inlineStr">
        <is>
          <t>G&amp;S PRUDENTE</t>
        </is>
      </c>
      <c r="H1168" t="inlineStr">
        <is>
          <t>7.1.2</t>
        </is>
      </c>
      <c r="I1168" t="inlineStr">
        <is>
          <t>MANUTENÇÃO DE VEÍCULOS/MAQUINAS</t>
        </is>
      </c>
      <c r="J1168" t="n">
        <v>1265</v>
      </c>
      <c r="K1168" t="n">
        <v>-1265</v>
      </c>
    </row>
    <row r="1169" hidden="1" s="154">
      <c r="A1169" t="n">
        <v>2026</v>
      </c>
      <c r="B1169" t="inlineStr">
        <is>
          <t>2026-03</t>
        </is>
      </c>
      <c r="C1169" t="inlineStr">
        <is>
          <t>Prudente</t>
        </is>
      </c>
      <c r="D1169" t="inlineStr">
        <is>
          <t>HYUNDAI</t>
        </is>
      </c>
      <c r="E1169" t="inlineStr">
        <is>
          <t>EHH0009</t>
        </is>
      </c>
      <c r="F1169" t="inlineStr">
        <is>
          <t>SELETIVA</t>
        </is>
      </c>
      <c r="G1169" t="inlineStr">
        <is>
          <t>G&amp;S PRUDENTE</t>
        </is>
      </c>
      <c r="H1169" t="inlineStr">
        <is>
          <t>7.1.2</t>
        </is>
      </c>
      <c r="I1169" t="inlineStr">
        <is>
          <t>MANUTENÇÃO DE VEÍCULOS/MAQUINAS</t>
        </is>
      </c>
      <c r="J1169" t="n">
        <v>1575.02</v>
      </c>
      <c r="K1169" t="n">
        <v>-1575.02</v>
      </c>
    </row>
    <row r="1170" hidden="1" s="154">
      <c r="A1170" t="n">
        <v>2025</v>
      </c>
      <c r="B1170" t="inlineStr">
        <is>
          <t>2025-01</t>
        </is>
      </c>
      <c r="C1170" t="inlineStr">
        <is>
          <t>Prudente</t>
        </is>
      </c>
      <c r="D1170" t="inlineStr">
        <is>
          <t>LIEBHERR</t>
        </is>
      </c>
      <c r="E1170" t="inlineStr">
        <is>
          <t>EHL0028</t>
        </is>
      </c>
      <c r="F1170" t="inlineStr">
        <is>
          <t>SELETIVA</t>
        </is>
      </c>
      <c r="G1170" t="inlineStr">
        <is>
          <t>G&amp;G MATRIZ</t>
        </is>
      </c>
      <c r="H1170" t="inlineStr">
        <is>
          <t>7.1.22</t>
        </is>
      </c>
      <c r="I1170" t="inlineStr">
        <is>
          <t>COMBUSTÍVEL - DIESEL (INTERNO)</t>
        </is>
      </c>
      <c r="J1170" t="n">
        <v>1690.58</v>
      </c>
      <c r="K1170" t="n">
        <v>1690.58</v>
      </c>
    </row>
    <row r="1171" hidden="1" s="154">
      <c r="A1171" t="n">
        <v>2025</v>
      </c>
      <c r="B1171" t="inlineStr">
        <is>
          <t>2025-01</t>
        </is>
      </c>
      <c r="C1171" t="inlineStr">
        <is>
          <t>Prudente</t>
        </is>
      </c>
      <c r="D1171" t="inlineStr">
        <is>
          <t>LIEBHERR</t>
        </is>
      </c>
      <c r="E1171" t="inlineStr">
        <is>
          <t>EHL0028</t>
        </is>
      </c>
      <c r="F1171" t="inlineStr">
        <is>
          <t>SELETIVA</t>
        </is>
      </c>
      <c r="G1171" t="inlineStr">
        <is>
          <t>G&amp;G MATRIZ</t>
        </is>
      </c>
      <c r="H1171" t="inlineStr">
        <is>
          <t>7.1.22</t>
        </is>
      </c>
      <c r="I1171" t="inlineStr">
        <is>
          <t>COMBUSTÍVEL - DIESEL (INTERNO)</t>
        </is>
      </c>
      <c r="J1171" t="n">
        <v>1545.36</v>
      </c>
      <c r="K1171" t="n">
        <v>1545.36</v>
      </c>
    </row>
    <row r="1172" hidden="1" s="154">
      <c r="A1172" t="n">
        <v>2025</v>
      </c>
      <c r="B1172" t="inlineStr">
        <is>
          <t>2025-01</t>
        </is>
      </c>
      <c r="C1172" t="inlineStr">
        <is>
          <t>Prudente</t>
        </is>
      </c>
      <c r="D1172" t="inlineStr">
        <is>
          <t>LIEBHERR</t>
        </is>
      </c>
      <c r="E1172" t="inlineStr">
        <is>
          <t>EHL0028</t>
        </is>
      </c>
      <c r="F1172" t="inlineStr">
        <is>
          <t>SELETIVA</t>
        </is>
      </c>
      <c r="G1172" t="inlineStr">
        <is>
          <t>G&amp;G MATRIZ</t>
        </is>
      </c>
      <c r="H1172" t="inlineStr">
        <is>
          <t>7.1.22</t>
        </is>
      </c>
      <c r="I1172" t="inlineStr">
        <is>
          <t>COMBUSTÍVEL - DIESEL (INTERNO)</t>
        </is>
      </c>
      <c r="J1172" t="n">
        <v>1281.5</v>
      </c>
      <c r="K1172" t="n">
        <v>1281.5</v>
      </c>
    </row>
    <row r="1173" hidden="1" s="154">
      <c r="A1173" t="n">
        <v>2025</v>
      </c>
      <c r="B1173" t="inlineStr">
        <is>
          <t>2025-01</t>
        </is>
      </c>
      <c r="C1173" t="inlineStr">
        <is>
          <t>Prudente</t>
        </is>
      </c>
      <c r="D1173" t="inlineStr">
        <is>
          <t>LIEBHERR</t>
        </is>
      </c>
      <c r="E1173" t="inlineStr">
        <is>
          <t>EHL0028</t>
        </is>
      </c>
      <c r="F1173" t="inlineStr">
        <is>
          <t>SELETIVA</t>
        </is>
      </c>
      <c r="G1173" t="inlineStr">
        <is>
          <t>G&amp;G MATRIZ</t>
        </is>
      </c>
      <c r="H1173" t="inlineStr">
        <is>
          <t>7.1.22</t>
        </is>
      </c>
      <c r="I1173" t="inlineStr">
        <is>
          <t>COMBUSTÍVEL - DIESEL (INTERNO)</t>
        </is>
      </c>
      <c r="J1173" t="n">
        <v>1410.75</v>
      </c>
      <c r="K1173" t="n">
        <v>1410.75</v>
      </c>
    </row>
    <row r="1174" hidden="1" s="154">
      <c r="A1174" t="n">
        <v>2025</v>
      </c>
      <c r="B1174" t="inlineStr">
        <is>
          <t>2025-01</t>
        </is>
      </c>
      <c r="C1174" t="inlineStr">
        <is>
          <t>Prudente</t>
        </is>
      </c>
      <c r="D1174" t="inlineStr">
        <is>
          <t>LIEBHERR</t>
        </is>
      </c>
      <c r="E1174" t="inlineStr">
        <is>
          <t>EHL0028</t>
        </is>
      </c>
      <c r="F1174" t="inlineStr">
        <is>
          <t>SELETIVA</t>
        </is>
      </c>
      <c r="G1174" t="inlineStr">
        <is>
          <t>G&amp;G MATRIZ</t>
        </is>
      </c>
      <c r="H1174" t="inlineStr">
        <is>
          <t>7.1.4</t>
        </is>
      </c>
      <c r="I1174" t="inlineStr">
        <is>
          <t>COMBUSTÍVEL - DIESEL (POSTO)</t>
        </is>
      </c>
      <c r="J1174" t="n">
        <v>929.9</v>
      </c>
      <c r="K1174" t="n">
        <v>929.9</v>
      </c>
    </row>
    <row r="1175" hidden="1" s="154">
      <c r="A1175" t="n">
        <v>2025</v>
      </c>
      <c r="B1175" t="inlineStr">
        <is>
          <t>2025-01</t>
        </is>
      </c>
      <c r="C1175" t="inlineStr">
        <is>
          <t>Prudente</t>
        </is>
      </c>
      <c r="D1175" t="inlineStr">
        <is>
          <t>LIEBHERR</t>
        </is>
      </c>
      <c r="E1175" t="inlineStr">
        <is>
          <t>EHL0028</t>
        </is>
      </c>
      <c r="F1175" t="inlineStr">
        <is>
          <t>SELETIVA</t>
        </is>
      </c>
      <c r="G1175" t="inlineStr">
        <is>
          <t>G&amp;G MATRIZ</t>
        </is>
      </c>
      <c r="H1175" t="inlineStr">
        <is>
          <t>7.1.18</t>
        </is>
      </c>
      <c r="I1175" t="inlineStr">
        <is>
          <t>FRETES E CARRETOS</t>
        </is>
      </c>
      <c r="J1175" t="n">
        <v>48</v>
      </c>
      <c r="K1175" t="n">
        <v>48</v>
      </c>
    </row>
    <row r="1176" hidden="1" s="154">
      <c r="A1176" t="n">
        <v>2025</v>
      </c>
      <c r="B1176" t="inlineStr">
        <is>
          <t>2025-02</t>
        </is>
      </c>
      <c r="C1176" t="inlineStr">
        <is>
          <t>Prudente</t>
        </is>
      </c>
      <c r="D1176" t="inlineStr">
        <is>
          <t>LIEBHERR</t>
        </is>
      </c>
      <c r="E1176" t="inlineStr">
        <is>
          <t>EHL0028</t>
        </is>
      </c>
      <c r="F1176" t="inlineStr">
        <is>
          <t>SELETIVA</t>
        </is>
      </c>
      <c r="G1176" t="inlineStr">
        <is>
          <t>G&amp;G MATRIZ</t>
        </is>
      </c>
      <c r="H1176" t="inlineStr">
        <is>
          <t>7.1.4</t>
        </is>
      </c>
      <c r="I1176" t="inlineStr">
        <is>
          <t>COMBUSTÍVEL - DIESEL (POSTO)</t>
        </is>
      </c>
      <c r="J1176" t="n">
        <v>680</v>
      </c>
      <c r="K1176" t="n">
        <v>680</v>
      </c>
    </row>
    <row r="1177" hidden="1" s="154">
      <c r="A1177" t="n">
        <v>2025</v>
      </c>
      <c r="B1177" t="inlineStr">
        <is>
          <t>2025-02</t>
        </is>
      </c>
      <c r="C1177" t="inlineStr">
        <is>
          <t>Prudente</t>
        </is>
      </c>
      <c r="D1177" t="inlineStr">
        <is>
          <t>LIEBHERR</t>
        </is>
      </c>
      <c r="E1177" t="inlineStr">
        <is>
          <t>EHL0028</t>
        </is>
      </c>
      <c r="F1177" t="inlineStr">
        <is>
          <t>SELETIVA</t>
        </is>
      </c>
      <c r="G1177" t="inlineStr">
        <is>
          <t>G&amp;G MATRIZ</t>
        </is>
      </c>
      <c r="H1177" t="inlineStr">
        <is>
          <t>7.1.22</t>
        </is>
      </c>
      <c r="I1177" t="inlineStr">
        <is>
          <t>COMBUSTÍVEL - DIESEL (INTERNO)</t>
        </is>
      </c>
      <c r="J1177" t="n">
        <v>1289.45</v>
      </c>
      <c r="K1177" t="n">
        <v>1289.45</v>
      </c>
    </row>
    <row r="1178" hidden="1" s="154">
      <c r="A1178" t="n">
        <v>2025</v>
      </c>
      <c r="B1178" t="inlineStr">
        <is>
          <t>2025-02</t>
        </is>
      </c>
      <c r="C1178" t="inlineStr">
        <is>
          <t>Prudente</t>
        </is>
      </c>
      <c r="D1178" t="inlineStr">
        <is>
          <t>LIEBHERR</t>
        </is>
      </c>
      <c r="E1178" t="inlineStr">
        <is>
          <t>EHL0028</t>
        </is>
      </c>
      <c r="F1178" t="inlineStr">
        <is>
          <t>SELETIVA</t>
        </is>
      </c>
      <c r="G1178" t="inlineStr">
        <is>
          <t>G&amp;G MATRIZ</t>
        </is>
      </c>
      <c r="H1178" t="inlineStr">
        <is>
          <t>7.1.22</t>
        </is>
      </c>
      <c r="I1178" t="inlineStr">
        <is>
          <t>COMBUSTÍVEL - DIESEL (INTERNO)</t>
        </is>
      </c>
      <c r="J1178" t="n">
        <v>1450.98</v>
      </c>
      <c r="K1178" t="n">
        <v>1450.98</v>
      </c>
    </row>
    <row r="1179" hidden="1" s="154">
      <c r="A1179" t="n">
        <v>2025</v>
      </c>
      <c r="B1179" t="inlineStr">
        <is>
          <t>2025-02</t>
        </is>
      </c>
      <c r="C1179" t="inlineStr">
        <is>
          <t>Prudente</t>
        </is>
      </c>
      <c r="D1179" t="inlineStr">
        <is>
          <t>LIEBHERR</t>
        </is>
      </c>
      <c r="E1179" t="inlineStr">
        <is>
          <t>EHL0028</t>
        </is>
      </c>
      <c r="F1179" t="inlineStr">
        <is>
          <t>SELETIVA</t>
        </is>
      </c>
      <c r="G1179" t="inlineStr">
        <is>
          <t>G&amp;G MATRIZ</t>
        </is>
      </c>
      <c r="H1179" t="inlineStr">
        <is>
          <t>7.1.22</t>
        </is>
      </c>
      <c r="I1179" t="inlineStr">
        <is>
          <t>COMBUSTÍVEL - DIESEL (INTERNO)</t>
        </is>
      </c>
      <c r="J1179" t="n">
        <v>1551.24</v>
      </c>
      <c r="K1179" t="n">
        <v>1551.24</v>
      </c>
    </row>
    <row r="1180" hidden="1" s="154">
      <c r="A1180" t="n">
        <v>2025</v>
      </c>
      <c r="B1180" t="inlineStr">
        <is>
          <t>2025-02</t>
        </is>
      </c>
      <c r="C1180" t="inlineStr">
        <is>
          <t>Prudente</t>
        </is>
      </c>
      <c r="D1180" t="inlineStr">
        <is>
          <t>LIEBHERR</t>
        </is>
      </c>
      <c r="E1180" t="inlineStr">
        <is>
          <t>EHL0028</t>
        </is>
      </c>
      <c r="F1180" t="inlineStr">
        <is>
          <t>SELETIVA</t>
        </is>
      </c>
      <c r="G1180" t="inlineStr">
        <is>
          <t>G&amp;G MATRIZ</t>
        </is>
      </c>
      <c r="H1180" t="inlineStr">
        <is>
          <t>7.1.18</t>
        </is>
      </c>
      <c r="I1180" t="inlineStr">
        <is>
          <t>FRETES E CARRETOS</t>
        </is>
      </c>
      <c r="J1180" t="n">
        <v>45.02</v>
      </c>
      <c r="K1180" t="n">
        <v>45.02</v>
      </c>
    </row>
    <row r="1181" hidden="1" s="154">
      <c r="A1181" t="n">
        <v>2025</v>
      </c>
      <c r="B1181" t="inlineStr">
        <is>
          <t>2025-02</t>
        </is>
      </c>
      <c r="C1181" t="inlineStr">
        <is>
          <t>Prudente</t>
        </is>
      </c>
      <c r="D1181" t="inlineStr">
        <is>
          <t>LIEBHERR</t>
        </is>
      </c>
      <c r="E1181" t="inlineStr">
        <is>
          <t>EHL0028</t>
        </is>
      </c>
      <c r="F1181" t="inlineStr">
        <is>
          <t>SELETIVA</t>
        </is>
      </c>
      <c r="G1181" t="inlineStr">
        <is>
          <t>G&amp;G MATRIZ</t>
        </is>
      </c>
      <c r="H1181" t="inlineStr">
        <is>
          <t>7.1.1</t>
        </is>
      </c>
      <c r="I1181" t="inlineStr">
        <is>
          <t>PEÇAS DE MANUTENÇÃO</t>
        </is>
      </c>
      <c r="J1181" t="n">
        <v>930</v>
      </c>
      <c r="K1181" t="n">
        <v>930</v>
      </c>
    </row>
    <row r="1182" hidden="1" s="154">
      <c r="A1182" t="n">
        <v>2025</v>
      </c>
      <c r="B1182" t="inlineStr">
        <is>
          <t>2025-02</t>
        </is>
      </c>
      <c r="C1182" t="inlineStr">
        <is>
          <t>Prudente</t>
        </is>
      </c>
      <c r="D1182" t="inlineStr">
        <is>
          <t>LIEBHERR</t>
        </is>
      </c>
      <c r="E1182" t="inlineStr">
        <is>
          <t>EHL0028</t>
        </is>
      </c>
      <c r="F1182" t="inlineStr">
        <is>
          <t>SELETIVA</t>
        </is>
      </c>
      <c r="G1182" t="inlineStr">
        <is>
          <t>G&amp;G MATRIZ</t>
        </is>
      </c>
      <c r="H1182" t="inlineStr">
        <is>
          <t>7.1.2</t>
        </is>
      </c>
      <c r="I1182" t="inlineStr">
        <is>
          <t>MANUTENÇÃO DE VEÍCULOS/MAQUINAS</t>
        </is>
      </c>
      <c r="J1182" t="n">
        <v>150</v>
      </c>
      <c r="K1182" t="n">
        <v>150</v>
      </c>
    </row>
    <row r="1183" hidden="1" s="154">
      <c r="A1183" t="n">
        <v>2025</v>
      </c>
      <c r="B1183" t="inlineStr">
        <is>
          <t>2025-02</t>
        </is>
      </c>
      <c r="C1183" t="inlineStr">
        <is>
          <t>Prudente</t>
        </is>
      </c>
      <c r="D1183" t="inlineStr">
        <is>
          <t>LIEBHERR</t>
        </is>
      </c>
      <c r="E1183" t="inlineStr">
        <is>
          <t>EHL0028</t>
        </is>
      </c>
      <c r="F1183" t="inlineStr">
        <is>
          <t>SELETIVA</t>
        </is>
      </c>
      <c r="G1183" t="inlineStr">
        <is>
          <t>G&amp;G MATRIZ</t>
        </is>
      </c>
      <c r="H1183" t="inlineStr">
        <is>
          <t>7.1.1</t>
        </is>
      </c>
      <c r="I1183" t="inlineStr">
        <is>
          <t>PEÇAS DE MANUTENÇÃO</t>
        </is>
      </c>
      <c r="J1183" t="n">
        <v>19.6</v>
      </c>
      <c r="K1183" t="n">
        <v>19.6</v>
      </c>
    </row>
    <row r="1184" hidden="1" s="154">
      <c r="A1184" t="n">
        <v>2025</v>
      </c>
      <c r="B1184" t="inlineStr">
        <is>
          <t>2025-03</t>
        </is>
      </c>
      <c r="C1184" t="inlineStr">
        <is>
          <t>Prudente</t>
        </is>
      </c>
      <c r="D1184" t="inlineStr">
        <is>
          <t>LIEBHERR</t>
        </is>
      </c>
      <c r="E1184" t="inlineStr">
        <is>
          <t>EHL0028</t>
        </is>
      </c>
      <c r="F1184" t="inlineStr">
        <is>
          <t>SELETIVA</t>
        </is>
      </c>
      <c r="G1184" t="inlineStr">
        <is>
          <t>G&amp;G MATRIZ</t>
        </is>
      </c>
      <c r="H1184" t="inlineStr">
        <is>
          <t>7.1.22</t>
        </is>
      </c>
      <c r="I1184" t="inlineStr">
        <is>
          <t>COMBUSTÍVEL - DIESEL (INTERNO)</t>
        </is>
      </c>
      <c r="J1184" t="n">
        <v>1624.38</v>
      </c>
      <c r="K1184" t="n">
        <v>1624.38</v>
      </c>
    </row>
    <row r="1185" hidden="1" s="154">
      <c r="A1185" t="n">
        <v>2025</v>
      </c>
      <c r="B1185" t="inlineStr">
        <is>
          <t>2025-03</t>
        </is>
      </c>
      <c r="C1185" t="inlineStr">
        <is>
          <t>Prudente</t>
        </is>
      </c>
      <c r="D1185" t="inlineStr">
        <is>
          <t>LIEBHERR</t>
        </is>
      </c>
      <c r="E1185" t="inlineStr">
        <is>
          <t>EHL0028</t>
        </is>
      </c>
      <c r="F1185" t="inlineStr">
        <is>
          <t>SELETIVA</t>
        </is>
      </c>
      <c r="G1185" t="inlineStr">
        <is>
          <t>G&amp;G MATRIZ</t>
        </is>
      </c>
      <c r="H1185" t="inlineStr">
        <is>
          <t>7.1.22</t>
        </is>
      </c>
      <c r="I1185" t="inlineStr">
        <is>
          <t>COMBUSTÍVEL - DIESEL (INTERNO)</t>
        </is>
      </c>
      <c r="J1185" t="n">
        <v>707.04</v>
      </c>
      <c r="K1185" t="n">
        <v>707.04</v>
      </c>
    </row>
    <row r="1186" hidden="1" s="154">
      <c r="A1186" t="n">
        <v>2025</v>
      </c>
      <c r="B1186" t="inlineStr">
        <is>
          <t>2025-03</t>
        </is>
      </c>
      <c r="C1186" t="inlineStr">
        <is>
          <t>Prudente</t>
        </is>
      </c>
      <c r="D1186" t="inlineStr">
        <is>
          <t>LIEBHERR</t>
        </is>
      </c>
      <c r="E1186" t="inlineStr">
        <is>
          <t>EHL0028</t>
        </is>
      </c>
      <c r="F1186" t="inlineStr">
        <is>
          <t>SELETIVA</t>
        </is>
      </c>
      <c r="G1186" t="inlineStr">
        <is>
          <t>G&amp;G MATRIZ</t>
        </is>
      </c>
      <c r="H1186" t="inlineStr">
        <is>
          <t>7.1.22</t>
        </is>
      </c>
      <c r="I1186" t="inlineStr">
        <is>
          <t>COMBUSTÍVEL - DIESEL (INTERNO)</t>
        </is>
      </c>
      <c r="J1186" t="n">
        <v>1703.19</v>
      </c>
      <c r="K1186" t="n">
        <v>1703.19</v>
      </c>
    </row>
    <row r="1187" hidden="1" s="154">
      <c r="A1187" t="n">
        <v>2025</v>
      </c>
      <c r="B1187" t="inlineStr">
        <is>
          <t>2025-03</t>
        </is>
      </c>
      <c r="C1187" t="inlineStr">
        <is>
          <t>Prudente</t>
        </is>
      </c>
      <c r="D1187" t="inlineStr">
        <is>
          <t>LIEBHERR</t>
        </is>
      </c>
      <c r="E1187" t="inlineStr">
        <is>
          <t>EHL0028</t>
        </is>
      </c>
      <c r="F1187" t="inlineStr">
        <is>
          <t>SELETIVA</t>
        </is>
      </c>
      <c r="G1187" t="inlineStr">
        <is>
          <t>G&amp;G MATRIZ</t>
        </is>
      </c>
      <c r="H1187" t="inlineStr">
        <is>
          <t>7.1.22</t>
        </is>
      </c>
      <c r="I1187" t="inlineStr">
        <is>
          <t>COMBUSTÍVEL - DIESEL (INTERNO)</t>
        </is>
      </c>
      <c r="J1187" t="n">
        <v>1548.61</v>
      </c>
      <c r="K1187" t="n">
        <v>1548.61</v>
      </c>
    </row>
    <row r="1188" hidden="1" s="154">
      <c r="A1188" t="n">
        <v>2025</v>
      </c>
      <c r="B1188" t="inlineStr">
        <is>
          <t>2025-03</t>
        </is>
      </c>
      <c r="C1188" t="inlineStr">
        <is>
          <t>Prudente</t>
        </is>
      </c>
      <c r="D1188" t="inlineStr">
        <is>
          <t>LIEBHERR</t>
        </is>
      </c>
      <c r="E1188" t="inlineStr">
        <is>
          <t>EHL0028</t>
        </is>
      </c>
      <c r="F1188" t="inlineStr">
        <is>
          <t>SELETIVA</t>
        </is>
      </c>
      <c r="G1188" t="inlineStr">
        <is>
          <t>G&amp;G MATRIZ</t>
        </is>
      </c>
      <c r="H1188" t="inlineStr">
        <is>
          <t>7.1.22</t>
        </is>
      </c>
      <c r="I1188" t="inlineStr">
        <is>
          <t>COMBUSTÍVEL - DIESEL (INTERNO)</t>
        </is>
      </c>
      <c r="J1188" t="n">
        <v>1448.42</v>
      </c>
      <c r="K1188" t="n">
        <v>1448.42</v>
      </c>
    </row>
    <row r="1189" hidden="1" s="154">
      <c r="A1189" t="n">
        <v>2025</v>
      </c>
      <c r="B1189" t="inlineStr">
        <is>
          <t>2025-03</t>
        </is>
      </c>
      <c r="C1189" t="inlineStr">
        <is>
          <t>Prudente</t>
        </is>
      </c>
      <c r="D1189" t="inlineStr">
        <is>
          <t>LIEBHERR</t>
        </is>
      </c>
      <c r="E1189" t="inlineStr">
        <is>
          <t>EHL0028</t>
        </is>
      </c>
      <c r="F1189" t="inlineStr">
        <is>
          <t>SELETIVA</t>
        </is>
      </c>
      <c r="G1189" t="inlineStr">
        <is>
          <t>G&amp;G MATRIZ</t>
        </is>
      </c>
      <c r="H1189" t="inlineStr">
        <is>
          <t>7.1.22</t>
        </is>
      </c>
      <c r="I1189" t="inlineStr">
        <is>
          <t>COMBUSTÍVEL - DIESEL (INTERNO)</t>
        </is>
      </c>
      <c r="J1189" t="n">
        <v>1113.51</v>
      </c>
      <c r="K1189" t="n">
        <v>1113.51</v>
      </c>
    </row>
    <row r="1190" hidden="1" s="154">
      <c r="A1190" t="n">
        <v>2025</v>
      </c>
      <c r="B1190" t="inlineStr">
        <is>
          <t>2025-03</t>
        </is>
      </c>
      <c r="C1190" t="inlineStr">
        <is>
          <t>Prudente</t>
        </is>
      </c>
      <c r="D1190" t="inlineStr">
        <is>
          <t>LIEBHERR</t>
        </is>
      </c>
      <c r="E1190" t="inlineStr">
        <is>
          <t>EHL0028</t>
        </is>
      </c>
      <c r="F1190" t="inlineStr">
        <is>
          <t>SELETIVA</t>
        </is>
      </c>
      <c r="G1190" t="inlineStr">
        <is>
          <t>G&amp;G MATRIZ</t>
        </is>
      </c>
      <c r="H1190" t="inlineStr">
        <is>
          <t>7.1.22</t>
        </is>
      </c>
      <c r="I1190" t="inlineStr">
        <is>
          <t>COMBUSTÍVEL - DIESEL (INTERNO)</t>
        </is>
      </c>
      <c r="J1190" t="n">
        <v>1499.52</v>
      </c>
      <c r="K1190" t="n">
        <v>1499.52</v>
      </c>
    </row>
    <row r="1191" hidden="1" s="154">
      <c r="A1191" t="n">
        <v>2025</v>
      </c>
      <c r="B1191" t="inlineStr">
        <is>
          <t>2025-03</t>
        </is>
      </c>
      <c r="C1191" t="inlineStr">
        <is>
          <t>Prudente</t>
        </is>
      </c>
      <c r="D1191" t="inlineStr">
        <is>
          <t>LIEBHERR</t>
        </is>
      </c>
      <c r="E1191" t="inlineStr">
        <is>
          <t>EHL0028</t>
        </is>
      </c>
      <c r="F1191" t="inlineStr">
        <is>
          <t>SELETIVA</t>
        </is>
      </c>
      <c r="G1191" t="inlineStr">
        <is>
          <t>G&amp;G MATRIZ</t>
        </is>
      </c>
      <c r="H1191" t="inlineStr">
        <is>
          <t>7.1.18</t>
        </is>
      </c>
      <c r="I1191" t="inlineStr">
        <is>
          <t>FRETES E CARRETOS</t>
        </is>
      </c>
      <c r="J1191" t="n">
        <v>134.48</v>
      </c>
      <c r="K1191" t="n">
        <v>134.48</v>
      </c>
    </row>
    <row r="1192" hidden="1" s="154">
      <c r="A1192" t="n">
        <v>2025</v>
      </c>
      <c r="B1192" t="inlineStr">
        <is>
          <t>2025-03</t>
        </is>
      </c>
      <c r="C1192" t="inlineStr">
        <is>
          <t>Prudente</t>
        </is>
      </c>
      <c r="D1192" t="inlineStr">
        <is>
          <t>LIEBHERR</t>
        </is>
      </c>
      <c r="E1192" t="inlineStr">
        <is>
          <t>EHL0028</t>
        </is>
      </c>
      <c r="F1192" t="inlineStr">
        <is>
          <t>SELETIVA</t>
        </is>
      </c>
      <c r="G1192" t="inlineStr">
        <is>
          <t>G&amp;G MATRIZ</t>
        </is>
      </c>
      <c r="H1192" t="inlineStr">
        <is>
          <t>7.1.1</t>
        </is>
      </c>
      <c r="I1192" t="inlineStr">
        <is>
          <t>PEÇAS DE MANUTENÇÃO</t>
        </is>
      </c>
      <c r="J1192" t="n">
        <v>3476.45</v>
      </c>
      <c r="K1192" t="n">
        <v>3476.45</v>
      </c>
    </row>
    <row r="1193" hidden="1" s="154">
      <c r="A1193" t="n">
        <v>2025</v>
      </c>
      <c r="B1193" t="inlineStr">
        <is>
          <t>2025-03</t>
        </is>
      </c>
      <c r="C1193" t="inlineStr">
        <is>
          <t>Prudente</t>
        </is>
      </c>
      <c r="D1193" t="inlineStr">
        <is>
          <t>LIEBHERR</t>
        </is>
      </c>
      <c r="E1193" t="inlineStr">
        <is>
          <t>EHL0028</t>
        </is>
      </c>
      <c r="F1193" t="inlineStr">
        <is>
          <t>SELETIVA</t>
        </is>
      </c>
      <c r="G1193" t="inlineStr">
        <is>
          <t>G&amp;G MATRIZ</t>
        </is>
      </c>
      <c r="H1193" t="inlineStr">
        <is>
          <t>7.1.1</t>
        </is>
      </c>
      <c r="I1193" t="inlineStr">
        <is>
          <t>PEÇAS DE MANUTENÇÃO</t>
        </is>
      </c>
      <c r="J1193" t="n">
        <v>127</v>
      </c>
      <c r="K1193" t="n">
        <v>127</v>
      </c>
    </row>
    <row r="1194" hidden="1" s="154">
      <c r="A1194" t="n">
        <v>2025</v>
      </c>
      <c r="B1194" t="inlineStr">
        <is>
          <t>2025-03</t>
        </is>
      </c>
      <c r="C1194" t="inlineStr">
        <is>
          <t>Prudente</t>
        </is>
      </c>
      <c r="D1194" t="inlineStr">
        <is>
          <t>LIEBHERR</t>
        </is>
      </c>
      <c r="E1194" t="inlineStr">
        <is>
          <t>EHL0028</t>
        </is>
      </c>
      <c r="F1194" t="inlineStr">
        <is>
          <t>SELETIVA</t>
        </is>
      </c>
      <c r="G1194" t="inlineStr">
        <is>
          <t>G&amp;G MATRIZ</t>
        </is>
      </c>
      <c r="H1194" t="inlineStr">
        <is>
          <t>7.1.22</t>
        </is>
      </c>
      <c r="I1194" t="inlineStr">
        <is>
          <t>COMBUSTÍVEL - DIESEL (INTERNO)</t>
        </is>
      </c>
      <c r="J1194" t="n">
        <v>1471.12</v>
      </c>
      <c r="K1194" t="n">
        <v>1471.12</v>
      </c>
    </row>
    <row r="1195" hidden="1" s="154">
      <c r="A1195" t="n">
        <v>2025</v>
      </c>
      <c r="B1195" t="inlineStr">
        <is>
          <t>2025-04</t>
        </is>
      </c>
      <c r="C1195" t="inlineStr">
        <is>
          <t>Prudente</t>
        </is>
      </c>
      <c r="D1195" t="inlineStr">
        <is>
          <t>LIEBHERR</t>
        </is>
      </c>
      <c r="E1195" t="inlineStr">
        <is>
          <t>EHL0028</t>
        </is>
      </c>
      <c r="F1195" t="inlineStr">
        <is>
          <t>SELETIVA</t>
        </is>
      </c>
      <c r="G1195" t="inlineStr">
        <is>
          <t>G&amp;G MATRIZ</t>
        </is>
      </c>
      <c r="H1195" t="inlineStr">
        <is>
          <t>7.1.22</t>
        </is>
      </c>
      <c r="I1195" t="inlineStr">
        <is>
          <t>COMBUSTÍVEL - DIESEL (INTERNO)</t>
        </is>
      </c>
      <c r="J1195" t="n">
        <v>664.5599999999999</v>
      </c>
      <c r="K1195" t="n">
        <v>664.5599999999999</v>
      </c>
    </row>
    <row r="1196" hidden="1" s="154">
      <c r="A1196" t="n">
        <v>2025</v>
      </c>
      <c r="B1196" t="inlineStr">
        <is>
          <t>2025-04</t>
        </is>
      </c>
      <c r="C1196" t="inlineStr">
        <is>
          <t>Prudente</t>
        </is>
      </c>
      <c r="D1196" t="inlineStr">
        <is>
          <t>LIEBHERR</t>
        </is>
      </c>
      <c r="E1196" t="inlineStr">
        <is>
          <t>EHL0028</t>
        </is>
      </c>
      <c r="F1196" t="inlineStr">
        <is>
          <t>SELETIVA</t>
        </is>
      </c>
      <c r="G1196" t="inlineStr">
        <is>
          <t>G&amp;G MATRIZ</t>
        </is>
      </c>
      <c r="H1196" t="inlineStr">
        <is>
          <t>7.1.22</t>
        </is>
      </c>
      <c r="I1196" t="inlineStr">
        <is>
          <t>COMBUSTÍVEL - DIESEL (INTERNO)</t>
        </is>
      </c>
      <c r="J1196" t="n">
        <v>1255.8</v>
      </c>
      <c r="K1196" t="n">
        <v>1255.8</v>
      </c>
    </row>
    <row r="1197" hidden="1" s="154">
      <c r="A1197" t="n">
        <v>2025</v>
      </c>
      <c r="B1197" t="inlineStr">
        <is>
          <t>2025-04</t>
        </is>
      </c>
      <c r="C1197" t="inlineStr">
        <is>
          <t>Prudente</t>
        </is>
      </c>
      <c r="D1197" t="inlineStr">
        <is>
          <t>LIEBHERR</t>
        </is>
      </c>
      <c r="E1197" t="inlineStr">
        <is>
          <t>EHL0028</t>
        </is>
      </c>
      <c r="F1197" t="inlineStr">
        <is>
          <t>SELETIVA</t>
        </is>
      </c>
      <c r="G1197" t="inlineStr">
        <is>
          <t>G&amp;G MATRIZ</t>
        </is>
      </c>
      <c r="H1197" t="inlineStr">
        <is>
          <t>7.1.22</t>
        </is>
      </c>
      <c r="I1197" t="inlineStr">
        <is>
          <t>COMBUSTÍVEL - DIESEL (INTERNO)</t>
        </is>
      </c>
      <c r="J1197" t="n">
        <v>1291.29</v>
      </c>
      <c r="K1197" t="n">
        <v>1291.29</v>
      </c>
    </row>
    <row r="1198" hidden="1" s="154">
      <c r="A1198" t="n">
        <v>2025</v>
      </c>
      <c r="B1198" t="inlineStr">
        <is>
          <t>2025-04</t>
        </is>
      </c>
      <c r="C1198" t="inlineStr">
        <is>
          <t>Prudente</t>
        </is>
      </c>
      <c r="D1198" t="inlineStr">
        <is>
          <t>LIEBHERR</t>
        </is>
      </c>
      <c r="E1198" t="inlineStr">
        <is>
          <t>EHL0028</t>
        </is>
      </c>
      <c r="F1198" t="inlineStr">
        <is>
          <t>SELETIVA</t>
        </is>
      </c>
      <c r="G1198" t="inlineStr">
        <is>
          <t>G&amp;G MATRIZ</t>
        </is>
      </c>
      <c r="H1198" t="inlineStr">
        <is>
          <t>7.1.22</t>
        </is>
      </c>
      <c r="I1198" t="inlineStr">
        <is>
          <t>COMBUSTÍVEL - DIESEL (INTERNO)</t>
        </is>
      </c>
      <c r="J1198" t="n">
        <v>1255.8</v>
      </c>
      <c r="K1198" t="n">
        <v>1255.8</v>
      </c>
    </row>
    <row r="1199" hidden="1" s="154">
      <c r="A1199" t="n">
        <v>2025</v>
      </c>
      <c r="B1199" t="inlineStr">
        <is>
          <t>2025-04</t>
        </is>
      </c>
      <c r="C1199" t="inlineStr">
        <is>
          <t>Prudente</t>
        </is>
      </c>
      <c r="D1199" t="inlineStr">
        <is>
          <t>LIEBHERR</t>
        </is>
      </c>
      <c r="E1199" t="inlineStr">
        <is>
          <t>EHL0028</t>
        </is>
      </c>
      <c r="F1199" t="inlineStr">
        <is>
          <t>SELETIVA</t>
        </is>
      </c>
      <c r="G1199" t="inlineStr">
        <is>
          <t>G&amp;G MATRIZ</t>
        </is>
      </c>
      <c r="H1199" t="inlineStr">
        <is>
          <t>7.1.1</t>
        </is>
      </c>
      <c r="I1199" t="inlineStr">
        <is>
          <t>PEÇAS DE MANUTENÇÃO</t>
        </is>
      </c>
      <c r="J1199" t="n">
        <v>700.41</v>
      </c>
      <c r="K1199" t="n">
        <v>700.41</v>
      </c>
    </row>
    <row r="1200" hidden="1" s="154">
      <c r="A1200" t="n">
        <v>2025</v>
      </c>
      <c r="B1200" t="inlineStr">
        <is>
          <t>2025-04</t>
        </is>
      </c>
      <c r="C1200" t="inlineStr">
        <is>
          <t>Prudente</t>
        </is>
      </c>
      <c r="D1200" t="inlineStr">
        <is>
          <t>LIEBHERR</t>
        </is>
      </c>
      <c r="E1200" t="inlineStr">
        <is>
          <t>EHL0028</t>
        </is>
      </c>
      <c r="F1200" t="inlineStr">
        <is>
          <t>SELETIVA</t>
        </is>
      </c>
      <c r="G1200" t="inlineStr">
        <is>
          <t>G&amp;G MATRIZ</t>
        </is>
      </c>
      <c r="H1200" t="inlineStr">
        <is>
          <t>7.1.1</t>
        </is>
      </c>
      <c r="I1200" t="inlineStr">
        <is>
          <t>PEÇAS DE MANUTENÇÃO</t>
        </is>
      </c>
      <c r="J1200" t="n">
        <v>815.6799999999999</v>
      </c>
      <c r="K1200" t="n">
        <v>815.6799999999999</v>
      </c>
    </row>
    <row r="1201" hidden="1" s="154">
      <c r="A1201" t="n">
        <v>2025</v>
      </c>
      <c r="B1201" t="inlineStr">
        <is>
          <t>2025-04</t>
        </is>
      </c>
      <c r="C1201" t="inlineStr">
        <is>
          <t>Prudente</t>
        </is>
      </c>
      <c r="D1201" t="inlineStr">
        <is>
          <t>LIEBHERR</t>
        </is>
      </c>
      <c r="E1201" t="inlineStr">
        <is>
          <t>EHL0028</t>
        </is>
      </c>
      <c r="F1201" t="inlineStr">
        <is>
          <t>SELETIVA</t>
        </is>
      </c>
      <c r="G1201" t="inlineStr">
        <is>
          <t>G&amp;G MATRIZ</t>
        </is>
      </c>
      <c r="H1201" t="inlineStr">
        <is>
          <t>7.1.4</t>
        </is>
      </c>
      <c r="I1201" t="inlineStr">
        <is>
          <t>COMBUSTÍVEL - DIESEL (POSTO)</t>
        </is>
      </c>
      <c r="J1201" t="n">
        <v>620</v>
      </c>
      <c r="K1201" t="n">
        <v>620</v>
      </c>
    </row>
    <row r="1202" hidden="1" s="154">
      <c r="A1202" t="n">
        <v>2025</v>
      </c>
      <c r="B1202" t="inlineStr">
        <is>
          <t>2025-04</t>
        </is>
      </c>
      <c r="C1202" t="inlineStr">
        <is>
          <t>Prudente</t>
        </is>
      </c>
      <c r="D1202" t="inlineStr">
        <is>
          <t>LIEBHERR</t>
        </is>
      </c>
      <c r="E1202" t="inlineStr">
        <is>
          <t>EHL0028</t>
        </is>
      </c>
      <c r="F1202" t="inlineStr">
        <is>
          <t>SELETIVA</t>
        </is>
      </c>
      <c r="G1202" t="inlineStr">
        <is>
          <t>G&amp;G MATRIZ</t>
        </is>
      </c>
      <c r="H1202" t="inlineStr">
        <is>
          <t>7.1.22</t>
        </is>
      </c>
      <c r="I1202" t="inlineStr">
        <is>
          <t>COMBUSTÍVEL - DIESEL (INTERNO)</t>
        </is>
      </c>
      <c r="J1202" t="n">
        <v>1444.17</v>
      </c>
      <c r="K1202" t="n">
        <v>1444.17</v>
      </c>
    </row>
    <row r="1203" hidden="1" s="154">
      <c r="A1203" t="n">
        <v>2025</v>
      </c>
      <c r="B1203" t="inlineStr">
        <is>
          <t>2025-04</t>
        </is>
      </c>
      <c r="C1203" t="inlineStr">
        <is>
          <t>Prudente</t>
        </is>
      </c>
      <c r="D1203" t="inlineStr">
        <is>
          <t>LIEBHERR</t>
        </is>
      </c>
      <c r="E1203" t="inlineStr">
        <is>
          <t>EHL0028</t>
        </is>
      </c>
      <c r="F1203" t="inlineStr">
        <is>
          <t>SELETIVA</t>
        </is>
      </c>
      <c r="G1203" t="inlineStr">
        <is>
          <t>G&amp;G MATRIZ</t>
        </is>
      </c>
      <c r="H1203" t="inlineStr">
        <is>
          <t>7.1.22</t>
        </is>
      </c>
      <c r="I1203" t="inlineStr">
        <is>
          <t>COMBUSTÍVEL - DIESEL (INTERNO)</t>
        </is>
      </c>
      <c r="J1203" t="n">
        <v>1355.4</v>
      </c>
      <c r="K1203" t="n">
        <v>1355.4</v>
      </c>
    </row>
    <row r="1204" hidden="1" s="154">
      <c r="A1204" t="n">
        <v>2025</v>
      </c>
      <c r="B1204" t="inlineStr">
        <is>
          <t>2025-04</t>
        </is>
      </c>
      <c r="C1204" t="inlineStr">
        <is>
          <t>Prudente</t>
        </is>
      </c>
      <c r="D1204" t="inlineStr">
        <is>
          <t>LIEBHERR</t>
        </is>
      </c>
      <c r="E1204" t="inlineStr">
        <is>
          <t>EHL0028</t>
        </is>
      </c>
      <c r="F1204" t="inlineStr">
        <is>
          <t>SELETIVA</t>
        </is>
      </c>
      <c r="G1204" t="inlineStr">
        <is>
          <t>G&amp;G MATRIZ</t>
        </is>
      </c>
      <c r="H1204" t="inlineStr">
        <is>
          <t>7.1.18</t>
        </is>
      </c>
      <c r="I1204" t="inlineStr">
        <is>
          <t>FRETES E CARRETOS</t>
        </is>
      </c>
      <c r="J1204" t="n">
        <v>34.35</v>
      </c>
      <c r="K1204" t="n">
        <v>34.35</v>
      </c>
    </row>
    <row r="1205" hidden="1" s="154">
      <c r="A1205" t="n">
        <v>2025</v>
      </c>
      <c r="B1205" t="inlineStr">
        <is>
          <t>2025-04</t>
        </is>
      </c>
      <c r="C1205" t="inlineStr">
        <is>
          <t>Prudente</t>
        </is>
      </c>
      <c r="D1205" t="inlineStr">
        <is>
          <t>LIEBHERR</t>
        </is>
      </c>
      <c r="E1205" t="inlineStr">
        <is>
          <t>EHL0028</t>
        </is>
      </c>
      <c r="F1205" t="inlineStr">
        <is>
          <t>SELETIVA</t>
        </is>
      </c>
      <c r="G1205" t="inlineStr">
        <is>
          <t>G&amp;G MATRIZ</t>
        </is>
      </c>
      <c r="H1205" t="inlineStr">
        <is>
          <t>7.1.22</t>
        </is>
      </c>
      <c r="I1205" t="inlineStr">
        <is>
          <t>COMBUSTÍVEL - DIESEL (INTERNO)</t>
        </is>
      </c>
      <c r="J1205" t="n">
        <v>1652.4</v>
      </c>
      <c r="K1205" t="n">
        <v>1652.4</v>
      </c>
    </row>
    <row r="1206" hidden="1" s="154">
      <c r="A1206" t="n">
        <v>2025</v>
      </c>
      <c r="B1206" t="inlineStr">
        <is>
          <t>2025-04</t>
        </is>
      </c>
      <c r="C1206" t="inlineStr">
        <is>
          <t>Prudente</t>
        </is>
      </c>
      <c r="D1206" t="inlineStr">
        <is>
          <t>LIEBHERR</t>
        </is>
      </c>
      <c r="E1206" t="inlineStr">
        <is>
          <t>EHL0028</t>
        </is>
      </c>
      <c r="F1206" t="inlineStr">
        <is>
          <t>SELETIVA</t>
        </is>
      </c>
      <c r="G1206" t="inlineStr">
        <is>
          <t>G&amp;G MATRIZ</t>
        </is>
      </c>
      <c r="H1206" t="inlineStr">
        <is>
          <t>7.1.22</t>
        </is>
      </c>
      <c r="I1206" t="inlineStr">
        <is>
          <t>COMBUSTÍVEL - DIESEL (INTERNO)</t>
        </is>
      </c>
      <c r="J1206" t="n">
        <v>1547.1</v>
      </c>
      <c r="K1206" t="n">
        <v>1547.1</v>
      </c>
    </row>
    <row r="1207" hidden="1" s="154">
      <c r="A1207" t="n">
        <v>2025</v>
      </c>
      <c r="B1207" t="inlineStr">
        <is>
          <t>2025-04</t>
        </is>
      </c>
      <c r="C1207" t="inlineStr">
        <is>
          <t>Prudente</t>
        </is>
      </c>
      <c r="D1207" t="inlineStr">
        <is>
          <t>LIEBHERR</t>
        </is>
      </c>
      <c r="E1207" t="inlineStr">
        <is>
          <t>EHL0028</t>
        </is>
      </c>
      <c r="F1207" t="inlineStr">
        <is>
          <t>SELETIVA</t>
        </is>
      </c>
      <c r="G1207" t="inlineStr">
        <is>
          <t>G&amp;G MATRIZ</t>
        </is>
      </c>
      <c r="H1207" t="inlineStr">
        <is>
          <t>7.1.1</t>
        </is>
      </c>
      <c r="I1207" t="inlineStr">
        <is>
          <t>PEÇAS DE MANUTENÇÃO</t>
        </is>
      </c>
      <c r="J1207" t="n">
        <v>534.74</v>
      </c>
      <c r="K1207" t="n">
        <v>534.74</v>
      </c>
    </row>
    <row r="1208" hidden="1" s="154">
      <c r="A1208" t="n">
        <v>2025</v>
      </c>
      <c r="B1208" t="inlineStr">
        <is>
          <t>2025-04</t>
        </is>
      </c>
      <c r="C1208" t="inlineStr">
        <is>
          <t>Prudente</t>
        </is>
      </c>
      <c r="D1208" t="inlineStr">
        <is>
          <t>LIEBHERR</t>
        </is>
      </c>
      <c r="E1208" t="inlineStr">
        <is>
          <t>EHL0028</t>
        </is>
      </c>
      <c r="F1208" t="inlineStr">
        <is>
          <t>SELETIVA</t>
        </is>
      </c>
      <c r="G1208" t="inlineStr">
        <is>
          <t>G&amp;G MATRIZ</t>
        </is>
      </c>
      <c r="H1208" t="inlineStr">
        <is>
          <t>7.1.22</t>
        </is>
      </c>
      <c r="I1208" t="inlineStr">
        <is>
          <t>COMBUSTÍVEL - DIESEL (INTERNO)</t>
        </is>
      </c>
      <c r="J1208" t="n">
        <v>1460.7</v>
      </c>
      <c r="K1208" t="n">
        <v>1460.7</v>
      </c>
    </row>
    <row r="1209" hidden="1" s="154">
      <c r="A1209" t="n">
        <v>2025</v>
      </c>
      <c r="B1209" t="inlineStr">
        <is>
          <t>2025-05</t>
        </is>
      </c>
      <c r="C1209" t="inlineStr">
        <is>
          <t>Prudente</t>
        </is>
      </c>
      <c r="D1209" t="inlineStr">
        <is>
          <t>LIEBHERR</t>
        </is>
      </c>
      <c r="E1209" t="inlineStr">
        <is>
          <t>EHL0028</t>
        </is>
      </c>
      <c r="F1209" t="inlineStr">
        <is>
          <t>SELETIVA</t>
        </is>
      </c>
      <c r="G1209" t="inlineStr">
        <is>
          <t>G&amp;G MATRIZ</t>
        </is>
      </c>
      <c r="H1209" t="inlineStr">
        <is>
          <t>7.1.1</t>
        </is>
      </c>
      <c r="I1209" t="inlineStr">
        <is>
          <t>PEÇAS DE MANUTENÇÃO</t>
        </is>
      </c>
      <c r="J1209" t="n">
        <v>282.4</v>
      </c>
      <c r="K1209" t="n">
        <v>282.4</v>
      </c>
    </row>
    <row r="1210" hidden="1" s="154">
      <c r="A1210" t="n">
        <v>2025</v>
      </c>
      <c r="B1210" t="inlineStr">
        <is>
          <t>2025-05</t>
        </is>
      </c>
      <c r="C1210" t="inlineStr">
        <is>
          <t>Prudente</t>
        </is>
      </c>
      <c r="D1210" t="inlineStr">
        <is>
          <t>LIEBHERR</t>
        </is>
      </c>
      <c r="E1210" t="inlineStr">
        <is>
          <t>EHL0028</t>
        </is>
      </c>
      <c r="F1210" t="inlineStr">
        <is>
          <t>SELETIVA</t>
        </is>
      </c>
      <c r="G1210" t="inlineStr">
        <is>
          <t>G&amp;G MATRIZ</t>
        </is>
      </c>
      <c r="H1210" t="inlineStr">
        <is>
          <t>7.1.1</t>
        </is>
      </c>
      <c r="I1210" t="inlineStr">
        <is>
          <t>PEÇAS DE MANUTENÇÃO</t>
        </is>
      </c>
      <c r="J1210" t="n">
        <v>425.04</v>
      </c>
      <c r="K1210" t="n">
        <v>425.04</v>
      </c>
    </row>
    <row r="1211" hidden="1" s="154">
      <c r="A1211" t="n">
        <v>2025</v>
      </c>
      <c r="B1211" t="inlineStr">
        <is>
          <t>2025-05</t>
        </is>
      </c>
      <c r="C1211" t="inlineStr">
        <is>
          <t>Prudente</t>
        </is>
      </c>
      <c r="D1211" t="inlineStr">
        <is>
          <t>LIEBHERR</t>
        </is>
      </c>
      <c r="E1211" t="inlineStr">
        <is>
          <t>EHL0028</t>
        </is>
      </c>
      <c r="F1211" t="inlineStr">
        <is>
          <t>SELETIVA</t>
        </is>
      </c>
      <c r="G1211" t="inlineStr">
        <is>
          <t>G&amp;G MATRIZ</t>
        </is>
      </c>
      <c r="H1211" t="inlineStr">
        <is>
          <t>7.1.18</t>
        </is>
      </c>
      <c r="I1211" t="inlineStr">
        <is>
          <t>FRETES E CARRETOS</t>
        </is>
      </c>
      <c r="J1211" t="n">
        <v>70.76000000000001</v>
      </c>
      <c r="K1211" t="n">
        <v>70.76000000000001</v>
      </c>
    </row>
    <row r="1212" hidden="1" s="154">
      <c r="A1212" t="n">
        <v>2025</v>
      </c>
      <c r="B1212" t="inlineStr">
        <is>
          <t>2025-05</t>
        </is>
      </c>
      <c r="C1212" t="inlineStr">
        <is>
          <t>Prudente</t>
        </is>
      </c>
      <c r="D1212" t="inlineStr">
        <is>
          <t>LIEBHERR</t>
        </is>
      </c>
      <c r="E1212" t="inlineStr">
        <is>
          <t>EHL0028</t>
        </is>
      </c>
      <c r="F1212" t="inlineStr">
        <is>
          <t>SELETIVA</t>
        </is>
      </c>
      <c r="G1212" t="inlineStr">
        <is>
          <t>G&amp;G MATRIZ</t>
        </is>
      </c>
      <c r="H1212" t="inlineStr">
        <is>
          <t>7.1.22</t>
        </is>
      </c>
      <c r="I1212" t="inlineStr">
        <is>
          <t>COMBUSTÍVEL - DIESEL (INTERNO)</t>
        </is>
      </c>
      <c r="J1212" t="n">
        <v>1552.62</v>
      </c>
      <c r="K1212" t="n">
        <v>1552.62</v>
      </c>
    </row>
    <row r="1213" hidden="1" s="154">
      <c r="A1213" t="n">
        <v>2025</v>
      </c>
      <c r="B1213" t="inlineStr">
        <is>
          <t>2025-05</t>
        </is>
      </c>
      <c r="C1213" t="inlineStr">
        <is>
          <t>Prudente</t>
        </is>
      </c>
      <c r="D1213" t="inlineStr">
        <is>
          <t>LIEBHERR</t>
        </is>
      </c>
      <c r="E1213" t="inlineStr">
        <is>
          <t>EHL0028</t>
        </is>
      </c>
      <c r="F1213" t="inlineStr">
        <is>
          <t>SELETIVA</t>
        </is>
      </c>
      <c r="G1213" t="inlineStr">
        <is>
          <t>G&amp;G MATRIZ</t>
        </is>
      </c>
      <c r="H1213" t="inlineStr">
        <is>
          <t>7.1.22</t>
        </is>
      </c>
      <c r="I1213" t="inlineStr">
        <is>
          <t>COMBUSTÍVEL - DIESEL (INTERNO)</t>
        </is>
      </c>
      <c r="J1213" t="n">
        <v>1462.68</v>
      </c>
      <c r="K1213" t="n">
        <v>1462.68</v>
      </c>
    </row>
    <row r="1214" hidden="1" s="154">
      <c r="A1214" t="n">
        <v>2025</v>
      </c>
      <c r="B1214" t="inlineStr">
        <is>
          <t>2025-05</t>
        </is>
      </c>
      <c r="C1214" t="inlineStr">
        <is>
          <t>Prudente</t>
        </is>
      </c>
      <c r="D1214" t="inlineStr">
        <is>
          <t>LIEBHERR</t>
        </is>
      </c>
      <c r="E1214" t="inlineStr">
        <is>
          <t>EHL0028</t>
        </is>
      </c>
      <c r="F1214" t="inlineStr">
        <is>
          <t>SELETIVA</t>
        </is>
      </c>
      <c r="G1214" t="inlineStr">
        <is>
          <t>G&amp;G MATRIZ</t>
        </is>
      </c>
      <c r="H1214" t="inlineStr">
        <is>
          <t>7.1.22</t>
        </is>
      </c>
      <c r="I1214" t="inlineStr">
        <is>
          <t>COMBUSTÍVEL - DIESEL (INTERNO)</t>
        </is>
      </c>
      <c r="J1214" t="n">
        <v>1597.58</v>
      </c>
      <c r="K1214" t="n">
        <v>1597.58</v>
      </c>
    </row>
    <row r="1215" hidden="1" s="154">
      <c r="A1215" t="n">
        <v>2025</v>
      </c>
      <c r="B1215" t="inlineStr">
        <is>
          <t>2025-05</t>
        </is>
      </c>
      <c r="C1215" t="inlineStr">
        <is>
          <t>Prudente</t>
        </is>
      </c>
      <c r="D1215" t="inlineStr">
        <is>
          <t>LIEBHERR</t>
        </is>
      </c>
      <c r="E1215" t="inlineStr">
        <is>
          <t>EHL0028</t>
        </is>
      </c>
      <c r="F1215" t="inlineStr">
        <is>
          <t>SELETIVA</t>
        </is>
      </c>
      <c r="G1215" t="inlineStr">
        <is>
          <t>G&amp;G MATRIZ</t>
        </is>
      </c>
      <c r="H1215" t="inlineStr">
        <is>
          <t>7.1.22</t>
        </is>
      </c>
      <c r="I1215" t="inlineStr">
        <is>
          <t>COMBUSTÍVEL - DIESEL (INTERNO)</t>
        </is>
      </c>
      <c r="J1215" t="n">
        <v>1328.6</v>
      </c>
      <c r="K1215" t="n">
        <v>1328.6</v>
      </c>
    </row>
    <row r="1216" hidden="1" s="154">
      <c r="A1216" t="n">
        <v>2025</v>
      </c>
      <c r="B1216" t="inlineStr">
        <is>
          <t>2025-05</t>
        </is>
      </c>
      <c r="C1216" t="inlineStr">
        <is>
          <t>Prudente</t>
        </is>
      </c>
      <c r="D1216" t="inlineStr">
        <is>
          <t>LIEBHERR</t>
        </is>
      </c>
      <c r="E1216" t="inlineStr">
        <is>
          <t>EHL0028</t>
        </is>
      </c>
      <c r="F1216" t="inlineStr">
        <is>
          <t>SELETIVA</t>
        </is>
      </c>
      <c r="G1216" t="inlineStr">
        <is>
          <t>G&amp;G MATRIZ</t>
        </is>
      </c>
      <c r="H1216" t="inlineStr">
        <is>
          <t>7.1.22</t>
        </is>
      </c>
      <c r="I1216" t="inlineStr">
        <is>
          <t>COMBUSTÍVEL - DIESEL (INTERNO)</t>
        </is>
      </c>
      <c r="J1216" t="n">
        <v>1437.8</v>
      </c>
      <c r="K1216" t="n">
        <v>1437.8</v>
      </c>
    </row>
    <row r="1217" hidden="1" s="154">
      <c r="A1217" t="n">
        <v>2025</v>
      </c>
      <c r="B1217" t="inlineStr">
        <is>
          <t>2025-05</t>
        </is>
      </c>
      <c r="C1217" t="inlineStr">
        <is>
          <t>Prudente</t>
        </is>
      </c>
      <c r="D1217" t="inlineStr">
        <is>
          <t>LIEBHERR</t>
        </is>
      </c>
      <c r="E1217" t="inlineStr">
        <is>
          <t>EHL0028</t>
        </is>
      </c>
      <c r="F1217" t="inlineStr">
        <is>
          <t>SELETIVA</t>
        </is>
      </c>
      <c r="G1217" t="inlineStr">
        <is>
          <t>G&amp;G MATRIZ</t>
        </is>
      </c>
      <c r="H1217" t="inlineStr">
        <is>
          <t>7.1.22</t>
        </is>
      </c>
      <c r="I1217" t="inlineStr">
        <is>
          <t>COMBUSTÍVEL - DIESEL (INTERNO)</t>
        </is>
      </c>
      <c r="J1217" t="n">
        <v>1406.6</v>
      </c>
      <c r="K1217" t="n">
        <v>1406.6</v>
      </c>
    </row>
    <row r="1218" hidden="1" s="154">
      <c r="A1218" t="n">
        <v>2025</v>
      </c>
      <c r="B1218" t="inlineStr">
        <is>
          <t>2025-05</t>
        </is>
      </c>
      <c r="C1218" t="inlineStr">
        <is>
          <t>Prudente</t>
        </is>
      </c>
      <c r="D1218" t="inlineStr">
        <is>
          <t>LIEBHERR</t>
        </is>
      </c>
      <c r="E1218" t="inlineStr">
        <is>
          <t>EHL0028</t>
        </is>
      </c>
      <c r="F1218" t="inlineStr">
        <is>
          <t>SELETIVA</t>
        </is>
      </c>
      <c r="G1218" t="inlineStr">
        <is>
          <t>G&amp;G MATRIZ</t>
        </is>
      </c>
      <c r="H1218" t="inlineStr">
        <is>
          <t>7.1.22</t>
        </is>
      </c>
      <c r="I1218" t="inlineStr">
        <is>
          <t>COMBUSTÍVEL - DIESEL (INTERNO)</t>
        </is>
      </c>
      <c r="J1218" t="n">
        <v>1404</v>
      </c>
      <c r="K1218" t="n">
        <v>1404</v>
      </c>
    </row>
    <row r="1219" hidden="1" s="154">
      <c r="A1219" t="n">
        <v>2025</v>
      </c>
      <c r="B1219" t="inlineStr">
        <is>
          <t>2025-05</t>
        </is>
      </c>
      <c r="C1219" t="inlineStr">
        <is>
          <t>Prudente</t>
        </is>
      </c>
      <c r="D1219" t="inlineStr">
        <is>
          <t>LIEBHERR</t>
        </is>
      </c>
      <c r="E1219" t="inlineStr">
        <is>
          <t>EHL0028</t>
        </is>
      </c>
      <c r="F1219" t="inlineStr">
        <is>
          <t>SELETIVA</t>
        </is>
      </c>
      <c r="G1219" t="inlineStr">
        <is>
          <t>G&amp;G MATRIZ</t>
        </is>
      </c>
      <c r="H1219" t="inlineStr">
        <is>
          <t>7.1.22</t>
        </is>
      </c>
      <c r="I1219" t="inlineStr">
        <is>
          <t>COMBUSTÍVEL - DIESEL (INTERNO)</t>
        </is>
      </c>
      <c r="J1219" t="n">
        <v>1656</v>
      </c>
      <c r="K1219" t="n">
        <v>1656</v>
      </c>
    </row>
    <row r="1220" hidden="1" s="154">
      <c r="A1220" t="n">
        <v>2025</v>
      </c>
      <c r="B1220" t="inlineStr">
        <is>
          <t>2025-05</t>
        </is>
      </c>
      <c r="C1220" t="inlineStr">
        <is>
          <t>Prudente</t>
        </is>
      </c>
      <c r="D1220" t="inlineStr">
        <is>
          <t>LIEBHERR</t>
        </is>
      </c>
      <c r="E1220" t="inlineStr">
        <is>
          <t>EHL0028</t>
        </is>
      </c>
      <c r="F1220" t="inlineStr">
        <is>
          <t>SELETIVA</t>
        </is>
      </c>
      <c r="G1220" t="inlineStr">
        <is>
          <t>G&amp;G MATRIZ</t>
        </is>
      </c>
      <c r="H1220" t="inlineStr">
        <is>
          <t>7.1.22</t>
        </is>
      </c>
      <c r="I1220" t="inlineStr">
        <is>
          <t>COMBUSTÍVEL - DIESEL (INTERNO)</t>
        </is>
      </c>
      <c r="J1220" t="n">
        <v>1016.89</v>
      </c>
      <c r="K1220" t="n">
        <v>1016.89</v>
      </c>
    </row>
    <row r="1221" hidden="1" s="154">
      <c r="A1221" t="n">
        <v>2025</v>
      </c>
      <c r="B1221" t="inlineStr">
        <is>
          <t>2025-05</t>
        </is>
      </c>
      <c r="C1221" t="inlineStr">
        <is>
          <t>Prudente</t>
        </is>
      </c>
      <c r="D1221" t="inlineStr">
        <is>
          <t>LIEBHERR</t>
        </is>
      </c>
      <c r="E1221" t="inlineStr">
        <is>
          <t>EHL0028</t>
        </is>
      </c>
      <c r="F1221" t="inlineStr">
        <is>
          <t>SELETIVA</t>
        </is>
      </c>
      <c r="G1221" t="inlineStr">
        <is>
          <t>G&amp;G MATRIZ</t>
        </is>
      </c>
      <c r="H1221" t="inlineStr">
        <is>
          <t>7.1.4</t>
        </is>
      </c>
      <c r="I1221" t="inlineStr">
        <is>
          <t>COMBUSTÍVEL - DIESEL (POSTO)</t>
        </is>
      </c>
      <c r="J1221" t="n">
        <v>1988</v>
      </c>
      <c r="K1221" t="n">
        <v>1988</v>
      </c>
    </row>
    <row r="1222" hidden="1" s="154">
      <c r="A1222" t="n">
        <v>2025</v>
      </c>
      <c r="B1222" t="inlineStr">
        <is>
          <t>2025-06</t>
        </is>
      </c>
      <c r="C1222" t="inlineStr">
        <is>
          <t>Prudente</t>
        </is>
      </c>
      <c r="D1222" t="inlineStr">
        <is>
          <t>LIEBHERR</t>
        </is>
      </c>
      <c r="E1222" t="inlineStr">
        <is>
          <t>EHL0028</t>
        </is>
      </c>
      <c r="F1222" t="inlineStr">
        <is>
          <t>SELETIVA</t>
        </is>
      </c>
      <c r="G1222" t="inlineStr">
        <is>
          <t>G&amp;S PRUDENTE</t>
        </is>
      </c>
      <c r="H1222" t="inlineStr">
        <is>
          <t>7.1.1</t>
        </is>
      </c>
      <c r="I1222" t="inlineStr">
        <is>
          <t>PEÇAS DE MANUTENÇÃO</t>
        </is>
      </c>
      <c r="J1222" t="n">
        <v>6948.68</v>
      </c>
      <c r="K1222" t="n">
        <v>-6948.68</v>
      </c>
    </row>
    <row r="1223" hidden="1" s="154">
      <c r="A1223" t="n">
        <v>2025</v>
      </c>
      <c r="B1223" t="inlineStr">
        <is>
          <t>2025-06</t>
        </is>
      </c>
      <c r="C1223" t="inlineStr">
        <is>
          <t>Prudente</t>
        </is>
      </c>
      <c r="D1223" t="inlineStr">
        <is>
          <t>LIEBHERR</t>
        </is>
      </c>
      <c r="E1223" t="inlineStr">
        <is>
          <t>EHL0028</t>
        </is>
      </c>
      <c r="F1223" t="inlineStr">
        <is>
          <t>SELETIVA</t>
        </is>
      </c>
      <c r="G1223" t="inlineStr">
        <is>
          <t>G&amp;S PRUDENTE</t>
        </is>
      </c>
      <c r="H1223" t="inlineStr">
        <is>
          <t>7.1.2</t>
        </is>
      </c>
      <c r="I1223" t="inlineStr">
        <is>
          <t>MANUTENÇÃO DE VEÍCULOS/MAQUINAS</t>
        </is>
      </c>
      <c r="J1223" t="n">
        <v>12.55</v>
      </c>
      <c r="K1223" t="n">
        <v>-12.55</v>
      </c>
    </row>
    <row r="1224" hidden="1" s="154">
      <c r="A1224" t="n">
        <v>2025</v>
      </c>
      <c r="B1224" t="inlineStr">
        <is>
          <t>2025-06</t>
        </is>
      </c>
      <c r="C1224" t="inlineStr">
        <is>
          <t>Prudente</t>
        </is>
      </c>
      <c r="D1224" t="inlineStr">
        <is>
          <t>LIEBHERR</t>
        </is>
      </c>
      <c r="E1224" t="inlineStr">
        <is>
          <t>EHL0028</t>
        </is>
      </c>
      <c r="F1224" t="inlineStr">
        <is>
          <t>SELETIVA</t>
        </is>
      </c>
      <c r="G1224" t="inlineStr">
        <is>
          <t>G&amp;S PRUDENTE</t>
        </is>
      </c>
      <c r="H1224" t="inlineStr">
        <is>
          <t>7.1.18</t>
        </is>
      </c>
      <c r="I1224" t="inlineStr">
        <is>
          <t>FRETES E CARRETOS</t>
        </is>
      </c>
      <c r="J1224" t="n">
        <v>107.53</v>
      </c>
      <c r="K1224" t="n">
        <v>-107.53</v>
      </c>
    </row>
    <row r="1225" hidden="1" s="154">
      <c r="A1225" t="n">
        <v>2025</v>
      </c>
      <c r="B1225" t="inlineStr">
        <is>
          <t>2025-06</t>
        </is>
      </c>
      <c r="C1225" t="inlineStr">
        <is>
          <t>Prudente</t>
        </is>
      </c>
      <c r="D1225" t="inlineStr">
        <is>
          <t>LIEBHERR</t>
        </is>
      </c>
      <c r="E1225" t="inlineStr">
        <is>
          <t>EHL0028</t>
        </is>
      </c>
      <c r="F1225" t="inlineStr">
        <is>
          <t>SELETIVA</t>
        </is>
      </c>
      <c r="G1225" t="inlineStr">
        <is>
          <t>G&amp;S PRUDENTE</t>
        </is>
      </c>
      <c r="H1225" t="inlineStr">
        <is>
          <t>7.1.2</t>
        </is>
      </c>
      <c r="I1225" t="inlineStr">
        <is>
          <t>MANUTENÇÃO DE VEÍCULOS/MAQUINAS</t>
        </is>
      </c>
      <c r="J1225" t="n">
        <v>850</v>
      </c>
      <c r="K1225" t="n">
        <v>-850</v>
      </c>
    </row>
    <row r="1226" hidden="1" s="154">
      <c r="A1226" t="n">
        <v>2025</v>
      </c>
      <c r="B1226" t="inlineStr">
        <is>
          <t>2025-06</t>
        </is>
      </c>
      <c r="C1226" t="inlineStr">
        <is>
          <t>Prudente</t>
        </is>
      </c>
      <c r="D1226" t="inlineStr">
        <is>
          <t>LIEBHERR</t>
        </is>
      </c>
      <c r="E1226" t="inlineStr">
        <is>
          <t>EHL0028</t>
        </is>
      </c>
      <c r="F1226" t="inlineStr">
        <is>
          <t>SELETIVA</t>
        </is>
      </c>
      <c r="G1226" t="inlineStr">
        <is>
          <t>CTA</t>
        </is>
      </c>
      <c r="H1226" t="inlineStr">
        <is>
          <t>7.1.22</t>
        </is>
      </c>
      <c r="I1226" t="inlineStr">
        <is>
          <t>COMBUSTÍVEL - DIESEL (INTERNO)</t>
        </is>
      </c>
      <c r="J1226" t="n">
        <v>3472.43</v>
      </c>
      <c r="K1226" t="n">
        <v>-3472.43</v>
      </c>
    </row>
    <row r="1227" hidden="1" s="154">
      <c r="A1227" t="n">
        <v>2025</v>
      </c>
      <c r="B1227" t="inlineStr">
        <is>
          <t>2025-07</t>
        </is>
      </c>
      <c r="C1227" t="inlineStr">
        <is>
          <t>Prudente</t>
        </is>
      </c>
      <c r="D1227" t="inlineStr">
        <is>
          <t>LIEBHERR</t>
        </is>
      </c>
      <c r="E1227" t="inlineStr">
        <is>
          <t>EHL0028</t>
        </is>
      </c>
      <c r="F1227" t="inlineStr">
        <is>
          <t>SELETIVA</t>
        </is>
      </c>
      <c r="G1227" t="inlineStr">
        <is>
          <t>G3S PRUDENTE</t>
        </is>
      </c>
      <c r="H1227" t="inlineStr">
        <is>
          <t>7.1.18</t>
        </is>
      </c>
      <c r="I1227" t="inlineStr">
        <is>
          <t>FRETES E CARRETOS</t>
        </is>
      </c>
      <c r="J1227" t="n">
        <v>58.97</v>
      </c>
      <c r="K1227" t="n">
        <v>-58.97</v>
      </c>
    </row>
    <row r="1228" hidden="1" s="154">
      <c r="A1228" t="n">
        <v>2025</v>
      </c>
      <c r="B1228" t="inlineStr">
        <is>
          <t>2025-07</t>
        </is>
      </c>
      <c r="C1228" t="inlineStr">
        <is>
          <t>Prudente</t>
        </is>
      </c>
      <c r="D1228" t="inlineStr">
        <is>
          <t>LIEBHERR</t>
        </is>
      </c>
      <c r="E1228" t="inlineStr">
        <is>
          <t>EHL0028</t>
        </is>
      </c>
      <c r="F1228" t="inlineStr">
        <is>
          <t>SELETIVA</t>
        </is>
      </c>
      <c r="G1228" t="inlineStr">
        <is>
          <t>G&amp;S PRUDENTE</t>
        </is>
      </c>
      <c r="H1228" t="inlineStr">
        <is>
          <t>7.1.2</t>
        </is>
      </c>
      <c r="I1228" t="inlineStr">
        <is>
          <t>MANUTENÇÃO DE VEÍCULOS/MAQUINAS</t>
        </is>
      </c>
      <c r="J1228" t="n">
        <v>2000</v>
      </c>
      <c r="K1228" t="n">
        <v>-2000</v>
      </c>
    </row>
    <row r="1229" hidden="1" s="154">
      <c r="A1229" t="n">
        <v>2025</v>
      </c>
      <c r="B1229" t="inlineStr">
        <is>
          <t>2025-07</t>
        </is>
      </c>
      <c r="C1229" t="inlineStr">
        <is>
          <t>Prudente</t>
        </is>
      </c>
      <c r="D1229" t="inlineStr">
        <is>
          <t>LIEBHERR</t>
        </is>
      </c>
      <c r="E1229" t="inlineStr">
        <is>
          <t>EHL0028</t>
        </is>
      </c>
      <c r="F1229" t="inlineStr">
        <is>
          <t>SELETIVA</t>
        </is>
      </c>
      <c r="G1229" t="inlineStr">
        <is>
          <t>G&amp;S PRUDENTE</t>
        </is>
      </c>
      <c r="H1229" t="inlineStr">
        <is>
          <t>7.1.2</t>
        </is>
      </c>
      <c r="I1229" t="inlineStr">
        <is>
          <t>MANUTENÇÃO DE VEÍCULOS/MAQUINAS</t>
        </is>
      </c>
      <c r="J1229" t="n">
        <v>2000</v>
      </c>
      <c r="K1229" t="n">
        <v>-2000</v>
      </c>
    </row>
    <row r="1230" hidden="1" s="154">
      <c r="A1230" t="n">
        <v>2025</v>
      </c>
      <c r="B1230" t="inlineStr">
        <is>
          <t>2025-07</t>
        </is>
      </c>
      <c r="C1230" t="inlineStr">
        <is>
          <t>Prudente</t>
        </is>
      </c>
      <c r="D1230" t="inlineStr">
        <is>
          <t>LIEBHERR</t>
        </is>
      </c>
      <c r="E1230" t="inlineStr">
        <is>
          <t>EHL0028</t>
        </is>
      </c>
      <c r="F1230" t="inlineStr">
        <is>
          <t>SELETIVA</t>
        </is>
      </c>
      <c r="G1230" t="inlineStr">
        <is>
          <t>G&amp;S PRUDENTE</t>
        </is>
      </c>
      <c r="H1230" t="inlineStr">
        <is>
          <t>7.1.2</t>
        </is>
      </c>
      <c r="I1230" t="inlineStr">
        <is>
          <t>MANUTENÇÃO DE VEÍCULOS/MAQUINAS</t>
        </is>
      </c>
      <c r="J1230" t="n">
        <v>2000</v>
      </c>
      <c r="K1230" t="n">
        <v>-2000</v>
      </c>
    </row>
    <row r="1231" hidden="1" s="154">
      <c r="A1231" t="n">
        <v>2025</v>
      </c>
      <c r="B1231" t="inlineStr">
        <is>
          <t>2025-07</t>
        </is>
      </c>
      <c r="C1231" t="inlineStr">
        <is>
          <t>Prudente</t>
        </is>
      </c>
      <c r="D1231" t="inlineStr">
        <is>
          <t>LIEBHERR</t>
        </is>
      </c>
      <c r="E1231" t="inlineStr">
        <is>
          <t>EHL0028</t>
        </is>
      </c>
      <c r="F1231" t="inlineStr">
        <is>
          <t>SELETIVA</t>
        </is>
      </c>
      <c r="G1231" t="inlineStr">
        <is>
          <t>G&amp;S PRUDENTE</t>
        </is>
      </c>
      <c r="H1231" t="inlineStr">
        <is>
          <t>7.1.2</t>
        </is>
      </c>
      <c r="I1231" t="inlineStr">
        <is>
          <t>MANUTENÇÃO DE VEÍCULOS/MAQUINAS</t>
        </is>
      </c>
      <c r="J1231" t="n">
        <v>2000</v>
      </c>
      <c r="K1231" t="n">
        <v>-2000</v>
      </c>
    </row>
    <row r="1232" hidden="1" s="154">
      <c r="A1232" t="n">
        <v>2025</v>
      </c>
      <c r="B1232" t="inlineStr">
        <is>
          <t>2025-07</t>
        </is>
      </c>
      <c r="C1232" t="inlineStr">
        <is>
          <t>Prudente</t>
        </is>
      </c>
      <c r="D1232" t="inlineStr">
        <is>
          <t>LIEBHERR</t>
        </is>
      </c>
      <c r="E1232" t="inlineStr">
        <is>
          <t>EHL0028</t>
        </is>
      </c>
      <c r="F1232" t="inlineStr">
        <is>
          <t>SELETIVA</t>
        </is>
      </c>
      <c r="G1232" t="inlineStr">
        <is>
          <t>G&amp;S PRUDENTE</t>
        </is>
      </c>
      <c r="H1232" t="inlineStr">
        <is>
          <t>7.1.2</t>
        </is>
      </c>
      <c r="I1232" t="inlineStr">
        <is>
          <t>MANUTENÇÃO DE VEÍCULOS/MAQUINAS</t>
        </is>
      </c>
      <c r="J1232" t="n">
        <v>2000</v>
      </c>
      <c r="K1232" t="n">
        <v>-2000</v>
      </c>
    </row>
    <row r="1233" hidden="1" s="154">
      <c r="A1233" t="n">
        <v>2025</v>
      </c>
      <c r="B1233" t="inlineStr">
        <is>
          <t>2025-07</t>
        </is>
      </c>
      <c r="C1233" t="inlineStr">
        <is>
          <t>Prudente</t>
        </is>
      </c>
      <c r="D1233" t="inlineStr">
        <is>
          <t>LIEBHERR</t>
        </is>
      </c>
      <c r="E1233" t="inlineStr">
        <is>
          <t>EHL0028</t>
        </is>
      </c>
      <c r="F1233" t="inlineStr">
        <is>
          <t>SELETIVA</t>
        </is>
      </c>
      <c r="G1233" t="inlineStr">
        <is>
          <t>G&amp;S PRUDENTE</t>
        </is>
      </c>
      <c r="H1233" t="inlineStr">
        <is>
          <t>7.1.2</t>
        </is>
      </c>
      <c r="I1233" t="inlineStr">
        <is>
          <t>MANUTENÇÃO DE VEÍCULOS/MAQUINAS</t>
        </is>
      </c>
      <c r="J1233" t="n">
        <v>1491</v>
      </c>
      <c r="K1233" t="n">
        <v>-1491</v>
      </c>
    </row>
    <row r="1234" hidden="1" s="154">
      <c r="A1234" t="n">
        <v>2025</v>
      </c>
      <c r="B1234" t="inlineStr">
        <is>
          <t>2025-07</t>
        </is>
      </c>
      <c r="C1234" t="inlineStr">
        <is>
          <t>Prudente</t>
        </is>
      </c>
      <c r="D1234" t="inlineStr">
        <is>
          <t>LIEBHERR</t>
        </is>
      </c>
      <c r="E1234" t="inlineStr">
        <is>
          <t>EHL0028</t>
        </is>
      </c>
      <c r="F1234" t="inlineStr">
        <is>
          <t>SELETIVA</t>
        </is>
      </c>
      <c r="G1234" t="inlineStr">
        <is>
          <t>G&amp;S PRUDENTE</t>
        </is>
      </c>
      <c r="H1234" t="inlineStr">
        <is>
          <t>7.1.2</t>
        </is>
      </c>
      <c r="I1234" t="inlineStr">
        <is>
          <t>MANUTENÇÃO DE VEÍCULOS/MAQUINAS</t>
        </is>
      </c>
      <c r="J1234" t="n">
        <v>670.04</v>
      </c>
      <c r="K1234" t="n">
        <v>-670.04</v>
      </c>
    </row>
    <row r="1235" hidden="1" s="154">
      <c r="A1235" t="n">
        <v>2025</v>
      </c>
      <c r="B1235" t="inlineStr">
        <is>
          <t>2025-07</t>
        </is>
      </c>
      <c r="C1235" t="inlineStr">
        <is>
          <t>Prudente</t>
        </is>
      </c>
      <c r="D1235" t="inlineStr">
        <is>
          <t>LIEBHERR</t>
        </is>
      </c>
      <c r="E1235" t="inlineStr">
        <is>
          <t>EHL0028</t>
        </is>
      </c>
      <c r="F1235" t="inlineStr">
        <is>
          <t>SELETIVA</t>
        </is>
      </c>
      <c r="G1235" t="inlineStr">
        <is>
          <t>G&amp;S PRUDENTE</t>
        </is>
      </c>
      <c r="H1235" t="inlineStr">
        <is>
          <t>7.1.2</t>
        </is>
      </c>
      <c r="I1235" t="inlineStr">
        <is>
          <t>MANUTENÇÃO DE VEÍCULOS/MAQUINAS</t>
        </is>
      </c>
      <c r="J1235" t="n">
        <v>90</v>
      </c>
      <c r="K1235" t="n">
        <v>-90</v>
      </c>
    </row>
    <row r="1236" hidden="1" s="154">
      <c r="A1236" t="n">
        <v>2025</v>
      </c>
      <c r="B1236" t="inlineStr">
        <is>
          <t>2025-07</t>
        </is>
      </c>
      <c r="C1236" t="inlineStr">
        <is>
          <t>Prudente</t>
        </is>
      </c>
      <c r="D1236" t="inlineStr">
        <is>
          <t>LIEBHERR</t>
        </is>
      </c>
      <c r="E1236" t="inlineStr">
        <is>
          <t>EHL0028</t>
        </is>
      </c>
      <c r="F1236" t="inlineStr">
        <is>
          <t>SELETIVA</t>
        </is>
      </c>
      <c r="G1236" t="inlineStr">
        <is>
          <t>G&amp;S PRUDENTE</t>
        </is>
      </c>
      <c r="H1236" t="inlineStr">
        <is>
          <t>7.1.2</t>
        </is>
      </c>
      <c r="I1236" t="inlineStr">
        <is>
          <t>MANUTENÇÃO DE VEÍCULOS/MAQUINAS</t>
        </is>
      </c>
      <c r="J1236" t="n">
        <v>30</v>
      </c>
      <c r="K1236" t="n">
        <v>-30</v>
      </c>
    </row>
    <row r="1237" hidden="1" s="154">
      <c r="A1237" t="n">
        <v>2025</v>
      </c>
      <c r="B1237" t="inlineStr">
        <is>
          <t>2025-07</t>
        </is>
      </c>
      <c r="C1237" t="inlineStr">
        <is>
          <t>Prudente</t>
        </is>
      </c>
      <c r="D1237" t="inlineStr">
        <is>
          <t>LIEBHERR</t>
        </is>
      </c>
      <c r="E1237" t="inlineStr">
        <is>
          <t>EHL0028</t>
        </is>
      </c>
      <c r="F1237" t="inlineStr">
        <is>
          <t>SELETIVA</t>
        </is>
      </c>
      <c r="G1237" t="inlineStr">
        <is>
          <t>G&amp;S PRUDENTE</t>
        </is>
      </c>
      <c r="H1237" t="inlineStr">
        <is>
          <t>7.1.2</t>
        </is>
      </c>
      <c r="I1237" t="inlineStr">
        <is>
          <t>MANUTENÇÃO DE VEÍCULOS/MAQUINAS</t>
        </is>
      </c>
      <c r="J1237" t="n">
        <v>360</v>
      </c>
      <c r="K1237" t="n">
        <v>-360</v>
      </c>
    </row>
    <row r="1238" hidden="1" s="154">
      <c r="A1238" t="n">
        <v>2025</v>
      </c>
      <c r="B1238" t="inlineStr">
        <is>
          <t>2025-08</t>
        </is>
      </c>
      <c r="C1238" t="inlineStr">
        <is>
          <t>Prudente</t>
        </is>
      </c>
      <c r="D1238" t="inlineStr">
        <is>
          <t>LIEBHERR</t>
        </is>
      </c>
      <c r="E1238" t="inlineStr">
        <is>
          <t>EHL0028</t>
        </is>
      </c>
      <c r="F1238" t="inlineStr">
        <is>
          <t>SELETIVA</t>
        </is>
      </c>
      <c r="G1238" t="inlineStr">
        <is>
          <t>CTA</t>
        </is>
      </c>
      <c r="H1238" t="inlineStr">
        <is>
          <t>7.1.22</t>
        </is>
      </c>
      <c r="I1238" t="inlineStr">
        <is>
          <t>COMBUSTÍVEL - DIESEL (INTERNO)</t>
        </is>
      </c>
      <c r="J1238" t="n">
        <v>1704.69</v>
      </c>
      <c r="K1238" t="n">
        <v>-1704.69</v>
      </c>
    </row>
    <row r="1239" hidden="1" s="154">
      <c r="A1239" t="n">
        <v>2025</v>
      </c>
      <c r="B1239" t="inlineStr">
        <is>
          <t>2025-08</t>
        </is>
      </c>
      <c r="C1239" t="inlineStr">
        <is>
          <t>Prudente</t>
        </is>
      </c>
      <c r="D1239" t="inlineStr">
        <is>
          <t>LIEBHERR</t>
        </is>
      </c>
      <c r="E1239" t="inlineStr">
        <is>
          <t>EHL0028</t>
        </is>
      </c>
      <c r="F1239" t="inlineStr">
        <is>
          <t>SELETIVA</t>
        </is>
      </c>
      <c r="G1239" t="inlineStr">
        <is>
          <t>G&amp;S PRUDENTE</t>
        </is>
      </c>
      <c r="H1239" t="inlineStr">
        <is>
          <t>7.1.1</t>
        </is>
      </c>
      <c r="I1239" t="inlineStr">
        <is>
          <t>PEÇAS DE MANUTENÇÃO</t>
        </is>
      </c>
      <c r="J1239" t="n">
        <v>16891.29</v>
      </c>
      <c r="K1239" t="n">
        <v>-16891.29</v>
      </c>
    </row>
    <row r="1240" hidden="1" s="154">
      <c r="A1240" t="n">
        <v>2025</v>
      </c>
      <c r="B1240" t="inlineStr">
        <is>
          <t>2025-08</t>
        </is>
      </c>
      <c r="C1240" t="inlineStr">
        <is>
          <t>Prudente</t>
        </is>
      </c>
      <c r="D1240" t="inlineStr">
        <is>
          <t>LIEBHERR</t>
        </is>
      </c>
      <c r="E1240" t="inlineStr">
        <is>
          <t>EHL0028</t>
        </is>
      </c>
      <c r="F1240" t="inlineStr">
        <is>
          <t>SELETIVA</t>
        </is>
      </c>
      <c r="G1240" t="inlineStr">
        <is>
          <t>G&amp;S PRUDENTE</t>
        </is>
      </c>
      <c r="H1240" t="inlineStr">
        <is>
          <t>7.1.1</t>
        </is>
      </c>
      <c r="I1240" t="inlineStr">
        <is>
          <t>PEÇAS DE MANUTENÇÃO</t>
        </is>
      </c>
      <c r="J1240" t="n">
        <v>16891.29</v>
      </c>
      <c r="K1240" t="n">
        <v>-16891.29</v>
      </c>
    </row>
    <row r="1241" hidden="1" s="154">
      <c r="A1241" t="n">
        <v>2025</v>
      </c>
      <c r="B1241" t="inlineStr">
        <is>
          <t>2025-08</t>
        </is>
      </c>
      <c r="C1241" t="inlineStr">
        <is>
          <t>Prudente</t>
        </is>
      </c>
      <c r="D1241" t="inlineStr">
        <is>
          <t>LIEBHERR</t>
        </is>
      </c>
      <c r="E1241" t="inlineStr">
        <is>
          <t>EHL0028</t>
        </is>
      </c>
      <c r="F1241" t="inlineStr">
        <is>
          <t>SELETIVA</t>
        </is>
      </c>
      <c r="G1241" t="inlineStr">
        <is>
          <t>G&amp;S PRUDENTE</t>
        </is>
      </c>
      <c r="H1241" t="inlineStr">
        <is>
          <t>7.1.1</t>
        </is>
      </c>
      <c r="I1241" t="inlineStr">
        <is>
          <t>PEÇAS DE MANUTENÇÃO</t>
        </is>
      </c>
      <c r="J1241" t="n">
        <v>16896.36</v>
      </c>
      <c r="K1241" t="n">
        <v>-16896.36</v>
      </c>
    </row>
    <row r="1242" hidden="1" s="154">
      <c r="A1242" t="n">
        <v>2025</v>
      </c>
      <c r="B1242" t="inlineStr">
        <is>
          <t>2025-08</t>
        </is>
      </c>
      <c r="C1242" t="inlineStr">
        <is>
          <t>Prudente</t>
        </is>
      </c>
      <c r="D1242" t="inlineStr">
        <is>
          <t>LIEBHERR</t>
        </is>
      </c>
      <c r="E1242" t="inlineStr">
        <is>
          <t>EHL0028</t>
        </is>
      </c>
      <c r="F1242" t="inlineStr">
        <is>
          <t>SELETIVA</t>
        </is>
      </c>
      <c r="G1242" t="inlineStr">
        <is>
          <t>G&amp;S PRUDENTE</t>
        </is>
      </c>
      <c r="H1242" t="inlineStr">
        <is>
          <t>7.1.18</t>
        </is>
      </c>
      <c r="I1242" t="inlineStr">
        <is>
          <t>FRETES E CARRETOS</t>
        </is>
      </c>
      <c r="J1242" t="n">
        <v>387.5</v>
      </c>
      <c r="K1242" t="n">
        <v>-387.5</v>
      </c>
    </row>
    <row r="1243" hidden="1" s="154">
      <c r="A1243" t="n">
        <v>2025</v>
      </c>
      <c r="B1243" t="inlineStr">
        <is>
          <t>2025-08</t>
        </is>
      </c>
      <c r="C1243" t="inlineStr">
        <is>
          <t>Prudente</t>
        </is>
      </c>
      <c r="D1243" t="inlineStr">
        <is>
          <t>LIEBHERR</t>
        </is>
      </c>
      <c r="E1243" t="inlineStr">
        <is>
          <t>EHL0028</t>
        </is>
      </c>
      <c r="F1243" t="inlineStr">
        <is>
          <t>SELETIVA</t>
        </is>
      </c>
      <c r="G1243" t="inlineStr">
        <is>
          <t>G&amp;S PRUDENTE</t>
        </is>
      </c>
      <c r="H1243" t="inlineStr">
        <is>
          <t>7.1.1</t>
        </is>
      </c>
      <c r="I1243" t="inlineStr">
        <is>
          <t>PEÇAS DE MANUTENÇÃO</t>
        </is>
      </c>
      <c r="J1243" t="n">
        <v>957.35</v>
      </c>
      <c r="K1243" t="n">
        <v>-957.35</v>
      </c>
    </row>
    <row r="1244" hidden="1" s="154">
      <c r="A1244" t="n">
        <v>2025</v>
      </c>
      <c r="B1244" t="inlineStr">
        <is>
          <t>2025-08</t>
        </is>
      </c>
      <c r="C1244" t="inlineStr">
        <is>
          <t>Prudente</t>
        </is>
      </c>
      <c r="D1244" t="inlineStr">
        <is>
          <t>LIEBHERR</t>
        </is>
      </c>
      <c r="E1244" t="inlineStr">
        <is>
          <t>EHL0028</t>
        </is>
      </c>
      <c r="F1244" t="inlineStr">
        <is>
          <t>SELETIVA</t>
        </is>
      </c>
      <c r="G1244" t="inlineStr">
        <is>
          <t>G&amp;S PRUDENTE</t>
        </is>
      </c>
      <c r="H1244" t="inlineStr">
        <is>
          <t>7.1.2</t>
        </is>
      </c>
      <c r="I1244" t="inlineStr">
        <is>
          <t>MANUTENÇÃO DE VEÍCULOS/MAQUINAS</t>
        </is>
      </c>
      <c r="J1244" t="n">
        <v>2511</v>
      </c>
      <c r="K1244" t="n">
        <v>-2511</v>
      </c>
    </row>
    <row r="1245" hidden="1" s="154">
      <c r="A1245" t="n">
        <v>2025</v>
      </c>
      <c r="B1245" t="inlineStr">
        <is>
          <t>2025-08</t>
        </is>
      </c>
      <c r="C1245" t="inlineStr">
        <is>
          <t>Prudente</t>
        </is>
      </c>
      <c r="D1245" t="inlineStr">
        <is>
          <t>LIEBHERR</t>
        </is>
      </c>
      <c r="E1245" t="inlineStr">
        <is>
          <t>EHL0028</t>
        </is>
      </c>
      <c r="F1245" t="inlineStr">
        <is>
          <t>SELETIVA</t>
        </is>
      </c>
      <c r="G1245" t="inlineStr">
        <is>
          <t>G&amp;S PRUDENTE</t>
        </is>
      </c>
      <c r="H1245" t="inlineStr">
        <is>
          <t>7.1.2</t>
        </is>
      </c>
      <c r="I1245" t="inlineStr">
        <is>
          <t>MANUTENÇÃO DE VEÍCULOS/MAQUINAS</t>
        </is>
      </c>
      <c r="J1245" t="n">
        <v>2511</v>
      </c>
      <c r="K1245" t="n">
        <v>-2511</v>
      </c>
    </row>
    <row r="1246" hidden="1" s="154">
      <c r="A1246" t="n">
        <v>2025</v>
      </c>
      <c r="B1246" t="inlineStr">
        <is>
          <t>2025-09</t>
        </is>
      </c>
      <c r="C1246" t="inlineStr">
        <is>
          <t>Prudente</t>
        </is>
      </c>
      <c r="D1246" t="inlineStr">
        <is>
          <t>LIEBHERR</t>
        </is>
      </c>
      <c r="E1246" t="inlineStr">
        <is>
          <t>EHL0028</t>
        </is>
      </c>
      <c r="F1246" t="inlineStr">
        <is>
          <t>SELETIVA</t>
        </is>
      </c>
      <c r="G1246" t="inlineStr">
        <is>
          <t>G&amp;S PRUDENTE</t>
        </is>
      </c>
      <c r="H1246" t="inlineStr">
        <is>
          <t>7.1.18</t>
        </is>
      </c>
      <c r="I1246" t="inlineStr">
        <is>
          <t>FRETES E CARRETOS</t>
        </is>
      </c>
      <c r="J1246" t="n">
        <v>297.1</v>
      </c>
      <c r="K1246" t="n">
        <v>-297.1</v>
      </c>
    </row>
    <row r="1247" hidden="1" s="154">
      <c r="A1247" t="n">
        <v>2025</v>
      </c>
      <c r="B1247" t="inlineStr">
        <is>
          <t>2025-09</t>
        </is>
      </c>
      <c r="C1247" t="inlineStr">
        <is>
          <t>Prudente</t>
        </is>
      </c>
      <c r="D1247" t="inlineStr">
        <is>
          <t>LIEBHERR</t>
        </is>
      </c>
      <c r="E1247" t="inlineStr">
        <is>
          <t>EHL0028</t>
        </is>
      </c>
      <c r="F1247" t="inlineStr">
        <is>
          <t>SELETIVA</t>
        </is>
      </c>
      <c r="G1247" t="inlineStr">
        <is>
          <t>G&amp;S PRUDENTE</t>
        </is>
      </c>
      <c r="H1247" t="inlineStr">
        <is>
          <t>7.1.18</t>
        </is>
      </c>
      <c r="I1247" t="inlineStr">
        <is>
          <t>FRETES E CARRETOS</t>
        </is>
      </c>
      <c r="J1247" t="n">
        <v>83</v>
      </c>
      <c r="K1247" t="n">
        <v>-83</v>
      </c>
    </row>
    <row r="1248" hidden="1" s="154">
      <c r="A1248" t="n">
        <v>2025</v>
      </c>
      <c r="B1248" t="inlineStr">
        <is>
          <t>2025-09</t>
        </is>
      </c>
      <c r="C1248" t="inlineStr">
        <is>
          <t>Prudente</t>
        </is>
      </c>
      <c r="D1248" t="inlineStr">
        <is>
          <t>LIEBHERR</t>
        </is>
      </c>
      <c r="E1248" t="inlineStr">
        <is>
          <t>EHL0028</t>
        </is>
      </c>
      <c r="F1248" t="inlineStr">
        <is>
          <t>SELETIVA</t>
        </is>
      </c>
      <c r="G1248" t="inlineStr">
        <is>
          <t>G&amp;S PRUDENTE</t>
        </is>
      </c>
      <c r="H1248" t="inlineStr">
        <is>
          <t>7.1.2</t>
        </is>
      </c>
      <c r="I1248" t="inlineStr">
        <is>
          <t>MANUTENÇÃO DE VEÍCULOS/MAQUINAS</t>
        </is>
      </c>
      <c r="J1248" t="n">
        <v>3594</v>
      </c>
      <c r="K1248" t="n">
        <v>-3594</v>
      </c>
    </row>
    <row r="1249" hidden="1" s="154">
      <c r="A1249" t="n">
        <v>2025</v>
      </c>
      <c r="B1249" t="inlineStr">
        <is>
          <t>2025-09</t>
        </is>
      </c>
      <c r="C1249" t="inlineStr">
        <is>
          <t>Prudente</t>
        </is>
      </c>
      <c r="D1249" t="inlineStr">
        <is>
          <t>LIEBHERR</t>
        </is>
      </c>
      <c r="E1249" t="inlineStr">
        <is>
          <t>EHL0028</t>
        </is>
      </c>
      <c r="F1249" t="inlineStr">
        <is>
          <t>SELETIVA</t>
        </is>
      </c>
      <c r="G1249" t="inlineStr">
        <is>
          <t>G&amp;S PRUDENTE</t>
        </is>
      </c>
      <c r="H1249" t="inlineStr">
        <is>
          <t>7.1.2</t>
        </is>
      </c>
      <c r="I1249" t="inlineStr">
        <is>
          <t>MANUTENÇÃO DE VEÍCULOS/MAQUINAS</t>
        </is>
      </c>
      <c r="J1249" t="n">
        <v>687.36</v>
      </c>
      <c r="K1249" t="n">
        <v>-687.36</v>
      </c>
    </row>
    <row r="1250" hidden="1" s="154">
      <c r="A1250" t="n">
        <v>2025</v>
      </c>
      <c r="B1250" t="inlineStr">
        <is>
          <t>2025-09</t>
        </is>
      </c>
      <c r="C1250" t="inlineStr">
        <is>
          <t>Prudente</t>
        </is>
      </c>
      <c r="D1250" t="inlineStr">
        <is>
          <t>LIEBHERR</t>
        </is>
      </c>
      <c r="E1250" t="inlineStr">
        <is>
          <t>EHL0028</t>
        </is>
      </c>
      <c r="F1250" t="inlineStr">
        <is>
          <t>SELETIVA</t>
        </is>
      </c>
      <c r="G1250" t="inlineStr">
        <is>
          <t>G&amp;S PRUDENTE</t>
        </is>
      </c>
      <c r="H1250" t="inlineStr">
        <is>
          <t>7.1.2</t>
        </is>
      </c>
      <c r="I1250" t="inlineStr">
        <is>
          <t>MANUTENÇÃO DE VEÍCULOS/MAQUINAS</t>
        </is>
      </c>
      <c r="J1250" t="n">
        <v>671.66</v>
      </c>
      <c r="K1250" t="n">
        <v>-671.66</v>
      </c>
    </row>
    <row r="1251" hidden="1" s="154">
      <c r="A1251" t="n">
        <v>2025</v>
      </c>
      <c r="B1251" t="inlineStr">
        <is>
          <t>2025-09</t>
        </is>
      </c>
      <c r="C1251" t="inlineStr">
        <is>
          <t>Prudente</t>
        </is>
      </c>
      <c r="D1251" t="inlineStr">
        <is>
          <t>LIEBHERR</t>
        </is>
      </c>
      <c r="E1251" t="inlineStr">
        <is>
          <t>EHL0028</t>
        </is>
      </c>
      <c r="F1251" t="inlineStr">
        <is>
          <t>SELETIVA</t>
        </is>
      </c>
      <c r="G1251" t="inlineStr">
        <is>
          <t>G&amp;S PRUDENTE</t>
        </is>
      </c>
      <c r="H1251" t="inlineStr">
        <is>
          <t>7.1.2</t>
        </is>
      </c>
      <c r="I1251" t="inlineStr">
        <is>
          <t>MANUTENÇÃO DE VEÍCULOS/MAQUINAS</t>
        </is>
      </c>
      <c r="J1251" t="n">
        <v>1020</v>
      </c>
      <c r="K1251" t="n">
        <v>-1020</v>
      </c>
    </row>
    <row r="1252" hidden="1" s="154">
      <c r="A1252" t="n">
        <v>2025</v>
      </c>
      <c r="B1252" t="inlineStr">
        <is>
          <t>2025-09</t>
        </is>
      </c>
      <c r="C1252" t="inlineStr">
        <is>
          <t>Prudente</t>
        </is>
      </c>
      <c r="D1252" t="inlineStr">
        <is>
          <t>LIEBHERR</t>
        </is>
      </c>
      <c r="E1252" t="inlineStr">
        <is>
          <t>EHL0028</t>
        </is>
      </c>
      <c r="F1252" t="inlineStr">
        <is>
          <t>SELETIVA</t>
        </is>
      </c>
      <c r="G1252" t="inlineStr">
        <is>
          <t>G&amp;S PRUDENTE</t>
        </is>
      </c>
      <c r="H1252" t="inlineStr">
        <is>
          <t>7.1.2</t>
        </is>
      </c>
      <c r="I1252" t="inlineStr">
        <is>
          <t>MANUTENÇÃO DE VEÍCULOS/MAQUINAS</t>
        </is>
      </c>
      <c r="J1252" t="n">
        <v>1020</v>
      </c>
      <c r="K1252" t="n">
        <v>-1020</v>
      </c>
    </row>
    <row r="1253" hidden="1" s="154">
      <c r="A1253" t="n">
        <v>2025</v>
      </c>
      <c r="B1253" t="inlineStr">
        <is>
          <t>2025-09</t>
        </is>
      </c>
      <c r="C1253" t="inlineStr">
        <is>
          <t>Prudente</t>
        </is>
      </c>
      <c r="D1253" t="inlineStr">
        <is>
          <t>LIEBHERR</t>
        </is>
      </c>
      <c r="E1253" t="inlineStr">
        <is>
          <t>EHL0028</t>
        </is>
      </c>
      <c r="F1253" t="inlineStr">
        <is>
          <t>SELETIVA</t>
        </is>
      </c>
      <c r="G1253" t="inlineStr">
        <is>
          <t>G&amp;S PRUDENTE</t>
        </is>
      </c>
      <c r="H1253" t="inlineStr">
        <is>
          <t>7.1.2</t>
        </is>
      </c>
      <c r="I1253" t="inlineStr">
        <is>
          <t>MANUTENÇÃO DE VEÍCULOS/MAQUINAS</t>
        </is>
      </c>
      <c r="J1253" t="n">
        <v>3878.54</v>
      </c>
      <c r="K1253" t="n">
        <v>-3878.54</v>
      </c>
    </row>
    <row r="1254" hidden="1" s="154">
      <c r="A1254" t="n">
        <v>2025</v>
      </c>
      <c r="B1254" t="inlineStr">
        <is>
          <t>2025-09</t>
        </is>
      </c>
      <c r="C1254" t="inlineStr">
        <is>
          <t>Prudente</t>
        </is>
      </c>
      <c r="D1254" t="inlineStr">
        <is>
          <t>LIEBHERR</t>
        </is>
      </c>
      <c r="E1254" t="inlineStr">
        <is>
          <t>EHL0028</t>
        </is>
      </c>
      <c r="F1254" t="inlineStr">
        <is>
          <t>SELETIVA</t>
        </is>
      </c>
      <c r="G1254" t="inlineStr">
        <is>
          <t>G&amp;S PRUDENTE</t>
        </is>
      </c>
      <c r="H1254" t="inlineStr">
        <is>
          <t>7.1.2</t>
        </is>
      </c>
      <c r="I1254" t="inlineStr">
        <is>
          <t>MANUTENÇÃO DE VEÍCULOS/MAQUINAS</t>
        </is>
      </c>
      <c r="J1254" t="n">
        <v>317.5</v>
      </c>
      <c r="K1254" t="n">
        <v>-317.5</v>
      </c>
    </row>
    <row r="1255" hidden="1" s="154">
      <c r="A1255" t="n">
        <v>2025</v>
      </c>
      <c r="B1255" t="inlineStr">
        <is>
          <t>2025-09</t>
        </is>
      </c>
      <c r="C1255" t="inlineStr">
        <is>
          <t>Prudente</t>
        </is>
      </c>
      <c r="D1255" t="inlineStr">
        <is>
          <t>LIEBHERR</t>
        </is>
      </c>
      <c r="E1255" t="inlineStr">
        <is>
          <t>EHL0028</t>
        </is>
      </c>
      <c r="F1255" t="inlineStr">
        <is>
          <t>SELETIVA</t>
        </is>
      </c>
      <c r="G1255" t="inlineStr">
        <is>
          <t>G&amp;S PRUDENTE</t>
        </is>
      </c>
      <c r="H1255" t="inlineStr">
        <is>
          <t>7.1.2</t>
        </is>
      </c>
      <c r="I1255" t="inlineStr">
        <is>
          <t>MANUTENÇÃO DE VEÍCULOS/MAQUINAS</t>
        </is>
      </c>
      <c r="J1255" t="n">
        <v>421.43</v>
      </c>
      <c r="K1255" t="n">
        <v>-421.43</v>
      </c>
    </row>
    <row r="1256" hidden="1" s="154">
      <c r="A1256" t="n">
        <v>2025</v>
      </c>
      <c r="B1256" t="inlineStr">
        <is>
          <t>2025-09</t>
        </is>
      </c>
      <c r="C1256" t="inlineStr">
        <is>
          <t>Prudente</t>
        </is>
      </c>
      <c r="D1256" t="inlineStr">
        <is>
          <t>LIEBHERR</t>
        </is>
      </c>
      <c r="E1256" t="inlineStr">
        <is>
          <t>EHL0028</t>
        </is>
      </c>
      <c r="F1256" t="inlineStr">
        <is>
          <t>SELETIVA</t>
        </is>
      </c>
      <c r="G1256" t="inlineStr">
        <is>
          <t>CTA</t>
        </is>
      </c>
      <c r="H1256" t="inlineStr">
        <is>
          <t>7.1.22</t>
        </is>
      </c>
      <c r="I1256" t="inlineStr">
        <is>
          <t>COMBUSTÍVEL - DIESEL (INTERNO)</t>
        </is>
      </c>
      <c r="J1256" t="n">
        <v>10771.24</v>
      </c>
      <c r="K1256" t="n">
        <v>-10771.24</v>
      </c>
    </row>
    <row r="1257" hidden="1" s="154">
      <c r="A1257" t="n">
        <v>2025</v>
      </c>
      <c r="B1257" t="inlineStr">
        <is>
          <t>2025-09</t>
        </is>
      </c>
      <c r="C1257" t="inlineStr">
        <is>
          <t>Prudente</t>
        </is>
      </c>
      <c r="D1257" t="inlineStr">
        <is>
          <t>LIEBHERR</t>
        </is>
      </c>
      <c r="E1257" t="inlineStr">
        <is>
          <t>EHL0028</t>
        </is>
      </c>
      <c r="F1257" t="inlineStr">
        <is>
          <t>SELETIVA</t>
        </is>
      </c>
      <c r="G1257" t="inlineStr">
        <is>
          <t>G&amp;S PRUDENTE</t>
        </is>
      </c>
      <c r="H1257" t="inlineStr">
        <is>
          <t>7.1.18</t>
        </is>
      </c>
      <c r="I1257" t="inlineStr">
        <is>
          <t>FRETES E CARRETOS</t>
        </is>
      </c>
      <c r="J1257" t="n">
        <v>105.84</v>
      </c>
      <c r="K1257" t="n">
        <v>-105.84</v>
      </c>
    </row>
    <row r="1258" hidden="1" s="154">
      <c r="A1258" t="n">
        <v>2025</v>
      </c>
      <c r="B1258" t="inlineStr">
        <is>
          <t>2025-10</t>
        </is>
      </c>
      <c r="C1258" t="inlineStr">
        <is>
          <t>Prudente</t>
        </is>
      </c>
      <c r="D1258" t="inlineStr">
        <is>
          <t>LIEBHERR</t>
        </is>
      </c>
      <c r="E1258" t="inlineStr">
        <is>
          <t>EHL0028</t>
        </is>
      </c>
      <c r="F1258" t="inlineStr">
        <is>
          <t>SELETIVA</t>
        </is>
      </c>
      <c r="G1258" t="inlineStr">
        <is>
          <t>G&amp;S PRUDENTE</t>
        </is>
      </c>
      <c r="H1258" t="inlineStr">
        <is>
          <t>7.1.2</t>
        </is>
      </c>
      <c r="I1258" t="inlineStr">
        <is>
          <t>MANUTENÇÃO DE VEÍCULOS/MAQUINAS</t>
        </is>
      </c>
      <c r="J1258" t="n">
        <v>6374.93</v>
      </c>
      <c r="K1258" t="n">
        <v>-6374.93</v>
      </c>
    </row>
    <row r="1259" hidden="1" s="154">
      <c r="A1259" t="n">
        <v>2025</v>
      </c>
      <c r="B1259" t="inlineStr">
        <is>
          <t>2025-10</t>
        </is>
      </c>
      <c r="C1259" t="inlineStr">
        <is>
          <t>Prudente</t>
        </is>
      </c>
      <c r="D1259" t="inlineStr">
        <is>
          <t>LIEBHERR</t>
        </is>
      </c>
      <c r="E1259" t="inlineStr">
        <is>
          <t>EHL0028</t>
        </is>
      </c>
      <c r="F1259" t="inlineStr">
        <is>
          <t>SELETIVA</t>
        </is>
      </c>
      <c r="G1259" t="inlineStr">
        <is>
          <t>G&amp;S PRUDENTE</t>
        </is>
      </c>
      <c r="H1259" t="inlineStr">
        <is>
          <t>7.1.2</t>
        </is>
      </c>
      <c r="I1259" t="inlineStr">
        <is>
          <t>MANUTENÇÃO DE VEÍCULOS/MAQUINAS</t>
        </is>
      </c>
      <c r="J1259" t="n">
        <v>4924.48</v>
      </c>
      <c r="K1259" t="n">
        <v>-4924.48</v>
      </c>
    </row>
    <row r="1260" hidden="1" s="154">
      <c r="A1260" t="n">
        <v>2025</v>
      </c>
      <c r="B1260" t="inlineStr">
        <is>
          <t>2025-10</t>
        </is>
      </c>
      <c r="C1260" t="inlineStr">
        <is>
          <t>Prudente</t>
        </is>
      </c>
      <c r="D1260" t="inlineStr">
        <is>
          <t>LIEBHERR</t>
        </is>
      </c>
      <c r="E1260" t="inlineStr">
        <is>
          <t>EHL0028</t>
        </is>
      </c>
      <c r="F1260" t="inlineStr">
        <is>
          <t>SELETIVA</t>
        </is>
      </c>
      <c r="G1260" t="inlineStr">
        <is>
          <t>G&amp;S PRUDENTE</t>
        </is>
      </c>
      <c r="H1260" t="inlineStr">
        <is>
          <t>7.1.2</t>
        </is>
      </c>
      <c r="I1260" t="inlineStr">
        <is>
          <t>MANUTENÇÃO DE VEÍCULOS/MAQUINAS</t>
        </is>
      </c>
      <c r="J1260" t="n">
        <v>6518.67</v>
      </c>
      <c r="K1260" t="n">
        <v>-6518.67</v>
      </c>
    </row>
    <row r="1261" hidden="1" s="154">
      <c r="A1261" t="n">
        <v>2025</v>
      </c>
      <c r="B1261" t="inlineStr">
        <is>
          <t>2025-10</t>
        </is>
      </c>
      <c r="C1261" t="inlineStr">
        <is>
          <t>Prudente</t>
        </is>
      </c>
      <c r="D1261" t="inlineStr">
        <is>
          <t>LIEBHERR</t>
        </is>
      </c>
      <c r="E1261" t="inlineStr">
        <is>
          <t>EHL0028</t>
        </is>
      </c>
      <c r="F1261" t="inlineStr">
        <is>
          <t>SELETIVA</t>
        </is>
      </c>
      <c r="G1261" t="inlineStr">
        <is>
          <t>G&amp;S PRUDENTE</t>
        </is>
      </c>
      <c r="H1261" t="inlineStr">
        <is>
          <t>7.1.2</t>
        </is>
      </c>
      <c r="I1261" t="inlineStr">
        <is>
          <t>MANUTENÇÃO DE VEÍCULOS/MAQUINAS</t>
        </is>
      </c>
      <c r="J1261" t="n">
        <v>357</v>
      </c>
      <c r="K1261" t="n">
        <v>-357</v>
      </c>
    </row>
    <row r="1262" hidden="1" s="154">
      <c r="A1262" t="n">
        <v>2025</v>
      </c>
      <c r="B1262" t="inlineStr">
        <is>
          <t>2025-10</t>
        </is>
      </c>
      <c r="C1262" t="inlineStr">
        <is>
          <t>Prudente</t>
        </is>
      </c>
      <c r="D1262" t="inlineStr">
        <is>
          <t>LIEBHERR</t>
        </is>
      </c>
      <c r="E1262" t="inlineStr">
        <is>
          <t>EHL0028</t>
        </is>
      </c>
      <c r="F1262" t="inlineStr">
        <is>
          <t>SELETIVA</t>
        </is>
      </c>
      <c r="G1262" t="inlineStr">
        <is>
          <t>G&amp;S PRUDENTE</t>
        </is>
      </c>
      <c r="H1262" t="inlineStr">
        <is>
          <t>7.1.2</t>
        </is>
      </c>
      <c r="I1262" t="inlineStr">
        <is>
          <t>MANUTENÇÃO DE VEÍCULOS/MAQUINAS</t>
        </is>
      </c>
      <c r="J1262" t="n">
        <v>50</v>
      </c>
      <c r="K1262" t="n">
        <v>-50</v>
      </c>
    </row>
    <row r="1263" hidden="1" s="154">
      <c r="A1263" t="n">
        <v>2025</v>
      </c>
      <c r="B1263" t="inlineStr">
        <is>
          <t>2025-10</t>
        </is>
      </c>
      <c r="C1263" t="inlineStr">
        <is>
          <t>Prudente</t>
        </is>
      </c>
      <c r="D1263" t="inlineStr">
        <is>
          <t>LIEBHERR</t>
        </is>
      </c>
      <c r="E1263" t="inlineStr">
        <is>
          <t>EHL0028</t>
        </is>
      </c>
      <c r="F1263" t="inlineStr">
        <is>
          <t>SELETIVA</t>
        </is>
      </c>
      <c r="G1263" t="inlineStr">
        <is>
          <t>G&amp;S PRUDENTE</t>
        </is>
      </c>
      <c r="H1263" t="inlineStr">
        <is>
          <t>7.1.2</t>
        </is>
      </c>
      <c r="I1263" t="inlineStr">
        <is>
          <t>MANUTENÇÃO DE VEÍCULOS/MAQUINAS</t>
        </is>
      </c>
      <c r="J1263" t="n">
        <v>401.71</v>
      </c>
      <c r="K1263" t="n">
        <v>-401.71</v>
      </c>
    </row>
    <row r="1264" hidden="1" s="154">
      <c r="A1264" t="n">
        <v>2025</v>
      </c>
      <c r="B1264" t="inlineStr">
        <is>
          <t>2025-10</t>
        </is>
      </c>
      <c r="C1264" t="inlineStr">
        <is>
          <t>Prudente</t>
        </is>
      </c>
      <c r="D1264" t="inlineStr">
        <is>
          <t>LIEBHERR</t>
        </is>
      </c>
      <c r="E1264" t="inlineStr">
        <is>
          <t>EHL0028</t>
        </is>
      </c>
      <c r="F1264" t="inlineStr">
        <is>
          <t>SELETIVA</t>
        </is>
      </c>
      <c r="G1264" t="inlineStr">
        <is>
          <t>G&amp;S PRUDENTE</t>
        </is>
      </c>
      <c r="H1264" t="inlineStr">
        <is>
          <t>7.1.18</t>
        </is>
      </c>
      <c r="I1264" t="inlineStr">
        <is>
          <t>FRETES E CARRETOS</t>
        </is>
      </c>
      <c r="J1264" t="n">
        <v>96.59</v>
      </c>
      <c r="K1264" t="n">
        <v>-96.59</v>
      </c>
    </row>
    <row r="1265" hidden="1" s="154">
      <c r="A1265" t="n">
        <v>2025</v>
      </c>
      <c r="B1265" t="inlineStr">
        <is>
          <t>2025-10</t>
        </is>
      </c>
      <c r="C1265" t="inlineStr">
        <is>
          <t>Prudente</t>
        </is>
      </c>
      <c r="D1265" t="inlineStr">
        <is>
          <t>LIEBHERR</t>
        </is>
      </c>
      <c r="E1265" t="inlineStr">
        <is>
          <t>EHL0028</t>
        </is>
      </c>
      <c r="F1265" t="inlineStr">
        <is>
          <t>SELETIVA</t>
        </is>
      </c>
      <c r="G1265" t="inlineStr">
        <is>
          <t>G&amp;S PRUDENTE</t>
        </is>
      </c>
      <c r="H1265" t="inlineStr">
        <is>
          <t>7.1.2</t>
        </is>
      </c>
      <c r="I1265" t="inlineStr">
        <is>
          <t>MANUTENÇÃO DE VEÍCULOS/MAQUINAS</t>
        </is>
      </c>
      <c r="J1265" t="n">
        <v>2522.25</v>
      </c>
      <c r="K1265" t="n">
        <v>-2522.25</v>
      </c>
    </row>
    <row r="1266" hidden="1" s="154">
      <c r="A1266" t="n">
        <v>2025</v>
      </c>
      <c r="B1266" t="inlineStr">
        <is>
          <t>2025-10</t>
        </is>
      </c>
      <c r="C1266" t="inlineStr">
        <is>
          <t>Prudente</t>
        </is>
      </c>
      <c r="D1266" t="inlineStr">
        <is>
          <t>LIEBHERR</t>
        </is>
      </c>
      <c r="E1266" t="inlineStr">
        <is>
          <t>EHL0028</t>
        </is>
      </c>
      <c r="F1266" t="inlineStr">
        <is>
          <t>SELETIVA</t>
        </is>
      </c>
      <c r="G1266" t="inlineStr">
        <is>
          <t>G&amp;S PRUDENTE</t>
        </is>
      </c>
      <c r="H1266" t="inlineStr">
        <is>
          <t>7.1.2</t>
        </is>
      </c>
      <c r="I1266" t="inlineStr">
        <is>
          <t>MANUTENÇÃO DE VEÍCULOS/MAQUINAS</t>
        </is>
      </c>
      <c r="J1266" t="n">
        <v>119.96</v>
      </c>
      <c r="K1266" t="n">
        <v>-119.96</v>
      </c>
    </row>
    <row r="1267" hidden="1" s="154">
      <c r="A1267" t="n">
        <v>2025</v>
      </c>
      <c r="B1267" t="inlineStr">
        <is>
          <t>2025-10</t>
        </is>
      </c>
      <c r="C1267" t="inlineStr">
        <is>
          <t>Prudente</t>
        </is>
      </c>
      <c r="D1267" t="inlineStr">
        <is>
          <t>LIEBHERR</t>
        </is>
      </c>
      <c r="E1267" t="inlineStr">
        <is>
          <t>EHL0028</t>
        </is>
      </c>
      <c r="F1267" t="inlineStr">
        <is>
          <t>SELETIVA</t>
        </is>
      </c>
      <c r="G1267" t="inlineStr">
        <is>
          <t>CTA</t>
        </is>
      </c>
      <c r="H1267" t="inlineStr">
        <is>
          <t>7.1.22</t>
        </is>
      </c>
      <c r="I1267" t="inlineStr">
        <is>
          <t>COMBUSTÍVEL - DIESEL (INTERNO)</t>
        </is>
      </c>
      <c r="J1267" t="n">
        <v>13420.34</v>
      </c>
      <c r="K1267" t="n">
        <v>-13420.34</v>
      </c>
    </row>
    <row r="1268" hidden="1" s="154">
      <c r="A1268" t="n">
        <v>2025</v>
      </c>
      <c r="B1268" t="inlineStr">
        <is>
          <t>2025-11</t>
        </is>
      </c>
      <c r="C1268" t="inlineStr">
        <is>
          <t>Prudente</t>
        </is>
      </c>
      <c r="D1268" t="inlineStr">
        <is>
          <t>LIEBHERR</t>
        </is>
      </c>
      <c r="E1268" t="inlineStr">
        <is>
          <t>EHL0028</t>
        </is>
      </c>
      <c r="F1268" t="inlineStr">
        <is>
          <t>SELETIVA</t>
        </is>
      </c>
      <c r="G1268" t="inlineStr">
        <is>
          <t>G&amp;S PRUDENTE</t>
        </is>
      </c>
      <c r="H1268" t="inlineStr">
        <is>
          <t>7.1.2</t>
        </is>
      </c>
      <c r="I1268" t="inlineStr">
        <is>
          <t>MANUTENÇÃO DE VEÍCULOS/MAQUINAS</t>
        </is>
      </c>
      <c r="J1268" t="n">
        <v>800</v>
      </c>
      <c r="K1268" t="n">
        <v>-800</v>
      </c>
    </row>
    <row r="1269" hidden="1" s="154">
      <c r="A1269" t="n">
        <v>2025</v>
      </c>
      <c r="B1269" t="inlineStr">
        <is>
          <t>2025-11</t>
        </is>
      </c>
      <c r="C1269" t="inlineStr">
        <is>
          <t>Prudente</t>
        </is>
      </c>
      <c r="D1269" t="inlineStr">
        <is>
          <t>LIEBHERR</t>
        </is>
      </c>
      <c r="E1269" t="inlineStr">
        <is>
          <t>EHL0028</t>
        </is>
      </c>
      <c r="F1269" t="inlineStr">
        <is>
          <t>SELETIVA</t>
        </is>
      </c>
      <c r="G1269" t="inlineStr">
        <is>
          <t>G&amp;S PRUDENTE</t>
        </is>
      </c>
      <c r="H1269" t="inlineStr">
        <is>
          <t>7.1.2</t>
        </is>
      </c>
      <c r="I1269" t="inlineStr">
        <is>
          <t>MANUTENÇÃO DE VEÍCULOS/MAQUINAS</t>
        </is>
      </c>
      <c r="J1269" t="n">
        <v>3987.33</v>
      </c>
      <c r="K1269" t="n">
        <v>-3987.33</v>
      </c>
    </row>
    <row r="1270" hidden="1" s="154">
      <c r="A1270" t="n">
        <v>2025</v>
      </c>
      <c r="B1270" t="inlineStr">
        <is>
          <t>2025-11</t>
        </is>
      </c>
      <c r="C1270" t="inlineStr">
        <is>
          <t>Prudente</t>
        </is>
      </c>
      <c r="D1270" t="inlineStr">
        <is>
          <t>LIEBHERR</t>
        </is>
      </c>
      <c r="E1270" t="inlineStr">
        <is>
          <t>EHL0028</t>
        </is>
      </c>
      <c r="F1270" t="inlineStr">
        <is>
          <t>SELETIVA</t>
        </is>
      </c>
      <c r="G1270" t="inlineStr">
        <is>
          <t>G&amp;S PRUDENTE</t>
        </is>
      </c>
      <c r="H1270" t="inlineStr">
        <is>
          <t>7.1.18</t>
        </is>
      </c>
      <c r="I1270" t="inlineStr">
        <is>
          <t>FRETES E CARRETOS</t>
        </is>
      </c>
      <c r="J1270" t="n">
        <v>96.59</v>
      </c>
      <c r="K1270" t="n">
        <v>-96.59</v>
      </c>
    </row>
    <row r="1271" hidden="1" s="154">
      <c r="A1271" t="n">
        <v>2025</v>
      </c>
      <c r="B1271" t="inlineStr">
        <is>
          <t>2025-11</t>
        </is>
      </c>
      <c r="C1271" t="inlineStr">
        <is>
          <t>Prudente</t>
        </is>
      </c>
      <c r="D1271" t="inlineStr">
        <is>
          <t>LIEBHERR</t>
        </is>
      </c>
      <c r="E1271" t="inlineStr">
        <is>
          <t>EHL0028</t>
        </is>
      </c>
      <c r="F1271" t="inlineStr">
        <is>
          <t>SELETIVA</t>
        </is>
      </c>
      <c r="G1271" t="inlineStr">
        <is>
          <t>G&amp;S PRUDENTE</t>
        </is>
      </c>
      <c r="H1271" t="inlineStr">
        <is>
          <t>7.1.2</t>
        </is>
      </c>
      <c r="I1271" t="inlineStr">
        <is>
          <t>MANUTENÇÃO DE VEÍCULOS/MAQUINAS</t>
        </is>
      </c>
      <c r="J1271" t="n">
        <v>13.14</v>
      </c>
      <c r="K1271" t="n">
        <v>-13.14</v>
      </c>
    </row>
    <row r="1272" hidden="1" s="154">
      <c r="A1272" t="n">
        <v>2025</v>
      </c>
      <c r="B1272" t="inlineStr">
        <is>
          <t>2025-11</t>
        </is>
      </c>
      <c r="C1272" t="inlineStr">
        <is>
          <t>Prudente</t>
        </is>
      </c>
      <c r="D1272" t="inlineStr">
        <is>
          <t>LIEBHERR</t>
        </is>
      </c>
      <c r="E1272" t="inlineStr">
        <is>
          <t>EHL0028</t>
        </is>
      </c>
      <c r="F1272" t="inlineStr">
        <is>
          <t>SELETIVA</t>
        </is>
      </c>
      <c r="G1272" t="inlineStr">
        <is>
          <t>CTA</t>
        </is>
      </c>
      <c r="H1272" t="inlineStr">
        <is>
          <t>7.1.22</t>
        </is>
      </c>
      <c r="I1272" t="inlineStr">
        <is>
          <t>COMBUSTÍVEL - DIESEL (INTERNO)</t>
        </is>
      </c>
      <c r="J1272" t="n">
        <v>9074.370000000001</v>
      </c>
      <c r="K1272" t="n">
        <v>-9074.370000000001</v>
      </c>
    </row>
    <row r="1273" hidden="1" s="154">
      <c r="A1273" t="n">
        <v>2025</v>
      </c>
      <c r="B1273" t="inlineStr">
        <is>
          <t>2025-12</t>
        </is>
      </c>
      <c r="C1273" t="inlineStr">
        <is>
          <t>Prudente</t>
        </is>
      </c>
      <c r="D1273" t="inlineStr">
        <is>
          <t>LIEBHERR</t>
        </is>
      </c>
      <c r="E1273" t="inlineStr">
        <is>
          <t>EHL0028</t>
        </is>
      </c>
      <c r="F1273" t="inlineStr">
        <is>
          <t>SELETIVA</t>
        </is>
      </c>
      <c r="G1273" t="inlineStr">
        <is>
          <t>G&amp;S PRUDENTE</t>
        </is>
      </c>
      <c r="H1273" t="inlineStr">
        <is>
          <t>7.1.2</t>
        </is>
      </c>
      <c r="I1273" t="inlineStr">
        <is>
          <t>MANUTENÇÃO DE VEÍCULOS/MAQUINAS</t>
        </is>
      </c>
      <c r="J1273" t="n">
        <v>1846.66</v>
      </c>
      <c r="K1273" t="n">
        <v>-1846.66</v>
      </c>
    </row>
    <row r="1274" hidden="1" s="154">
      <c r="A1274" t="n">
        <v>2025</v>
      </c>
      <c r="B1274" t="inlineStr">
        <is>
          <t>2025-12</t>
        </is>
      </c>
      <c r="C1274" t="inlineStr">
        <is>
          <t>Prudente</t>
        </is>
      </c>
      <c r="D1274" t="inlineStr">
        <is>
          <t>LIEBHERR</t>
        </is>
      </c>
      <c r="E1274" t="inlineStr">
        <is>
          <t>EHL0028</t>
        </is>
      </c>
      <c r="F1274" t="inlineStr">
        <is>
          <t>SELETIVA</t>
        </is>
      </c>
      <c r="G1274" t="inlineStr">
        <is>
          <t>G3S PRUDENTE</t>
        </is>
      </c>
      <c r="H1274" t="inlineStr">
        <is>
          <t>7.1.2</t>
        </is>
      </c>
      <c r="I1274" t="inlineStr">
        <is>
          <t>MANUTENÇÃO DE VEÍCULOS/MAQUINAS</t>
        </is>
      </c>
      <c r="J1274" t="n">
        <v>179.38</v>
      </c>
      <c r="K1274" t="n">
        <v>-179.38</v>
      </c>
    </row>
    <row r="1275" hidden="1" s="154">
      <c r="A1275" t="n">
        <v>2025</v>
      </c>
      <c r="B1275" t="inlineStr">
        <is>
          <t>2025-12</t>
        </is>
      </c>
      <c r="C1275" t="inlineStr">
        <is>
          <t>Prudente</t>
        </is>
      </c>
      <c r="D1275" t="inlineStr">
        <is>
          <t>LIEBHERR</t>
        </is>
      </c>
      <c r="E1275" t="inlineStr">
        <is>
          <t>EHL0028</t>
        </is>
      </c>
      <c r="F1275" t="inlineStr">
        <is>
          <t>SELETIVA</t>
        </is>
      </c>
      <c r="G1275" t="inlineStr">
        <is>
          <t>G&amp;S PRUDENTE</t>
        </is>
      </c>
      <c r="H1275" t="inlineStr">
        <is>
          <t>7.1.18</t>
        </is>
      </c>
      <c r="I1275" t="inlineStr">
        <is>
          <t>FRETES E CARRETOS</t>
        </is>
      </c>
      <c r="J1275" t="n">
        <v>110.94</v>
      </c>
      <c r="K1275" t="n">
        <v>-110.94</v>
      </c>
    </row>
    <row r="1276" hidden="1" s="154">
      <c r="A1276" t="n">
        <v>2025</v>
      </c>
      <c r="B1276" t="inlineStr">
        <is>
          <t>2025-12</t>
        </is>
      </c>
      <c r="C1276" t="inlineStr">
        <is>
          <t>Prudente</t>
        </is>
      </c>
      <c r="D1276" t="inlineStr">
        <is>
          <t>LIEBHERR</t>
        </is>
      </c>
      <c r="E1276" t="inlineStr">
        <is>
          <t>EHL0028</t>
        </is>
      </c>
      <c r="F1276" t="inlineStr">
        <is>
          <t>SELETIVA</t>
        </is>
      </c>
      <c r="G1276" t="inlineStr">
        <is>
          <t>G&amp;S PRUDENTE</t>
        </is>
      </c>
      <c r="H1276" t="inlineStr">
        <is>
          <t>7.1.2</t>
        </is>
      </c>
      <c r="I1276" t="inlineStr">
        <is>
          <t>MANUTENÇÃO DE VEÍCULOS/MAQUINAS</t>
        </is>
      </c>
      <c r="J1276" t="n">
        <v>5918.37</v>
      </c>
      <c r="K1276" t="n">
        <v>-5918.37</v>
      </c>
    </row>
    <row r="1277" hidden="1" s="154">
      <c r="A1277" t="n">
        <v>2025</v>
      </c>
      <c r="B1277" t="inlineStr">
        <is>
          <t>2025-12</t>
        </is>
      </c>
      <c r="C1277" t="inlineStr">
        <is>
          <t>Prudente</t>
        </is>
      </c>
      <c r="D1277" t="inlineStr">
        <is>
          <t>LIEBHERR</t>
        </is>
      </c>
      <c r="E1277" t="inlineStr">
        <is>
          <t>EHL0028</t>
        </is>
      </c>
      <c r="F1277" t="inlineStr">
        <is>
          <t>SELETIVA</t>
        </is>
      </c>
      <c r="G1277" t="inlineStr">
        <is>
          <t>CTA</t>
        </is>
      </c>
      <c r="H1277" t="inlineStr">
        <is>
          <t>7.1.22</t>
        </is>
      </c>
      <c r="I1277" t="inlineStr">
        <is>
          <t>COMBUSTÍVEL - DIESEL (INTERNO)</t>
        </is>
      </c>
      <c r="J1277" t="n">
        <v>3058</v>
      </c>
      <c r="K1277" t="n">
        <v>-3058</v>
      </c>
    </row>
    <row r="1278" hidden="1" s="154">
      <c r="A1278" t="n">
        <v>2026</v>
      </c>
      <c r="B1278" t="inlineStr">
        <is>
          <t>2026-01</t>
        </is>
      </c>
      <c r="C1278" t="inlineStr">
        <is>
          <t>Prudente</t>
        </is>
      </c>
      <c r="D1278" t="inlineStr">
        <is>
          <t>LIEBHERR</t>
        </is>
      </c>
      <c r="E1278" t="inlineStr">
        <is>
          <t>EHL0028</t>
        </is>
      </c>
      <c r="F1278" t="inlineStr">
        <is>
          <t>SELETIVA</t>
        </is>
      </c>
      <c r="G1278" t="inlineStr">
        <is>
          <t>G&amp;S PRUDENTE</t>
        </is>
      </c>
      <c r="H1278" t="inlineStr">
        <is>
          <t>7.1.2</t>
        </is>
      </c>
      <c r="I1278" t="inlineStr">
        <is>
          <t>MANUTENÇÃO DE VEÍCULOS/MAQUINAS</t>
        </is>
      </c>
      <c r="J1278" t="n">
        <v>925.77</v>
      </c>
      <c r="K1278" t="n">
        <v>-925.77</v>
      </c>
    </row>
    <row r="1279" hidden="1" s="154">
      <c r="A1279" t="n">
        <v>2026</v>
      </c>
      <c r="B1279" t="inlineStr">
        <is>
          <t>2026-01</t>
        </is>
      </c>
      <c r="C1279" t="inlineStr">
        <is>
          <t>Prudente</t>
        </is>
      </c>
      <c r="D1279" t="inlineStr">
        <is>
          <t>LIEBHERR</t>
        </is>
      </c>
      <c r="E1279" t="inlineStr">
        <is>
          <t>EHL0028</t>
        </is>
      </c>
      <c r="F1279" t="inlineStr">
        <is>
          <t>SELETIVA</t>
        </is>
      </c>
      <c r="G1279" t="inlineStr">
        <is>
          <t>G&amp;S PRUDENTE</t>
        </is>
      </c>
      <c r="H1279" t="inlineStr">
        <is>
          <t>7.1.2</t>
        </is>
      </c>
      <c r="I1279" t="inlineStr">
        <is>
          <t>MANUTENÇÃO DE VEÍCULOS/MAQUINAS</t>
        </is>
      </c>
      <c r="J1279" t="n">
        <v>1988</v>
      </c>
      <c r="K1279" t="n">
        <v>-1988</v>
      </c>
    </row>
    <row r="1280" hidden="1" s="154">
      <c r="A1280" t="n">
        <v>2026</v>
      </c>
      <c r="B1280" t="inlineStr">
        <is>
          <t>2026-01</t>
        </is>
      </c>
      <c r="C1280" t="inlineStr">
        <is>
          <t>Prudente</t>
        </is>
      </c>
      <c r="D1280" t="inlineStr">
        <is>
          <t>LIEBHERR</t>
        </is>
      </c>
      <c r="E1280" t="inlineStr">
        <is>
          <t>EHL0028</t>
        </is>
      </c>
      <c r="F1280" t="inlineStr">
        <is>
          <t>SELETIVA</t>
        </is>
      </c>
      <c r="G1280" t="inlineStr">
        <is>
          <t>G&amp;S PRUDENTE</t>
        </is>
      </c>
      <c r="H1280" t="inlineStr">
        <is>
          <t>7.1.18</t>
        </is>
      </c>
      <c r="I1280" t="inlineStr">
        <is>
          <t>FRETES E CARRETOS</t>
        </is>
      </c>
      <c r="J1280" t="n">
        <v>68.59999999999999</v>
      </c>
      <c r="K1280" t="n">
        <v>-68.59999999999999</v>
      </c>
    </row>
    <row r="1281" hidden="1" s="154">
      <c r="A1281" t="n">
        <v>2026</v>
      </c>
      <c r="B1281" t="inlineStr">
        <is>
          <t>2026-01</t>
        </is>
      </c>
      <c r="C1281" t="inlineStr">
        <is>
          <t>Prudente</t>
        </is>
      </c>
      <c r="D1281" t="inlineStr">
        <is>
          <t>LIEBHERR</t>
        </is>
      </c>
      <c r="E1281" t="inlineStr">
        <is>
          <t>EHL0028</t>
        </is>
      </c>
      <c r="F1281" t="inlineStr">
        <is>
          <t>SELETIVA</t>
        </is>
      </c>
      <c r="G1281" t="inlineStr">
        <is>
          <t>G&amp;S PRUDENTE</t>
        </is>
      </c>
      <c r="H1281" t="inlineStr">
        <is>
          <t>7.1.18</t>
        </is>
      </c>
      <c r="I1281" t="inlineStr">
        <is>
          <t>FRETES E CARRETOS</t>
        </is>
      </c>
      <c r="J1281" t="n">
        <v>107.58</v>
      </c>
      <c r="K1281" t="n">
        <v>-107.58</v>
      </c>
    </row>
    <row r="1282" hidden="1" s="154">
      <c r="A1282" t="n">
        <v>2026</v>
      </c>
      <c r="B1282" t="inlineStr">
        <is>
          <t>2026-01</t>
        </is>
      </c>
      <c r="C1282" t="inlineStr">
        <is>
          <t>Prudente</t>
        </is>
      </c>
      <c r="D1282" t="inlineStr">
        <is>
          <t>LIEBHERR</t>
        </is>
      </c>
      <c r="E1282" t="inlineStr">
        <is>
          <t>EHL0028</t>
        </is>
      </c>
      <c r="F1282" t="inlineStr">
        <is>
          <t>SELETIVA</t>
        </is>
      </c>
      <c r="G1282" t="inlineStr">
        <is>
          <t>G&amp;S PRUDENTE</t>
        </is>
      </c>
      <c r="H1282" t="inlineStr">
        <is>
          <t>7.1.18</t>
        </is>
      </c>
      <c r="I1282" t="inlineStr">
        <is>
          <t>FRETES E CARRETOS</t>
        </is>
      </c>
      <c r="J1282" t="n">
        <v>25.89</v>
      </c>
      <c r="K1282" t="n">
        <v>-25.89</v>
      </c>
    </row>
    <row r="1283" hidden="1" s="154">
      <c r="A1283" t="n">
        <v>2026</v>
      </c>
      <c r="B1283" t="inlineStr">
        <is>
          <t>2026-01</t>
        </is>
      </c>
      <c r="C1283" t="inlineStr">
        <is>
          <t>Prudente</t>
        </is>
      </c>
      <c r="D1283" t="inlineStr">
        <is>
          <t>LIEBHERR</t>
        </is>
      </c>
      <c r="E1283" t="inlineStr">
        <is>
          <t>EHL0028</t>
        </is>
      </c>
      <c r="F1283" t="inlineStr">
        <is>
          <t>SELETIVA</t>
        </is>
      </c>
      <c r="G1283" t="inlineStr">
        <is>
          <t>G&amp;S PRUDENTE</t>
        </is>
      </c>
      <c r="H1283" t="inlineStr">
        <is>
          <t>7.1.2</t>
        </is>
      </c>
      <c r="I1283" t="inlineStr">
        <is>
          <t>MANUTENÇÃO DE VEÍCULOS/MAQUINAS</t>
        </is>
      </c>
      <c r="J1283" t="n">
        <v>64.84</v>
      </c>
      <c r="K1283" t="n">
        <v>-64.84</v>
      </c>
    </row>
    <row r="1284" hidden="1" s="154">
      <c r="A1284" t="n">
        <v>2026</v>
      </c>
      <c r="B1284" t="inlineStr">
        <is>
          <t>2026-01</t>
        </is>
      </c>
      <c r="C1284" t="inlineStr">
        <is>
          <t>Prudente</t>
        </is>
      </c>
      <c r="D1284" t="inlineStr">
        <is>
          <t>LIEBHERR</t>
        </is>
      </c>
      <c r="E1284" t="inlineStr">
        <is>
          <t>EHL0028</t>
        </is>
      </c>
      <c r="F1284" t="inlineStr">
        <is>
          <t>SELETIVA</t>
        </is>
      </c>
      <c r="G1284" t="inlineStr">
        <is>
          <t>G&amp;S PRUDENTE</t>
        </is>
      </c>
      <c r="H1284" t="inlineStr">
        <is>
          <t>7.1.2</t>
        </is>
      </c>
      <c r="I1284" t="inlineStr">
        <is>
          <t>MANUTENÇÃO DE VEÍCULOS/MAQUINAS</t>
        </is>
      </c>
      <c r="J1284" t="n">
        <v>2040</v>
      </c>
      <c r="K1284" t="n">
        <v>-2040</v>
      </c>
    </row>
    <row r="1285" hidden="1" s="154">
      <c r="A1285" t="n">
        <v>2026</v>
      </c>
      <c r="B1285" t="inlineStr">
        <is>
          <t>2026-01</t>
        </is>
      </c>
      <c r="C1285" t="inlineStr">
        <is>
          <t>Prudente</t>
        </is>
      </c>
      <c r="D1285" t="inlineStr">
        <is>
          <t>LIEBHERR</t>
        </is>
      </c>
      <c r="E1285" t="inlineStr">
        <is>
          <t>EHL0028</t>
        </is>
      </c>
      <c r="F1285" t="inlineStr">
        <is>
          <t>SELETIVA</t>
        </is>
      </c>
      <c r="G1285" t="inlineStr">
        <is>
          <t>G&amp;S PRUDENTE</t>
        </is>
      </c>
      <c r="H1285" t="inlineStr">
        <is>
          <t>7.1.2</t>
        </is>
      </c>
      <c r="I1285" t="inlineStr">
        <is>
          <t>MANUTENÇÃO DE VEÍCULOS/MAQUINAS</t>
        </is>
      </c>
      <c r="J1285" t="n">
        <v>76.37</v>
      </c>
      <c r="K1285" t="n">
        <v>-76.37</v>
      </c>
    </row>
    <row r="1286" hidden="1" s="154">
      <c r="A1286" t="n">
        <v>2026</v>
      </c>
      <c r="B1286" t="inlineStr">
        <is>
          <t>2026-02</t>
        </is>
      </c>
      <c r="C1286" t="inlineStr">
        <is>
          <t>Prudente</t>
        </is>
      </c>
      <c r="D1286" t="inlineStr">
        <is>
          <t>LIEBHERR</t>
        </is>
      </c>
      <c r="E1286" t="inlineStr">
        <is>
          <t>EHL0028</t>
        </is>
      </c>
      <c r="F1286" t="inlineStr">
        <is>
          <t>SELETIVA</t>
        </is>
      </c>
      <c r="G1286" t="inlineStr">
        <is>
          <t>G&amp;S PRUDENTE</t>
        </is>
      </c>
      <c r="H1286" t="inlineStr">
        <is>
          <t>7.1.18</t>
        </is>
      </c>
      <c r="I1286" t="inlineStr">
        <is>
          <t>FRETES E CARRETOS</t>
        </is>
      </c>
      <c r="J1286" t="n">
        <v>82.79000000000001</v>
      </c>
      <c r="K1286" t="n">
        <v>-82.79000000000001</v>
      </c>
    </row>
    <row r="1287" hidden="1" s="154">
      <c r="A1287" t="n">
        <v>2026</v>
      </c>
      <c r="B1287" t="inlineStr">
        <is>
          <t>2026-02</t>
        </is>
      </c>
      <c r="C1287" t="inlineStr">
        <is>
          <t>Prudente</t>
        </is>
      </c>
      <c r="D1287" t="inlineStr">
        <is>
          <t>LIEBHERR</t>
        </is>
      </c>
      <c r="E1287" t="inlineStr">
        <is>
          <t>EHL0028</t>
        </is>
      </c>
      <c r="F1287" t="inlineStr">
        <is>
          <t>SELETIVA</t>
        </is>
      </c>
      <c r="G1287" t="inlineStr">
        <is>
          <t>G&amp;S MARINGA</t>
        </is>
      </c>
      <c r="H1287" t="inlineStr">
        <is>
          <t>7.1.2</t>
        </is>
      </c>
      <c r="I1287" t="inlineStr">
        <is>
          <t>MANUTENÇÃO DE VEÍCULOS/MAQUINAS</t>
        </is>
      </c>
      <c r="J1287" t="n">
        <v>812.12</v>
      </c>
      <c r="K1287" t="n">
        <v>-812.12</v>
      </c>
    </row>
    <row r="1288" hidden="1" s="154">
      <c r="A1288" t="n">
        <v>2026</v>
      </c>
      <c r="B1288" t="inlineStr">
        <is>
          <t>2026-02</t>
        </is>
      </c>
      <c r="C1288" t="inlineStr">
        <is>
          <t>Prudente</t>
        </is>
      </c>
      <c r="D1288" t="inlineStr">
        <is>
          <t>LIEBHERR</t>
        </is>
      </c>
      <c r="E1288" t="inlineStr">
        <is>
          <t>EHL0028</t>
        </is>
      </c>
      <c r="F1288" t="inlineStr">
        <is>
          <t>SELETIVA</t>
        </is>
      </c>
      <c r="G1288" t="inlineStr">
        <is>
          <t>G&amp;S PRUDENTE</t>
        </is>
      </c>
      <c r="H1288" t="inlineStr">
        <is>
          <t>7.1.2</t>
        </is>
      </c>
      <c r="I1288" t="inlineStr">
        <is>
          <t>MANUTENÇÃO DE VEÍCULOS/MAQUINAS</t>
        </is>
      </c>
      <c r="J1288" t="n">
        <v>12.62</v>
      </c>
      <c r="K1288" t="n">
        <v>-12.62</v>
      </c>
    </row>
    <row r="1289" hidden="1" s="154">
      <c r="A1289" t="n">
        <v>2026</v>
      </c>
      <c r="B1289" t="inlineStr">
        <is>
          <t>2026-02</t>
        </is>
      </c>
      <c r="C1289" t="inlineStr">
        <is>
          <t>Prudente</t>
        </is>
      </c>
      <c r="D1289" t="inlineStr">
        <is>
          <t>LIEBHERR</t>
        </is>
      </c>
      <c r="E1289" t="inlineStr">
        <is>
          <t>EHL0028</t>
        </is>
      </c>
      <c r="F1289" t="inlineStr">
        <is>
          <t>SELETIVA</t>
        </is>
      </c>
      <c r="G1289" t="inlineStr">
        <is>
          <t>G&amp;S PRUDENTE</t>
        </is>
      </c>
      <c r="H1289" t="inlineStr">
        <is>
          <t>7.1.2</t>
        </is>
      </c>
      <c r="I1289" t="inlineStr">
        <is>
          <t>MANUTENÇÃO DE VEÍCULOS/MAQUINAS</t>
        </is>
      </c>
      <c r="J1289" t="n">
        <v>391.13</v>
      </c>
      <c r="K1289" t="n">
        <v>-391.13</v>
      </c>
    </row>
    <row r="1290" hidden="1" s="154">
      <c r="A1290" t="n">
        <v>2026</v>
      </c>
      <c r="B1290" t="inlineStr">
        <is>
          <t>2026-02</t>
        </is>
      </c>
      <c r="C1290" t="inlineStr">
        <is>
          <t>Prudente</t>
        </is>
      </c>
      <c r="D1290" t="inlineStr">
        <is>
          <t>LIEBHERR</t>
        </is>
      </c>
      <c r="E1290" t="inlineStr">
        <is>
          <t>EHL0028</t>
        </is>
      </c>
      <c r="F1290" t="inlineStr">
        <is>
          <t>SELETIVA</t>
        </is>
      </c>
      <c r="G1290" t="inlineStr">
        <is>
          <t>G&amp;S PRUDENTE</t>
        </is>
      </c>
      <c r="H1290" t="inlineStr">
        <is>
          <t>7.1.2</t>
        </is>
      </c>
      <c r="I1290" t="inlineStr">
        <is>
          <t>MANUTENÇÃO DE VEÍCULOS/MAQUINAS</t>
        </is>
      </c>
      <c r="J1290" t="n">
        <v>9260.530000000001</v>
      </c>
      <c r="K1290" t="n">
        <v>-9260.530000000001</v>
      </c>
    </row>
    <row r="1291" hidden="1" s="154">
      <c r="A1291" t="n">
        <v>2026</v>
      </c>
      <c r="B1291" t="inlineStr">
        <is>
          <t>2026-02</t>
        </is>
      </c>
      <c r="C1291" t="inlineStr">
        <is>
          <t>Prudente</t>
        </is>
      </c>
      <c r="D1291" t="inlineStr">
        <is>
          <t>LIEBHERR</t>
        </is>
      </c>
      <c r="E1291" t="inlineStr">
        <is>
          <t>EHL0028</t>
        </is>
      </c>
      <c r="F1291" t="inlineStr">
        <is>
          <t>SELETIVA</t>
        </is>
      </c>
      <c r="G1291" t="inlineStr">
        <is>
          <t>G&amp;S PRUDENTE</t>
        </is>
      </c>
      <c r="H1291" t="inlineStr">
        <is>
          <t>7.1.2</t>
        </is>
      </c>
      <c r="I1291" t="inlineStr">
        <is>
          <t>MANUTENÇÃO DE VEÍCULOS/MAQUINAS</t>
        </is>
      </c>
      <c r="J1291" t="n">
        <v>160</v>
      </c>
      <c r="K1291" t="n">
        <v>-160</v>
      </c>
    </row>
    <row r="1292" hidden="1" s="154">
      <c r="A1292" t="n">
        <v>2026</v>
      </c>
      <c r="B1292" t="inlineStr">
        <is>
          <t>2026-02</t>
        </is>
      </c>
      <c r="C1292" t="inlineStr">
        <is>
          <t>Prudente</t>
        </is>
      </c>
      <c r="D1292" t="inlineStr">
        <is>
          <t>LIEBHERR</t>
        </is>
      </c>
      <c r="E1292" t="inlineStr">
        <is>
          <t>EHL0028</t>
        </is>
      </c>
      <c r="F1292" t="inlineStr">
        <is>
          <t>SELETIVA</t>
        </is>
      </c>
      <c r="G1292" t="inlineStr">
        <is>
          <t>G&amp;S PRUDENTE</t>
        </is>
      </c>
      <c r="H1292" t="inlineStr">
        <is>
          <t>7.1.2</t>
        </is>
      </c>
      <c r="I1292" t="inlineStr">
        <is>
          <t>MANUTENÇÃO DE VEÍCULOS/MAQUINAS</t>
        </is>
      </c>
      <c r="J1292" t="n">
        <v>4244.4</v>
      </c>
      <c r="K1292" t="n">
        <v>-4244.4</v>
      </c>
    </row>
    <row r="1293" hidden="1" s="154">
      <c r="A1293" t="n">
        <v>2026</v>
      </c>
      <c r="B1293" t="inlineStr">
        <is>
          <t>2026-03</t>
        </is>
      </c>
      <c r="C1293" t="inlineStr">
        <is>
          <t>Prudente</t>
        </is>
      </c>
      <c r="D1293" t="inlineStr">
        <is>
          <t>LIEBHERR</t>
        </is>
      </c>
      <c r="E1293" t="inlineStr">
        <is>
          <t>EHL0028</t>
        </is>
      </c>
      <c r="F1293" t="inlineStr">
        <is>
          <t>SELETIVA</t>
        </is>
      </c>
      <c r="G1293" t="inlineStr">
        <is>
          <t>G&amp;S PRUDENTE</t>
        </is>
      </c>
      <c r="H1293" t="inlineStr">
        <is>
          <t>7.1.2</t>
        </is>
      </c>
      <c r="I1293" t="inlineStr">
        <is>
          <t>MANUTENÇÃO DE VEÍCULOS/MAQUINAS</t>
        </is>
      </c>
      <c r="J1293" t="n">
        <v>3189.84</v>
      </c>
      <c r="K1293" t="n">
        <v>-3189.84</v>
      </c>
    </row>
    <row r="1294" hidden="1" s="154">
      <c r="A1294" t="n">
        <v>2026</v>
      </c>
      <c r="B1294" t="inlineStr">
        <is>
          <t>2026-03</t>
        </is>
      </c>
      <c r="C1294" t="inlineStr">
        <is>
          <t>Prudente</t>
        </is>
      </c>
      <c r="D1294" t="inlineStr">
        <is>
          <t>LIEBHERR</t>
        </is>
      </c>
      <c r="E1294" t="inlineStr">
        <is>
          <t>EHL0028</t>
        </is>
      </c>
      <c r="F1294" t="inlineStr">
        <is>
          <t>SELETIVA</t>
        </is>
      </c>
      <c r="G1294" t="inlineStr">
        <is>
          <t>G&amp;S PRUDENTE</t>
        </is>
      </c>
      <c r="H1294" t="inlineStr">
        <is>
          <t>7.1.2</t>
        </is>
      </c>
      <c r="I1294" t="inlineStr">
        <is>
          <t>MANUTENÇÃO DE VEÍCULOS/MAQUINAS</t>
        </is>
      </c>
      <c r="J1294" t="n">
        <v>47.4</v>
      </c>
      <c r="K1294" t="n">
        <v>-47.4</v>
      </c>
    </row>
    <row r="1295" hidden="1" s="154">
      <c r="A1295" t="n">
        <v>2026</v>
      </c>
      <c r="B1295" t="inlineStr">
        <is>
          <t>2026-03</t>
        </is>
      </c>
      <c r="C1295" t="inlineStr">
        <is>
          <t>Prudente</t>
        </is>
      </c>
      <c r="D1295" t="inlineStr">
        <is>
          <t>LIEBHERR</t>
        </is>
      </c>
      <c r="E1295" t="inlineStr">
        <is>
          <t>EHL0028</t>
        </is>
      </c>
      <c r="F1295" t="inlineStr">
        <is>
          <t>SELETIVA</t>
        </is>
      </c>
      <c r="G1295" t="inlineStr">
        <is>
          <t>G&amp;S PRUDENTE</t>
        </is>
      </c>
      <c r="H1295" t="inlineStr">
        <is>
          <t>7.1.2</t>
        </is>
      </c>
      <c r="I1295" t="inlineStr">
        <is>
          <t>MANUTENÇÃO DE VEÍCULOS/MAQUINAS</t>
        </is>
      </c>
      <c r="J1295" t="n">
        <v>4000</v>
      </c>
      <c r="K1295" t="n">
        <v>-4000</v>
      </c>
    </row>
    <row r="1296" hidden="1" s="154">
      <c r="A1296" t="n">
        <v>2026</v>
      </c>
      <c r="B1296" t="inlineStr">
        <is>
          <t>2026-03</t>
        </is>
      </c>
      <c r="C1296" t="inlineStr">
        <is>
          <t>Prudente</t>
        </is>
      </c>
      <c r="D1296" t="inlineStr">
        <is>
          <t>LIEBHERR</t>
        </is>
      </c>
      <c r="E1296" t="inlineStr">
        <is>
          <t>EHL0028</t>
        </is>
      </c>
      <c r="F1296" t="inlineStr">
        <is>
          <t>SELETIVA</t>
        </is>
      </c>
      <c r="G1296" t="inlineStr">
        <is>
          <t>G&amp;S PRUDENTE</t>
        </is>
      </c>
      <c r="H1296" t="inlineStr">
        <is>
          <t>7.1.2</t>
        </is>
      </c>
      <c r="I1296" t="inlineStr">
        <is>
          <t>MANUTENÇÃO DE VEÍCULOS/MAQUINAS</t>
        </is>
      </c>
      <c r="J1296" t="n">
        <v>55.53</v>
      </c>
      <c r="K1296" t="n">
        <v>-55.53</v>
      </c>
    </row>
    <row r="1297" hidden="1" s="154">
      <c r="A1297" t="n">
        <v>2026</v>
      </c>
      <c r="B1297" t="inlineStr">
        <is>
          <t>2026-03</t>
        </is>
      </c>
      <c r="C1297" t="inlineStr">
        <is>
          <t>Prudente</t>
        </is>
      </c>
      <c r="D1297" t="inlineStr">
        <is>
          <t>LIEBHERR</t>
        </is>
      </c>
      <c r="E1297" t="inlineStr">
        <is>
          <t>EHL0028</t>
        </is>
      </c>
      <c r="F1297" t="inlineStr">
        <is>
          <t>SELETIVA</t>
        </is>
      </c>
      <c r="G1297" t="inlineStr">
        <is>
          <t>G&amp;S PRUDENTE</t>
        </is>
      </c>
      <c r="H1297" t="inlineStr">
        <is>
          <t>7.1.18</t>
        </is>
      </c>
      <c r="I1297" t="inlineStr">
        <is>
          <t>FRETES E CARRETOS</t>
        </is>
      </c>
      <c r="J1297" t="n">
        <v>55.53</v>
      </c>
      <c r="K1297" t="n">
        <v>-55.53</v>
      </c>
    </row>
    <row r="1298" hidden="1" s="154">
      <c r="A1298" t="n">
        <v>2025</v>
      </c>
      <c r="B1298" t="inlineStr">
        <is>
          <t>2025-02</t>
        </is>
      </c>
      <c r="C1298" t="inlineStr">
        <is>
          <t>Pátio de Manutenção</t>
        </is>
      </c>
      <c r="D1298" t="inlineStr">
        <is>
          <t>LIEBHERR</t>
        </is>
      </c>
      <c r="E1298" t="inlineStr">
        <is>
          <t>EHL0013</t>
        </is>
      </c>
      <c r="F1298" t="inlineStr">
        <is>
          <t>SELETIVA</t>
        </is>
      </c>
      <c r="G1298" t="inlineStr">
        <is>
          <t>G&amp;G MATRIZ</t>
        </is>
      </c>
      <c r="H1298" t="inlineStr">
        <is>
          <t>7.1.18</t>
        </is>
      </c>
      <c r="I1298" t="inlineStr">
        <is>
          <t>FRETES E CARRETOS</t>
        </is>
      </c>
      <c r="J1298" t="n">
        <v>148.73</v>
      </c>
      <c r="K1298" t="n">
        <v>148.73</v>
      </c>
    </row>
    <row r="1299" hidden="1" s="154">
      <c r="A1299" t="n">
        <v>2025</v>
      </c>
      <c r="B1299" t="inlineStr">
        <is>
          <t>2025-06</t>
        </is>
      </c>
      <c r="C1299" t="inlineStr">
        <is>
          <t>Pátio de Manutenção</t>
        </is>
      </c>
      <c r="D1299" t="inlineStr">
        <is>
          <t>LIEBHERR</t>
        </is>
      </c>
      <c r="E1299" t="inlineStr">
        <is>
          <t>EHL0013</t>
        </is>
      </c>
      <c r="F1299" t="inlineStr">
        <is>
          <t>EKIPA LOCACOES RSE</t>
        </is>
      </c>
      <c r="G1299" t="inlineStr">
        <is>
          <t>G&amp;S PRUDENTE</t>
        </is>
      </c>
      <c r="H1299" t="inlineStr">
        <is>
          <t>7.1.2</t>
        </is>
      </c>
      <c r="I1299" t="inlineStr">
        <is>
          <t>MANUTENÇÃO DE VEÍCULOS/MAQUINAS</t>
        </is>
      </c>
      <c r="J1299" t="n">
        <v>1802</v>
      </c>
      <c r="K1299" t="n">
        <v>-1802</v>
      </c>
    </row>
    <row r="1300" hidden="1" s="154">
      <c r="A1300" t="n">
        <v>2025</v>
      </c>
      <c r="B1300" t="inlineStr">
        <is>
          <t>2025-08</t>
        </is>
      </c>
      <c r="C1300" t="inlineStr">
        <is>
          <t>Pátio de Manutenção</t>
        </is>
      </c>
      <c r="D1300" t="inlineStr">
        <is>
          <t>LIEBHERR</t>
        </is>
      </c>
      <c r="E1300" t="inlineStr">
        <is>
          <t>EHL0013</t>
        </is>
      </c>
      <c r="F1300" t="inlineStr">
        <is>
          <t>EKIPA LOCACOES RSE</t>
        </is>
      </c>
      <c r="G1300" t="inlineStr">
        <is>
          <t>G&amp;S PRUDENTE</t>
        </is>
      </c>
      <c r="H1300" t="inlineStr">
        <is>
          <t>7.1.1</t>
        </is>
      </c>
      <c r="I1300" t="inlineStr">
        <is>
          <t>PEÇAS DE MANUTENÇÃO</t>
        </is>
      </c>
      <c r="J1300" t="n">
        <v>712.98</v>
      </c>
      <c r="K1300" t="n">
        <v>-712.98</v>
      </c>
    </row>
    <row r="1301" hidden="1" s="154">
      <c r="A1301" t="n">
        <v>2025</v>
      </c>
      <c r="B1301" t="inlineStr">
        <is>
          <t>2025-09</t>
        </is>
      </c>
      <c r="C1301" t="inlineStr">
        <is>
          <t>Pátio de Manutenção</t>
        </is>
      </c>
      <c r="D1301" t="inlineStr">
        <is>
          <t>LIEBHERR</t>
        </is>
      </c>
      <c r="E1301" t="inlineStr">
        <is>
          <t>EHL0013</t>
        </is>
      </c>
      <c r="F1301" t="inlineStr">
        <is>
          <t>EKIPA LOCACOES RSE</t>
        </is>
      </c>
      <c r="G1301" t="inlineStr">
        <is>
          <t>G&amp;S PRUDENTE</t>
        </is>
      </c>
      <c r="H1301" t="inlineStr">
        <is>
          <t>7.1.18</t>
        </is>
      </c>
      <c r="I1301" t="inlineStr">
        <is>
          <t>FRETES E CARRETOS</t>
        </is>
      </c>
      <c r="J1301" t="n">
        <v>146.99</v>
      </c>
      <c r="K1301" t="n">
        <v>-146.99</v>
      </c>
    </row>
    <row r="1302" hidden="1" s="154">
      <c r="A1302" t="n">
        <v>2025</v>
      </c>
      <c r="B1302" t="inlineStr">
        <is>
          <t>2025-09</t>
        </is>
      </c>
      <c r="C1302" t="inlineStr">
        <is>
          <t>Pátio de Manutenção</t>
        </is>
      </c>
      <c r="D1302" t="inlineStr">
        <is>
          <t>LIEBHERR</t>
        </is>
      </c>
      <c r="E1302" t="inlineStr">
        <is>
          <t>EHL0013</t>
        </is>
      </c>
      <c r="F1302" t="inlineStr">
        <is>
          <t>EKIPA LOCACOES RSE</t>
        </is>
      </c>
      <c r="G1302" t="inlineStr">
        <is>
          <t>G&amp;S PRUDENTE</t>
        </is>
      </c>
      <c r="H1302" t="inlineStr">
        <is>
          <t>7.1.2</t>
        </is>
      </c>
      <c r="I1302" t="inlineStr">
        <is>
          <t>MANUTENÇÃO DE VEÍCULOS/MAQUINAS</t>
        </is>
      </c>
      <c r="J1302" t="n">
        <v>8515.66</v>
      </c>
      <c r="K1302" t="n">
        <v>-8515.66</v>
      </c>
    </row>
    <row r="1303" hidden="1" s="154">
      <c r="A1303" t="n">
        <v>2025</v>
      </c>
      <c r="B1303" t="inlineStr">
        <is>
          <t>2025-11</t>
        </is>
      </c>
      <c r="C1303" t="inlineStr">
        <is>
          <t>Pátio de Manutenção</t>
        </is>
      </c>
      <c r="D1303" t="inlineStr">
        <is>
          <t>LIEBHERR</t>
        </is>
      </c>
      <c r="E1303" t="inlineStr">
        <is>
          <t>EHL0013</t>
        </is>
      </c>
      <c r="F1303" t="inlineStr">
        <is>
          <t>EKIPA LOCACOES RSE</t>
        </is>
      </c>
      <c r="G1303" t="inlineStr">
        <is>
          <t>G&amp;S PRUDENTE</t>
        </is>
      </c>
      <c r="H1303" t="inlineStr">
        <is>
          <t>7.1.2</t>
        </is>
      </c>
      <c r="I1303" t="inlineStr">
        <is>
          <t>MANUTENÇÃO DE VEÍCULOS/MAQUINAS</t>
        </is>
      </c>
      <c r="J1303" t="n">
        <v>34.73</v>
      </c>
      <c r="K1303" t="n">
        <v>-34.73</v>
      </c>
    </row>
    <row r="1304" hidden="1" s="154">
      <c r="A1304" t="n">
        <v>2025</v>
      </c>
      <c r="B1304" t="inlineStr">
        <is>
          <t>2025-11</t>
        </is>
      </c>
      <c r="C1304" t="inlineStr">
        <is>
          <t>Pátio de Manutenção</t>
        </is>
      </c>
      <c r="D1304" t="inlineStr">
        <is>
          <t>LIEBHERR</t>
        </is>
      </c>
      <c r="E1304" t="inlineStr">
        <is>
          <t>EHL0013</t>
        </is>
      </c>
      <c r="F1304" t="inlineStr">
        <is>
          <t>EKIPA LOCACOES RSE</t>
        </is>
      </c>
      <c r="G1304" t="inlineStr">
        <is>
          <t>G&amp;S PRUDENTE</t>
        </is>
      </c>
      <c r="H1304" t="inlineStr">
        <is>
          <t>7.1.2</t>
        </is>
      </c>
      <c r="I1304" t="inlineStr">
        <is>
          <t>MANUTENÇÃO DE VEÍCULOS/MAQUINAS</t>
        </is>
      </c>
      <c r="J1304" t="n">
        <v>381.46</v>
      </c>
      <c r="K1304" t="n">
        <v>-381.46</v>
      </c>
    </row>
    <row r="1305" hidden="1" s="154">
      <c r="A1305" t="n">
        <v>2026</v>
      </c>
      <c r="B1305" t="inlineStr">
        <is>
          <t>2026-01</t>
        </is>
      </c>
      <c r="C1305" t="inlineStr">
        <is>
          <t>Pátio de Manutenção</t>
        </is>
      </c>
      <c r="D1305" t="inlineStr">
        <is>
          <t>LIEBHERR</t>
        </is>
      </c>
      <c r="E1305" t="inlineStr">
        <is>
          <t>EHL0013</t>
        </is>
      </c>
      <c r="F1305" t="inlineStr">
        <is>
          <t>EKIPA LOCACOES RSE</t>
        </is>
      </c>
      <c r="G1305" t="inlineStr">
        <is>
          <t>G&amp;S PRUDENTE</t>
        </is>
      </c>
      <c r="H1305" t="inlineStr">
        <is>
          <t>7.1.2</t>
        </is>
      </c>
      <c r="I1305" t="inlineStr">
        <is>
          <t>MANUTENÇÃO DE VEÍCULOS/MAQUINAS</t>
        </is>
      </c>
      <c r="J1305" t="n">
        <v>1350</v>
      </c>
      <c r="K1305" t="n">
        <v>-1350</v>
      </c>
    </row>
    <row r="1306" hidden="1" s="154">
      <c r="A1306" t="n">
        <v>2026</v>
      </c>
      <c r="B1306" t="inlineStr">
        <is>
          <t>2026-03</t>
        </is>
      </c>
      <c r="C1306" t="inlineStr">
        <is>
          <t>Pátio de Manutenção</t>
        </is>
      </c>
      <c r="D1306" t="inlineStr">
        <is>
          <t>LIEBHERR</t>
        </is>
      </c>
      <c r="E1306" t="inlineStr">
        <is>
          <t>EHL0013</t>
        </is>
      </c>
      <c r="F1306" t="inlineStr">
        <is>
          <t>EKIPA LOCACOES RSE</t>
        </is>
      </c>
      <c r="G1306" t="inlineStr">
        <is>
          <t>G&amp;S PRUDENTE</t>
        </is>
      </c>
      <c r="H1306" t="inlineStr">
        <is>
          <t>7.1.2</t>
        </is>
      </c>
      <c r="I1306" t="inlineStr">
        <is>
          <t>MANUTENÇÃO DE VEÍCULOS/MAQUINAS</t>
        </is>
      </c>
      <c r="J1306" t="n">
        <v>1330.02</v>
      </c>
      <c r="K1306" t="n">
        <v>-1330.02</v>
      </c>
    </row>
    <row r="1307" hidden="1" s="154">
      <c r="A1307" t="n">
        <v>2025</v>
      </c>
      <c r="B1307" t="inlineStr">
        <is>
          <t>2025-02</t>
        </is>
      </c>
      <c r="C1307" t="inlineStr">
        <is>
          <t>Pátio de Manutenção</t>
        </is>
      </c>
      <c r="D1307" t="inlineStr">
        <is>
          <t>LIEBHERR</t>
        </is>
      </c>
      <c r="E1307" t="inlineStr">
        <is>
          <t>EHL0014</t>
        </is>
      </c>
      <c r="F1307" t="inlineStr">
        <is>
          <t>SELETIVA</t>
        </is>
      </c>
      <c r="G1307" t="inlineStr">
        <is>
          <t>G&amp;G MATRIZ</t>
        </is>
      </c>
      <c r="H1307" t="inlineStr">
        <is>
          <t>7.1.4</t>
        </is>
      </c>
      <c r="I1307" t="inlineStr">
        <is>
          <t>COMBUSTÍVEL - DIESEL (POSTO)</t>
        </is>
      </c>
      <c r="J1307" t="n">
        <v>680</v>
      </c>
      <c r="K1307" t="n">
        <v>680</v>
      </c>
    </row>
    <row r="1308" hidden="1" s="154">
      <c r="A1308" t="n">
        <v>2025</v>
      </c>
      <c r="B1308" t="inlineStr">
        <is>
          <t>2025-02</t>
        </is>
      </c>
      <c r="C1308" t="inlineStr">
        <is>
          <t>Pátio de Manutenção</t>
        </is>
      </c>
      <c r="D1308" t="inlineStr">
        <is>
          <t>LIEBHERR</t>
        </is>
      </c>
      <c r="E1308" t="inlineStr">
        <is>
          <t>EHL0014</t>
        </is>
      </c>
      <c r="F1308" t="inlineStr">
        <is>
          <t>SELETIVA</t>
        </is>
      </c>
      <c r="G1308" t="inlineStr">
        <is>
          <t>G&amp;G MATRIZ</t>
        </is>
      </c>
      <c r="H1308" t="inlineStr">
        <is>
          <t>7.1.18</t>
        </is>
      </c>
      <c r="I1308" t="inlineStr">
        <is>
          <t>FRETES E CARRETOS</t>
        </is>
      </c>
      <c r="J1308" t="n">
        <v>45.02</v>
      </c>
      <c r="K1308" t="n">
        <v>45.02</v>
      </c>
    </row>
    <row r="1309" hidden="1" s="154">
      <c r="A1309" t="n">
        <v>2025</v>
      </c>
      <c r="B1309" t="inlineStr">
        <is>
          <t>2025-06</t>
        </is>
      </c>
      <c r="C1309" t="inlineStr">
        <is>
          <t>Pátio de Manutenção</t>
        </is>
      </c>
      <c r="D1309" t="inlineStr">
        <is>
          <t>LIEBHERR</t>
        </is>
      </c>
      <c r="E1309" t="inlineStr">
        <is>
          <t>EHL0014</t>
        </is>
      </c>
      <c r="F1309" t="inlineStr">
        <is>
          <t>EKIPA LOCACOES RSE</t>
        </is>
      </c>
      <c r="G1309" t="inlineStr">
        <is>
          <t>G&amp;S PRUDENTE</t>
        </is>
      </c>
      <c r="H1309" t="inlineStr">
        <is>
          <t>7.1.2</t>
        </is>
      </c>
      <c r="I1309" t="inlineStr">
        <is>
          <t>MANUTENÇÃO DE VEÍCULOS/MAQUINAS</t>
        </is>
      </c>
      <c r="J1309" t="n">
        <v>2872</v>
      </c>
      <c r="K1309" t="n">
        <v>-2872</v>
      </c>
    </row>
    <row r="1310" hidden="1" s="154">
      <c r="A1310" t="n">
        <v>2025</v>
      </c>
      <c r="B1310" t="inlineStr">
        <is>
          <t>2025-06</t>
        </is>
      </c>
      <c r="C1310" t="inlineStr">
        <is>
          <t>Pátio de Manutenção</t>
        </is>
      </c>
      <c r="D1310" t="inlineStr">
        <is>
          <t>LIEBHERR</t>
        </is>
      </c>
      <c r="E1310" t="inlineStr">
        <is>
          <t>EHL0014</t>
        </is>
      </c>
      <c r="F1310" t="inlineStr">
        <is>
          <t>EKIPA LOCACOES RSE</t>
        </is>
      </c>
      <c r="G1310" t="inlineStr">
        <is>
          <t>G3S PRUDENTE</t>
        </is>
      </c>
      <c r="H1310" t="inlineStr">
        <is>
          <t>7.1.2</t>
        </is>
      </c>
      <c r="I1310" t="inlineStr">
        <is>
          <t>MANUTENÇÃO DE VEÍCULOS/MAQUINAS</t>
        </is>
      </c>
      <c r="J1310" t="n">
        <v>100</v>
      </c>
      <c r="K1310" t="n">
        <v>-100</v>
      </c>
    </row>
    <row r="1311" hidden="1" s="154">
      <c r="A1311" t="n">
        <v>2025</v>
      </c>
      <c r="B1311" t="inlineStr">
        <is>
          <t>2025-06</t>
        </is>
      </c>
      <c r="C1311" t="inlineStr">
        <is>
          <t>Pátio de Manutenção</t>
        </is>
      </c>
      <c r="D1311" t="inlineStr">
        <is>
          <t>LIEBHERR</t>
        </is>
      </c>
      <c r="E1311" t="inlineStr">
        <is>
          <t>EHL0014</t>
        </is>
      </c>
      <c r="F1311" t="inlineStr">
        <is>
          <t>EKIPA LOCACOES RSE</t>
        </is>
      </c>
      <c r="G1311" t="inlineStr">
        <is>
          <t>G&amp;S PRUDENTE</t>
        </is>
      </c>
      <c r="H1311" t="inlineStr">
        <is>
          <t>7.1.2</t>
        </is>
      </c>
      <c r="I1311" t="inlineStr">
        <is>
          <t>MANUTENÇÃO DE VEÍCULOS/MAQUINAS</t>
        </is>
      </c>
      <c r="J1311" t="n">
        <v>850</v>
      </c>
      <c r="K1311" t="n">
        <v>-850</v>
      </c>
    </row>
    <row r="1312" hidden="1" s="154">
      <c r="A1312" t="n">
        <v>2025</v>
      </c>
      <c r="B1312" t="inlineStr">
        <is>
          <t>2025-06</t>
        </is>
      </c>
      <c r="C1312" t="inlineStr">
        <is>
          <t>Pátio de Manutenção</t>
        </is>
      </c>
      <c r="D1312" t="inlineStr">
        <is>
          <t>LIEBHERR</t>
        </is>
      </c>
      <c r="E1312" t="inlineStr">
        <is>
          <t>EHL0014</t>
        </is>
      </c>
      <c r="F1312" t="inlineStr">
        <is>
          <t>EKIPA LOCACOES RSE</t>
        </is>
      </c>
      <c r="G1312" t="inlineStr">
        <is>
          <t>CTA</t>
        </is>
      </c>
      <c r="H1312" t="inlineStr">
        <is>
          <t>7.1.22</t>
        </is>
      </c>
      <c r="I1312" t="inlineStr">
        <is>
          <t>COMBUSTÍVEL - DIESEL (INTERNO)</t>
        </is>
      </c>
      <c r="J1312" t="n">
        <v>7988.46</v>
      </c>
      <c r="K1312" t="n">
        <v>-7988.46</v>
      </c>
    </row>
    <row r="1313" hidden="1" s="154">
      <c r="A1313" t="n">
        <v>2025</v>
      </c>
      <c r="B1313" t="inlineStr">
        <is>
          <t>2025-07</t>
        </is>
      </c>
      <c r="C1313" t="inlineStr">
        <is>
          <t>Pátio de Manutenção</t>
        </is>
      </c>
      <c r="D1313" t="inlineStr">
        <is>
          <t>LIEBHERR</t>
        </is>
      </c>
      <c r="E1313" t="inlineStr">
        <is>
          <t>EHL0014</t>
        </is>
      </c>
      <c r="F1313" t="inlineStr">
        <is>
          <t>EKIPA LOCACOES RSE</t>
        </is>
      </c>
      <c r="G1313" t="inlineStr">
        <is>
          <t>G&amp;S PRUDENTE</t>
        </is>
      </c>
      <c r="H1313" t="inlineStr">
        <is>
          <t>7.1.18</t>
        </is>
      </c>
      <c r="I1313" t="inlineStr">
        <is>
          <t>FRETES E CARRETOS</t>
        </is>
      </c>
      <c r="J1313" t="n">
        <v>36.99</v>
      </c>
      <c r="K1313" t="n">
        <v>-36.99</v>
      </c>
    </row>
    <row r="1314" hidden="1" s="154">
      <c r="A1314" t="n">
        <v>2025</v>
      </c>
      <c r="B1314" t="inlineStr">
        <is>
          <t>2025-07</t>
        </is>
      </c>
      <c r="C1314" t="inlineStr">
        <is>
          <t>Pátio de Manutenção</t>
        </is>
      </c>
      <c r="D1314" t="inlineStr">
        <is>
          <t>LIEBHERR</t>
        </is>
      </c>
      <c r="E1314" t="inlineStr">
        <is>
          <t>EHL0014</t>
        </is>
      </c>
      <c r="F1314" t="inlineStr">
        <is>
          <t>EKIPA LOCACOES RSE</t>
        </is>
      </c>
      <c r="G1314" t="inlineStr">
        <is>
          <t>G&amp;S PRUDENTE</t>
        </is>
      </c>
      <c r="H1314" t="inlineStr">
        <is>
          <t>7.1.2</t>
        </is>
      </c>
      <c r="I1314" t="inlineStr">
        <is>
          <t>MANUTENÇÃO DE VEÍCULOS/MAQUINAS</t>
        </is>
      </c>
      <c r="J1314" t="n">
        <v>29.15</v>
      </c>
      <c r="K1314" t="n">
        <v>-29.15</v>
      </c>
    </row>
    <row r="1315" hidden="1" s="154">
      <c r="A1315" t="n">
        <v>2025</v>
      </c>
      <c r="B1315" t="inlineStr">
        <is>
          <t>2025-07</t>
        </is>
      </c>
      <c r="C1315" t="inlineStr">
        <is>
          <t>Pátio de Manutenção</t>
        </is>
      </c>
      <c r="D1315" t="inlineStr">
        <is>
          <t>LIEBHERR</t>
        </is>
      </c>
      <c r="E1315" t="inlineStr">
        <is>
          <t>EHL0014</t>
        </is>
      </c>
      <c r="F1315" t="inlineStr">
        <is>
          <t>EKIPA LOCACOES RSE</t>
        </is>
      </c>
      <c r="G1315" t="inlineStr">
        <is>
          <t>G&amp;S PRUDENTE</t>
        </is>
      </c>
      <c r="H1315" t="inlineStr">
        <is>
          <t>7.1.2</t>
        </is>
      </c>
      <c r="I1315" t="inlineStr">
        <is>
          <t>MANUTENÇÃO DE VEÍCULOS/MAQUINAS</t>
        </is>
      </c>
      <c r="J1315" t="n">
        <v>29.15</v>
      </c>
      <c r="K1315" t="n">
        <v>-29.15</v>
      </c>
    </row>
    <row r="1316" hidden="1" s="154">
      <c r="A1316" t="n">
        <v>2025</v>
      </c>
      <c r="B1316" t="inlineStr">
        <is>
          <t>2025-07</t>
        </is>
      </c>
      <c r="C1316" t="inlineStr">
        <is>
          <t>Pátio de Manutenção</t>
        </is>
      </c>
      <c r="D1316" t="inlineStr">
        <is>
          <t>LIEBHERR</t>
        </is>
      </c>
      <c r="E1316" t="inlineStr">
        <is>
          <t>EHL0014</t>
        </is>
      </c>
      <c r="F1316" t="inlineStr">
        <is>
          <t>EKIPA LOCACOES RSE</t>
        </is>
      </c>
      <c r="G1316" t="inlineStr">
        <is>
          <t>G&amp;S PRUDENTE</t>
        </is>
      </c>
      <c r="H1316" t="inlineStr">
        <is>
          <t>7.1.2</t>
        </is>
      </c>
      <c r="I1316" t="inlineStr">
        <is>
          <t>MANUTENÇÃO DE VEÍCULOS/MAQUINAS</t>
        </is>
      </c>
      <c r="J1316" t="n">
        <v>6.8</v>
      </c>
      <c r="K1316" t="n">
        <v>-6.8</v>
      </c>
    </row>
    <row r="1317" hidden="1" s="154">
      <c r="A1317" t="n">
        <v>2025</v>
      </c>
      <c r="B1317" t="inlineStr">
        <is>
          <t>2025-07</t>
        </is>
      </c>
      <c r="C1317" t="inlineStr">
        <is>
          <t>Pátio de Manutenção</t>
        </is>
      </c>
      <c r="D1317" t="inlineStr">
        <is>
          <t>LIEBHERR</t>
        </is>
      </c>
      <c r="E1317" t="inlineStr">
        <is>
          <t>EHL0014</t>
        </is>
      </c>
      <c r="F1317" t="inlineStr">
        <is>
          <t>EKIPA LOCACOES RSE</t>
        </is>
      </c>
      <c r="G1317" t="inlineStr">
        <is>
          <t>G&amp;S PRUDENTE</t>
        </is>
      </c>
      <c r="H1317" t="inlineStr">
        <is>
          <t>7.1.2</t>
        </is>
      </c>
      <c r="I1317" t="inlineStr">
        <is>
          <t>MANUTENÇÃO DE VEÍCULOS/MAQUINAS</t>
        </is>
      </c>
      <c r="J1317" t="n">
        <v>1490</v>
      </c>
      <c r="K1317" t="n">
        <v>-1490</v>
      </c>
    </row>
    <row r="1318" hidden="1" s="154">
      <c r="A1318" t="n">
        <v>2025</v>
      </c>
      <c r="B1318" t="inlineStr">
        <is>
          <t>2025-07</t>
        </is>
      </c>
      <c r="C1318" t="inlineStr">
        <is>
          <t>Pátio de Manutenção</t>
        </is>
      </c>
      <c r="D1318" t="inlineStr">
        <is>
          <t>LIEBHERR</t>
        </is>
      </c>
      <c r="E1318" t="inlineStr">
        <is>
          <t>EHL0014</t>
        </is>
      </c>
      <c r="F1318" t="inlineStr">
        <is>
          <t>EKIPA LOCACOES RSE</t>
        </is>
      </c>
      <c r="G1318" t="inlineStr">
        <is>
          <t>G&amp;S PRUDENTE</t>
        </is>
      </c>
      <c r="H1318" t="inlineStr">
        <is>
          <t>7.1.2</t>
        </is>
      </c>
      <c r="I1318" t="inlineStr">
        <is>
          <t>MANUTENÇÃO DE VEÍCULOS/MAQUINAS</t>
        </is>
      </c>
      <c r="J1318" t="n">
        <v>367.46</v>
      </c>
      <c r="K1318" t="n">
        <v>-367.46</v>
      </c>
    </row>
    <row r="1319" hidden="1" s="154">
      <c r="A1319" t="n">
        <v>2025</v>
      </c>
      <c r="B1319" t="inlineStr">
        <is>
          <t>2025-07</t>
        </is>
      </c>
      <c r="C1319" t="inlineStr">
        <is>
          <t>Pátio de Manutenção</t>
        </is>
      </c>
      <c r="D1319" t="inlineStr">
        <is>
          <t>LIEBHERR</t>
        </is>
      </c>
      <c r="E1319" t="inlineStr">
        <is>
          <t>EHL0014</t>
        </is>
      </c>
      <c r="F1319" t="inlineStr">
        <is>
          <t>EKIPA LOCACOES RSE</t>
        </is>
      </c>
      <c r="G1319" t="inlineStr">
        <is>
          <t>G&amp;S PRUDENTE</t>
        </is>
      </c>
      <c r="H1319" t="inlineStr">
        <is>
          <t>7.1.2</t>
        </is>
      </c>
      <c r="I1319" t="inlineStr">
        <is>
          <t>MANUTENÇÃO DE VEÍCULOS/MAQUINAS</t>
        </is>
      </c>
      <c r="J1319" t="n">
        <v>300.73</v>
      </c>
      <c r="K1319" t="n">
        <v>-300.73</v>
      </c>
    </row>
    <row r="1320" hidden="1" s="154">
      <c r="A1320" t="n">
        <v>2025</v>
      </c>
      <c r="B1320" t="inlineStr">
        <is>
          <t>2025-07</t>
        </is>
      </c>
      <c r="C1320" t="inlineStr">
        <is>
          <t>Pátio de Manutenção</t>
        </is>
      </c>
      <c r="D1320" t="inlineStr">
        <is>
          <t>LIEBHERR</t>
        </is>
      </c>
      <c r="E1320" t="inlineStr">
        <is>
          <t>EHL0014</t>
        </is>
      </c>
      <c r="F1320" t="inlineStr">
        <is>
          <t>EKIPA LOCACOES RSE</t>
        </is>
      </c>
      <c r="G1320" t="inlineStr">
        <is>
          <t>G&amp;S PRUDENTE</t>
        </is>
      </c>
      <c r="H1320" t="inlineStr">
        <is>
          <t>7.1.2</t>
        </is>
      </c>
      <c r="I1320" t="inlineStr">
        <is>
          <t>MANUTENÇÃO DE VEÍCULOS/MAQUINAS</t>
        </is>
      </c>
      <c r="J1320" t="n">
        <v>150</v>
      </c>
      <c r="K1320" t="n">
        <v>-150</v>
      </c>
    </row>
    <row r="1321" hidden="1" s="154">
      <c r="A1321" t="n">
        <v>2025</v>
      </c>
      <c r="B1321" t="inlineStr">
        <is>
          <t>2025-07</t>
        </is>
      </c>
      <c r="C1321" t="inlineStr">
        <is>
          <t>Pátio de Manutenção</t>
        </is>
      </c>
      <c r="D1321" t="inlineStr">
        <is>
          <t>LIEBHERR</t>
        </is>
      </c>
      <c r="E1321" t="inlineStr">
        <is>
          <t>EHL0014</t>
        </is>
      </c>
      <c r="F1321" t="inlineStr">
        <is>
          <t>EKIPA LOCACOES RSE</t>
        </is>
      </c>
      <c r="G1321" t="inlineStr">
        <is>
          <t>G&amp;S PRUDENTE</t>
        </is>
      </c>
      <c r="H1321" t="inlineStr">
        <is>
          <t>7.1.2</t>
        </is>
      </c>
      <c r="I1321" t="inlineStr">
        <is>
          <t>MANUTENÇÃO DE VEÍCULOS/MAQUINAS</t>
        </is>
      </c>
      <c r="J1321" t="n">
        <v>200</v>
      </c>
      <c r="K1321" t="n">
        <v>-200</v>
      </c>
    </row>
    <row r="1322" hidden="1" s="154">
      <c r="A1322" t="n">
        <v>2025</v>
      </c>
      <c r="B1322" t="inlineStr">
        <is>
          <t>2025-07</t>
        </is>
      </c>
      <c r="C1322" t="inlineStr">
        <is>
          <t>Pátio de Manutenção</t>
        </is>
      </c>
      <c r="D1322" t="inlineStr">
        <is>
          <t>LIEBHERR</t>
        </is>
      </c>
      <c r="E1322" t="inlineStr">
        <is>
          <t>EHL0014</t>
        </is>
      </c>
      <c r="F1322" t="inlineStr">
        <is>
          <t>EKIPA LOCACOES RSE</t>
        </is>
      </c>
      <c r="G1322" t="inlineStr">
        <is>
          <t>G&amp;S PRUDENTE</t>
        </is>
      </c>
      <c r="H1322" t="inlineStr">
        <is>
          <t>7.1.2</t>
        </is>
      </c>
      <c r="I1322" t="inlineStr">
        <is>
          <t>MANUTENÇÃO DE VEÍCULOS/MAQUINAS</t>
        </is>
      </c>
      <c r="J1322" t="n">
        <v>173</v>
      </c>
      <c r="K1322" t="n">
        <v>-173</v>
      </c>
    </row>
    <row r="1323" hidden="1" s="154">
      <c r="A1323" t="n">
        <v>2025</v>
      </c>
      <c r="B1323" t="inlineStr">
        <is>
          <t>2025-07</t>
        </is>
      </c>
      <c r="C1323" t="inlineStr">
        <is>
          <t>Pátio de Manutenção</t>
        </is>
      </c>
      <c r="D1323" t="inlineStr">
        <is>
          <t>LIEBHERR</t>
        </is>
      </c>
      <c r="E1323" t="inlineStr">
        <is>
          <t>EHL0014</t>
        </is>
      </c>
      <c r="F1323" t="inlineStr">
        <is>
          <t>EKIPA LOCACOES RSE</t>
        </is>
      </c>
      <c r="G1323" t="inlineStr">
        <is>
          <t>G&amp;S PRUDENTE</t>
        </is>
      </c>
      <c r="H1323" t="inlineStr">
        <is>
          <t>7.1.2</t>
        </is>
      </c>
      <c r="I1323" t="inlineStr">
        <is>
          <t>MANUTENÇÃO DE VEÍCULOS/MAQUINAS</t>
        </is>
      </c>
      <c r="J1323" t="n">
        <v>230</v>
      </c>
      <c r="K1323" t="n">
        <v>-230</v>
      </c>
    </row>
    <row r="1324" hidden="1" s="154">
      <c r="A1324" t="n">
        <v>2025</v>
      </c>
      <c r="B1324" t="inlineStr">
        <is>
          <t>2025-07</t>
        </is>
      </c>
      <c r="C1324" t="inlineStr">
        <is>
          <t>Pátio de Manutenção</t>
        </is>
      </c>
      <c r="D1324" t="inlineStr">
        <is>
          <t>LIEBHERR</t>
        </is>
      </c>
      <c r="E1324" t="inlineStr">
        <is>
          <t>EHL0014</t>
        </is>
      </c>
      <c r="F1324" t="inlineStr">
        <is>
          <t>EKIPA LOCACOES RSE</t>
        </is>
      </c>
      <c r="G1324" t="inlineStr">
        <is>
          <t>CTA</t>
        </is>
      </c>
      <c r="H1324" t="inlineStr">
        <is>
          <t>7.1.22</t>
        </is>
      </c>
      <c r="I1324" t="inlineStr">
        <is>
          <t>COMBUSTÍVEL - DIESEL (INTERNO)</t>
        </is>
      </c>
      <c r="J1324" t="n">
        <v>18743.16</v>
      </c>
      <c r="K1324" t="n">
        <v>-18743.16</v>
      </c>
    </row>
    <row r="1325" hidden="1" s="154">
      <c r="A1325" t="n">
        <v>2025</v>
      </c>
      <c r="B1325" t="inlineStr">
        <is>
          <t>2025-08</t>
        </is>
      </c>
      <c r="C1325" t="inlineStr">
        <is>
          <t>Pátio de Manutenção</t>
        </is>
      </c>
      <c r="D1325" t="inlineStr">
        <is>
          <t>LIEBHERR</t>
        </is>
      </c>
      <c r="E1325" t="inlineStr">
        <is>
          <t>EHL0014</t>
        </is>
      </c>
      <c r="F1325" t="inlineStr">
        <is>
          <t>EKIPA LOCACOES RSE</t>
        </is>
      </c>
      <c r="G1325" t="inlineStr">
        <is>
          <t>CTA</t>
        </is>
      </c>
      <c r="H1325" t="inlineStr">
        <is>
          <t>7.1.22</t>
        </is>
      </c>
      <c r="I1325" t="inlineStr">
        <is>
          <t>COMBUSTÍVEL - DIESEL (INTERNO)</t>
        </is>
      </c>
      <c r="J1325" t="n">
        <v>10338.23</v>
      </c>
      <c r="K1325" t="n">
        <v>-10338.23</v>
      </c>
    </row>
    <row r="1326" hidden="1" s="154">
      <c r="A1326" t="n">
        <v>2025</v>
      </c>
      <c r="B1326" t="inlineStr">
        <is>
          <t>2025-08</t>
        </is>
      </c>
      <c r="C1326" t="inlineStr">
        <is>
          <t>Pátio de Manutenção</t>
        </is>
      </c>
      <c r="D1326" t="inlineStr">
        <is>
          <t>LIEBHERR</t>
        </is>
      </c>
      <c r="E1326" t="inlineStr">
        <is>
          <t>EHL0014</t>
        </is>
      </c>
      <c r="F1326" t="inlineStr">
        <is>
          <t>SELETIVA</t>
        </is>
      </c>
      <c r="G1326" t="inlineStr">
        <is>
          <t>G&amp;S PRUDENTE</t>
        </is>
      </c>
      <c r="H1326" t="inlineStr">
        <is>
          <t>7.1.2</t>
        </is>
      </c>
      <c r="I1326" t="inlineStr">
        <is>
          <t>MANUTENÇÃO DE VEÍCULOS/MAQUINAS</t>
        </is>
      </c>
      <c r="J1326" t="n">
        <v>43.54</v>
      </c>
      <c r="K1326" t="n">
        <v>-43.54</v>
      </c>
    </row>
    <row r="1327" hidden="1" s="154">
      <c r="A1327" t="n">
        <v>2025</v>
      </c>
      <c r="B1327" t="inlineStr">
        <is>
          <t>2025-08</t>
        </is>
      </c>
      <c r="C1327" t="inlineStr">
        <is>
          <t>Pátio de Manutenção</t>
        </is>
      </c>
      <c r="D1327" t="inlineStr">
        <is>
          <t>LIEBHERR</t>
        </is>
      </c>
      <c r="E1327" t="inlineStr">
        <is>
          <t>EHL0014</t>
        </is>
      </c>
      <c r="F1327" t="inlineStr">
        <is>
          <t>EKIPA LOCACOES RSE</t>
        </is>
      </c>
      <c r="G1327" t="inlineStr">
        <is>
          <t>G&amp;S PRUDENTE</t>
        </is>
      </c>
      <c r="H1327" t="inlineStr">
        <is>
          <t>7.1.2</t>
        </is>
      </c>
      <c r="I1327" t="inlineStr">
        <is>
          <t>MANUTENÇÃO DE VEÍCULOS/MAQUINAS</t>
        </is>
      </c>
      <c r="J1327" t="n">
        <v>41.06</v>
      </c>
      <c r="K1327" t="n">
        <v>-41.06</v>
      </c>
    </row>
    <row r="1328" hidden="1" s="154">
      <c r="A1328" t="n">
        <v>2025</v>
      </c>
      <c r="B1328" t="inlineStr">
        <is>
          <t>2025-08</t>
        </is>
      </c>
      <c r="C1328" t="inlineStr">
        <is>
          <t>Pátio de Manutenção</t>
        </is>
      </c>
      <c r="D1328" t="inlineStr">
        <is>
          <t>LIEBHERR</t>
        </is>
      </c>
      <c r="E1328" t="inlineStr">
        <is>
          <t>EHL0014</t>
        </is>
      </c>
      <c r="F1328" t="inlineStr">
        <is>
          <t>EKIPA LOCACOES RSE</t>
        </is>
      </c>
      <c r="G1328" t="inlineStr">
        <is>
          <t>G&amp;S PRUDENTE</t>
        </is>
      </c>
      <c r="H1328" t="inlineStr">
        <is>
          <t>7.1.2</t>
        </is>
      </c>
      <c r="I1328" t="inlineStr">
        <is>
          <t>MANUTENÇÃO DE VEÍCULOS/MAQUINAS</t>
        </is>
      </c>
      <c r="J1328" t="n">
        <v>430.9</v>
      </c>
      <c r="K1328" t="n">
        <v>-430.9</v>
      </c>
    </row>
    <row r="1329" hidden="1" s="154">
      <c r="A1329" t="n">
        <v>2025</v>
      </c>
      <c r="B1329" t="inlineStr">
        <is>
          <t>2025-08</t>
        </is>
      </c>
      <c r="C1329" t="inlineStr">
        <is>
          <t>Pátio de Manutenção</t>
        </is>
      </c>
      <c r="D1329" t="inlineStr">
        <is>
          <t>LIEBHERR</t>
        </is>
      </c>
      <c r="E1329" t="inlineStr">
        <is>
          <t>EHL0014</t>
        </is>
      </c>
      <c r="F1329" t="inlineStr">
        <is>
          <t>EKIPA LOCACOES RSE</t>
        </is>
      </c>
      <c r="G1329" t="inlineStr">
        <is>
          <t>G&amp;S PRUDENTE</t>
        </is>
      </c>
      <c r="H1329" t="inlineStr">
        <is>
          <t>7.1.2</t>
        </is>
      </c>
      <c r="I1329" t="inlineStr">
        <is>
          <t>MANUTENÇÃO DE VEÍCULOS/MAQUINAS</t>
        </is>
      </c>
      <c r="J1329" t="n">
        <v>2765</v>
      </c>
      <c r="K1329" t="n">
        <v>-2765</v>
      </c>
    </row>
    <row r="1330" hidden="1" s="154">
      <c r="A1330" t="n">
        <v>2025</v>
      </c>
      <c r="B1330" t="inlineStr">
        <is>
          <t>2025-08</t>
        </is>
      </c>
      <c r="C1330" t="inlineStr">
        <is>
          <t>Pátio de Manutenção</t>
        </is>
      </c>
      <c r="D1330" t="inlineStr">
        <is>
          <t>LIEBHERR</t>
        </is>
      </c>
      <c r="E1330" t="inlineStr">
        <is>
          <t>EHL0014</t>
        </is>
      </c>
      <c r="F1330" t="inlineStr">
        <is>
          <t>EKIPA LOCACOES RSE</t>
        </is>
      </c>
      <c r="G1330" t="inlineStr">
        <is>
          <t>G&amp;S PRUDENTE</t>
        </is>
      </c>
      <c r="H1330" t="inlineStr">
        <is>
          <t>7.1.2</t>
        </is>
      </c>
      <c r="I1330" t="inlineStr">
        <is>
          <t>MANUTENÇÃO DE VEÍCULOS/MAQUINAS</t>
        </is>
      </c>
      <c r="J1330" t="n">
        <v>141.23</v>
      </c>
      <c r="K1330" t="n">
        <v>-141.23</v>
      </c>
    </row>
    <row r="1331" hidden="1" s="154">
      <c r="A1331" t="n">
        <v>2025</v>
      </c>
      <c r="B1331" t="inlineStr">
        <is>
          <t>2025-08</t>
        </is>
      </c>
      <c r="C1331" t="inlineStr">
        <is>
          <t>Pátio de Manutenção</t>
        </is>
      </c>
      <c r="D1331" t="inlineStr">
        <is>
          <t>LIEBHERR</t>
        </is>
      </c>
      <c r="E1331" t="inlineStr">
        <is>
          <t>EHL0014</t>
        </is>
      </c>
      <c r="F1331" t="inlineStr">
        <is>
          <t>EKIPA LOCACOES RSE</t>
        </is>
      </c>
      <c r="G1331" t="inlineStr">
        <is>
          <t>G&amp;S PRUDENTE</t>
        </is>
      </c>
      <c r="H1331" t="inlineStr">
        <is>
          <t>7.1.2</t>
        </is>
      </c>
      <c r="I1331" t="inlineStr">
        <is>
          <t>MANUTENÇÃO DE VEÍCULOS/MAQUINAS</t>
        </is>
      </c>
      <c r="J1331" t="n">
        <v>37.64</v>
      </c>
      <c r="K1331" t="n">
        <v>-37.64</v>
      </c>
    </row>
    <row r="1332" hidden="1" s="154">
      <c r="A1332" t="n">
        <v>2025</v>
      </c>
      <c r="B1332" t="inlineStr">
        <is>
          <t>2025-08</t>
        </is>
      </c>
      <c r="C1332" t="inlineStr">
        <is>
          <t>Pátio de Manutenção</t>
        </is>
      </c>
      <c r="D1332" t="inlineStr">
        <is>
          <t>LIEBHERR</t>
        </is>
      </c>
      <c r="E1332" t="inlineStr">
        <is>
          <t>EHL0014</t>
        </is>
      </c>
      <c r="F1332" t="inlineStr">
        <is>
          <t>EKIPA LOCACOES RSE</t>
        </is>
      </c>
      <c r="G1332" t="inlineStr">
        <is>
          <t>G&amp;S PRUDENTE</t>
        </is>
      </c>
      <c r="H1332" t="inlineStr">
        <is>
          <t>7.1.2</t>
        </is>
      </c>
      <c r="I1332" t="inlineStr">
        <is>
          <t>MANUTENÇÃO DE VEÍCULOS/MAQUINAS</t>
        </is>
      </c>
      <c r="J1332" t="n">
        <v>135.72</v>
      </c>
      <c r="K1332" t="n">
        <v>-135.72</v>
      </c>
    </row>
    <row r="1333" hidden="1" s="154">
      <c r="A1333" t="n">
        <v>2025</v>
      </c>
      <c r="B1333" t="inlineStr">
        <is>
          <t>2025-08</t>
        </is>
      </c>
      <c r="C1333" t="inlineStr">
        <is>
          <t>Pátio de Manutenção</t>
        </is>
      </c>
      <c r="D1333" t="inlineStr">
        <is>
          <t>LIEBHERR</t>
        </is>
      </c>
      <c r="E1333" t="inlineStr">
        <is>
          <t>EHL0014</t>
        </is>
      </c>
      <c r="F1333" t="inlineStr">
        <is>
          <t>EKIPA LOCACOES RSE</t>
        </is>
      </c>
      <c r="G1333" t="inlineStr">
        <is>
          <t>G&amp;S PRUDENTE</t>
        </is>
      </c>
      <c r="H1333" t="inlineStr">
        <is>
          <t>7.1.2</t>
        </is>
      </c>
      <c r="I1333" t="inlineStr">
        <is>
          <t>MANUTENÇÃO DE VEÍCULOS/MAQUINAS</t>
        </is>
      </c>
      <c r="J1333" t="n">
        <v>800</v>
      </c>
      <c r="K1333" t="n">
        <v>-800</v>
      </c>
    </row>
    <row r="1334" hidden="1" s="154">
      <c r="A1334" t="n">
        <v>2025</v>
      </c>
      <c r="B1334" t="inlineStr">
        <is>
          <t>2025-08</t>
        </is>
      </c>
      <c r="C1334" t="inlineStr">
        <is>
          <t>Pátio de Manutenção</t>
        </is>
      </c>
      <c r="D1334" t="inlineStr">
        <is>
          <t>LIEBHERR</t>
        </is>
      </c>
      <c r="E1334" t="inlineStr">
        <is>
          <t>EHL0014</t>
        </is>
      </c>
      <c r="F1334" t="inlineStr">
        <is>
          <t>EKIPA LOCACOES RSE</t>
        </is>
      </c>
      <c r="G1334" t="inlineStr">
        <is>
          <t>G&amp;S PRUDENTE</t>
        </is>
      </c>
      <c r="H1334" t="inlineStr">
        <is>
          <t>7.1.2</t>
        </is>
      </c>
      <c r="I1334" t="inlineStr">
        <is>
          <t>MANUTENÇÃO DE VEÍCULOS/MAQUINAS</t>
        </is>
      </c>
      <c r="J1334" t="n">
        <v>462.5</v>
      </c>
      <c r="K1334" t="n">
        <v>-462.5</v>
      </c>
    </row>
    <row r="1335" hidden="1" s="154">
      <c r="A1335" t="n">
        <v>2025</v>
      </c>
      <c r="B1335" t="inlineStr">
        <is>
          <t>2025-08</t>
        </is>
      </c>
      <c r="C1335" t="inlineStr">
        <is>
          <t>Pátio de Manutenção</t>
        </is>
      </c>
      <c r="D1335" t="inlineStr">
        <is>
          <t>LIEBHERR</t>
        </is>
      </c>
      <c r="E1335" t="inlineStr">
        <is>
          <t>EHL0014</t>
        </is>
      </c>
      <c r="F1335" t="inlineStr">
        <is>
          <t>SELETIVA</t>
        </is>
      </c>
      <c r="G1335" t="inlineStr">
        <is>
          <t>G&amp;S PRUDENTE</t>
        </is>
      </c>
      <c r="H1335" t="inlineStr">
        <is>
          <t>7.1.2</t>
        </is>
      </c>
      <c r="I1335" t="inlineStr">
        <is>
          <t>MANUTENÇÃO DE VEÍCULOS/MAQUINAS</t>
        </is>
      </c>
      <c r="J1335" t="n">
        <v>6</v>
      </c>
      <c r="K1335" t="n">
        <v>-6</v>
      </c>
    </row>
    <row r="1336" hidden="1" s="154">
      <c r="A1336" t="n">
        <v>2025</v>
      </c>
      <c r="B1336" t="inlineStr">
        <is>
          <t>2025-08</t>
        </is>
      </c>
      <c r="C1336" t="inlineStr">
        <is>
          <t>Pátio de Manutenção</t>
        </is>
      </c>
      <c r="D1336" t="inlineStr">
        <is>
          <t>LIEBHERR</t>
        </is>
      </c>
      <c r="E1336" t="inlineStr">
        <is>
          <t>EHL0014</t>
        </is>
      </c>
      <c r="F1336" t="inlineStr">
        <is>
          <t>EKIPA LOCACOES RSE</t>
        </is>
      </c>
      <c r="G1336" t="inlineStr">
        <is>
          <t>G&amp;S PRUDENTE</t>
        </is>
      </c>
      <c r="H1336" t="inlineStr">
        <is>
          <t>7.1.2</t>
        </is>
      </c>
      <c r="I1336" t="inlineStr">
        <is>
          <t>MANUTENÇÃO DE VEÍCULOS/MAQUINAS</t>
        </is>
      </c>
      <c r="J1336" t="n">
        <v>6</v>
      </c>
      <c r="K1336" t="n">
        <v>-6</v>
      </c>
    </row>
    <row r="1337" hidden="1" s="154">
      <c r="A1337" t="n">
        <v>2025</v>
      </c>
      <c r="B1337" t="inlineStr">
        <is>
          <t>2025-08</t>
        </is>
      </c>
      <c r="C1337" t="inlineStr">
        <is>
          <t>Pátio de Manutenção</t>
        </is>
      </c>
      <c r="D1337" t="inlineStr">
        <is>
          <t>LIEBHERR</t>
        </is>
      </c>
      <c r="E1337" t="inlineStr">
        <is>
          <t>EHL0014</t>
        </is>
      </c>
      <c r="F1337" t="inlineStr">
        <is>
          <t>EKIPA LOCACOES RSE</t>
        </is>
      </c>
      <c r="G1337" t="inlineStr">
        <is>
          <t>G&amp;S PRUDENTE</t>
        </is>
      </c>
      <c r="H1337" t="inlineStr">
        <is>
          <t>7.1.1</t>
        </is>
      </c>
      <c r="I1337" t="inlineStr">
        <is>
          <t>PEÇAS DE MANUTENÇÃO</t>
        </is>
      </c>
      <c r="J1337" t="n">
        <v>712.97</v>
      </c>
      <c r="K1337" t="n">
        <v>-712.97</v>
      </c>
    </row>
    <row r="1338" hidden="1" s="154">
      <c r="A1338" t="n">
        <v>2025</v>
      </c>
      <c r="B1338" t="inlineStr">
        <is>
          <t>2025-09</t>
        </is>
      </c>
      <c r="C1338" t="inlineStr">
        <is>
          <t>Pátio de Manutenção</t>
        </is>
      </c>
      <c r="D1338" t="inlineStr">
        <is>
          <t>LIEBHERR</t>
        </is>
      </c>
      <c r="E1338" t="inlineStr">
        <is>
          <t>EHL0014</t>
        </is>
      </c>
      <c r="F1338" t="inlineStr">
        <is>
          <t>EKIPA LOCACOES RSE</t>
        </is>
      </c>
      <c r="G1338" t="inlineStr">
        <is>
          <t>G&amp;S PRUDENTE</t>
        </is>
      </c>
      <c r="H1338" t="inlineStr">
        <is>
          <t>7.1.18</t>
        </is>
      </c>
      <c r="I1338" t="inlineStr">
        <is>
          <t>FRETES E CARRETOS</t>
        </is>
      </c>
      <c r="J1338" t="n">
        <v>146.99</v>
      </c>
      <c r="K1338" t="n">
        <v>-146.99</v>
      </c>
    </row>
    <row r="1339" hidden="1" s="154">
      <c r="A1339" t="n">
        <v>2025</v>
      </c>
      <c r="B1339" t="inlineStr">
        <is>
          <t>2025-09</t>
        </is>
      </c>
      <c r="C1339" t="inlineStr">
        <is>
          <t>Pátio de Manutenção</t>
        </is>
      </c>
      <c r="D1339" t="inlineStr">
        <is>
          <t>LIEBHERR</t>
        </is>
      </c>
      <c r="E1339" t="inlineStr">
        <is>
          <t>EHL0014</t>
        </is>
      </c>
      <c r="F1339" t="inlineStr">
        <is>
          <t>EKIPA LOCACOES RSE</t>
        </is>
      </c>
      <c r="G1339" t="inlineStr">
        <is>
          <t>G&amp;S PRUDENTE</t>
        </is>
      </c>
      <c r="H1339" t="inlineStr">
        <is>
          <t>7.1.18</t>
        </is>
      </c>
      <c r="I1339" t="inlineStr">
        <is>
          <t>FRETES E CARRETOS</t>
        </is>
      </c>
      <c r="J1339" t="n">
        <v>125</v>
      </c>
      <c r="K1339" t="n">
        <v>-125</v>
      </c>
    </row>
    <row r="1340" hidden="1" s="154">
      <c r="A1340" t="n">
        <v>2025</v>
      </c>
      <c r="B1340" t="inlineStr">
        <is>
          <t>2025-09</t>
        </is>
      </c>
      <c r="C1340" t="inlineStr">
        <is>
          <t>Pátio de Manutenção</t>
        </is>
      </c>
      <c r="D1340" t="inlineStr">
        <is>
          <t>LIEBHERR</t>
        </is>
      </c>
      <c r="E1340" t="inlineStr">
        <is>
          <t>EHL0014</t>
        </is>
      </c>
      <c r="F1340" t="inlineStr">
        <is>
          <t>EKIPA LOCACOES RSE</t>
        </is>
      </c>
      <c r="G1340" t="inlineStr">
        <is>
          <t>G&amp;S PRUDENTE</t>
        </is>
      </c>
      <c r="H1340" t="inlineStr">
        <is>
          <t>7.1.2</t>
        </is>
      </c>
      <c r="I1340" t="inlineStr">
        <is>
          <t>MANUTENÇÃO DE VEÍCULOS/MAQUINAS</t>
        </is>
      </c>
      <c r="J1340" t="n">
        <v>3652.95</v>
      </c>
      <c r="K1340" t="n">
        <v>-3652.95</v>
      </c>
    </row>
    <row r="1341" hidden="1" s="154">
      <c r="A1341" t="n">
        <v>2025</v>
      </c>
      <c r="B1341" t="inlineStr">
        <is>
          <t>2025-09</t>
        </is>
      </c>
      <c r="C1341" t="inlineStr">
        <is>
          <t>Pátio de Manutenção</t>
        </is>
      </c>
      <c r="D1341" t="inlineStr">
        <is>
          <t>LIEBHERR</t>
        </is>
      </c>
      <c r="E1341" t="inlineStr">
        <is>
          <t>EHL0014</t>
        </is>
      </c>
      <c r="F1341" t="inlineStr">
        <is>
          <t>EKIPA LOCACOES RSE</t>
        </is>
      </c>
      <c r="G1341" t="inlineStr">
        <is>
          <t>G&amp;S PRUDENTE</t>
        </is>
      </c>
      <c r="H1341" t="inlineStr">
        <is>
          <t>7.1.2</t>
        </is>
      </c>
      <c r="I1341" t="inlineStr">
        <is>
          <t>MANUTENÇÃO DE VEÍCULOS/MAQUINAS</t>
        </is>
      </c>
      <c r="J1341" t="n">
        <v>8515.65</v>
      </c>
      <c r="K1341" t="n">
        <v>-8515.65</v>
      </c>
    </row>
    <row r="1342" hidden="1" s="154">
      <c r="A1342" t="n">
        <v>2025</v>
      </c>
      <c r="B1342" t="inlineStr">
        <is>
          <t>2025-09</t>
        </is>
      </c>
      <c r="C1342" t="inlineStr">
        <is>
          <t>Pátio de Manutenção</t>
        </is>
      </c>
      <c r="D1342" t="inlineStr">
        <is>
          <t>LIEBHERR</t>
        </is>
      </c>
      <c r="E1342" t="inlineStr">
        <is>
          <t>EHL0014</t>
        </is>
      </c>
      <c r="F1342" t="inlineStr">
        <is>
          <t>EKIPA LOCACOES RSE</t>
        </is>
      </c>
      <c r="G1342" t="inlineStr">
        <is>
          <t>G&amp;S PRUDENTE</t>
        </is>
      </c>
      <c r="H1342" t="inlineStr">
        <is>
          <t>7.1.2</t>
        </is>
      </c>
      <c r="I1342" t="inlineStr">
        <is>
          <t>MANUTENÇÃO DE VEÍCULOS/MAQUINAS</t>
        </is>
      </c>
      <c r="J1342" t="n">
        <v>200</v>
      </c>
      <c r="K1342" t="n">
        <v>-200</v>
      </c>
    </row>
    <row r="1343" hidden="1" s="154">
      <c r="A1343" t="n">
        <v>2025</v>
      </c>
      <c r="B1343" t="inlineStr">
        <is>
          <t>2025-09</t>
        </is>
      </c>
      <c r="C1343" t="inlineStr">
        <is>
          <t>Pátio de Manutenção</t>
        </is>
      </c>
      <c r="D1343" t="inlineStr">
        <is>
          <t>LIEBHERR</t>
        </is>
      </c>
      <c r="E1343" t="inlineStr">
        <is>
          <t>EHL0014</t>
        </is>
      </c>
      <c r="F1343" t="inlineStr">
        <is>
          <t>EKIPA LOCACOES RSE</t>
        </is>
      </c>
      <c r="G1343" t="inlineStr">
        <is>
          <t>G&amp;S PRUDENTE</t>
        </is>
      </c>
      <c r="H1343" t="inlineStr">
        <is>
          <t>7.1.2</t>
        </is>
      </c>
      <c r="I1343" t="inlineStr">
        <is>
          <t>MANUTENÇÃO DE VEÍCULOS/MAQUINAS</t>
        </is>
      </c>
      <c r="J1343" t="n">
        <v>5252.43</v>
      </c>
      <c r="K1343" t="n">
        <v>-5252.43</v>
      </c>
    </row>
    <row r="1344" hidden="1" s="154">
      <c r="A1344" t="n">
        <v>2025</v>
      </c>
      <c r="B1344" t="inlineStr">
        <is>
          <t>2025-09</t>
        </is>
      </c>
      <c r="C1344" t="inlineStr">
        <is>
          <t>Pátio de Manutenção</t>
        </is>
      </c>
      <c r="D1344" t="inlineStr">
        <is>
          <t>LIEBHERR</t>
        </is>
      </c>
      <c r="E1344" t="inlineStr">
        <is>
          <t>EHL0014</t>
        </is>
      </c>
      <c r="F1344" t="inlineStr">
        <is>
          <t>EKIPA LOCACOES RSE</t>
        </is>
      </c>
      <c r="G1344" t="inlineStr">
        <is>
          <t>CTA</t>
        </is>
      </c>
      <c r="H1344" t="inlineStr">
        <is>
          <t>7.1.22</t>
        </is>
      </c>
      <c r="I1344" t="inlineStr">
        <is>
          <t>COMBUSTÍVEL - DIESEL (INTERNO)</t>
        </is>
      </c>
      <c r="J1344" t="n">
        <v>106.28</v>
      </c>
      <c r="K1344" t="n">
        <v>-106.28</v>
      </c>
    </row>
    <row r="1345" hidden="1" s="154">
      <c r="A1345" t="n">
        <v>2025</v>
      </c>
      <c r="B1345" t="inlineStr">
        <is>
          <t>2025-10</t>
        </is>
      </c>
      <c r="C1345" t="inlineStr">
        <is>
          <t>Pátio de Manutenção</t>
        </is>
      </c>
      <c r="D1345" t="inlineStr">
        <is>
          <t>LIEBHERR</t>
        </is>
      </c>
      <c r="E1345" t="inlineStr">
        <is>
          <t>EHL0014</t>
        </is>
      </c>
      <c r="F1345" t="inlineStr">
        <is>
          <t>EKIPA LOCACOES RSE</t>
        </is>
      </c>
      <c r="G1345" t="inlineStr">
        <is>
          <t>G&amp;S PRUDENTE</t>
        </is>
      </c>
      <c r="H1345" t="inlineStr">
        <is>
          <t>7.1.2</t>
        </is>
      </c>
      <c r="I1345" t="inlineStr">
        <is>
          <t>MANUTENÇÃO DE VEÍCULOS/MAQUINAS</t>
        </is>
      </c>
      <c r="J1345" t="n">
        <v>716</v>
      </c>
      <c r="K1345" t="n">
        <v>-716</v>
      </c>
    </row>
    <row r="1346" hidden="1" s="154">
      <c r="A1346" t="n">
        <v>2025</v>
      </c>
      <c r="B1346" t="inlineStr">
        <is>
          <t>2025-10</t>
        </is>
      </c>
      <c r="C1346" t="inlineStr">
        <is>
          <t>Pátio de Manutenção</t>
        </is>
      </c>
      <c r="D1346" t="inlineStr">
        <is>
          <t>LIEBHERR</t>
        </is>
      </c>
      <c r="E1346" t="inlineStr">
        <is>
          <t>EHL0014</t>
        </is>
      </c>
      <c r="F1346" t="inlineStr">
        <is>
          <t>EKIPA LOCACOES RSE</t>
        </is>
      </c>
      <c r="G1346" t="inlineStr">
        <is>
          <t>G&amp;S PRUDENTE</t>
        </is>
      </c>
      <c r="H1346" t="inlineStr">
        <is>
          <t>7.1.2</t>
        </is>
      </c>
      <c r="I1346" t="inlineStr">
        <is>
          <t>MANUTENÇÃO DE VEÍCULOS/MAQUINAS</t>
        </is>
      </c>
      <c r="J1346" t="n">
        <v>1424</v>
      </c>
      <c r="K1346" t="n">
        <v>-1424</v>
      </c>
    </row>
    <row r="1347" hidden="1" s="154">
      <c r="A1347" t="n">
        <v>2025</v>
      </c>
      <c r="B1347" t="inlineStr">
        <is>
          <t>2025-10</t>
        </is>
      </c>
      <c r="C1347" t="inlineStr">
        <is>
          <t>Pátio de Manutenção</t>
        </is>
      </c>
      <c r="D1347" t="inlineStr">
        <is>
          <t>LIEBHERR</t>
        </is>
      </c>
      <c r="E1347" t="inlineStr">
        <is>
          <t>EHL0014</t>
        </is>
      </c>
      <c r="F1347" t="inlineStr">
        <is>
          <t>EKIPA LOCACOES RSE</t>
        </is>
      </c>
      <c r="G1347" t="inlineStr">
        <is>
          <t>G&amp;S PRUDENTE</t>
        </is>
      </c>
      <c r="H1347" t="inlineStr">
        <is>
          <t>7.1.2</t>
        </is>
      </c>
      <c r="I1347" t="inlineStr">
        <is>
          <t>MANUTENÇÃO DE VEÍCULOS/MAQUINAS</t>
        </is>
      </c>
      <c r="J1347" t="n">
        <v>160</v>
      </c>
      <c r="K1347" t="n">
        <v>-160</v>
      </c>
    </row>
    <row r="1348" hidden="1" s="154">
      <c r="A1348" t="n">
        <v>2025</v>
      </c>
      <c r="B1348" t="inlineStr">
        <is>
          <t>2025-10</t>
        </is>
      </c>
      <c r="C1348" t="inlineStr">
        <is>
          <t>Pátio de Manutenção</t>
        </is>
      </c>
      <c r="D1348" t="inlineStr">
        <is>
          <t>LIEBHERR</t>
        </is>
      </c>
      <c r="E1348" t="inlineStr">
        <is>
          <t>EHL0014</t>
        </is>
      </c>
      <c r="F1348" t="inlineStr">
        <is>
          <t>EKIPA LOCACOES RSE</t>
        </is>
      </c>
      <c r="G1348" t="inlineStr">
        <is>
          <t>G&amp;S PRUDENTE</t>
        </is>
      </c>
      <c r="H1348" t="inlineStr">
        <is>
          <t>7.1.2</t>
        </is>
      </c>
      <c r="I1348" t="inlineStr">
        <is>
          <t>MANUTENÇÃO DE VEÍCULOS/MAQUINAS</t>
        </is>
      </c>
      <c r="J1348" t="n">
        <v>41.18</v>
      </c>
      <c r="K1348" t="n">
        <v>-41.18</v>
      </c>
    </row>
    <row r="1349" hidden="1" s="154">
      <c r="A1349" t="n">
        <v>2025</v>
      </c>
      <c r="B1349" t="inlineStr">
        <is>
          <t>2025-10</t>
        </is>
      </c>
      <c r="C1349" t="inlineStr">
        <is>
          <t>Pátio de Manutenção</t>
        </is>
      </c>
      <c r="D1349" t="inlineStr">
        <is>
          <t>LIEBHERR</t>
        </is>
      </c>
      <c r="E1349" t="inlineStr">
        <is>
          <t>EHL0014</t>
        </is>
      </c>
      <c r="F1349" t="inlineStr">
        <is>
          <t>EKIPA LOCACOES RSE</t>
        </is>
      </c>
      <c r="G1349" t="inlineStr">
        <is>
          <t>G&amp;S PRUDENTE</t>
        </is>
      </c>
      <c r="H1349" t="inlineStr">
        <is>
          <t>7.1.2</t>
        </is>
      </c>
      <c r="I1349" t="inlineStr">
        <is>
          <t>MANUTENÇÃO DE VEÍCULOS/MAQUINAS</t>
        </is>
      </c>
      <c r="J1349" t="n">
        <v>818.8099999999999</v>
      </c>
      <c r="K1349" t="n">
        <v>-818.8099999999999</v>
      </c>
    </row>
    <row r="1350" hidden="1" s="154">
      <c r="A1350" t="n">
        <v>2025</v>
      </c>
      <c r="B1350" t="inlineStr">
        <is>
          <t>2025-10</t>
        </is>
      </c>
      <c r="C1350" t="inlineStr">
        <is>
          <t>Pátio de Manutenção</t>
        </is>
      </c>
      <c r="D1350" t="inlineStr">
        <is>
          <t>LIEBHERR</t>
        </is>
      </c>
      <c r="E1350" t="inlineStr">
        <is>
          <t>EHL0014</t>
        </is>
      </c>
      <c r="F1350" t="inlineStr">
        <is>
          <t>SELETIVA</t>
        </is>
      </c>
      <c r="G1350" t="inlineStr">
        <is>
          <t>G&amp;S PRUDENTE</t>
        </is>
      </c>
      <c r="H1350" t="inlineStr">
        <is>
          <t>7.1.2</t>
        </is>
      </c>
      <c r="I1350" t="inlineStr">
        <is>
          <t>MANUTENÇÃO DE VEÍCULOS/MAQUINAS</t>
        </is>
      </c>
      <c r="J1350" t="n">
        <v>27.98</v>
      </c>
      <c r="K1350" t="n">
        <v>-27.98</v>
      </c>
    </row>
    <row r="1351" hidden="1" s="154">
      <c r="A1351" t="n">
        <v>2025</v>
      </c>
      <c r="B1351" t="inlineStr">
        <is>
          <t>2025-10</t>
        </is>
      </c>
      <c r="C1351" t="inlineStr">
        <is>
          <t>Pátio de Manutenção</t>
        </is>
      </c>
      <c r="D1351" t="inlineStr">
        <is>
          <t>LIEBHERR</t>
        </is>
      </c>
      <c r="E1351" t="inlineStr">
        <is>
          <t>EHL0014</t>
        </is>
      </c>
      <c r="F1351" t="inlineStr">
        <is>
          <t>EKIPA LOCACOES RSE</t>
        </is>
      </c>
      <c r="G1351" t="inlineStr">
        <is>
          <t>G&amp;S PRUDENTE</t>
        </is>
      </c>
      <c r="H1351" t="inlineStr">
        <is>
          <t>7.1.2</t>
        </is>
      </c>
      <c r="I1351" t="inlineStr">
        <is>
          <t>MANUTENÇÃO DE VEÍCULOS/MAQUINAS</t>
        </is>
      </c>
      <c r="J1351" t="n">
        <v>21.3</v>
      </c>
      <c r="K1351" t="n">
        <v>-21.3</v>
      </c>
    </row>
    <row r="1352" hidden="1" s="154">
      <c r="A1352" t="n">
        <v>2025</v>
      </c>
      <c r="B1352" t="inlineStr">
        <is>
          <t>2025-10</t>
        </is>
      </c>
      <c r="C1352" t="inlineStr">
        <is>
          <t>Pátio de Manutenção</t>
        </is>
      </c>
      <c r="D1352" t="inlineStr">
        <is>
          <t>LIEBHERR</t>
        </is>
      </c>
      <c r="E1352" t="inlineStr">
        <is>
          <t>EHL0014</t>
        </is>
      </c>
      <c r="F1352" t="inlineStr">
        <is>
          <t>EKIPA LOCACOES RSE</t>
        </is>
      </c>
      <c r="G1352" t="inlineStr">
        <is>
          <t>CTA</t>
        </is>
      </c>
      <c r="H1352" t="inlineStr">
        <is>
          <t>7.1.22</t>
        </is>
      </c>
      <c r="I1352" t="inlineStr">
        <is>
          <t>COMBUSTÍVEL - DIESEL (INTERNO)</t>
        </is>
      </c>
      <c r="J1352" t="n">
        <v>3370.83</v>
      </c>
      <c r="K1352" t="n">
        <v>-3370.83</v>
      </c>
    </row>
    <row r="1353" hidden="1" s="154">
      <c r="A1353" t="n">
        <v>2025</v>
      </c>
      <c r="B1353" t="inlineStr">
        <is>
          <t>2025-10</t>
        </is>
      </c>
      <c r="C1353" t="inlineStr">
        <is>
          <t>Pátio de Manutenção</t>
        </is>
      </c>
      <c r="D1353" t="inlineStr">
        <is>
          <t>LIEBHERR</t>
        </is>
      </c>
      <c r="E1353" t="inlineStr">
        <is>
          <t>EHL0014</t>
        </is>
      </c>
      <c r="F1353" t="inlineStr">
        <is>
          <t>EKIPA LOCACOES RSE</t>
        </is>
      </c>
      <c r="G1353" t="inlineStr">
        <is>
          <t>G&amp;S PRUDENTE</t>
        </is>
      </c>
      <c r="H1353" t="inlineStr">
        <is>
          <t>7.1.2</t>
        </is>
      </c>
      <c r="I1353" t="inlineStr">
        <is>
          <t>MANUTENÇÃO DE VEÍCULOS/MAQUINAS</t>
        </is>
      </c>
      <c r="J1353" t="n">
        <v>62</v>
      </c>
      <c r="K1353" t="n">
        <v>-62</v>
      </c>
    </row>
    <row r="1354" hidden="1" s="154">
      <c r="A1354" t="n">
        <v>2025</v>
      </c>
      <c r="B1354" t="inlineStr">
        <is>
          <t>2025-11</t>
        </is>
      </c>
      <c r="C1354" t="inlineStr">
        <is>
          <t>Pátio de Manutenção</t>
        </is>
      </c>
      <c r="D1354" t="inlineStr">
        <is>
          <t>LIEBHERR</t>
        </is>
      </c>
      <c r="E1354" t="inlineStr">
        <is>
          <t>EHL0014</t>
        </is>
      </c>
      <c r="F1354" t="inlineStr">
        <is>
          <t>EKIPA LOCACOES RSE</t>
        </is>
      </c>
      <c r="G1354" t="inlineStr">
        <is>
          <t>G&amp;S PRUDENTE</t>
        </is>
      </c>
      <c r="H1354" t="inlineStr">
        <is>
          <t>7.1.2</t>
        </is>
      </c>
      <c r="I1354" t="inlineStr">
        <is>
          <t>MANUTENÇÃO DE VEÍCULOS/MAQUINAS</t>
        </is>
      </c>
      <c r="J1354" t="n">
        <v>800</v>
      </c>
      <c r="K1354" t="n">
        <v>-800</v>
      </c>
    </row>
    <row r="1355" hidden="1" s="154">
      <c r="A1355" t="n">
        <v>2025</v>
      </c>
      <c r="B1355" t="inlineStr">
        <is>
          <t>2025-11</t>
        </is>
      </c>
      <c r="C1355" t="inlineStr">
        <is>
          <t>Pátio de Manutenção</t>
        </is>
      </c>
      <c r="D1355" t="inlineStr">
        <is>
          <t>LIEBHERR</t>
        </is>
      </c>
      <c r="E1355" t="inlineStr">
        <is>
          <t>EHL0014</t>
        </is>
      </c>
      <c r="F1355" t="inlineStr">
        <is>
          <t>EKIPA LOCACOES RSE</t>
        </is>
      </c>
      <c r="G1355" t="inlineStr">
        <is>
          <t>CTA</t>
        </is>
      </c>
      <c r="H1355" t="inlineStr">
        <is>
          <t>7.1.22</t>
        </is>
      </c>
      <c r="I1355" t="inlineStr">
        <is>
          <t>COMBUSTÍVEL - DIESEL (INTERNO)</t>
        </is>
      </c>
      <c r="J1355" t="n">
        <v>2986.56</v>
      </c>
      <c r="K1355" t="n">
        <v>-2986.56</v>
      </c>
    </row>
    <row r="1356" hidden="1" s="154">
      <c r="A1356" t="n">
        <v>2025</v>
      </c>
      <c r="B1356" t="inlineStr">
        <is>
          <t>2025-12</t>
        </is>
      </c>
      <c r="C1356" t="inlineStr">
        <is>
          <t>Pátio de Manutenção</t>
        </is>
      </c>
      <c r="D1356" t="inlineStr">
        <is>
          <t>LIEBHERR</t>
        </is>
      </c>
      <c r="E1356" t="inlineStr">
        <is>
          <t>EHL0014</t>
        </is>
      </c>
      <c r="F1356" t="inlineStr">
        <is>
          <t>EKIPA LOCACOES RSE</t>
        </is>
      </c>
      <c r="G1356" t="inlineStr">
        <is>
          <t>G&amp;S PRUDENTE</t>
        </is>
      </c>
      <c r="H1356" t="inlineStr">
        <is>
          <t>7.1.2</t>
        </is>
      </c>
      <c r="I1356" t="inlineStr">
        <is>
          <t>MANUTENÇÃO DE VEÍCULOS/MAQUINAS</t>
        </is>
      </c>
      <c r="J1356" t="n">
        <v>2100</v>
      </c>
      <c r="K1356" t="n">
        <v>-2100</v>
      </c>
    </row>
    <row r="1357" hidden="1" s="154">
      <c r="A1357" t="n">
        <v>2026</v>
      </c>
      <c r="B1357" t="inlineStr">
        <is>
          <t>2026-01</t>
        </is>
      </c>
      <c r="C1357" t="inlineStr">
        <is>
          <t>Pátio de Manutenção</t>
        </is>
      </c>
      <c r="D1357" t="inlineStr">
        <is>
          <t>LIEBHERR</t>
        </is>
      </c>
      <c r="E1357" t="inlineStr">
        <is>
          <t>EHL0014</t>
        </is>
      </c>
      <c r="F1357" t="inlineStr">
        <is>
          <t>SELETIVA</t>
        </is>
      </c>
      <c r="G1357" t="inlineStr">
        <is>
          <t>G&amp;S PRUDENTE</t>
        </is>
      </c>
      <c r="H1357" t="inlineStr">
        <is>
          <t>7.1.2</t>
        </is>
      </c>
      <c r="I1357" t="inlineStr">
        <is>
          <t>MANUTENÇÃO DE VEÍCULOS/MAQUINAS</t>
        </is>
      </c>
      <c r="J1357" t="n">
        <v>2400</v>
      </c>
      <c r="K1357" t="n">
        <v>-2400</v>
      </c>
    </row>
    <row r="1358" hidden="1" s="154">
      <c r="A1358" t="n">
        <v>2026</v>
      </c>
      <c r="B1358" t="inlineStr">
        <is>
          <t>2026-01</t>
        </is>
      </c>
      <c r="C1358" t="inlineStr">
        <is>
          <t>Pátio de Manutenção</t>
        </is>
      </c>
      <c r="D1358" t="inlineStr">
        <is>
          <t>LIEBHERR</t>
        </is>
      </c>
      <c r="E1358" t="inlineStr">
        <is>
          <t>EHL0014</t>
        </is>
      </c>
      <c r="F1358" t="inlineStr">
        <is>
          <t>SELETIVA</t>
        </is>
      </c>
      <c r="G1358" t="inlineStr">
        <is>
          <t>G&amp;S MARINGA</t>
        </is>
      </c>
      <c r="H1358" t="inlineStr">
        <is>
          <t>7.1.2</t>
        </is>
      </c>
      <c r="I1358" t="inlineStr">
        <is>
          <t>MANUTENÇÃO DE VEÍCULOS/MAQUINAS</t>
        </is>
      </c>
      <c r="J1358" t="n">
        <v>280</v>
      </c>
      <c r="K1358" t="n">
        <v>-280</v>
      </c>
    </row>
    <row r="1359" hidden="1" s="154">
      <c r="A1359" t="n">
        <v>2026</v>
      </c>
      <c r="B1359" t="inlineStr">
        <is>
          <t>2026-01</t>
        </is>
      </c>
      <c r="C1359" t="inlineStr">
        <is>
          <t>Pátio de Manutenção</t>
        </is>
      </c>
      <c r="D1359" t="inlineStr">
        <is>
          <t>LIEBHERR</t>
        </is>
      </c>
      <c r="E1359" t="inlineStr">
        <is>
          <t>EHL0014</t>
        </is>
      </c>
      <c r="F1359" t="inlineStr">
        <is>
          <t>SELETIVA</t>
        </is>
      </c>
      <c r="G1359" t="inlineStr">
        <is>
          <t>G&amp;S PRUDENTE</t>
        </is>
      </c>
      <c r="H1359" t="inlineStr">
        <is>
          <t>7.1.2</t>
        </is>
      </c>
      <c r="I1359" t="inlineStr">
        <is>
          <t>MANUTENÇÃO DE VEÍCULOS/MAQUINAS</t>
        </is>
      </c>
      <c r="J1359" t="n">
        <v>1907</v>
      </c>
      <c r="K1359" t="n">
        <v>-1907</v>
      </c>
    </row>
    <row r="1360" hidden="1" s="154">
      <c r="A1360" t="n">
        <v>2026</v>
      </c>
      <c r="B1360" t="inlineStr">
        <is>
          <t>2026-01</t>
        </is>
      </c>
      <c r="C1360" t="inlineStr">
        <is>
          <t>Pátio de Manutenção</t>
        </is>
      </c>
      <c r="D1360" t="inlineStr">
        <is>
          <t>LIEBHERR</t>
        </is>
      </c>
      <c r="E1360" t="inlineStr">
        <is>
          <t>EHL0014</t>
        </is>
      </c>
      <c r="F1360" t="inlineStr">
        <is>
          <t>SELETIVA</t>
        </is>
      </c>
      <c r="G1360" t="inlineStr">
        <is>
          <t>G&amp;S PRUDENTE</t>
        </is>
      </c>
      <c r="H1360" t="inlineStr">
        <is>
          <t>7.1.2</t>
        </is>
      </c>
      <c r="I1360" t="inlineStr">
        <is>
          <t>MANUTENÇÃO DE VEÍCULOS/MAQUINAS</t>
        </is>
      </c>
      <c r="J1360" t="n">
        <v>739.84</v>
      </c>
      <c r="K1360" t="n">
        <v>-739.84</v>
      </c>
    </row>
    <row r="1361" hidden="1" s="154">
      <c r="A1361" t="n">
        <v>2026</v>
      </c>
      <c r="B1361" t="inlineStr">
        <is>
          <t>2026-01</t>
        </is>
      </c>
      <c r="C1361" t="inlineStr">
        <is>
          <t>Pátio de Manutenção</t>
        </is>
      </c>
      <c r="D1361" t="inlineStr">
        <is>
          <t>LIEBHERR</t>
        </is>
      </c>
      <c r="E1361" t="inlineStr">
        <is>
          <t>EHL0014</t>
        </is>
      </c>
      <c r="F1361" t="inlineStr">
        <is>
          <t>SELETIVA</t>
        </is>
      </c>
      <c r="G1361" t="inlineStr">
        <is>
          <t>G&amp;S MARINGA</t>
        </is>
      </c>
      <c r="H1361" t="inlineStr">
        <is>
          <t>7.1.2</t>
        </is>
      </c>
      <c r="I1361" t="inlineStr">
        <is>
          <t>MANUTENÇÃO DE VEÍCULOS/MAQUINAS</t>
        </is>
      </c>
      <c r="J1361" t="n">
        <v>3250</v>
      </c>
      <c r="K1361" t="n">
        <v>-3250</v>
      </c>
    </row>
    <row r="1362" hidden="1" s="154">
      <c r="A1362" t="n">
        <v>2026</v>
      </c>
      <c r="B1362" t="inlineStr">
        <is>
          <t>2026-01</t>
        </is>
      </c>
      <c r="C1362" t="inlineStr">
        <is>
          <t>Pátio de Manutenção</t>
        </is>
      </c>
      <c r="D1362" t="inlineStr">
        <is>
          <t>LIEBHERR</t>
        </is>
      </c>
      <c r="E1362" t="inlineStr">
        <is>
          <t>EHL0014</t>
        </is>
      </c>
      <c r="F1362" t="inlineStr">
        <is>
          <t>SELETIVA</t>
        </is>
      </c>
      <c r="G1362" t="inlineStr">
        <is>
          <t>G&amp;S PRUDENTE</t>
        </is>
      </c>
      <c r="H1362" t="inlineStr">
        <is>
          <t>7.1.18</t>
        </is>
      </c>
      <c r="I1362" t="inlineStr">
        <is>
          <t>FRETES E CARRETOS</t>
        </is>
      </c>
      <c r="J1362" t="n">
        <v>107.58</v>
      </c>
      <c r="K1362" t="n">
        <v>-107.58</v>
      </c>
    </row>
    <row r="1363" hidden="1" s="154">
      <c r="A1363" t="n">
        <v>2026</v>
      </c>
      <c r="B1363" t="inlineStr">
        <is>
          <t>2026-01</t>
        </is>
      </c>
      <c r="C1363" t="inlineStr">
        <is>
          <t>Pátio de Manutenção</t>
        </is>
      </c>
      <c r="D1363" t="inlineStr">
        <is>
          <t>LIEBHERR</t>
        </is>
      </c>
      <c r="E1363" t="inlineStr">
        <is>
          <t>EHL0014</t>
        </is>
      </c>
      <c r="F1363" t="inlineStr">
        <is>
          <t>SELETIVA</t>
        </is>
      </c>
      <c r="G1363" t="inlineStr">
        <is>
          <t>G&amp;S MARINGA</t>
        </is>
      </c>
      <c r="H1363" t="inlineStr">
        <is>
          <t>7.1.2</t>
        </is>
      </c>
      <c r="I1363" t="inlineStr">
        <is>
          <t>MANUTENÇÃO DE VEÍCULOS/MAQUINAS</t>
        </is>
      </c>
      <c r="J1363" t="n">
        <v>620</v>
      </c>
      <c r="K1363" t="n">
        <v>-620</v>
      </c>
    </row>
    <row r="1364" hidden="1" s="154">
      <c r="A1364" t="n">
        <v>2026</v>
      </c>
      <c r="B1364" t="inlineStr">
        <is>
          <t>2026-01</t>
        </is>
      </c>
      <c r="C1364" t="inlineStr">
        <is>
          <t>Pátio de Manutenção</t>
        </is>
      </c>
      <c r="D1364" t="inlineStr">
        <is>
          <t>LIEBHERR</t>
        </is>
      </c>
      <c r="E1364" t="inlineStr">
        <is>
          <t>EHL0014</t>
        </is>
      </c>
      <c r="F1364" t="inlineStr">
        <is>
          <t>SELETIVA</t>
        </is>
      </c>
      <c r="G1364" t="inlineStr">
        <is>
          <t>G&amp;S PRUDENTE</t>
        </is>
      </c>
      <c r="H1364" t="inlineStr">
        <is>
          <t>7.1.2</t>
        </is>
      </c>
      <c r="I1364" t="inlineStr">
        <is>
          <t>MANUTENÇÃO DE VEÍCULOS/MAQUINAS</t>
        </is>
      </c>
      <c r="J1364" t="n">
        <v>2040</v>
      </c>
      <c r="K1364" t="n">
        <v>-2040</v>
      </c>
    </row>
    <row r="1365" hidden="1" s="154">
      <c r="A1365" t="n">
        <v>2026</v>
      </c>
      <c r="B1365" t="inlineStr">
        <is>
          <t>2026-01</t>
        </is>
      </c>
      <c r="C1365" t="inlineStr">
        <is>
          <t>Pátio de Manutenção</t>
        </is>
      </c>
      <c r="D1365" t="inlineStr">
        <is>
          <t>LIEBHERR</t>
        </is>
      </c>
      <c r="E1365" t="inlineStr">
        <is>
          <t>EHL0014</t>
        </is>
      </c>
      <c r="F1365" t="inlineStr">
        <is>
          <t>SELETIVA</t>
        </is>
      </c>
      <c r="G1365" t="inlineStr">
        <is>
          <t>G&amp;S PRUDENTE</t>
        </is>
      </c>
      <c r="H1365" t="inlineStr">
        <is>
          <t>7.1.2</t>
        </is>
      </c>
      <c r="I1365" t="inlineStr">
        <is>
          <t>MANUTENÇÃO DE VEÍCULOS/MAQUINAS</t>
        </is>
      </c>
      <c r="J1365" t="n">
        <v>1350</v>
      </c>
      <c r="K1365" t="n">
        <v>-1350</v>
      </c>
    </row>
    <row r="1366" hidden="1" s="154">
      <c r="A1366" t="n">
        <v>2026</v>
      </c>
      <c r="B1366" t="inlineStr">
        <is>
          <t>2026-01</t>
        </is>
      </c>
      <c r="C1366" t="inlineStr">
        <is>
          <t>Pátio de Manutenção</t>
        </is>
      </c>
      <c r="D1366" t="inlineStr">
        <is>
          <t>LIEBHERR</t>
        </is>
      </c>
      <c r="E1366" t="inlineStr">
        <is>
          <t>EHL0014</t>
        </is>
      </c>
      <c r="F1366" t="inlineStr">
        <is>
          <t>SELETIVA</t>
        </is>
      </c>
      <c r="G1366" t="inlineStr">
        <is>
          <t>G&amp;S PRUDENTE</t>
        </is>
      </c>
      <c r="H1366" t="inlineStr">
        <is>
          <t>7.1.2</t>
        </is>
      </c>
      <c r="I1366" t="inlineStr">
        <is>
          <t>MANUTENÇÃO DE VEÍCULOS/MAQUINAS</t>
        </is>
      </c>
      <c r="J1366" t="n">
        <v>1907</v>
      </c>
      <c r="K1366" t="n">
        <v>-1907</v>
      </c>
    </row>
    <row r="1367" hidden="1" s="154">
      <c r="A1367" t="n">
        <v>2026</v>
      </c>
      <c r="B1367" t="inlineStr">
        <is>
          <t>2026-01</t>
        </is>
      </c>
      <c r="C1367" t="inlineStr">
        <is>
          <t>Pátio de Manutenção</t>
        </is>
      </c>
      <c r="D1367" t="inlineStr">
        <is>
          <t>LIEBHERR</t>
        </is>
      </c>
      <c r="E1367" t="inlineStr">
        <is>
          <t>EHL0014</t>
        </is>
      </c>
      <c r="F1367" t="inlineStr">
        <is>
          <t>SELETIVA</t>
        </is>
      </c>
      <c r="G1367" t="inlineStr">
        <is>
          <t>G&amp;S PRUDENTE</t>
        </is>
      </c>
      <c r="H1367" t="inlineStr">
        <is>
          <t>7.1.2</t>
        </is>
      </c>
      <c r="I1367" t="inlineStr">
        <is>
          <t>MANUTENÇÃO DE VEÍCULOS/MAQUINAS</t>
        </is>
      </c>
      <c r="J1367" t="n">
        <v>739.84</v>
      </c>
      <c r="K1367" t="n">
        <v>-739.84</v>
      </c>
    </row>
    <row r="1368" hidden="1" s="154">
      <c r="A1368" t="n">
        <v>2026</v>
      </c>
      <c r="B1368" t="inlineStr">
        <is>
          <t>2026-02</t>
        </is>
      </c>
      <c r="C1368" t="inlineStr">
        <is>
          <t>Pátio de Manutenção</t>
        </is>
      </c>
      <c r="D1368" t="inlineStr">
        <is>
          <t>LIEBHERR</t>
        </is>
      </c>
      <c r="E1368" t="inlineStr">
        <is>
          <t>EHL0014</t>
        </is>
      </c>
      <c r="F1368" t="inlineStr">
        <is>
          <t>SELETIVA</t>
        </is>
      </c>
      <c r="G1368" t="inlineStr">
        <is>
          <t>G&amp;S MARINGA</t>
        </is>
      </c>
      <c r="H1368" t="inlineStr">
        <is>
          <t>7.1.2</t>
        </is>
      </c>
      <c r="I1368" t="inlineStr">
        <is>
          <t>MANUTENÇÃO DE VEÍCULOS/MAQUINAS</t>
        </is>
      </c>
      <c r="J1368" t="n">
        <v>225</v>
      </c>
      <c r="K1368" t="n">
        <v>-225</v>
      </c>
    </row>
    <row r="1369" hidden="1" s="154">
      <c r="A1369" t="n">
        <v>2026</v>
      </c>
      <c r="B1369" t="inlineStr">
        <is>
          <t>2026-02</t>
        </is>
      </c>
      <c r="C1369" t="inlineStr">
        <is>
          <t>Pátio de Manutenção</t>
        </is>
      </c>
      <c r="D1369" t="inlineStr">
        <is>
          <t>LIEBHERR</t>
        </is>
      </c>
      <c r="E1369" t="inlineStr">
        <is>
          <t>EHL0014</t>
        </is>
      </c>
      <c r="F1369" t="inlineStr">
        <is>
          <t>SELETIVA</t>
        </is>
      </c>
      <c r="G1369" t="inlineStr">
        <is>
          <t>G&amp;S MARINGA</t>
        </is>
      </c>
      <c r="H1369" t="inlineStr">
        <is>
          <t>7.1.2</t>
        </is>
      </c>
      <c r="I1369" t="inlineStr">
        <is>
          <t>MANUTENÇÃO DE VEÍCULOS/MAQUINAS</t>
        </is>
      </c>
      <c r="J1369" t="n">
        <v>230</v>
      </c>
      <c r="K1369" t="n">
        <v>-230</v>
      </c>
    </row>
    <row r="1370" hidden="1" s="154">
      <c r="A1370" t="n">
        <v>2026</v>
      </c>
      <c r="B1370" t="inlineStr">
        <is>
          <t>2026-02</t>
        </is>
      </c>
      <c r="C1370" t="inlineStr">
        <is>
          <t>Pátio de Manutenção</t>
        </is>
      </c>
      <c r="D1370" t="inlineStr">
        <is>
          <t>LIEBHERR</t>
        </is>
      </c>
      <c r="E1370" t="inlineStr">
        <is>
          <t>EHL0014</t>
        </is>
      </c>
      <c r="F1370" t="inlineStr">
        <is>
          <t>SELETIVA</t>
        </is>
      </c>
      <c r="G1370" t="inlineStr">
        <is>
          <t>G&amp;S MARINGA</t>
        </is>
      </c>
      <c r="H1370" t="inlineStr">
        <is>
          <t>7.1.2</t>
        </is>
      </c>
      <c r="I1370" t="inlineStr">
        <is>
          <t>MANUTENÇÃO DE VEÍCULOS/MAQUINAS</t>
        </is>
      </c>
      <c r="J1370" t="n">
        <v>390</v>
      </c>
      <c r="K1370" t="n">
        <v>-390</v>
      </c>
    </row>
    <row r="1371" hidden="1" s="154">
      <c r="A1371" t="n">
        <v>2026</v>
      </c>
      <c r="B1371" t="inlineStr">
        <is>
          <t>2026-02</t>
        </is>
      </c>
      <c r="C1371" t="inlineStr">
        <is>
          <t>Pátio de Manutenção</t>
        </is>
      </c>
      <c r="D1371" t="inlineStr">
        <is>
          <t>LIEBHERR</t>
        </is>
      </c>
      <c r="E1371" t="inlineStr">
        <is>
          <t>EHL0014</t>
        </is>
      </c>
      <c r="F1371" t="inlineStr">
        <is>
          <t>SELETIVA</t>
        </is>
      </c>
      <c r="G1371" t="inlineStr">
        <is>
          <t>G&amp;S MARINGA</t>
        </is>
      </c>
      <c r="H1371" t="inlineStr">
        <is>
          <t>7.1.2</t>
        </is>
      </c>
      <c r="I1371" t="inlineStr">
        <is>
          <t>MANUTENÇÃO DE VEÍCULOS/MAQUINAS</t>
        </is>
      </c>
      <c r="J1371" t="n">
        <v>159</v>
      </c>
      <c r="K1371" t="n">
        <v>-159</v>
      </c>
    </row>
    <row r="1372" hidden="1" s="154">
      <c r="A1372" t="n">
        <v>2026</v>
      </c>
      <c r="B1372" t="inlineStr">
        <is>
          <t>2026-02</t>
        </is>
      </c>
      <c r="C1372" t="inlineStr">
        <is>
          <t>Pátio de Manutenção</t>
        </is>
      </c>
      <c r="D1372" t="inlineStr">
        <is>
          <t>LIEBHERR</t>
        </is>
      </c>
      <c r="E1372" t="inlineStr">
        <is>
          <t>EHL0014</t>
        </is>
      </c>
      <c r="F1372" t="inlineStr">
        <is>
          <t>SELETIVA</t>
        </is>
      </c>
      <c r="G1372" t="inlineStr">
        <is>
          <t>G&amp;S MARINGA</t>
        </is>
      </c>
      <c r="H1372" t="inlineStr">
        <is>
          <t>7.1.2</t>
        </is>
      </c>
      <c r="I1372" t="inlineStr">
        <is>
          <t>MANUTENÇÃO DE VEÍCULOS/MAQUINAS</t>
        </is>
      </c>
      <c r="J1372" t="n">
        <v>3755.73</v>
      </c>
      <c r="K1372" t="n">
        <v>-3755.73</v>
      </c>
    </row>
    <row r="1373" hidden="1" s="154">
      <c r="A1373" t="n">
        <v>2026</v>
      </c>
      <c r="B1373" t="inlineStr">
        <is>
          <t>2026-03</t>
        </is>
      </c>
      <c r="C1373" t="inlineStr">
        <is>
          <t>Pátio de Manutenção</t>
        </is>
      </c>
      <c r="D1373" t="inlineStr">
        <is>
          <t>LIEBHERR</t>
        </is>
      </c>
      <c r="E1373" t="inlineStr">
        <is>
          <t>EHL0014</t>
        </is>
      </c>
      <c r="F1373" t="inlineStr">
        <is>
          <t>SELETIVA</t>
        </is>
      </c>
      <c r="G1373" t="inlineStr">
        <is>
          <t>G&amp;S PRUDENTE</t>
        </is>
      </c>
      <c r="H1373" t="inlineStr">
        <is>
          <t>7.1.2</t>
        </is>
      </c>
      <c r="I1373" t="inlineStr">
        <is>
          <t>MANUTENÇÃO DE VEÍCULOS/MAQUINAS</t>
        </is>
      </c>
      <c r="J1373" t="n">
        <v>1330.01</v>
      </c>
      <c r="K1373" t="n">
        <v>-1330.01</v>
      </c>
    </row>
    <row r="1374" hidden="1" s="154">
      <c r="A1374" t="n">
        <v>2026</v>
      </c>
      <c r="B1374" t="inlineStr">
        <is>
          <t>2026-03</t>
        </is>
      </c>
      <c r="C1374" t="inlineStr">
        <is>
          <t>Pátio de Manutenção</t>
        </is>
      </c>
      <c r="D1374" t="inlineStr">
        <is>
          <t>LIEBHERR</t>
        </is>
      </c>
      <c r="E1374" t="inlineStr">
        <is>
          <t>EHL0014</t>
        </is>
      </c>
      <c r="F1374" t="inlineStr">
        <is>
          <t>SELETIVA</t>
        </is>
      </c>
      <c r="G1374" t="inlineStr">
        <is>
          <t>G&amp;S MARINGA</t>
        </is>
      </c>
      <c r="H1374" t="inlineStr">
        <is>
          <t>7.1.2</t>
        </is>
      </c>
      <c r="I1374" t="inlineStr">
        <is>
          <t>MANUTENÇÃO DE VEÍCULOS/MAQUINAS</t>
        </is>
      </c>
      <c r="J1374" t="n">
        <v>680</v>
      </c>
      <c r="K1374" t="n">
        <v>-680</v>
      </c>
    </row>
    <row r="1375" hidden="1" s="154">
      <c r="A1375" t="n">
        <v>2026</v>
      </c>
      <c r="B1375" t="inlineStr">
        <is>
          <t>2026-03</t>
        </is>
      </c>
      <c r="C1375" t="inlineStr">
        <is>
          <t>Pátio de Manutenção</t>
        </is>
      </c>
      <c r="D1375" t="inlineStr">
        <is>
          <t>LIEBHERR</t>
        </is>
      </c>
      <c r="E1375" t="inlineStr">
        <is>
          <t>EHL0014</t>
        </is>
      </c>
      <c r="F1375" t="inlineStr">
        <is>
          <t>SELETIVA</t>
        </is>
      </c>
      <c r="G1375" t="inlineStr">
        <is>
          <t>G&amp;S MARINGA</t>
        </is>
      </c>
      <c r="H1375" t="inlineStr">
        <is>
          <t>7.1.2</t>
        </is>
      </c>
      <c r="I1375" t="inlineStr">
        <is>
          <t>MANUTENÇÃO DE VEÍCULOS/MAQUINAS</t>
        </is>
      </c>
      <c r="J1375" t="n">
        <v>533.33</v>
      </c>
      <c r="K1375" t="n">
        <v>-533.33</v>
      </c>
    </row>
    <row r="1376" hidden="1" s="154">
      <c r="A1376" t="n">
        <v>2026</v>
      </c>
      <c r="B1376" t="inlineStr">
        <is>
          <t>2026-03</t>
        </is>
      </c>
      <c r="C1376" t="inlineStr">
        <is>
          <t>Pátio de Manutenção</t>
        </is>
      </c>
      <c r="D1376" t="inlineStr">
        <is>
          <t>LIEBHERR</t>
        </is>
      </c>
      <c r="E1376" t="inlineStr">
        <is>
          <t>EHL0014</t>
        </is>
      </c>
      <c r="F1376" t="inlineStr">
        <is>
          <t>SELETIVA</t>
        </is>
      </c>
      <c r="G1376" t="inlineStr">
        <is>
          <t>G&amp;S MARINGA</t>
        </is>
      </c>
      <c r="H1376" t="inlineStr">
        <is>
          <t>7.1.2</t>
        </is>
      </c>
      <c r="I1376" t="inlineStr">
        <is>
          <t>MANUTENÇÃO DE VEÍCULOS/MAQUINAS</t>
        </is>
      </c>
      <c r="J1376" t="n">
        <v>533.33</v>
      </c>
      <c r="K1376" t="n">
        <v>-533.33</v>
      </c>
    </row>
    <row r="1377" hidden="1" s="154">
      <c r="A1377" t="n">
        <v>2026</v>
      </c>
      <c r="B1377" t="inlineStr">
        <is>
          <t>2026-03</t>
        </is>
      </c>
      <c r="C1377" t="inlineStr">
        <is>
          <t>Pátio de Manutenção</t>
        </is>
      </c>
      <c r="D1377" t="inlineStr">
        <is>
          <t>LIEBHERR</t>
        </is>
      </c>
      <c r="E1377" t="inlineStr">
        <is>
          <t>EHL0014</t>
        </is>
      </c>
      <c r="F1377" t="inlineStr">
        <is>
          <t>SELETIVA</t>
        </is>
      </c>
      <c r="G1377" t="inlineStr">
        <is>
          <t>G&amp;S MARINGA</t>
        </is>
      </c>
      <c r="H1377" t="inlineStr">
        <is>
          <t>7.1.2</t>
        </is>
      </c>
      <c r="I1377" t="inlineStr">
        <is>
          <t>MANUTENÇÃO DE VEÍCULOS/MAQUINAS</t>
        </is>
      </c>
      <c r="J1377" t="n">
        <v>2999</v>
      </c>
      <c r="K1377" t="n">
        <v>-2999</v>
      </c>
    </row>
    <row r="1378" hidden="1" s="154">
      <c r="A1378" t="n">
        <v>2026</v>
      </c>
      <c r="B1378" t="inlineStr">
        <is>
          <t>2026-03</t>
        </is>
      </c>
      <c r="C1378" t="inlineStr">
        <is>
          <t>Pátio de Manutenção</t>
        </is>
      </c>
      <c r="D1378" t="inlineStr">
        <is>
          <t>LIEBHERR</t>
        </is>
      </c>
      <c r="E1378" t="inlineStr">
        <is>
          <t>EHL0014</t>
        </is>
      </c>
      <c r="F1378" t="inlineStr">
        <is>
          <t>SELETIVA</t>
        </is>
      </c>
      <c r="G1378" t="inlineStr">
        <is>
          <t>G&amp;S PRUDENTE</t>
        </is>
      </c>
      <c r="H1378" t="inlineStr">
        <is>
          <t>7.1.2</t>
        </is>
      </c>
      <c r="I1378" t="inlineStr">
        <is>
          <t>MANUTENÇÃO DE VEÍCULOS/MAQUINAS</t>
        </is>
      </c>
      <c r="J1378" t="n">
        <v>1362.5</v>
      </c>
      <c r="K1378" t="n">
        <v>-1362.5</v>
      </c>
    </row>
    <row r="1379" hidden="1" s="154">
      <c r="A1379" t="n">
        <v>2026</v>
      </c>
      <c r="B1379" t="inlineStr">
        <is>
          <t>2026-03</t>
        </is>
      </c>
      <c r="C1379" t="inlineStr">
        <is>
          <t>Pátio de Manutenção</t>
        </is>
      </c>
      <c r="D1379" t="inlineStr">
        <is>
          <t>LIEBHERR</t>
        </is>
      </c>
      <c r="E1379" t="inlineStr">
        <is>
          <t>EHL0014</t>
        </is>
      </c>
      <c r="F1379" t="inlineStr">
        <is>
          <t>SELETIVA</t>
        </is>
      </c>
      <c r="G1379" t="inlineStr">
        <is>
          <t>G&amp;S MARINGA</t>
        </is>
      </c>
      <c r="H1379" t="inlineStr">
        <is>
          <t>7.1.2</t>
        </is>
      </c>
      <c r="I1379" t="inlineStr">
        <is>
          <t>MANUTENÇÃO DE VEÍCULOS/MAQUINAS</t>
        </is>
      </c>
      <c r="J1379" t="n">
        <v>4500</v>
      </c>
      <c r="K1379" t="n">
        <v>-4500</v>
      </c>
    </row>
    <row r="1380" hidden="1" s="154">
      <c r="A1380" t="n">
        <v>2026</v>
      </c>
      <c r="B1380" t="inlineStr">
        <is>
          <t>2026-03</t>
        </is>
      </c>
      <c r="C1380" t="inlineStr">
        <is>
          <t>Pátio de Manutenção</t>
        </is>
      </c>
      <c r="D1380" t="inlineStr">
        <is>
          <t>LIEBHERR</t>
        </is>
      </c>
      <c r="E1380" t="inlineStr">
        <is>
          <t>EHL0014</t>
        </is>
      </c>
      <c r="F1380" t="inlineStr">
        <is>
          <t>SELETIVA</t>
        </is>
      </c>
      <c r="G1380" t="inlineStr">
        <is>
          <t>G3S MARINGA</t>
        </is>
      </c>
      <c r="H1380" t="inlineStr">
        <is>
          <t>7.1.2</t>
        </is>
      </c>
      <c r="I1380" t="inlineStr">
        <is>
          <t>MANUTENÇÃO DE VEÍCULOS/MAQUINAS</t>
        </is>
      </c>
      <c r="J1380" t="n">
        <v>130</v>
      </c>
      <c r="K1380" t="n">
        <v>-130</v>
      </c>
    </row>
    <row r="1381" hidden="1" s="154">
      <c r="A1381" t="n">
        <v>2026</v>
      </c>
      <c r="B1381" t="inlineStr">
        <is>
          <t>2026-03</t>
        </is>
      </c>
      <c r="C1381" t="inlineStr">
        <is>
          <t>Pátio de Manutenção</t>
        </is>
      </c>
      <c r="D1381" t="inlineStr">
        <is>
          <t>LIEBHERR</t>
        </is>
      </c>
      <c r="E1381" t="inlineStr">
        <is>
          <t>EHL0014</t>
        </is>
      </c>
      <c r="F1381" t="inlineStr">
        <is>
          <t>SELETIVA</t>
        </is>
      </c>
      <c r="G1381" t="inlineStr">
        <is>
          <t>G&amp;S MARINGA</t>
        </is>
      </c>
      <c r="H1381" t="inlineStr">
        <is>
          <t>7.1.2</t>
        </is>
      </c>
      <c r="I1381" t="inlineStr">
        <is>
          <t>MANUTENÇÃO DE VEÍCULOS/MAQUINAS</t>
        </is>
      </c>
      <c r="J1381" t="n">
        <v>152</v>
      </c>
      <c r="K1381" t="n">
        <v>-152</v>
      </c>
    </row>
    <row r="1382" hidden="1" s="154">
      <c r="A1382" t="n">
        <v>2025</v>
      </c>
      <c r="B1382" t="inlineStr">
        <is>
          <t>2025-01</t>
        </is>
      </c>
      <c r="C1382" t="inlineStr">
        <is>
          <t>Tupy</t>
        </is>
      </c>
      <c r="D1382" t="inlineStr">
        <is>
          <t>HYUNDAI</t>
        </is>
      </c>
      <c r="E1382" t="inlineStr">
        <is>
          <t>EHH0003</t>
        </is>
      </c>
      <c r="F1382" t="inlineStr">
        <is>
          <t>EKIPA LOCACOES E SERV G&amp;S</t>
        </is>
      </c>
      <c r="G1382" t="inlineStr">
        <is>
          <t>G&amp;G MATRIZ</t>
        </is>
      </c>
      <c r="H1382" t="inlineStr">
        <is>
          <t>7.1.22</t>
        </is>
      </c>
      <c r="I1382" t="inlineStr">
        <is>
          <t>COMBUSTÍVEL - DIESEL (INTERNO)</t>
        </is>
      </c>
      <c r="J1382" t="n">
        <v>1756.58</v>
      </c>
      <c r="K1382" t="n">
        <v>1756.58</v>
      </c>
    </row>
    <row r="1383" hidden="1" s="154">
      <c r="A1383" t="n">
        <v>2025</v>
      </c>
      <c r="B1383" t="inlineStr">
        <is>
          <t>2025-01</t>
        </is>
      </c>
      <c r="C1383" t="inlineStr">
        <is>
          <t>Tupy</t>
        </is>
      </c>
      <c r="D1383" t="inlineStr">
        <is>
          <t>HYUNDAI</t>
        </is>
      </c>
      <c r="E1383" t="inlineStr">
        <is>
          <t>EHH0003</t>
        </is>
      </c>
      <c r="F1383" t="inlineStr">
        <is>
          <t>EKIPA LOCACOES E SERV G&amp;S</t>
        </is>
      </c>
      <c r="G1383" t="inlineStr">
        <is>
          <t>G&amp;G MATRIZ</t>
        </is>
      </c>
      <c r="H1383" t="inlineStr">
        <is>
          <t>7.1.22</t>
        </is>
      </c>
      <c r="I1383" t="inlineStr">
        <is>
          <t>COMBUSTÍVEL - DIESEL (INTERNO)</t>
        </is>
      </c>
      <c r="J1383" t="n">
        <v>1887.15</v>
      </c>
      <c r="K1383" t="n">
        <v>1887.15</v>
      </c>
    </row>
    <row r="1384" hidden="1" s="154">
      <c r="A1384" t="n">
        <v>2025</v>
      </c>
      <c r="B1384" t="inlineStr">
        <is>
          <t>2025-01</t>
        </is>
      </c>
      <c r="C1384" t="inlineStr">
        <is>
          <t>Tupy</t>
        </is>
      </c>
      <c r="D1384" t="inlineStr">
        <is>
          <t>HYUNDAI</t>
        </is>
      </c>
      <c r="E1384" t="inlineStr">
        <is>
          <t>EHH0003</t>
        </is>
      </c>
      <c r="F1384" t="inlineStr">
        <is>
          <t>EKIPA LOCACOES E SERV G&amp;S</t>
        </is>
      </c>
      <c r="G1384" t="inlineStr">
        <is>
          <t>G&amp;G - MATO GROSSO DO SUL</t>
        </is>
      </c>
      <c r="H1384" t="inlineStr">
        <is>
          <t>7.1.1</t>
        </is>
      </c>
      <c r="I1384" t="inlineStr">
        <is>
          <t>PEÇAS DE MANUTENÇÃO</t>
        </is>
      </c>
      <c r="J1384" t="n">
        <v>930</v>
      </c>
      <c r="K1384" t="n">
        <v>930</v>
      </c>
    </row>
    <row r="1385" hidden="1" s="154">
      <c r="A1385" t="n">
        <v>2025</v>
      </c>
      <c r="B1385" t="inlineStr">
        <is>
          <t>2025-02</t>
        </is>
      </c>
      <c r="C1385" t="inlineStr">
        <is>
          <t>Tupy</t>
        </is>
      </c>
      <c r="D1385" t="inlineStr">
        <is>
          <t>HYUNDAI</t>
        </is>
      </c>
      <c r="E1385" t="inlineStr">
        <is>
          <t>EHH0003</t>
        </is>
      </c>
      <c r="F1385" t="inlineStr">
        <is>
          <t>EKIPA LOCACOES E SERV G&amp;S</t>
        </is>
      </c>
      <c r="G1385" t="inlineStr">
        <is>
          <t>G&amp;G MATRIZ</t>
        </is>
      </c>
      <c r="H1385" t="inlineStr">
        <is>
          <t>7.1.22</t>
        </is>
      </c>
      <c r="I1385" t="inlineStr">
        <is>
          <t>COMBUSTÍVEL - DIESEL (INTERNO)</t>
        </is>
      </c>
      <c r="J1385" t="n">
        <v>1641.62</v>
      </c>
      <c r="K1385" t="n">
        <v>1641.62</v>
      </c>
    </row>
    <row r="1386" hidden="1" s="154">
      <c r="A1386" t="n">
        <v>2025</v>
      </c>
      <c r="B1386" t="inlineStr">
        <is>
          <t>2025-02</t>
        </is>
      </c>
      <c r="C1386" t="inlineStr">
        <is>
          <t>Tupy</t>
        </is>
      </c>
      <c r="D1386" t="inlineStr">
        <is>
          <t>HYUNDAI</t>
        </is>
      </c>
      <c r="E1386" t="inlineStr">
        <is>
          <t>EHH0003</t>
        </is>
      </c>
      <c r="F1386" t="inlineStr">
        <is>
          <t>EKIPA LOCACOES E SERV G&amp;S</t>
        </is>
      </c>
      <c r="G1386" t="inlineStr">
        <is>
          <t>G&amp;G MATRIZ</t>
        </is>
      </c>
      <c r="H1386" t="inlineStr">
        <is>
          <t>7.1.22</t>
        </is>
      </c>
      <c r="I1386" t="inlineStr">
        <is>
          <t>COMBUSTÍVEL - DIESEL (INTERNO)</t>
        </is>
      </c>
      <c r="J1386" t="n">
        <v>1618.79</v>
      </c>
      <c r="K1386" t="n">
        <v>1618.79</v>
      </c>
    </row>
    <row r="1387" hidden="1" s="154">
      <c r="A1387" t="n">
        <v>2025</v>
      </c>
      <c r="B1387" t="inlineStr">
        <is>
          <t>2025-02</t>
        </is>
      </c>
      <c r="C1387" t="inlineStr">
        <is>
          <t>Tupy</t>
        </is>
      </c>
      <c r="D1387" t="inlineStr">
        <is>
          <t>HYUNDAI</t>
        </is>
      </c>
      <c r="E1387" t="inlineStr">
        <is>
          <t>EHH0003</t>
        </is>
      </c>
      <c r="F1387" t="inlineStr">
        <is>
          <t>EKIPA LOCACOES E SERV G&amp;S</t>
        </is>
      </c>
      <c r="G1387" t="inlineStr">
        <is>
          <t>G&amp;G MATRIZ</t>
        </is>
      </c>
      <c r="H1387" t="inlineStr">
        <is>
          <t>7.1.22</t>
        </is>
      </c>
      <c r="I1387" t="inlineStr">
        <is>
          <t>COMBUSTÍVEL - DIESEL (INTERNO)</t>
        </is>
      </c>
      <c r="J1387" t="n">
        <v>1815.78</v>
      </c>
      <c r="K1387" t="n">
        <v>1815.78</v>
      </c>
    </row>
    <row r="1388" hidden="1" s="154">
      <c r="A1388" t="n">
        <v>2025</v>
      </c>
      <c r="B1388" t="inlineStr">
        <is>
          <t>2025-02</t>
        </is>
      </c>
      <c r="C1388" t="inlineStr">
        <is>
          <t>Tupy</t>
        </is>
      </c>
      <c r="D1388" t="inlineStr">
        <is>
          <t>HYUNDAI</t>
        </is>
      </c>
      <c r="E1388" t="inlineStr">
        <is>
          <t>EHH0003</t>
        </is>
      </c>
      <c r="F1388" t="inlineStr">
        <is>
          <t>EKIPA LOCACOES E SERV G&amp;S</t>
        </is>
      </c>
      <c r="G1388" t="inlineStr">
        <is>
          <t>G&amp;G MATRIZ</t>
        </is>
      </c>
      <c r="H1388" t="inlineStr">
        <is>
          <t>7.1.22</t>
        </is>
      </c>
      <c r="I1388" t="inlineStr">
        <is>
          <t>COMBUSTÍVEL - DIESEL (INTERNO)</t>
        </is>
      </c>
      <c r="J1388" t="n">
        <v>1952.82</v>
      </c>
      <c r="K1388" t="n">
        <v>1952.82</v>
      </c>
    </row>
    <row r="1389" hidden="1" s="154">
      <c r="A1389" t="n">
        <v>2025</v>
      </c>
      <c r="B1389" t="inlineStr">
        <is>
          <t>2025-02</t>
        </is>
      </c>
      <c r="C1389" t="inlineStr">
        <is>
          <t>Tupy</t>
        </is>
      </c>
      <c r="D1389" t="inlineStr">
        <is>
          <t>HYUNDAI</t>
        </is>
      </c>
      <c r="E1389" t="inlineStr">
        <is>
          <t>EHH0003</t>
        </is>
      </c>
      <c r="F1389" t="inlineStr">
        <is>
          <t>EKIPA LOCACOES E SERV G&amp;S</t>
        </is>
      </c>
      <c r="G1389" t="inlineStr">
        <is>
          <t>G&amp;G MATRIZ</t>
        </is>
      </c>
      <c r="H1389" t="inlineStr">
        <is>
          <t>7.1.22</t>
        </is>
      </c>
      <c r="I1389" t="inlineStr">
        <is>
          <t>COMBUSTÍVEL - DIESEL (INTERNO)</t>
        </is>
      </c>
      <c r="J1389" t="n">
        <v>1901.43</v>
      </c>
      <c r="K1389" t="n">
        <v>1901.43</v>
      </c>
    </row>
    <row r="1390" hidden="1" s="154">
      <c r="A1390" t="n">
        <v>2025</v>
      </c>
      <c r="B1390" t="inlineStr">
        <is>
          <t>2025-02</t>
        </is>
      </c>
      <c r="C1390" t="inlineStr">
        <is>
          <t>Tupy</t>
        </is>
      </c>
      <c r="D1390" t="inlineStr">
        <is>
          <t>HYUNDAI</t>
        </is>
      </c>
      <c r="E1390" t="inlineStr">
        <is>
          <t>EHH0003</t>
        </is>
      </c>
      <c r="F1390" t="inlineStr">
        <is>
          <t>EKIPA LOCACOES E SERV G&amp;S</t>
        </is>
      </c>
      <c r="G1390" t="inlineStr">
        <is>
          <t>G&amp;G MARINGA</t>
        </is>
      </c>
      <c r="H1390" t="inlineStr">
        <is>
          <t>7.1.1</t>
        </is>
      </c>
      <c r="I1390" t="inlineStr">
        <is>
          <t>PEÇAS DE MANUTENÇÃO</t>
        </is>
      </c>
      <c r="J1390" t="n">
        <v>690</v>
      </c>
      <c r="K1390" t="n">
        <v>690</v>
      </c>
    </row>
    <row r="1391" hidden="1" s="154">
      <c r="A1391" t="n">
        <v>2025</v>
      </c>
      <c r="B1391" t="inlineStr">
        <is>
          <t>2025-03</t>
        </is>
      </c>
      <c r="C1391" t="inlineStr">
        <is>
          <t>Tupy</t>
        </is>
      </c>
      <c r="D1391" t="inlineStr">
        <is>
          <t>HYUNDAI</t>
        </is>
      </c>
      <c r="E1391" t="inlineStr">
        <is>
          <t>EHH0003</t>
        </is>
      </c>
      <c r="F1391" t="inlineStr">
        <is>
          <t>EKIPA LOCACOES E SERV G&amp;S</t>
        </is>
      </c>
      <c r="G1391" t="inlineStr">
        <is>
          <t>G&amp;G - MATO GROSSO DO SUL</t>
        </is>
      </c>
      <c r="H1391" t="inlineStr">
        <is>
          <t>7.1.1</t>
        </is>
      </c>
      <c r="I1391" t="inlineStr">
        <is>
          <t>PEÇAS DE MANUTENÇÃO</t>
        </is>
      </c>
      <c r="J1391" t="n">
        <v>357.5</v>
      </c>
      <c r="K1391" t="n">
        <v>357.5</v>
      </c>
    </row>
    <row r="1392" hidden="1" s="154">
      <c r="A1392" t="n">
        <v>2025</v>
      </c>
      <c r="B1392" t="inlineStr">
        <is>
          <t>2025-04</t>
        </is>
      </c>
      <c r="C1392" t="inlineStr">
        <is>
          <t>Tupy</t>
        </is>
      </c>
      <c r="D1392" t="inlineStr">
        <is>
          <t>HYUNDAI</t>
        </is>
      </c>
      <c r="E1392" t="inlineStr">
        <is>
          <t>EHH0003</t>
        </is>
      </c>
      <c r="F1392" t="inlineStr">
        <is>
          <t>EKIPA LOCACOES E SERV G&amp;S</t>
        </is>
      </c>
      <c r="G1392" t="inlineStr">
        <is>
          <t>G&amp;G - MATO GROSSO DO SUL</t>
        </is>
      </c>
      <c r="H1392" t="inlineStr">
        <is>
          <t>7.1.4</t>
        </is>
      </c>
      <c r="I1392" t="inlineStr">
        <is>
          <t>COMBUSTÍVEL - DIESEL (POSTO)</t>
        </is>
      </c>
      <c r="J1392" t="n">
        <v>597.6</v>
      </c>
      <c r="K1392" t="n">
        <v>597.6</v>
      </c>
    </row>
    <row r="1393" hidden="1" s="154">
      <c r="A1393" t="n">
        <v>2025</v>
      </c>
      <c r="B1393" t="inlineStr">
        <is>
          <t>2025-10</t>
        </is>
      </c>
      <c r="C1393" t="inlineStr">
        <is>
          <t>Tupy</t>
        </is>
      </c>
      <c r="D1393" t="inlineStr">
        <is>
          <t>HYUNDAI</t>
        </is>
      </c>
      <c r="E1393" t="inlineStr">
        <is>
          <t>EHH0003</t>
        </is>
      </c>
      <c r="F1393" t="inlineStr">
        <is>
          <t>SELETIVA</t>
        </is>
      </c>
      <c r="G1393" t="inlineStr">
        <is>
          <t>G&amp;S PRUDENTE</t>
        </is>
      </c>
      <c r="H1393" t="inlineStr">
        <is>
          <t>7.1.2</t>
        </is>
      </c>
      <c r="I1393" t="inlineStr">
        <is>
          <t>MANUTENÇÃO DE VEÍCULOS/MAQUINAS</t>
        </is>
      </c>
      <c r="J1393" t="n">
        <v>1064.74</v>
      </c>
      <c r="K1393" t="n">
        <v>-1064.74</v>
      </c>
    </row>
    <row r="1394" hidden="1" s="154">
      <c r="A1394" t="n">
        <v>2025</v>
      </c>
      <c r="B1394" t="inlineStr">
        <is>
          <t>2025-11</t>
        </is>
      </c>
      <c r="C1394" t="inlineStr">
        <is>
          <t>Tupy</t>
        </is>
      </c>
      <c r="D1394" t="inlineStr">
        <is>
          <t>HYUNDAI</t>
        </is>
      </c>
      <c r="E1394" t="inlineStr">
        <is>
          <t>EHH0003</t>
        </is>
      </c>
      <c r="F1394" t="inlineStr">
        <is>
          <t>SELETIVA</t>
        </is>
      </c>
      <c r="G1394" t="inlineStr">
        <is>
          <t>CTA</t>
        </is>
      </c>
      <c r="H1394" t="inlineStr">
        <is>
          <t>7.1.22</t>
        </is>
      </c>
      <c r="I1394" t="inlineStr">
        <is>
          <t>COMBUSTÍVEL - DIESEL (INTERNO)</t>
        </is>
      </c>
      <c r="J1394" t="n">
        <v>1896.6</v>
      </c>
      <c r="K1394" t="n">
        <v>-1896.6</v>
      </c>
    </row>
    <row r="1395" hidden="1" s="154">
      <c r="A1395" t="n">
        <v>2026</v>
      </c>
      <c r="B1395" t="inlineStr">
        <is>
          <t>2026-01</t>
        </is>
      </c>
      <c r="C1395" t="inlineStr">
        <is>
          <t>Tupy</t>
        </is>
      </c>
      <c r="D1395" t="inlineStr">
        <is>
          <t>HYUNDAI</t>
        </is>
      </c>
      <c r="E1395" t="inlineStr">
        <is>
          <t>EHH0003</t>
        </is>
      </c>
      <c r="F1395" t="inlineStr">
        <is>
          <t>SELETIVA</t>
        </is>
      </c>
      <c r="G1395" t="inlineStr">
        <is>
          <t>G3S DOURADOS</t>
        </is>
      </c>
      <c r="H1395" t="inlineStr">
        <is>
          <t>7.1.2</t>
        </is>
      </c>
      <c r="I1395" t="inlineStr">
        <is>
          <t>MANUTENÇÃO DE VEÍCULOS/MAQUINAS</t>
        </is>
      </c>
      <c r="J1395" t="n">
        <v>38.84</v>
      </c>
      <c r="K1395" t="n">
        <v>-38.84</v>
      </c>
    </row>
    <row r="1396" hidden="1" s="154">
      <c r="A1396" t="n">
        <v>2026</v>
      </c>
      <c r="B1396" t="inlineStr">
        <is>
          <t>2026-01</t>
        </is>
      </c>
      <c r="C1396" t="inlineStr">
        <is>
          <t>Tupy</t>
        </is>
      </c>
      <c r="D1396" t="inlineStr">
        <is>
          <t>HYUNDAI</t>
        </is>
      </c>
      <c r="E1396" t="inlineStr">
        <is>
          <t>EHH0003</t>
        </is>
      </c>
      <c r="F1396" t="inlineStr">
        <is>
          <t>SELETIVA</t>
        </is>
      </c>
      <c r="G1396" t="inlineStr">
        <is>
          <t>G3S DOURADOS</t>
        </is>
      </c>
      <c r="H1396" t="inlineStr">
        <is>
          <t>7.1.1</t>
        </is>
      </c>
      <c r="I1396" t="inlineStr">
        <is>
          <t>PEÇAS DE MANUTENÇÃO</t>
        </is>
      </c>
      <c r="J1396" t="n">
        <v>38.84</v>
      </c>
      <c r="K1396" t="n">
        <v>-38.84</v>
      </c>
    </row>
    <row r="1397" hidden="1" s="154">
      <c r="A1397" t="n">
        <v>2026</v>
      </c>
      <c r="B1397" t="inlineStr">
        <is>
          <t>2026-01</t>
        </is>
      </c>
      <c r="C1397" t="inlineStr">
        <is>
          <t>Tupy</t>
        </is>
      </c>
      <c r="D1397" t="inlineStr">
        <is>
          <t>HYUNDAI</t>
        </is>
      </c>
      <c r="E1397" t="inlineStr">
        <is>
          <t>EHH0003</t>
        </is>
      </c>
      <c r="F1397" t="inlineStr">
        <is>
          <t>SELETIVA</t>
        </is>
      </c>
      <c r="G1397" t="inlineStr">
        <is>
          <t>G3S DOURADOS</t>
        </is>
      </c>
      <c r="H1397" t="inlineStr">
        <is>
          <t>7.1.2</t>
        </is>
      </c>
      <c r="I1397" t="inlineStr">
        <is>
          <t>MANUTENÇÃO DE VEÍCULOS/MAQUINAS</t>
        </is>
      </c>
      <c r="J1397" t="n">
        <v>38.84</v>
      </c>
      <c r="K1397" t="n">
        <v>-38.84</v>
      </c>
    </row>
    <row r="1398" hidden="1" s="154">
      <c r="A1398" t="n">
        <v>2026</v>
      </c>
      <c r="B1398" t="inlineStr">
        <is>
          <t>2026-01</t>
        </is>
      </c>
      <c r="C1398" t="inlineStr">
        <is>
          <t>Tupy</t>
        </is>
      </c>
      <c r="D1398" t="inlineStr">
        <is>
          <t>HYUNDAI</t>
        </is>
      </c>
      <c r="E1398" t="inlineStr">
        <is>
          <t>EHH0003</t>
        </is>
      </c>
      <c r="F1398" t="inlineStr">
        <is>
          <t>SELETIVA</t>
        </is>
      </c>
      <c r="G1398" t="inlineStr">
        <is>
          <t>G3S DOURADOS</t>
        </is>
      </c>
      <c r="H1398" t="inlineStr">
        <is>
          <t>7.1.1</t>
        </is>
      </c>
      <c r="I1398" t="inlineStr">
        <is>
          <t>PEÇAS DE MANUTENÇÃO</t>
        </is>
      </c>
      <c r="J1398" t="n">
        <v>38.84</v>
      </c>
      <c r="K1398" t="n">
        <v>-38.84</v>
      </c>
    </row>
    <row r="1399" hidden="1" s="154">
      <c r="A1399" t="n">
        <v>2026</v>
      </c>
      <c r="B1399" t="inlineStr">
        <is>
          <t>2026-02</t>
        </is>
      </c>
      <c r="C1399" t="inlineStr">
        <is>
          <t>Tupy</t>
        </is>
      </c>
      <c r="D1399" t="inlineStr">
        <is>
          <t>HYUNDAI</t>
        </is>
      </c>
      <c r="E1399" t="inlineStr">
        <is>
          <t>EHH0003</t>
        </is>
      </c>
      <c r="F1399" t="inlineStr">
        <is>
          <t>SELETIVA</t>
        </is>
      </c>
      <c r="G1399" t="inlineStr">
        <is>
          <t>G&amp;S DOURADOS</t>
        </is>
      </c>
      <c r="H1399" t="inlineStr">
        <is>
          <t>7.1.2</t>
        </is>
      </c>
      <c r="I1399" t="inlineStr">
        <is>
          <t>MANUTENÇÃO DE VEÍCULOS/MAQUINAS</t>
        </is>
      </c>
      <c r="J1399" t="n">
        <v>735.46</v>
      </c>
      <c r="K1399" t="n">
        <v>-735.46</v>
      </c>
    </row>
    <row r="1400" hidden="1" s="154">
      <c r="A1400" t="n">
        <v>2026</v>
      </c>
      <c r="B1400" t="inlineStr">
        <is>
          <t>2026-02</t>
        </is>
      </c>
      <c r="C1400" t="inlineStr">
        <is>
          <t>Tupy</t>
        </is>
      </c>
      <c r="D1400" t="inlineStr">
        <is>
          <t>HYUNDAI</t>
        </is>
      </c>
      <c r="E1400" t="inlineStr">
        <is>
          <t>EHH0003</t>
        </is>
      </c>
      <c r="F1400" t="inlineStr">
        <is>
          <t>SELETIVA</t>
        </is>
      </c>
      <c r="G1400" t="inlineStr">
        <is>
          <t>G&amp;S DOURADOS</t>
        </is>
      </c>
      <c r="H1400" t="inlineStr">
        <is>
          <t>7.1.2</t>
        </is>
      </c>
      <c r="I1400" t="inlineStr">
        <is>
          <t>MANUTENÇÃO DE VEÍCULOS/MAQUINAS</t>
        </is>
      </c>
      <c r="J1400" t="n">
        <v>525.83</v>
      </c>
      <c r="K1400" t="n">
        <v>-525.83</v>
      </c>
    </row>
    <row r="1401" hidden="1" s="154">
      <c r="A1401" t="n">
        <v>2026</v>
      </c>
      <c r="B1401" t="inlineStr">
        <is>
          <t>2026-03</t>
        </is>
      </c>
      <c r="C1401" t="inlineStr">
        <is>
          <t>Tupy</t>
        </is>
      </c>
      <c r="D1401" t="inlineStr">
        <is>
          <t>HYUNDAI</t>
        </is>
      </c>
      <c r="E1401" t="inlineStr">
        <is>
          <t>EHH0003</t>
        </is>
      </c>
      <c r="F1401" t="inlineStr">
        <is>
          <t>SELETIVA</t>
        </is>
      </c>
      <c r="G1401" t="inlineStr">
        <is>
          <t>G&amp;S DOURADOS</t>
        </is>
      </c>
      <c r="H1401" t="inlineStr">
        <is>
          <t>7.1.2</t>
        </is>
      </c>
      <c r="I1401" t="inlineStr">
        <is>
          <t>MANUTENÇÃO DE VEÍCULOS/MAQUINAS</t>
        </is>
      </c>
      <c r="J1401" t="n">
        <v>177.37</v>
      </c>
      <c r="K1401" t="n">
        <v>-177.37</v>
      </c>
    </row>
    <row r="1402" hidden="1" s="154">
      <c r="A1402" t="n">
        <v>2026</v>
      </c>
      <c r="B1402" t="inlineStr">
        <is>
          <t>2026-03</t>
        </is>
      </c>
      <c r="C1402" t="inlineStr">
        <is>
          <t>Tupy</t>
        </is>
      </c>
      <c r="D1402" t="inlineStr">
        <is>
          <t>HYUNDAI</t>
        </is>
      </c>
      <c r="E1402" t="inlineStr">
        <is>
          <t>EHH0003</t>
        </is>
      </c>
      <c r="F1402" t="inlineStr">
        <is>
          <t>SELETIVA</t>
        </is>
      </c>
      <c r="G1402" t="inlineStr">
        <is>
          <t>G&amp;S DOURADOS</t>
        </is>
      </c>
      <c r="H1402" t="inlineStr">
        <is>
          <t>7.1.18</t>
        </is>
      </c>
      <c r="I1402" t="inlineStr">
        <is>
          <t>FRETES E CARRETOS</t>
        </is>
      </c>
      <c r="J1402" t="n">
        <v>285.89</v>
      </c>
      <c r="K1402" t="n">
        <v>-285.89</v>
      </c>
    </row>
    <row r="1403" hidden="1" s="154">
      <c r="A1403" t="n">
        <v>2025</v>
      </c>
      <c r="B1403" t="inlineStr">
        <is>
          <t>2025-01</t>
        </is>
      </c>
      <c r="C1403" t="inlineStr">
        <is>
          <t>Tupy</t>
        </is>
      </c>
      <c r="D1403" t="inlineStr">
        <is>
          <t>LIEBHERR</t>
        </is>
      </c>
      <c r="E1403" t="inlineStr">
        <is>
          <t>EHL0041</t>
        </is>
      </c>
      <c r="F1403" t="inlineStr">
        <is>
          <t>EKIPA LOCACOES E SERV G&amp;S</t>
        </is>
      </c>
      <c r="G1403" t="inlineStr">
        <is>
          <t>G&amp;G MATRIZ</t>
        </is>
      </c>
      <c r="H1403" t="inlineStr">
        <is>
          <t>7.1.4</t>
        </is>
      </c>
      <c r="I1403" t="inlineStr">
        <is>
          <t>COMBUSTÍVEL - DIESEL (POSTO)</t>
        </is>
      </c>
      <c r="J1403" t="n">
        <v>1859.8</v>
      </c>
      <c r="K1403" t="n">
        <v>1859.8</v>
      </c>
    </row>
    <row r="1404" hidden="1" s="154">
      <c r="A1404" t="n">
        <v>2025</v>
      </c>
      <c r="B1404" t="inlineStr">
        <is>
          <t>2025-01</t>
        </is>
      </c>
      <c r="C1404" t="inlineStr">
        <is>
          <t>Tupy</t>
        </is>
      </c>
      <c r="D1404" t="inlineStr">
        <is>
          <t>LIEBHERR</t>
        </is>
      </c>
      <c r="E1404" t="inlineStr">
        <is>
          <t>EHL0041</t>
        </is>
      </c>
      <c r="F1404" t="inlineStr">
        <is>
          <t>EKIPA LOCACOES E SERV G&amp;S</t>
        </is>
      </c>
      <c r="G1404" t="inlineStr">
        <is>
          <t>G&amp;G MATRIZ</t>
        </is>
      </c>
      <c r="H1404" t="inlineStr">
        <is>
          <t>7.1.1</t>
        </is>
      </c>
      <c r="I1404" t="inlineStr">
        <is>
          <t>PEÇAS DE MANUTENÇÃO</t>
        </is>
      </c>
      <c r="J1404" t="n">
        <v>5903.89</v>
      </c>
      <c r="K1404" t="n">
        <v>5903.89</v>
      </c>
    </row>
    <row r="1405" hidden="1" s="154">
      <c r="A1405" t="n">
        <v>2025</v>
      </c>
      <c r="B1405" t="inlineStr">
        <is>
          <t>2025-02</t>
        </is>
      </c>
      <c r="C1405" t="inlineStr">
        <is>
          <t>Tupy</t>
        </is>
      </c>
      <c r="D1405" t="inlineStr">
        <is>
          <t>LIEBHERR</t>
        </is>
      </c>
      <c r="E1405" t="inlineStr">
        <is>
          <t>EHL0041</t>
        </is>
      </c>
      <c r="F1405" t="inlineStr">
        <is>
          <t>EKIPA LOCACOES E SERV G&amp;S</t>
        </is>
      </c>
      <c r="G1405" t="inlineStr">
        <is>
          <t>G&amp;G MATRIZ</t>
        </is>
      </c>
      <c r="H1405" t="inlineStr">
        <is>
          <t>7.1.4</t>
        </is>
      </c>
      <c r="I1405" t="inlineStr">
        <is>
          <t>COMBUSTÍVEL - DIESEL (POSTO)</t>
        </is>
      </c>
      <c r="J1405" t="n">
        <v>680</v>
      </c>
      <c r="K1405" t="n">
        <v>680</v>
      </c>
    </row>
    <row r="1406" hidden="1" s="154">
      <c r="A1406" t="n">
        <v>2025</v>
      </c>
      <c r="B1406" t="inlineStr">
        <is>
          <t>2025-02</t>
        </is>
      </c>
      <c r="C1406" t="inlineStr">
        <is>
          <t>Tupy</t>
        </is>
      </c>
      <c r="D1406" t="inlineStr">
        <is>
          <t>LIEBHERR</t>
        </is>
      </c>
      <c r="E1406" t="inlineStr">
        <is>
          <t>EHL0041</t>
        </is>
      </c>
      <c r="F1406" t="inlineStr">
        <is>
          <t>EKIPA LOCACOES E SERV G&amp;S</t>
        </is>
      </c>
      <c r="G1406" t="inlineStr">
        <is>
          <t>G&amp;G MATRIZ</t>
        </is>
      </c>
      <c r="H1406" t="inlineStr">
        <is>
          <t>7.1.18</t>
        </is>
      </c>
      <c r="I1406" t="inlineStr">
        <is>
          <t>FRETES E CARRETOS</t>
        </is>
      </c>
      <c r="J1406" t="n">
        <v>144.72</v>
      </c>
      <c r="K1406" t="n">
        <v>144.72</v>
      </c>
    </row>
    <row r="1407" hidden="1" s="154">
      <c r="A1407" t="n">
        <v>2025</v>
      </c>
      <c r="B1407" t="inlineStr">
        <is>
          <t>2025-02</t>
        </is>
      </c>
      <c r="C1407" t="inlineStr">
        <is>
          <t>Tupy</t>
        </is>
      </c>
      <c r="D1407" t="inlineStr">
        <is>
          <t>LIEBHERR</t>
        </is>
      </c>
      <c r="E1407" t="inlineStr">
        <is>
          <t>EHL0041</t>
        </is>
      </c>
      <c r="F1407" t="inlineStr">
        <is>
          <t>EKIPA LOCACOES E SERV G&amp;S</t>
        </is>
      </c>
      <c r="G1407" t="inlineStr">
        <is>
          <t>G&amp;G MATRIZ</t>
        </is>
      </c>
      <c r="H1407" t="inlineStr">
        <is>
          <t>7.1.18</t>
        </is>
      </c>
      <c r="I1407" t="inlineStr">
        <is>
          <t>FRETES E CARRETOS</t>
        </is>
      </c>
      <c r="J1407" t="n">
        <v>165</v>
      </c>
      <c r="K1407" t="n">
        <v>165</v>
      </c>
    </row>
    <row r="1408" hidden="1" s="154">
      <c r="A1408" t="n">
        <v>2025</v>
      </c>
      <c r="B1408" t="inlineStr">
        <is>
          <t>2025-02</t>
        </is>
      </c>
      <c r="C1408" t="inlineStr">
        <is>
          <t>Tupy</t>
        </is>
      </c>
      <c r="D1408" t="inlineStr">
        <is>
          <t>LIEBHERR</t>
        </is>
      </c>
      <c r="E1408" t="inlineStr">
        <is>
          <t>EHL0041</t>
        </is>
      </c>
      <c r="F1408" t="inlineStr">
        <is>
          <t>EKIPA LOCACOES E SERV G&amp;S</t>
        </is>
      </c>
      <c r="G1408" t="inlineStr">
        <is>
          <t>G&amp;G MATRIZ</t>
        </is>
      </c>
      <c r="H1408" t="inlineStr">
        <is>
          <t>7.1.18</t>
        </is>
      </c>
      <c r="I1408" t="inlineStr">
        <is>
          <t>FRETES E CARRETOS</t>
        </is>
      </c>
      <c r="J1408" t="n">
        <v>45.02</v>
      </c>
      <c r="K1408" t="n">
        <v>45.02</v>
      </c>
    </row>
    <row r="1409" hidden="1" s="154">
      <c r="A1409" t="n">
        <v>2025</v>
      </c>
      <c r="B1409" t="inlineStr">
        <is>
          <t>2025-02</t>
        </is>
      </c>
      <c r="C1409" t="inlineStr">
        <is>
          <t>Tupy</t>
        </is>
      </c>
      <c r="D1409" t="inlineStr">
        <is>
          <t>LIEBHERR</t>
        </is>
      </c>
      <c r="E1409" t="inlineStr">
        <is>
          <t>EHL0041</t>
        </is>
      </c>
      <c r="F1409" t="inlineStr">
        <is>
          <t>EKIPA LOCACOES E SERV G&amp;S</t>
        </is>
      </c>
      <c r="G1409" t="inlineStr">
        <is>
          <t>G&amp;G MATRIZ</t>
        </is>
      </c>
      <c r="H1409" t="inlineStr">
        <is>
          <t>7.1.1</t>
        </is>
      </c>
      <c r="I1409" t="inlineStr">
        <is>
          <t>PEÇAS DE MANUTENÇÃO</t>
        </is>
      </c>
      <c r="J1409" t="n">
        <v>564.96</v>
      </c>
      <c r="K1409" t="n">
        <v>564.96</v>
      </c>
    </row>
    <row r="1410" hidden="1" s="154">
      <c r="A1410" t="n">
        <v>2025</v>
      </c>
      <c r="B1410" t="inlineStr">
        <is>
          <t>2025-03</t>
        </is>
      </c>
      <c r="C1410" t="inlineStr">
        <is>
          <t>Tupy</t>
        </is>
      </c>
      <c r="D1410" t="inlineStr">
        <is>
          <t>LIEBHERR</t>
        </is>
      </c>
      <c r="E1410" t="inlineStr">
        <is>
          <t>EHL0041</t>
        </is>
      </c>
      <c r="F1410" t="inlineStr">
        <is>
          <t>EKIPA LOCACOES E SERV G&amp;S</t>
        </is>
      </c>
      <c r="G1410" t="inlineStr">
        <is>
          <t>G&amp;G MATRIZ</t>
        </is>
      </c>
      <c r="H1410" t="inlineStr">
        <is>
          <t>7.1.1</t>
        </is>
      </c>
      <c r="I1410" t="inlineStr">
        <is>
          <t>PEÇAS DE MANUTENÇÃO</t>
        </is>
      </c>
      <c r="J1410" t="n">
        <v>214.52</v>
      </c>
      <c r="K1410" t="n">
        <v>214.52</v>
      </c>
    </row>
    <row r="1411" hidden="1" s="154">
      <c r="A1411" t="n">
        <v>2025</v>
      </c>
      <c r="B1411" t="inlineStr">
        <is>
          <t>2025-04</t>
        </is>
      </c>
      <c r="C1411" t="inlineStr">
        <is>
          <t>Tupy</t>
        </is>
      </c>
      <c r="D1411" t="inlineStr">
        <is>
          <t>LIEBHERR</t>
        </is>
      </c>
      <c r="E1411" t="inlineStr">
        <is>
          <t>EHL0041</t>
        </is>
      </c>
      <c r="F1411" t="inlineStr">
        <is>
          <t>EKIPA LOCACOES E SERV G&amp;S</t>
        </is>
      </c>
      <c r="G1411" t="inlineStr">
        <is>
          <t>G&amp;G MATRIZ</t>
        </is>
      </c>
      <c r="H1411" t="inlineStr">
        <is>
          <t>7.1.1</t>
        </is>
      </c>
      <c r="I1411" t="inlineStr">
        <is>
          <t>PEÇAS DE MANUTENÇÃO</t>
        </is>
      </c>
      <c r="J1411" t="n">
        <v>350.2</v>
      </c>
      <c r="K1411" t="n">
        <v>350.2</v>
      </c>
    </row>
    <row r="1412" hidden="1" s="154">
      <c r="A1412" t="n">
        <v>2025</v>
      </c>
      <c r="B1412" t="inlineStr">
        <is>
          <t>2025-04</t>
        </is>
      </c>
      <c r="C1412" t="inlineStr">
        <is>
          <t>Tupy</t>
        </is>
      </c>
      <c r="D1412" t="inlineStr">
        <is>
          <t>LIEBHERR</t>
        </is>
      </c>
      <c r="E1412" t="inlineStr">
        <is>
          <t>EHL0041</t>
        </is>
      </c>
      <c r="F1412" t="inlineStr">
        <is>
          <t>EKIPA LOCACOES E SERV G&amp;S</t>
        </is>
      </c>
      <c r="G1412" t="inlineStr">
        <is>
          <t>G&amp;G MATRIZ</t>
        </is>
      </c>
      <c r="H1412" t="inlineStr">
        <is>
          <t>7.1.1</t>
        </is>
      </c>
      <c r="I1412" t="inlineStr">
        <is>
          <t>PEÇAS DE MANUTENÇÃO</t>
        </is>
      </c>
      <c r="J1412" t="n">
        <v>407.84</v>
      </c>
      <c r="K1412" t="n">
        <v>407.84</v>
      </c>
    </row>
    <row r="1413" hidden="1" s="154">
      <c r="A1413" t="n">
        <v>2025</v>
      </c>
      <c r="B1413" t="inlineStr">
        <is>
          <t>2025-04</t>
        </is>
      </c>
      <c r="C1413" t="inlineStr">
        <is>
          <t>Tupy</t>
        </is>
      </c>
      <c r="D1413" t="inlineStr">
        <is>
          <t>LIEBHERR</t>
        </is>
      </c>
      <c r="E1413" t="inlineStr">
        <is>
          <t>EHL0041</t>
        </is>
      </c>
      <c r="F1413" t="inlineStr">
        <is>
          <t>EKIPA LOCACOES E SERV G&amp;S</t>
        </is>
      </c>
      <c r="G1413" t="inlineStr">
        <is>
          <t>G&amp;G MATRIZ</t>
        </is>
      </c>
      <c r="H1413" t="inlineStr">
        <is>
          <t>7.1.18</t>
        </is>
      </c>
      <c r="I1413" t="inlineStr">
        <is>
          <t>FRETES E CARRETOS</t>
        </is>
      </c>
      <c r="J1413" t="n">
        <v>157.25</v>
      </c>
      <c r="K1413" t="n">
        <v>157.25</v>
      </c>
    </row>
    <row r="1414" hidden="1" s="154">
      <c r="A1414" t="n">
        <v>2025</v>
      </c>
      <c r="B1414" t="inlineStr">
        <is>
          <t>2025-04</t>
        </is>
      </c>
      <c r="C1414" t="inlineStr">
        <is>
          <t>Tupy</t>
        </is>
      </c>
      <c r="D1414" t="inlineStr">
        <is>
          <t>LIEBHERR</t>
        </is>
      </c>
      <c r="E1414" t="inlineStr">
        <is>
          <t>EHL0041</t>
        </is>
      </c>
      <c r="F1414" t="inlineStr">
        <is>
          <t>EKIPA LOCACOES E SERV G&amp;S</t>
        </is>
      </c>
      <c r="G1414" t="inlineStr">
        <is>
          <t>G&amp;G MATRIZ</t>
        </is>
      </c>
      <c r="H1414" t="inlineStr">
        <is>
          <t>7.1.18</t>
        </is>
      </c>
      <c r="I1414" t="inlineStr">
        <is>
          <t>FRETES E CARRETOS</t>
        </is>
      </c>
      <c r="J1414" t="n">
        <v>34.35</v>
      </c>
      <c r="K1414" t="n">
        <v>34.35</v>
      </c>
    </row>
    <row r="1415" hidden="1" s="154">
      <c r="A1415" t="n">
        <v>2025</v>
      </c>
      <c r="B1415" t="inlineStr">
        <is>
          <t>2025-04</t>
        </is>
      </c>
      <c r="C1415" t="inlineStr">
        <is>
          <t>Tupy</t>
        </is>
      </c>
      <c r="D1415" t="inlineStr">
        <is>
          <t>LIEBHERR</t>
        </is>
      </c>
      <c r="E1415" t="inlineStr">
        <is>
          <t>EHL0041</t>
        </is>
      </c>
      <c r="F1415" t="inlineStr">
        <is>
          <t>EKIPA LOCACOES E SERV G&amp;S</t>
        </is>
      </c>
      <c r="G1415" t="inlineStr">
        <is>
          <t>G&amp;G MATRIZ</t>
        </is>
      </c>
      <c r="H1415" t="inlineStr">
        <is>
          <t>7.1.1</t>
        </is>
      </c>
      <c r="I1415" t="inlineStr">
        <is>
          <t>PEÇAS DE MANUTENÇÃO</t>
        </is>
      </c>
      <c r="J1415" t="n">
        <v>6605.21</v>
      </c>
      <c r="K1415" t="n">
        <v>6605.21</v>
      </c>
    </row>
    <row r="1416" hidden="1" s="154">
      <c r="A1416" t="n">
        <v>2025</v>
      </c>
      <c r="B1416" t="inlineStr">
        <is>
          <t>2025-04</t>
        </is>
      </c>
      <c r="C1416" t="inlineStr">
        <is>
          <t>Tupy</t>
        </is>
      </c>
      <c r="D1416" t="inlineStr">
        <is>
          <t>LIEBHERR</t>
        </is>
      </c>
      <c r="E1416" t="inlineStr">
        <is>
          <t>EHL0041</t>
        </is>
      </c>
      <c r="F1416" t="inlineStr">
        <is>
          <t>EKIPA LOCACOES E SERV G&amp;S</t>
        </is>
      </c>
      <c r="G1416" t="inlineStr">
        <is>
          <t>G&amp;G MATRIZ</t>
        </is>
      </c>
      <c r="H1416" t="inlineStr">
        <is>
          <t>7.1.4</t>
        </is>
      </c>
      <c r="I1416" t="inlineStr">
        <is>
          <t>COMBUSTÍVEL - DIESEL (POSTO)</t>
        </is>
      </c>
      <c r="J1416" t="n">
        <v>650</v>
      </c>
      <c r="K1416" t="n">
        <v>650</v>
      </c>
    </row>
    <row r="1417" hidden="1" s="154">
      <c r="A1417" t="n">
        <v>2025</v>
      </c>
      <c r="B1417" t="inlineStr">
        <is>
          <t>2025-06</t>
        </is>
      </c>
      <c r="C1417" t="inlineStr">
        <is>
          <t>Tupy</t>
        </is>
      </c>
      <c r="D1417" t="inlineStr">
        <is>
          <t>LIEBHERR</t>
        </is>
      </c>
      <c r="E1417" t="inlineStr">
        <is>
          <t>EHL0041</t>
        </is>
      </c>
      <c r="F1417" t="inlineStr">
        <is>
          <t>EKIPA LOCACOES E SERV G&amp;S</t>
        </is>
      </c>
      <c r="G1417" t="inlineStr">
        <is>
          <t>G&amp;S PRUDENTE</t>
        </is>
      </c>
      <c r="H1417" t="inlineStr">
        <is>
          <t>7.1.1</t>
        </is>
      </c>
      <c r="I1417" t="inlineStr">
        <is>
          <t>PEÇAS DE MANUTENÇÃO</t>
        </is>
      </c>
      <c r="J1417" t="n">
        <v>6948.69</v>
      </c>
      <c r="K1417" t="n">
        <v>-6948.69</v>
      </c>
    </row>
    <row r="1418" hidden="1" s="154">
      <c r="A1418" t="n">
        <v>2025</v>
      </c>
      <c r="B1418" t="inlineStr">
        <is>
          <t>2025-06</t>
        </is>
      </c>
      <c r="C1418" t="inlineStr">
        <is>
          <t>Tupy</t>
        </is>
      </c>
      <c r="D1418" t="inlineStr">
        <is>
          <t>LIEBHERR</t>
        </is>
      </c>
      <c r="E1418" t="inlineStr">
        <is>
          <t>EHL0041</t>
        </is>
      </c>
      <c r="F1418" t="inlineStr">
        <is>
          <t>EKIPA LOCACOES E SERV G&amp;S</t>
        </is>
      </c>
      <c r="G1418" t="inlineStr">
        <is>
          <t>G&amp;S PRUDENTE</t>
        </is>
      </c>
      <c r="H1418" t="inlineStr">
        <is>
          <t>7.1.2</t>
        </is>
      </c>
      <c r="I1418" t="inlineStr">
        <is>
          <t>MANUTENÇÃO DE VEÍCULOS/MAQUINAS</t>
        </is>
      </c>
      <c r="J1418" t="n">
        <v>339.94</v>
      </c>
      <c r="K1418" t="n">
        <v>-339.94</v>
      </c>
    </row>
    <row r="1419" hidden="1" s="154">
      <c r="A1419" t="n">
        <v>2025</v>
      </c>
      <c r="B1419" t="inlineStr">
        <is>
          <t>2025-06</t>
        </is>
      </c>
      <c r="C1419" t="inlineStr">
        <is>
          <t>Tupy</t>
        </is>
      </c>
      <c r="D1419" t="inlineStr">
        <is>
          <t>LIEBHERR</t>
        </is>
      </c>
      <c r="E1419" t="inlineStr">
        <is>
          <t>EHL0041</t>
        </is>
      </c>
      <c r="F1419" t="inlineStr">
        <is>
          <t>EKIPA LOCACOES E SERV G&amp;S</t>
        </is>
      </c>
      <c r="G1419" t="inlineStr">
        <is>
          <t>G&amp;S PRUDENTE</t>
        </is>
      </c>
      <c r="H1419" t="inlineStr">
        <is>
          <t>7.1.18</t>
        </is>
      </c>
      <c r="I1419" t="inlineStr">
        <is>
          <t>FRETES E CARRETOS</t>
        </is>
      </c>
      <c r="J1419" t="n">
        <v>107.52</v>
      </c>
      <c r="K1419" t="n">
        <v>-107.52</v>
      </c>
    </row>
    <row r="1420" hidden="1" s="154">
      <c r="A1420" t="n">
        <v>2025</v>
      </c>
      <c r="B1420" t="inlineStr">
        <is>
          <t>2025-06</t>
        </is>
      </c>
      <c r="C1420" t="inlineStr">
        <is>
          <t>Tupy</t>
        </is>
      </c>
      <c r="D1420" t="inlineStr">
        <is>
          <t>LIEBHERR</t>
        </is>
      </c>
      <c r="E1420" t="inlineStr">
        <is>
          <t>EHL0041</t>
        </is>
      </c>
      <c r="F1420" t="inlineStr">
        <is>
          <t>EKIPA LOCACOES E SERV G&amp;S</t>
        </is>
      </c>
      <c r="G1420" t="inlineStr">
        <is>
          <t>G&amp;S PRUDENTE</t>
        </is>
      </c>
      <c r="H1420" t="inlineStr">
        <is>
          <t>7.1.18</t>
        </is>
      </c>
      <c r="I1420" t="inlineStr">
        <is>
          <t>FRETES E CARRETOS</t>
        </is>
      </c>
      <c r="J1420" t="n">
        <v>175</v>
      </c>
      <c r="K1420" t="n">
        <v>-175</v>
      </c>
    </row>
    <row r="1421" hidden="1" s="154">
      <c r="A1421" t="n">
        <v>2025</v>
      </c>
      <c r="B1421" t="inlineStr">
        <is>
          <t>2025-07</t>
        </is>
      </c>
      <c r="C1421" t="inlineStr">
        <is>
          <t>Tupy</t>
        </is>
      </c>
      <c r="D1421" t="inlineStr">
        <is>
          <t>LIEBHERR</t>
        </is>
      </c>
      <c r="E1421" t="inlineStr">
        <is>
          <t>EHL0041</t>
        </is>
      </c>
      <c r="F1421" t="inlineStr">
        <is>
          <t>EKIPA LOCACOES E SERV G&amp;S</t>
        </is>
      </c>
      <c r="G1421" t="inlineStr">
        <is>
          <t>G3S PRUDENTE</t>
        </is>
      </c>
      <c r="H1421" t="inlineStr">
        <is>
          <t>7.1.18</t>
        </is>
      </c>
      <c r="I1421" t="inlineStr">
        <is>
          <t>FRETES E CARRETOS</t>
        </is>
      </c>
      <c r="J1421" t="n">
        <v>58.97</v>
      </c>
      <c r="K1421" t="n">
        <v>-58.97</v>
      </c>
    </row>
    <row r="1422" hidden="1" s="154">
      <c r="A1422" t="n">
        <v>2025</v>
      </c>
      <c r="B1422" t="inlineStr">
        <is>
          <t>2025-07</t>
        </is>
      </c>
      <c r="C1422" t="inlineStr">
        <is>
          <t>Tupy</t>
        </is>
      </c>
      <c r="D1422" t="inlineStr">
        <is>
          <t>LIEBHERR</t>
        </is>
      </c>
      <c r="E1422" t="inlineStr">
        <is>
          <t>EHL0041</t>
        </is>
      </c>
      <c r="F1422" t="inlineStr">
        <is>
          <t>EKIPA LOCACOES E SERV G&amp;S</t>
        </is>
      </c>
      <c r="G1422" t="inlineStr">
        <is>
          <t>G&amp;S PRUDENTE</t>
        </is>
      </c>
      <c r="H1422" t="inlineStr">
        <is>
          <t>7.1.2</t>
        </is>
      </c>
      <c r="I1422" t="inlineStr">
        <is>
          <t>MANUTENÇÃO DE VEÍCULOS/MAQUINAS</t>
        </is>
      </c>
      <c r="J1422" t="n">
        <v>1491</v>
      </c>
      <c r="K1422" t="n">
        <v>-1491</v>
      </c>
    </row>
    <row r="1423" hidden="1" s="154">
      <c r="A1423" t="n">
        <v>2025</v>
      </c>
      <c r="B1423" t="inlineStr">
        <is>
          <t>2025-08</t>
        </is>
      </c>
      <c r="C1423" t="inlineStr">
        <is>
          <t>Tupy</t>
        </is>
      </c>
      <c r="D1423" t="inlineStr">
        <is>
          <t>LIEBHERR</t>
        </is>
      </c>
      <c r="E1423" t="inlineStr">
        <is>
          <t>EHL0041</t>
        </is>
      </c>
      <c r="F1423" t="inlineStr">
        <is>
          <t>EKIPA LOCACOES E SERV G&amp;S</t>
        </is>
      </c>
      <c r="G1423" t="inlineStr">
        <is>
          <t>G&amp;S PRUDENTE</t>
        </is>
      </c>
      <c r="H1423" t="inlineStr">
        <is>
          <t>7.1.2</t>
        </is>
      </c>
      <c r="I1423" t="inlineStr">
        <is>
          <t>MANUTENÇÃO DE VEÍCULOS/MAQUINAS</t>
        </is>
      </c>
      <c r="J1423" t="n">
        <v>660</v>
      </c>
      <c r="K1423" t="n">
        <v>-660</v>
      </c>
    </row>
    <row r="1424" hidden="1" s="154">
      <c r="A1424" t="n">
        <v>2025</v>
      </c>
      <c r="B1424" t="inlineStr">
        <is>
          <t>2025-09</t>
        </is>
      </c>
      <c r="C1424" t="inlineStr">
        <is>
          <t>Tupy</t>
        </is>
      </c>
      <c r="D1424" t="inlineStr">
        <is>
          <t>LIEBHERR</t>
        </is>
      </c>
      <c r="E1424" t="inlineStr">
        <is>
          <t>EHL0041</t>
        </is>
      </c>
      <c r="F1424" t="inlineStr">
        <is>
          <t>EKIPA LOCACOES E SERV G&amp;S</t>
        </is>
      </c>
      <c r="G1424" t="inlineStr">
        <is>
          <t>G&amp;S PRUDENTE</t>
        </is>
      </c>
      <c r="H1424" t="inlineStr">
        <is>
          <t>7.1.2</t>
        </is>
      </c>
      <c r="I1424" t="inlineStr">
        <is>
          <t>MANUTENÇÃO DE VEÍCULOS/MAQUINAS</t>
        </is>
      </c>
      <c r="J1424" t="n">
        <v>1245</v>
      </c>
      <c r="K1424" t="n">
        <v>-1245</v>
      </c>
    </row>
    <row r="1425" hidden="1" s="154">
      <c r="A1425" t="n">
        <v>2025</v>
      </c>
      <c r="B1425" t="inlineStr">
        <is>
          <t>2025-09</t>
        </is>
      </c>
      <c r="C1425" t="inlineStr">
        <is>
          <t>Tupy</t>
        </is>
      </c>
      <c r="D1425" t="inlineStr">
        <is>
          <t>LIEBHERR</t>
        </is>
      </c>
      <c r="E1425" t="inlineStr">
        <is>
          <t>EHL0041</t>
        </is>
      </c>
      <c r="F1425" t="inlineStr">
        <is>
          <t>EKIPA LOCACOES E SERV G&amp;S</t>
        </is>
      </c>
      <c r="G1425" t="inlineStr">
        <is>
          <t>G&amp;S PRUDENTE</t>
        </is>
      </c>
      <c r="H1425" t="inlineStr">
        <is>
          <t>7.1.2</t>
        </is>
      </c>
      <c r="I1425" t="inlineStr">
        <is>
          <t>MANUTENÇÃO DE VEÍCULOS/MAQUINAS</t>
        </is>
      </c>
      <c r="J1425" t="n">
        <v>1130</v>
      </c>
      <c r="K1425" t="n">
        <v>-1130</v>
      </c>
    </row>
    <row r="1426" hidden="1" s="154">
      <c r="A1426" t="n">
        <v>2025</v>
      </c>
      <c r="B1426" t="inlineStr">
        <is>
          <t>2025-09</t>
        </is>
      </c>
      <c r="C1426" t="inlineStr">
        <is>
          <t>Tupy</t>
        </is>
      </c>
      <c r="D1426" t="inlineStr">
        <is>
          <t>LIEBHERR</t>
        </is>
      </c>
      <c r="E1426" t="inlineStr">
        <is>
          <t>EHL0041</t>
        </is>
      </c>
      <c r="F1426" t="inlineStr">
        <is>
          <t>EKIPA LOCACOES E SERV G&amp;S</t>
        </is>
      </c>
      <c r="G1426" t="inlineStr">
        <is>
          <t>G&amp;S PRUDENTE</t>
        </is>
      </c>
      <c r="H1426" t="inlineStr">
        <is>
          <t>7.1.2</t>
        </is>
      </c>
      <c r="I1426" t="inlineStr">
        <is>
          <t>MANUTENÇÃO DE VEÍCULOS/MAQUINAS</t>
        </is>
      </c>
      <c r="J1426" t="n">
        <v>671.67</v>
      </c>
      <c r="K1426" t="n">
        <v>-671.67</v>
      </c>
    </row>
    <row r="1427" hidden="1" s="154">
      <c r="A1427" t="n">
        <v>2025</v>
      </c>
      <c r="B1427" t="inlineStr">
        <is>
          <t>2025-09</t>
        </is>
      </c>
      <c r="C1427" t="inlineStr">
        <is>
          <t>Tupy</t>
        </is>
      </c>
      <c r="D1427" t="inlineStr">
        <is>
          <t>LIEBHERR</t>
        </is>
      </c>
      <c r="E1427" t="inlineStr">
        <is>
          <t>EHL0041</t>
        </is>
      </c>
      <c r="F1427" t="inlineStr">
        <is>
          <t>EKIPA LOCACOES E SERV G&amp;S</t>
        </is>
      </c>
      <c r="G1427" t="inlineStr">
        <is>
          <t>G&amp;S PRUDENTE</t>
        </is>
      </c>
      <c r="H1427" t="inlineStr">
        <is>
          <t>7.1.18</t>
        </is>
      </c>
      <c r="I1427" t="inlineStr">
        <is>
          <t>FRETES E CARRETOS</t>
        </is>
      </c>
      <c r="J1427" t="n">
        <v>83</v>
      </c>
      <c r="K1427" t="n">
        <v>-83</v>
      </c>
    </row>
    <row r="1428" hidden="1" s="154">
      <c r="A1428" t="n">
        <v>2025</v>
      </c>
      <c r="B1428" t="inlineStr">
        <is>
          <t>2025-10</t>
        </is>
      </c>
      <c r="C1428" t="inlineStr">
        <is>
          <t>Tupy</t>
        </is>
      </c>
      <c r="D1428" t="inlineStr">
        <is>
          <t>LIEBHERR</t>
        </is>
      </c>
      <c r="E1428" t="inlineStr">
        <is>
          <t>EHL0041</t>
        </is>
      </c>
      <c r="F1428" t="inlineStr">
        <is>
          <t>EKIPA LOCACOES E SERV G&amp;S</t>
        </is>
      </c>
      <c r="G1428" t="inlineStr">
        <is>
          <t>G&amp;S PRUDENTE</t>
        </is>
      </c>
      <c r="H1428" t="inlineStr">
        <is>
          <t>7.1.2</t>
        </is>
      </c>
      <c r="I1428" t="inlineStr">
        <is>
          <t>MANUTENÇÃO DE VEÍCULOS/MAQUINAS</t>
        </is>
      </c>
      <c r="J1428" t="n">
        <v>924</v>
      </c>
      <c r="K1428" t="n">
        <v>-924</v>
      </c>
    </row>
    <row r="1429" hidden="1" s="154">
      <c r="A1429" t="n">
        <v>2025</v>
      </c>
      <c r="B1429" t="inlineStr">
        <is>
          <t>2025-10</t>
        </is>
      </c>
      <c r="C1429" t="inlineStr">
        <is>
          <t>Tupy</t>
        </is>
      </c>
      <c r="D1429" t="inlineStr">
        <is>
          <t>LIEBHERR</t>
        </is>
      </c>
      <c r="E1429" t="inlineStr">
        <is>
          <t>EHL0041</t>
        </is>
      </c>
      <c r="F1429" t="inlineStr">
        <is>
          <t>EKIPA LOCACOES E SERV G&amp;S</t>
        </is>
      </c>
      <c r="G1429" t="inlineStr">
        <is>
          <t>G&amp;S PRUDENTE</t>
        </is>
      </c>
      <c r="H1429" t="inlineStr">
        <is>
          <t>7.1.2</t>
        </is>
      </c>
      <c r="I1429" t="inlineStr">
        <is>
          <t>MANUTENÇÃO DE VEÍCULOS/MAQUINAS</t>
        </is>
      </c>
      <c r="J1429" t="n">
        <v>3987.33</v>
      </c>
      <c r="K1429" t="n">
        <v>-3987.33</v>
      </c>
    </row>
    <row r="1430" hidden="1" s="154">
      <c r="A1430" t="n">
        <v>2025</v>
      </c>
      <c r="B1430" t="inlineStr">
        <is>
          <t>2025-10</t>
        </is>
      </c>
      <c r="C1430" t="inlineStr">
        <is>
          <t>Tupy</t>
        </is>
      </c>
      <c r="D1430" t="inlineStr">
        <is>
          <t>LIEBHERR</t>
        </is>
      </c>
      <c r="E1430" t="inlineStr">
        <is>
          <t>EHL0041</t>
        </is>
      </c>
      <c r="F1430" t="inlineStr">
        <is>
          <t>EKIPA LOCACOES E SERV G&amp;S</t>
        </is>
      </c>
      <c r="G1430" t="inlineStr">
        <is>
          <t>G&amp;S PRUDENTE</t>
        </is>
      </c>
      <c r="H1430" t="inlineStr">
        <is>
          <t>7.1.2</t>
        </is>
      </c>
      <c r="I1430" t="inlineStr">
        <is>
          <t>MANUTENÇÃO DE VEÍCULOS/MAQUINAS</t>
        </is>
      </c>
      <c r="J1430" t="n">
        <v>934.5</v>
      </c>
      <c r="K1430" t="n">
        <v>-934.5</v>
      </c>
    </row>
    <row r="1431" hidden="1" s="154">
      <c r="A1431" t="n">
        <v>2025</v>
      </c>
      <c r="B1431" t="inlineStr">
        <is>
          <t>2025-10</t>
        </is>
      </c>
      <c r="C1431" t="inlineStr">
        <is>
          <t>Tupy</t>
        </is>
      </c>
      <c r="D1431" t="inlineStr">
        <is>
          <t>LIEBHERR</t>
        </is>
      </c>
      <c r="E1431" t="inlineStr">
        <is>
          <t>EHL0041</t>
        </is>
      </c>
      <c r="F1431" t="inlineStr">
        <is>
          <t>EKIPA LOCACOES E SERV G&amp;S</t>
        </is>
      </c>
      <c r="G1431" t="inlineStr">
        <is>
          <t>G&amp;S PRUDENTE</t>
        </is>
      </c>
      <c r="H1431" t="inlineStr">
        <is>
          <t>7.1.18</t>
        </is>
      </c>
      <c r="I1431" t="inlineStr">
        <is>
          <t>FRETES E CARRETOS</t>
        </is>
      </c>
      <c r="J1431" t="n">
        <v>297</v>
      </c>
      <c r="K1431" t="n">
        <v>-297</v>
      </c>
    </row>
    <row r="1432" hidden="1" s="154">
      <c r="A1432" t="n">
        <v>2025</v>
      </c>
      <c r="B1432" t="inlineStr">
        <is>
          <t>2025-10</t>
        </is>
      </c>
      <c r="C1432" t="inlineStr">
        <is>
          <t>Tupy</t>
        </is>
      </c>
      <c r="D1432" t="inlineStr">
        <is>
          <t>LIEBHERR</t>
        </is>
      </c>
      <c r="E1432" t="inlineStr">
        <is>
          <t>EHL0041</t>
        </is>
      </c>
      <c r="F1432" t="inlineStr">
        <is>
          <t>EKIPA LOCACOES E SERV G&amp;S</t>
        </is>
      </c>
      <c r="G1432" t="inlineStr">
        <is>
          <t>G&amp;S PRUDENTE</t>
        </is>
      </c>
      <c r="H1432" t="inlineStr">
        <is>
          <t>7.1.18</t>
        </is>
      </c>
      <c r="I1432" t="inlineStr">
        <is>
          <t>FRETES E CARRETOS</t>
        </is>
      </c>
      <c r="J1432" t="n">
        <v>103.07</v>
      </c>
      <c r="K1432" t="n">
        <v>-103.07</v>
      </c>
    </row>
    <row r="1433" hidden="1" s="154">
      <c r="A1433" t="n">
        <v>2025</v>
      </c>
      <c r="B1433" t="inlineStr">
        <is>
          <t>2025-12</t>
        </is>
      </c>
      <c r="C1433" t="inlineStr">
        <is>
          <t>Tupy</t>
        </is>
      </c>
      <c r="D1433" t="inlineStr">
        <is>
          <t>LIEBHERR</t>
        </is>
      </c>
      <c r="E1433" t="inlineStr">
        <is>
          <t>EHL0041</t>
        </is>
      </c>
      <c r="F1433" t="inlineStr">
        <is>
          <t>EKIPA LOCACOES E SERV G&amp;S</t>
        </is>
      </c>
      <c r="G1433" t="inlineStr">
        <is>
          <t>G&amp;S PRUDENTE</t>
        </is>
      </c>
      <c r="H1433" t="inlineStr">
        <is>
          <t>7.1.18</t>
        </is>
      </c>
      <c r="I1433" t="inlineStr">
        <is>
          <t>FRETES E CARRETOS</t>
        </is>
      </c>
      <c r="J1433" t="n">
        <v>122</v>
      </c>
      <c r="K1433" t="n">
        <v>-122</v>
      </c>
    </row>
    <row r="1434" hidden="1" s="154">
      <c r="A1434" t="n">
        <v>2025</v>
      </c>
      <c r="B1434" t="inlineStr">
        <is>
          <t>2025-12</t>
        </is>
      </c>
      <c r="C1434" t="inlineStr">
        <is>
          <t>Tupy</t>
        </is>
      </c>
      <c r="D1434" t="inlineStr">
        <is>
          <t>LIEBHERR</t>
        </is>
      </c>
      <c r="E1434" t="inlineStr">
        <is>
          <t>EHL0041</t>
        </is>
      </c>
      <c r="F1434" t="inlineStr">
        <is>
          <t>EKIPA LOCACOES E SERV G&amp;S</t>
        </is>
      </c>
      <c r="G1434" t="inlineStr">
        <is>
          <t>G&amp;S PRUDENTE</t>
        </is>
      </c>
      <c r="H1434" t="inlineStr">
        <is>
          <t>7.1.2</t>
        </is>
      </c>
      <c r="I1434" t="inlineStr">
        <is>
          <t>MANUTENÇÃO DE VEÍCULOS/MAQUINAS</t>
        </is>
      </c>
      <c r="J1434" t="n">
        <v>450</v>
      </c>
      <c r="K1434" t="n">
        <v>-450</v>
      </c>
    </row>
    <row r="1435" hidden="1" s="154">
      <c r="A1435" t="n">
        <v>2025</v>
      </c>
      <c r="B1435" t="inlineStr">
        <is>
          <t>2025-12</t>
        </is>
      </c>
      <c r="C1435" t="inlineStr">
        <is>
          <t>Tupy</t>
        </is>
      </c>
      <c r="D1435" t="inlineStr">
        <is>
          <t>LIEBHERR</t>
        </is>
      </c>
      <c r="E1435" t="inlineStr">
        <is>
          <t>EHL0041</t>
        </is>
      </c>
      <c r="F1435" t="inlineStr">
        <is>
          <t>EKIPA LOCACOES E SERV G&amp;S</t>
        </is>
      </c>
      <c r="G1435" t="inlineStr">
        <is>
          <t>G&amp;S PRUDENTE</t>
        </is>
      </c>
      <c r="H1435" t="inlineStr">
        <is>
          <t>7.1.2</t>
        </is>
      </c>
      <c r="I1435" t="inlineStr">
        <is>
          <t>MANUTENÇÃO DE VEÍCULOS/MAQUINAS</t>
        </is>
      </c>
      <c r="J1435" t="n">
        <v>2516</v>
      </c>
      <c r="K1435" t="n">
        <v>-2516</v>
      </c>
    </row>
    <row r="1436" hidden="1" s="154">
      <c r="A1436" t="n">
        <v>2026</v>
      </c>
      <c r="B1436" t="inlineStr">
        <is>
          <t>2026-01</t>
        </is>
      </c>
      <c r="C1436" t="inlineStr">
        <is>
          <t>Tupy</t>
        </is>
      </c>
      <c r="D1436" t="inlineStr">
        <is>
          <t>LIEBHERR</t>
        </is>
      </c>
      <c r="E1436" t="inlineStr">
        <is>
          <t>EHL0041</t>
        </is>
      </c>
      <c r="F1436" t="inlineStr">
        <is>
          <t>EKIPA LOCACOES E SERV G&amp;S</t>
        </is>
      </c>
      <c r="G1436" t="inlineStr">
        <is>
          <t>G&amp;S PRUDENTE</t>
        </is>
      </c>
      <c r="H1436" t="inlineStr">
        <is>
          <t>7.1.2</t>
        </is>
      </c>
      <c r="I1436" t="inlineStr">
        <is>
          <t>MANUTENÇÃO DE VEÍCULOS/MAQUINAS</t>
        </is>
      </c>
      <c r="J1436" t="n">
        <v>160</v>
      </c>
      <c r="K1436" t="n">
        <v>-160</v>
      </c>
    </row>
    <row r="1437" hidden="1" s="154">
      <c r="A1437" t="n">
        <v>2026</v>
      </c>
      <c r="B1437" t="inlineStr">
        <is>
          <t>2026-01</t>
        </is>
      </c>
      <c r="C1437" t="inlineStr">
        <is>
          <t>Tupy</t>
        </is>
      </c>
      <c r="D1437" t="inlineStr">
        <is>
          <t>LIEBHERR</t>
        </is>
      </c>
      <c r="E1437" t="inlineStr">
        <is>
          <t>EHL0041</t>
        </is>
      </c>
      <c r="F1437" t="inlineStr">
        <is>
          <t>EKIPA LOCACOES E SERV G&amp;S</t>
        </is>
      </c>
      <c r="G1437" t="inlineStr">
        <is>
          <t>G&amp;S PRUDENTE</t>
        </is>
      </c>
      <c r="H1437" t="inlineStr">
        <is>
          <t>7.1.2</t>
        </is>
      </c>
      <c r="I1437" t="inlineStr">
        <is>
          <t>MANUTENÇÃO DE VEÍCULOS/MAQUINAS</t>
        </is>
      </c>
      <c r="J1437" t="n">
        <v>1988</v>
      </c>
      <c r="K1437" t="n">
        <v>-1988</v>
      </c>
    </row>
    <row r="1438" hidden="1" s="154">
      <c r="A1438" t="n">
        <v>2026</v>
      </c>
      <c r="B1438" t="inlineStr">
        <is>
          <t>2026-01</t>
        </is>
      </c>
      <c r="C1438" t="inlineStr">
        <is>
          <t>Tupy</t>
        </is>
      </c>
      <c r="D1438" t="inlineStr">
        <is>
          <t>LIEBHERR</t>
        </is>
      </c>
      <c r="E1438" t="inlineStr">
        <is>
          <t>EHL0041</t>
        </is>
      </c>
      <c r="F1438" t="inlineStr">
        <is>
          <t>EKIPA LOCACOES E SERV G&amp;S</t>
        </is>
      </c>
      <c r="G1438" t="inlineStr">
        <is>
          <t>G&amp;S PRUDENTE</t>
        </is>
      </c>
      <c r="H1438" t="inlineStr">
        <is>
          <t>7.1.18</t>
        </is>
      </c>
      <c r="I1438" t="inlineStr">
        <is>
          <t>FRETES E CARRETOS</t>
        </is>
      </c>
      <c r="J1438" t="n">
        <v>68.59999999999999</v>
      </c>
      <c r="K1438" t="n">
        <v>-68.59999999999999</v>
      </c>
    </row>
    <row r="1439" hidden="1" s="154">
      <c r="A1439" t="n">
        <v>2026</v>
      </c>
      <c r="B1439" t="inlineStr">
        <is>
          <t>2026-01</t>
        </is>
      </c>
      <c r="C1439" t="inlineStr">
        <is>
          <t>Tupy</t>
        </is>
      </c>
      <c r="D1439" t="inlineStr">
        <is>
          <t>LIEBHERR</t>
        </is>
      </c>
      <c r="E1439" t="inlineStr">
        <is>
          <t>EHL0041</t>
        </is>
      </c>
      <c r="F1439" t="inlineStr">
        <is>
          <t>EKIPA LOCACOES E SERV G&amp;S</t>
        </is>
      </c>
      <c r="G1439" t="inlineStr">
        <is>
          <t>G&amp;S PRUDENTE</t>
        </is>
      </c>
      <c r="H1439" t="inlineStr">
        <is>
          <t>7.1.2</t>
        </is>
      </c>
      <c r="I1439" t="inlineStr">
        <is>
          <t>MANUTENÇÃO DE VEÍCULOS/MAQUINAS</t>
        </is>
      </c>
      <c r="J1439" t="n">
        <v>89.8</v>
      </c>
      <c r="K1439" t="n">
        <v>-89.8</v>
      </c>
    </row>
    <row r="1440" hidden="1" s="154">
      <c r="A1440" t="n">
        <v>2026</v>
      </c>
      <c r="B1440" t="inlineStr">
        <is>
          <t>2026-01</t>
        </is>
      </c>
      <c r="C1440" t="inlineStr">
        <is>
          <t>Tupy</t>
        </is>
      </c>
      <c r="D1440" t="inlineStr">
        <is>
          <t>LIEBHERR</t>
        </is>
      </c>
      <c r="E1440" t="inlineStr">
        <is>
          <t>EHL0041</t>
        </is>
      </c>
      <c r="F1440" t="inlineStr">
        <is>
          <t>EKIPA LOCACOES E SERV G&amp;S</t>
        </is>
      </c>
      <c r="G1440" t="inlineStr">
        <is>
          <t>G&amp;S PRUDENTE</t>
        </is>
      </c>
      <c r="H1440" t="inlineStr">
        <is>
          <t>7.1.2</t>
        </is>
      </c>
      <c r="I1440" t="inlineStr">
        <is>
          <t>MANUTENÇÃO DE VEÍCULOS/MAQUINAS</t>
        </is>
      </c>
      <c r="J1440" t="n">
        <v>1410</v>
      </c>
      <c r="K1440" t="n">
        <v>-1410</v>
      </c>
    </row>
    <row r="1441" hidden="1" s="154">
      <c r="A1441" t="n">
        <v>2026</v>
      </c>
      <c r="B1441" t="inlineStr">
        <is>
          <t>2026-01</t>
        </is>
      </c>
      <c r="C1441" t="inlineStr">
        <is>
          <t>Tupy</t>
        </is>
      </c>
      <c r="D1441" t="inlineStr">
        <is>
          <t>LIEBHERR</t>
        </is>
      </c>
      <c r="E1441" t="inlineStr">
        <is>
          <t>EHL0041</t>
        </is>
      </c>
      <c r="F1441" t="inlineStr">
        <is>
          <t>EKIPA LOCACOES E SERV G&amp;S</t>
        </is>
      </c>
      <c r="G1441" t="inlineStr">
        <is>
          <t>G&amp;S PRUDENTE</t>
        </is>
      </c>
      <c r="H1441" t="inlineStr">
        <is>
          <t>7.1.2</t>
        </is>
      </c>
      <c r="I1441" t="inlineStr">
        <is>
          <t>MANUTENÇÃO DE VEÍCULOS/MAQUINAS</t>
        </is>
      </c>
      <c r="J1441" t="n">
        <v>306.38</v>
      </c>
      <c r="K1441" t="n">
        <v>-306.38</v>
      </c>
    </row>
    <row r="1442" hidden="1" s="154">
      <c r="A1442" t="n">
        <v>2026</v>
      </c>
      <c r="B1442" t="inlineStr">
        <is>
          <t>2026-01</t>
        </is>
      </c>
      <c r="C1442" t="inlineStr">
        <is>
          <t>Tupy</t>
        </is>
      </c>
      <c r="D1442" t="inlineStr">
        <is>
          <t>LIEBHERR</t>
        </is>
      </c>
      <c r="E1442" t="inlineStr">
        <is>
          <t>EHL0041</t>
        </is>
      </c>
      <c r="F1442" t="inlineStr">
        <is>
          <t>EKIPA LOCACOES E SERV G&amp;S</t>
        </is>
      </c>
      <c r="G1442" t="inlineStr">
        <is>
          <t>G&amp;S PRUDENTE</t>
        </is>
      </c>
      <c r="H1442" t="inlineStr">
        <is>
          <t>7.1.2</t>
        </is>
      </c>
      <c r="I1442" t="inlineStr">
        <is>
          <t>MANUTENÇÃO DE VEÍCULOS/MAQUINAS</t>
        </is>
      </c>
      <c r="J1442" t="n">
        <v>1089.3</v>
      </c>
      <c r="K1442" t="n">
        <v>-1089.3</v>
      </c>
    </row>
    <row r="1443" hidden="1" s="154">
      <c r="A1443" t="n">
        <v>2026</v>
      </c>
      <c r="B1443" t="inlineStr">
        <is>
          <t>2026-02</t>
        </is>
      </c>
      <c r="C1443" t="inlineStr">
        <is>
          <t>Tupy</t>
        </is>
      </c>
      <c r="D1443" t="inlineStr">
        <is>
          <t>LIEBHERR</t>
        </is>
      </c>
      <c r="E1443" t="inlineStr">
        <is>
          <t>EHL0041</t>
        </is>
      </c>
      <c r="F1443" t="inlineStr">
        <is>
          <t>EKIPA LOCACOES E SERV G&amp;S</t>
        </is>
      </c>
      <c r="G1443" t="inlineStr">
        <is>
          <t>G&amp;S PRUDENTE</t>
        </is>
      </c>
      <c r="H1443" t="inlineStr">
        <is>
          <t>7.1.2</t>
        </is>
      </c>
      <c r="I1443" t="inlineStr">
        <is>
          <t>MANUTENÇÃO DE VEÍCULOS/MAQUINAS</t>
        </is>
      </c>
      <c r="J1443" t="n">
        <v>683</v>
      </c>
      <c r="K1443" t="n">
        <v>-683</v>
      </c>
    </row>
    <row r="1444" hidden="1" s="154">
      <c r="A1444" t="n">
        <v>2026</v>
      </c>
      <c r="B1444" t="inlineStr">
        <is>
          <t>2026-02</t>
        </is>
      </c>
      <c r="C1444" t="inlineStr">
        <is>
          <t>Tupy</t>
        </is>
      </c>
      <c r="D1444" t="inlineStr">
        <is>
          <t>LIEBHERR</t>
        </is>
      </c>
      <c r="E1444" t="inlineStr">
        <is>
          <t>EHL0041</t>
        </is>
      </c>
      <c r="F1444" t="inlineStr">
        <is>
          <t>EKIPA LOCACOES E SERV G&amp;S</t>
        </is>
      </c>
      <c r="G1444" t="inlineStr">
        <is>
          <t>G&amp;S PRUDENTE</t>
        </is>
      </c>
      <c r="H1444" t="inlineStr">
        <is>
          <t>7.1.2</t>
        </is>
      </c>
      <c r="I1444" t="inlineStr">
        <is>
          <t>MANUTENÇÃO DE VEÍCULOS/MAQUINAS</t>
        </is>
      </c>
      <c r="J1444" t="n">
        <v>1017</v>
      </c>
      <c r="K1444" t="n">
        <v>-1017</v>
      </c>
    </row>
    <row r="1445" hidden="1" s="154">
      <c r="A1445" t="n">
        <v>2026</v>
      </c>
      <c r="B1445" t="inlineStr">
        <is>
          <t>2026-02</t>
        </is>
      </c>
      <c r="C1445" t="inlineStr">
        <is>
          <t>Tupy</t>
        </is>
      </c>
      <c r="D1445" t="inlineStr">
        <is>
          <t>LIEBHERR</t>
        </is>
      </c>
      <c r="E1445" t="inlineStr">
        <is>
          <t>EHL0041</t>
        </is>
      </c>
      <c r="F1445" t="inlineStr">
        <is>
          <t>EKIPA LOCACOES E SERV G&amp;S</t>
        </is>
      </c>
      <c r="G1445" t="inlineStr">
        <is>
          <t>G&amp;S PRUDENTE</t>
        </is>
      </c>
      <c r="H1445" t="inlineStr">
        <is>
          <t>7.1.2</t>
        </is>
      </c>
      <c r="I1445" t="inlineStr">
        <is>
          <t>MANUTENÇÃO DE VEÍCULOS/MAQUINAS</t>
        </is>
      </c>
      <c r="J1445" t="n">
        <v>761.27</v>
      </c>
      <c r="K1445" t="n">
        <v>-761.27</v>
      </c>
    </row>
    <row r="1446" hidden="1" s="154">
      <c r="A1446" t="n">
        <v>2026</v>
      </c>
      <c r="B1446" t="inlineStr">
        <is>
          <t>2026-03</t>
        </is>
      </c>
      <c r="C1446" t="inlineStr">
        <is>
          <t>Tupy</t>
        </is>
      </c>
      <c r="D1446" t="inlineStr">
        <is>
          <t>LIEBHERR</t>
        </is>
      </c>
      <c r="E1446" t="inlineStr">
        <is>
          <t>EHL0041</t>
        </is>
      </c>
      <c r="F1446" t="inlineStr">
        <is>
          <t>EKIPA LOCACOES E SERV G&amp;S</t>
        </is>
      </c>
      <c r="G1446" t="inlineStr">
        <is>
          <t>G&amp;S PRUDENTE</t>
        </is>
      </c>
      <c r="H1446" t="inlineStr">
        <is>
          <t>7.1.2</t>
        </is>
      </c>
      <c r="I1446" t="inlineStr">
        <is>
          <t>MANUTENÇÃO DE VEÍCULOS/MAQUINAS</t>
        </is>
      </c>
      <c r="J1446" t="n">
        <v>89</v>
      </c>
      <c r="K1446" t="n">
        <v>-89</v>
      </c>
    </row>
    <row r="1447" hidden="1" s="154">
      <c r="A1447" t="n">
        <v>2026</v>
      </c>
      <c r="B1447" t="inlineStr">
        <is>
          <t>2026-03</t>
        </is>
      </c>
      <c r="C1447" t="inlineStr">
        <is>
          <t>Tupy</t>
        </is>
      </c>
      <c r="D1447" t="inlineStr">
        <is>
          <t>LIEBHERR</t>
        </is>
      </c>
      <c r="E1447" t="inlineStr">
        <is>
          <t>EHL0041</t>
        </is>
      </c>
      <c r="F1447" t="inlineStr">
        <is>
          <t>EKIPA LOCACOES E SERV G&amp;S</t>
        </is>
      </c>
      <c r="G1447" t="inlineStr">
        <is>
          <t>G&amp;S PRUDENTE</t>
        </is>
      </c>
      <c r="H1447" t="inlineStr">
        <is>
          <t>7.1.2</t>
        </is>
      </c>
      <c r="I1447" t="inlineStr">
        <is>
          <t>MANUTENÇÃO DE VEÍCULOS/MAQUINAS</t>
        </is>
      </c>
      <c r="J1447" t="n">
        <v>580</v>
      </c>
      <c r="K1447" t="n">
        <v>-580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2026-06-09T11:32:36Z</dcterms:created>
  <dcterms:modified xsi:type="dcterms:W3CDTF">2026-06-11T15:03:49Z</dcterms:modified>
  <cp:lastModifiedBy>Julio Oliveira Santana | Pilares</cp:lastModifiedBy>
</cp:coreProperties>
</file>